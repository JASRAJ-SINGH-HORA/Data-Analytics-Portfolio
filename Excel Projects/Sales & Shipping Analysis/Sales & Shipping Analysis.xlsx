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defaultThemeVersion="124226"/>
  <xr:revisionPtr revIDLastSave="0" documentId="13_ncr:1_{731CFACD-63AF-4738-96CE-C90B187192CF}" xr6:coauthVersionLast="47" xr6:coauthVersionMax="47" xr10:uidLastSave="{00000000-0000-0000-0000-000000000000}"/>
  <bookViews>
    <workbookView xWindow="-108" yWindow="-108" windowWidth="23256" windowHeight="12456" xr2:uid="{00000000-000D-0000-FFFF-FFFF00000000}"/>
  </bookViews>
  <sheets>
    <sheet name="Dashboard" sheetId="3" r:id="rId1"/>
    <sheet name="KPI Summary Card" sheetId="9" r:id="rId2"/>
    <sheet name="Sales Over Time" sheetId="5" r:id="rId3"/>
    <sheet name="Sales by Ship Mode" sheetId="6" r:id="rId4"/>
    <sheet name="Discount Impact" sheetId="7" r:id="rId5"/>
    <sheet name="Order Quantity Distribution" sheetId="8" r:id="rId6"/>
    <sheet name="Analysis" sheetId="2" r:id="rId7"/>
    <sheet name="Clean Sales Data" sheetId="1" r:id="rId8"/>
    <sheet name="Raw Data" sheetId="4" r:id="rId9"/>
  </sheets>
  <definedNames>
    <definedName name="_xlnm._FilterDatabase" localSheetId="7" hidden="1">'Clean Sales Data'!$D$1:$O$2101</definedName>
    <definedName name="Slicer_Months__Order_Date">#N/A</definedName>
    <definedName name="Slicer_Order_Quantity">#N/A</definedName>
    <definedName name="Slicer_Order_Type">#N/A</definedName>
    <definedName name="Slicer_Ship_Mode">#N/A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9" l="1"/>
  <c r="X2" i="3"/>
  <c r="P2" i="3"/>
  <c r="L2" i="3"/>
  <c r="T2" i="3"/>
  <c r="H2" i="3"/>
  <c r="C3" i="9"/>
  <c r="B15" i="9"/>
  <c r="B14" i="9"/>
  <c r="B13" i="9"/>
  <c r="B12" i="9"/>
  <c r="B11" i="9"/>
  <c r="C15" i="9"/>
  <c r="C14" i="9"/>
  <c r="C13" i="9"/>
  <c r="C12" i="9"/>
  <c r="C11" i="9"/>
  <c r="C9" i="9"/>
  <c r="C8" i="9"/>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C6" i="9"/>
  <c r="C5" i="9"/>
  <c r="C4" i="9"/>
  <c r="N2" i="2"/>
  <c r="C2" i="9"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M44" i="1"/>
  <c r="M45" i="1"/>
  <c r="M80" i="1"/>
  <c r="M584" i="1"/>
  <c r="M802" i="1"/>
  <c r="M824" i="1"/>
  <c r="M908" i="1"/>
  <c r="M963" i="1"/>
  <c r="M1032" i="1"/>
  <c r="M1184" i="1"/>
  <c r="M1197" i="1"/>
  <c r="M1198" i="1"/>
  <c r="M1219" i="1"/>
  <c r="M1220" i="1"/>
  <c r="M1319" i="1"/>
  <c r="M1343" i="1"/>
  <c r="M1344" i="1"/>
  <c r="M1521" i="1"/>
  <c r="M1535" i="1"/>
  <c r="M1559" i="1"/>
  <c r="M1560" i="1"/>
  <c r="M1561" i="1"/>
  <c r="M1644" i="1"/>
  <c r="M1774" i="1"/>
  <c r="M1775" i="1"/>
  <c r="M1823" i="1"/>
  <c r="M1824" i="1"/>
  <c r="M1825" i="1"/>
  <c r="M1955" i="1"/>
  <c r="M1956" i="1"/>
  <c r="M1957" i="1"/>
  <c r="M2048" i="1"/>
  <c r="M2049" i="1"/>
  <c r="M2054" i="1"/>
  <c r="M2061" i="1"/>
  <c r="L143" i="1"/>
  <c r="L1775" i="1"/>
  <c r="L1976" i="1"/>
  <c r="K9" i="1"/>
  <c r="L9" i="1" s="1"/>
  <c r="K10" i="1"/>
  <c r="L10" i="1" s="1"/>
  <c r="K11" i="1"/>
  <c r="L11" i="1" s="1"/>
  <c r="K20" i="1"/>
  <c r="L20" i="1" s="1"/>
  <c r="K44" i="1"/>
  <c r="L44" i="1" s="1"/>
  <c r="K45" i="1"/>
  <c r="L45" i="1" s="1"/>
  <c r="K47" i="1"/>
  <c r="L47" i="1" s="1"/>
  <c r="K57" i="1"/>
  <c r="L57" i="1" s="1"/>
  <c r="K69" i="1"/>
  <c r="L69" i="1" s="1"/>
  <c r="K70" i="1"/>
  <c r="L70" i="1" s="1"/>
  <c r="K71" i="1"/>
  <c r="L71" i="1" s="1"/>
  <c r="K104" i="1"/>
  <c r="L104" i="1" s="1"/>
  <c r="K105" i="1"/>
  <c r="L105" i="1" s="1"/>
  <c r="K106" i="1"/>
  <c r="L106" i="1" s="1"/>
  <c r="K107" i="1"/>
  <c r="L107" i="1" s="1"/>
  <c r="K108" i="1"/>
  <c r="L108" i="1" s="1"/>
  <c r="K116" i="1"/>
  <c r="L116" i="1" s="1"/>
  <c r="K142" i="1"/>
  <c r="L142" i="1" s="1"/>
  <c r="K143" i="1"/>
  <c r="K144" i="1"/>
  <c r="L144" i="1" s="1"/>
  <c r="K146" i="1"/>
  <c r="L146" i="1" s="1"/>
  <c r="K164" i="1"/>
  <c r="L164" i="1" s="1"/>
  <c r="K165" i="1"/>
  <c r="L165" i="1" s="1"/>
  <c r="K168" i="1"/>
  <c r="L168" i="1" s="1"/>
  <c r="K179" i="1"/>
  <c r="L179" i="1" s="1"/>
  <c r="K191" i="1"/>
  <c r="L191" i="1" s="1"/>
  <c r="K201" i="1"/>
  <c r="L201" i="1" s="1"/>
  <c r="K202" i="1"/>
  <c r="L202" i="1" s="1"/>
  <c r="K203" i="1"/>
  <c r="L203" i="1" s="1"/>
  <c r="K204" i="1"/>
  <c r="L204" i="1" s="1"/>
  <c r="K205" i="1"/>
  <c r="L205" i="1" s="1"/>
  <c r="K206" i="1"/>
  <c r="L206" i="1" s="1"/>
  <c r="K236" i="1"/>
  <c r="L236" i="1" s="1"/>
  <c r="K237" i="1"/>
  <c r="L237" i="1" s="1"/>
  <c r="K238" i="1"/>
  <c r="L238" i="1" s="1"/>
  <c r="K239" i="1"/>
  <c r="L239" i="1" s="1"/>
  <c r="K240" i="1"/>
  <c r="L240" i="1" s="1"/>
  <c r="K253" i="1"/>
  <c r="L253" i="1" s="1"/>
  <c r="K254" i="1"/>
  <c r="L254" i="1" s="1"/>
  <c r="K260" i="1"/>
  <c r="L260" i="1" s="1"/>
  <c r="K287" i="1"/>
  <c r="L287" i="1" s="1"/>
  <c r="K288" i="1"/>
  <c r="L288" i="1" s="1"/>
  <c r="K290" i="1"/>
  <c r="L290" i="1" s="1"/>
  <c r="K298" i="1"/>
  <c r="L298" i="1" s="1"/>
  <c r="K299" i="1"/>
  <c r="L299" i="1" s="1"/>
  <c r="K308" i="1"/>
  <c r="L308" i="1" s="1"/>
  <c r="K332" i="1"/>
  <c r="L332" i="1" s="1"/>
  <c r="K333" i="1"/>
  <c r="L333" i="1" s="1"/>
  <c r="K334" i="1"/>
  <c r="L334" i="1" s="1"/>
  <c r="K350" i="1"/>
  <c r="L350" i="1" s="1"/>
  <c r="K356" i="1"/>
  <c r="L356" i="1" s="1"/>
  <c r="K357" i="1"/>
  <c r="L357" i="1" s="1"/>
  <c r="K368" i="1"/>
  <c r="L368" i="1" s="1"/>
  <c r="K383" i="1"/>
  <c r="L383" i="1" s="1"/>
  <c r="K384" i="1"/>
  <c r="L384" i="1" s="1"/>
  <c r="K385" i="1"/>
  <c r="L385" i="1" s="1"/>
  <c r="K392" i="1"/>
  <c r="L392" i="1" s="1"/>
  <c r="K393" i="1"/>
  <c r="L393" i="1" s="1"/>
  <c r="K394" i="1"/>
  <c r="L394" i="1" s="1"/>
  <c r="K395" i="1"/>
  <c r="L395" i="1" s="1"/>
  <c r="K422" i="1"/>
  <c r="L422" i="1" s="1"/>
  <c r="K430" i="1"/>
  <c r="L430" i="1" s="1"/>
  <c r="K431" i="1"/>
  <c r="L431" i="1" s="1"/>
  <c r="K442" i="1"/>
  <c r="L442" i="1" s="1"/>
  <c r="K443" i="1"/>
  <c r="L443" i="1" s="1"/>
  <c r="K452" i="1"/>
  <c r="L452" i="1" s="1"/>
  <c r="K476" i="1"/>
  <c r="L476" i="1" s="1"/>
  <c r="K479" i="1"/>
  <c r="L479" i="1" s="1"/>
  <c r="K489" i="1"/>
  <c r="L489" i="1" s="1"/>
  <c r="K490" i="1"/>
  <c r="L490" i="1" s="1"/>
  <c r="K491" i="1"/>
  <c r="L491" i="1" s="1"/>
  <c r="K492" i="1"/>
  <c r="L492" i="1" s="1"/>
  <c r="K515" i="1"/>
  <c r="L515" i="1" s="1"/>
  <c r="K524" i="1"/>
  <c r="L524" i="1" s="1"/>
  <c r="K525" i="1"/>
  <c r="L525" i="1" s="1"/>
  <c r="K526" i="1"/>
  <c r="L526" i="1" s="1"/>
  <c r="K539" i="1"/>
  <c r="L539" i="1" s="1"/>
  <c r="K540" i="1"/>
  <c r="L540" i="1" s="1"/>
  <c r="K541" i="1"/>
  <c r="L541" i="1" s="1"/>
  <c r="K551" i="1"/>
  <c r="L551" i="1" s="1"/>
  <c r="K572" i="1"/>
  <c r="L572" i="1" s="1"/>
  <c r="K573" i="1"/>
  <c r="L573" i="1" s="1"/>
  <c r="K574" i="1"/>
  <c r="L574" i="1" s="1"/>
  <c r="K575" i="1"/>
  <c r="L575" i="1" s="1"/>
  <c r="K576" i="1"/>
  <c r="L576" i="1" s="1"/>
  <c r="K578" i="1"/>
  <c r="L578" i="1" s="1"/>
  <c r="K586" i="1"/>
  <c r="L586" i="1" s="1"/>
  <c r="K612" i="1"/>
  <c r="L612" i="1" s="1"/>
  <c r="K613" i="1"/>
  <c r="L613" i="1" s="1"/>
  <c r="K620" i="1"/>
  <c r="L620" i="1" s="1"/>
  <c r="K634" i="1"/>
  <c r="L634" i="1" s="1"/>
  <c r="K635" i="1"/>
  <c r="L635" i="1" s="1"/>
  <c r="K638" i="1"/>
  <c r="L638" i="1" s="1"/>
  <c r="K669" i="1"/>
  <c r="L669" i="1" s="1"/>
  <c r="K670" i="1"/>
  <c r="L670" i="1" s="1"/>
  <c r="K671" i="1"/>
  <c r="L671" i="1" s="1"/>
  <c r="K672" i="1"/>
  <c r="L672" i="1" s="1"/>
  <c r="K673" i="1"/>
  <c r="L673" i="1" s="1"/>
  <c r="K680" i="1"/>
  <c r="L680" i="1" s="1"/>
  <c r="K681" i="1"/>
  <c r="L681" i="1" s="1"/>
  <c r="K707" i="1"/>
  <c r="L707" i="1" s="1"/>
  <c r="K708" i="1"/>
  <c r="L708" i="1" s="1"/>
  <c r="K709" i="1"/>
  <c r="L709" i="1" s="1"/>
  <c r="K710" i="1"/>
  <c r="L710" i="1" s="1"/>
  <c r="K728" i="1"/>
  <c r="L728" i="1" s="1"/>
  <c r="K729" i="1"/>
  <c r="L729" i="1" s="1"/>
  <c r="K730" i="1"/>
  <c r="L730" i="1" s="1"/>
  <c r="K756" i="1"/>
  <c r="L756" i="1" s="1"/>
  <c r="K757" i="1"/>
  <c r="L757" i="1" s="1"/>
  <c r="K758" i="1"/>
  <c r="L758" i="1" s="1"/>
  <c r="K764" i="1"/>
  <c r="L764" i="1" s="1"/>
  <c r="K767" i="1"/>
  <c r="L767" i="1" s="1"/>
  <c r="K777" i="1"/>
  <c r="L777" i="1" s="1"/>
  <c r="K778" i="1"/>
  <c r="L778" i="1" s="1"/>
  <c r="K800" i="1"/>
  <c r="L800" i="1" s="1"/>
  <c r="K801" i="1"/>
  <c r="L801" i="1" s="1"/>
  <c r="K802" i="1"/>
  <c r="L802" i="1" s="1"/>
  <c r="K803" i="1"/>
  <c r="L803" i="1" s="1"/>
  <c r="K812" i="1"/>
  <c r="L812" i="1" s="1"/>
  <c r="K825" i="1"/>
  <c r="L825" i="1" s="1"/>
  <c r="K826" i="1"/>
  <c r="L826" i="1" s="1"/>
  <c r="K827" i="1"/>
  <c r="L827" i="1" s="1"/>
  <c r="K854" i="1"/>
  <c r="L854" i="1" s="1"/>
  <c r="K860" i="1"/>
  <c r="L860" i="1" s="1"/>
  <c r="K861" i="1"/>
  <c r="L861" i="1" s="1"/>
  <c r="K862" i="1"/>
  <c r="L862" i="1" s="1"/>
  <c r="K863" i="1"/>
  <c r="L863" i="1" s="1"/>
  <c r="K864" i="1"/>
  <c r="L864" i="1" s="1"/>
  <c r="K896" i="1"/>
  <c r="L896" i="1" s="1"/>
  <c r="K897" i="1"/>
  <c r="L897" i="1" s="1"/>
  <c r="K900" i="1"/>
  <c r="L900" i="1" s="1"/>
  <c r="K901" i="1"/>
  <c r="L901" i="1" s="1"/>
  <c r="K911" i="1"/>
  <c r="L911" i="1" s="1"/>
  <c r="K921" i="1"/>
  <c r="L921" i="1" s="1"/>
  <c r="K922" i="1"/>
  <c r="L922" i="1" s="1"/>
  <c r="K945" i="1"/>
  <c r="L945" i="1" s="1"/>
  <c r="K946" i="1"/>
  <c r="L946" i="1" s="1"/>
  <c r="K957" i="1"/>
  <c r="L957" i="1" s="1"/>
  <c r="K958" i="1"/>
  <c r="L958" i="1" s="1"/>
  <c r="K959" i="1"/>
  <c r="L959" i="1" s="1"/>
  <c r="K960" i="1"/>
  <c r="L960" i="1" s="1"/>
  <c r="K961" i="1"/>
  <c r="L961" i="1" s="1"/>
  <c r="K983" i="1"/>
  <c r="L983" i="1" s="1"/>
  <c r="K993" i="1"/>
  <c r="L993" i="1" s="1"/>
  <c r="K994" i="1"/>
  <c r="L994" i="1" s="1"/>
  <c r="K995" i="1"/>
  <c r="L995" i="1" s="1"/>
  <c r="K996" i="1"/>
  <c r="L996" i="1" s="1"/>
  <c r="K1008" i="1"/>
  <c r="L1008" i="1" s="1"/>
  <c r="K1016" i="1"/>
  <c r="L1016" i="1" s="1"/>
  <c r="K1043" i="1"/>
  <c r="L1043" i="1" s="1"/>
  <c r="K1044" i="1"/>
  <c r="L1044" i="1" s="1"/>
  <c r="K1045" i="1"/>
  <c r="L1045" i="1" s="1"/>
  <c r="K1046" i="1"/>
  <c r="L1046" i="1" s="1"/>
  <c r="K1052" i="1"/>
  <c r="L1052" i="1" s="1"/>
  <c r="K1055" i="1"/>
  <c r="L1055" i="1" s="1"/>
  <c r="K1088" i="1"/>
  <c r="L1088" i="1" s="1"/>
  <c r="K1089" i="1"/>
  <c r="L1089" i="1" s="1"/>
  <c r="K1090" i="1"/>
  <c r="L1090" i="1" s="1"/>
  <c r="K1103" i="1"/>
  <c r="L1103" i="1" s="1"/>
  <c r="K1104" i="1"/>
  <c r="L1104" i="1" s="1"/>
  <c r="K1113" i="1"/>
  <c r="L1113" i="1" s="1"/>
  <c r="K1139" i="1"/>
  <c r="L1139" i="1" s="1"/>
  <c r="K1140" i="1"/>
  <c r="L1140" i="1" s="1"/>
  <c r="K1141" i="1"/>
  <c r="L1141" i="1" s="1"/>
  <c r="K1142" i="1"/>
  <c r="L1142" i="1" s="1"/>
  <c r="K1148" i="1"/>
  <c r="L1148" i="1" s="1"/>
  <c r="K1149" i="1"/>
  <c r="L1149" i="1" s="1"/>
  <c r="K1150" i="1"/>
  <c r="L1150" i="1" s="1"/>
  <c r="K1175" i="1"/>
  <c r="L1175" i="1" s="1"/>
  <c r="K1176" i="1"/>
  <c r="L1176" i="1" s="1"/>
  <c r="K1184" i="1"/>
  <c r="L1184" i="1" s="1"/>
  <c r="K1185" i="1"/>
  <c r="L1185" i="1" s="1"/>
  <c r="K1197" i="1"/>
  <c r="L1197" i="1" s="1"/>
  <c r="K1198" i="1"/>
  <c r="L1198" i="1" s="1"/>
  <c r="K1199" i="1"/>
  <c r="L1199" i="1" s="1"/>
  <c r="K1220" i="1"/>
  <c r="L1220" i="1" s="1"/>
  <c r="K1232" i="1"/>
  <c r="L1232" i="1" s="1"/>
  <c r="K1233" i="1"/>
  <c r="L1233" i="1" s="1"/>
  <c r="K1245" i="1"/>
  <c r="L1245" i="1" s="1"/>
  <c r="K1246" i="1"/>
  <c r="L1246" i="1" s="1"/>
  <c r="K1247" i="1"/>
  <c r="L1247" i="1" s="1"/>
  <c r="K1271" i="1"/>
  <c r="L1271" i="1" s="1"/>
  <c r="K1281" i="1"/>
  <c r="L1281" i="1" s="1"/>
  <c r="K1295" i="1"/>
  <c r="L1295" i="1" s="1"/>
  <c r="K1296" i="1"/>
  <c r="L1296" i="1" s="1"/>
  <c r="K1307" i="1"/>
  <c r="L1307" i="1" s="1"/>
  <c r="K1328" i="1"/>
  <c r="L1328" i="1" s="1"/>
  <c r="K1329" i="1"/>
  <c r="L1329" i="1" s="1"/>
  <c r="K1330" i="1"/>
  <c r="L1330" i="1" s="1"/>
  <c r="K1331" i="1"/>
  <c r="L1331" i="1" s="1"/>
  <c r="K1332" i="1"/>
  <c r="L1332" i="1" s="1"/>
  <c r="K1334" i="1"/>
  <c r="L1334" i="1" s="1"/>
  <c r="K1364" i="1"/>
  <c r="L1364" i="1" s="1"/>
  <c r="K1365" i="1"/>
  <c r="L1365" i="1" s="1"/>
  <c r="K1370" i="1"/>
  <c r="L1370" i="1" s="1"/>
  <c r="K1376" i="1"/>
  <c r="L1376" i="1" s="1"/>
  <c r="K1389" i="1"/>
  <c r="L1389" i="1" s="1"/>
  <c r="K1391" i="1"/>
  <c r="L1391" i="1" s="1"/>
  <c r="K1415" i="1"/>
  <c r="L1415" i="1" s="1"/>
  <c r="K1427" i="1"/>
  <c r="L1427" i="1" s="1"/>
  <c r="K1428" i="1"/>
  <c r="L1428" i="1" s="1"/>
  <c r="K1429" i="1"/>
  <c r="L1429" i="1" s="1"/>
  <c r="K1430" i="1"/>
  <c r="L1430" i="1" s="1"/>
  <c r="K1451" i="1"/>
  <c r="L1451" i="1" s="1"/>
  <c r="K1460" i="1"/>
  <c r="L1460" i="1" s="1"/>
  <c r="K1461" i="1"/>
  <c r="L1461" i="1" s="1"/>
  <c r="K1463" i="1"/>
  <c r="L1463" i="1" s="1"/>
  <c r="K1475" i="1"/>
  <c r="L1475" i="1" s="1"/>
  <c r="K1476" i="1"/>
  <c r="L1476" i="1" s="1"/>
  <c r="K1487" i="1"/>
  <c r="L1487" i="1" s="1"/>
  <c r="K1508" i="1"/>
  <c r="L1508" i="1" s="1"/>
  <c r="K1509" i="1"/>
  <c r="L1509" i="1" s="1"/>
  <c r="K1511" i="1"/>
  <c r="L1511" i="1" s="1"/>
  <c r="K1512" i="1"/>
  <c r="L1512" i="1" s="1"/>
  <c r="K1520" i="1"/>
  <c r="L1520" i="1" s="1"/>
  <c r="K1545" i="1"/>
  <c r="L1545" i="1" s="1"/>
  <c r="K1547" i="1"/>
  <c r="L1547" i="1" s="1"/>
  <c r="K1548" i="1"/>
  <c r="L1548" i="1" s="1"/>
  <c r="K1557" i="1"/>
  <c r="L1557" i="1" s="1"/>
  <c r="K1569" i="1"/>
  <c r="L1569" i="1" s="1"/>
  <c r="K1592" i="1"/>
  <c r="L1592" i="1" s="1"/>
  <c r="K1593" i="1"/>
  <c r="L1593" i="1" s="1"/>
  <c r="K1595" i="1"/>
  <c r="L1595" i="1" s="1"/>
  <c r="K1604" i="1"/>
  <c r="L1604" i="1" s="1"/>
  <c r="K1605" i="1"/>
  <c r="L1605" i="1" s="1"/>
  <c r="K1627" i="1"/>
  <c r="L1627" i="1" s="1"/>
  <c r="K1628" i="1"/>
  <c r="L1628" i="1" s="1"/>
  <c r="K1629" i="1"/>
  <c r="L1629" i="1" s="1"/>
  <c r="K1644" i="1"/>
  <c r="L1644" i="1" s="1"/>
  <c r="K1646" i="1"/>
  <c r="L1646" i="1" s="1"/>
  <c r="K1665" i="1"/>
  <c r="L1665" i="1" s="1"/>
  <c r="K1667" i="1"/>
  <c r="L1667" i="1" s="1"/>
  <c r="K1676" i="1"/>
  <c r="L1676" i="1" s="1"/>
  <c r="K1677" i="1"/>
  <c r="L1677" i="1" s="1"/>
  <c r="K1679" i="1"/>
  <c r="L1679" i="1" s="1"/>
  <c r="K1700" i="1"/>
  <c r="L1700" i="1" s="1"/>
  <c r="K1701" i="1"/>
  <c r="L1701" i="1" s="1"/>
  <c r="K1715" i="1"/>
  <c r="L1715" i="1" s="1"/>
  <c r="K1716" i="1"/>
  <c r="L1716" i="1" s="1"/>
  <c r="K1717" i="1"/>
  <c r="L1717" i="1" s="1"/>
  <c r="K1727" i="1"/>
  <c r="L1727" i="1" s="1"/>
  <c r="K1736" i="1"/>
  <c r="L1736" i="1" s="1"/>
  <c r="K1737" i="1"/>
  <c r="L1737" i="1" s="1"/>
  <c r="K1739" i="1"/>
  <c r="L1739" i="1" s="1"/>
  <c r="K1748" i="1"/>
  <c r="L1748" i="1" s="1"/>
  <c r="K1749" i="1"/>
  <c r="L1749" i="1" s="1"/>
  <c r="K1750" i="1"/>
  <c r="L1750" i="1" s="1"/>
  <c r="K1772" i="1"/>
  <c r="L1772" i="1" s="1"/>
  <c r="K1773" i="1"/>
  <c r="L1773" i="1" s="1"/>
  <c r="K1787" i="1"/>
  <c r="L1787" i="1" s="1"/>
  <c r="K1788" i="1"/>
  <c r="L1788" i="1" s="1"/>
  <c r="K1808" i="1"/>
  <c r="L1808" i="1" s="1"/>
  <c r="K1809" i="1"/>
  <c r="L1809" i="1" s="1"/>
  <c r="K1811" i="1"/>
  <c r="L1811" i="1" s="1"/>
  <c r="K1820" i="1"/>
  <c r="L1820" i="1" s="1"/>
  <c r="K1821" i="1"/>
  <c r="L1821" i="1" s="1"/>
  <c r="K1835" i="1"/>
  <c r="L1835" i="1" s="1"/>
  <c r="K1836" i="1"/>
  <c r="L1836" i="1" s="1"/>
  <c r="K1837" i="1"/>
  <c r="L1837" i="1" s="1"/>
  <c r="K1838" i="1"/>
  <c r="L1838" i="1" s="1"/>
  <c r="K1856" i="1"/>
  <c r="L1856" i="1" s="1"/>
  <c r="K1857" i="1"/>
  <c r="L1857" i="1" s="1"/>
  <c r="K1868" i="1"/>
  <c r="L1868" i="1" s="1"/>
  <c r="K1874" i="1"/>
  <c r="L1874" i="1" s="1"/>
  <c r="K1879" i="1"/>
  <c r="L1879" i="1" s="1"/>
  <c r="K1880" i="1"/>
  <c r="L1880" i="1" s="1"/>
  <c r="K1881" i="1"/>
  <c r="L1881" i="1" s="1"/>
  <c r="K1883" i="1"/>
  <c r="L1883" i="1" s="1"/>
  <c r="K1907" i="1"/>
  <c r="L1907" i="1" s="1"/>
  <c r="K1908" i="1"/>
  <c r="L1908" i="1" s="1"/>
  <c r="K1909" i="1"/>
  <c r="L1909" i="1" s="1"/>
  <c r="K1919" i="1"/>
  <c r="L1919" i="1" s="1"/>
  <c r="K1928" i="1"/>
  <c r="L1928" i="1" s="1"/>
  <c r="K1943" i="1"/>
  <c r="L1943" i="1" s="1"/>
  <c r="K1944" i="1"/>
  <c r="L1944" i="1" s="1"/>
  <c r="K1945" i="1"/>
  <c r="L1945" i="1" s="1"/>
  <c r="K1952" i="1"/>
  <c r="L1952" i="1" s="1"/>
  <c r="K1953" i="1"/>
  <c r="L1953" i="1" s="1"/>
  <c r="K1976" i="1"/>
  <c r="K1977" i="1"/>
  <c r="L1977" i="1" s="1"/>
  <c r="K1979" i="1"/>
  <c r="L1979" i="1" s="1"/>
  <c r="K1980" i="1"/>
  <c r="L1980" i="1" s="1"/>
  <c r="K1988" i="1"/>
  <c r="L1988" i="1" s="1"/>
  <c r="K1989" i="1"/>
  <c r="L1989" i="1" s="1"/>
  <c r="K1990" i="1"/>
  <c r="L1990" i="1" s="1"/>
  <c r="K2003" i="1"/>
  <c r="L2003" i="1" s="1"/>
  <c r="K2004" i="1"/>
  <c r="L2004" i="1" s="1"/>
  <c r="K2013" i="1"/>
  <c r="L2013" i="1" s="1"/>
  <c r="K2015" i="1"/>
  <c r="L2015" i="1" s="1"/>
  <c r="K2016" i="1"/>
  <c r="L2016" i="1" s="1"/>
  <c r="K2017" i="1"/>
  <c r="L2017" i="1" s="1"/>
  <c r="K2018" i="1"/>
  <c r="L2018" i="1" s="1"/>
  <c r="K2039" i="1"/>
  <c r="L2039" i="1" s="1"/>
  <c r="K2040" i="1"/>
  <c r="L2040" i="1" s="1"/>
  <c r="K2041" i="1"/>
  <c r="L2041" i="1" s="1"/>
  <c r="K2042" i="1"/>
  <c r="L2042" i="1" s="1"/>
  <c r="K2048" i="1"/>
  <c r="L2048" i="1" s="1"/>
  <c r="K2049" i="1"/>
  <c r="L2049" i="1" s="1"/>
  <c r="K2051" i="1"/>
  <c r="L2051" i="1" s="1"/>
  <c r="K2063" i="1"/>
  <c r="L2063" i="1" s="1"/>
  <c r="K2072" i="1"/>
  <c r="L2072" i="1" s="1"/>
  <c r="K2073" i="1"/>
  <c r="L2073" i="1" s="1"/>
  <c r="K2075" i="1"/>
  <c r="L2075" i="1" s="1"/>
  <c r="K2084" i="1"/>
  <c r="L2084" i="1" s="1"/>
  <c r="K2085" i="1"/>
  <c r="L2085" i="1" s="1"/>
  <c r="K2086" i="1"/>
  <c r="L2086" i="1" s="1"/>
  <c r="K2096" i="1"/>
  <c r="L2096" i="1" s="1"/>
  <c r="K8" i="1"/>
  <c r="L8" i="1" s="1"/>
  <c r="I3" i="1"/>
  <c r="M3" i="1" s="1"/>
  <c r="I4" i="1"/>
  <c r="I5" i="1"/>
  <c r="I6" i="1"/>
  <c r="I7" i="1"/>
  <c r="I8" i="1"/>
  <c r="M8" i="1" s="1"/>
  <c r="I9" i="1"/>
  <c r="M9" i="1" s="1"/>
  <c r="I10" i="1"/>
  <c r="M10" i="1" s="1"/>
  <c r="I11" i="1"/>
  <c r="M11" i="1" s="1"/>
  <c r="I12" i="1"/>
  <c r="M12" i="1" s="1"/>
  <c r="I13" i="1"/>
  <c r="M13" i="1" s="1"/>
  <c r="I14" i="1"/>
  <c r="M14" i="1" s="1"/>
  <c r="I15" i="1"/>
  <c r="I16" i="1"/>
  <c r="I17" i="1"/>
  <c r="I18" i="1"/>
  <c r="I19" i="1"/>
  <c r="I20" i="1"/>
  <c r="M20" i="1" s="1"/>
  <c r="I21" i="1"/>
  <c r="M21" i="1" s="1"/>
  <c r="I22" i="1"/>
  <c r="I23" i="1"/>
  <c r="I24" i="1"/>
  <c r="I25" i="1"/>
  <c r="I26" i="1"/>
  <c r="I27" i="1"/>
  <c r="I28" i="1"/>
  <c r="I29" i="1"/>
  <c r="I30" i="1"/>
  <c r="I31" i="1"/>
  <c r="I32" i="1"/>
  <c r="I33" i="1"/>
  <c r="I34" i="1"/>
  <c r="I35" i="1"/>
  <c r="M35" i="1" s="1"/>
  <c r="I36" i="1"/>
  <c r="M36" i="1" s="1"/>
  <c r="I37" i="1"/>
  <c r="M37" i="1" s="1"/>
  <c r="I38" i="1"/>
  <c r="I39" i="1"/>
  <c r="I40" i="1"/>
  <c r="I41" i="1"/>
  <c r="I42" i="1"/>
  <c r="I43" i="1"/>
  <c r="I44" i="1"/>
  <c r="I45" i="1"/>
  <c r="I46" i="1"/>
  <c r="I47" i="1"/>
  <c r="M47" i="1" s="1"/>
  <c r="I48" i="1"/>
  <c r="M48" i="1" s="1"/>
  <c r="I49" i="1"/>
  <c r="M49" i="1" s="1"/>
  <c r="I50" i="1"/>
  <c r="M50" i="1" s="1"/>
  <c r="I51" i="1"/>
  <c r="I52" i="1"/>
  <c r="I53" i="1"/>
  <c r="I54" i="1"/>
  <c r="I55" i="1"/>
  <c r="I56" i="1"/>
  <c r="I57" i="1"/>
  <c r="M57" i="1" s="1"/>
  <c r="I58" i="1"/>
  <c r="I59" i="1"/>
  <c r="I60" i="1"/>
  <c r="I61" i="1"/>
  <c r="I62" i="1"/>
  <c r="I63" i="1"/>
  <c r="I64" i="1"/>
  <c r="I65" i="1"/>
  <c r="I66" i="1"/>
  <c r="I67" i="1"/>
  <c r="I68" i="1"/>
  <c r="I69" i="1"/>
  <c r="M69" i="1" s="1"/>
  <c r="I70" i="1"/>
  <c r="M70" i="1" s="1"/>
  <c r="I71" i="1"/>
  <c r="M71" i="1" s="1"/>
  <c r="I72" i="1"/>
  <c r="M72" i="1" s="1"/>
  <c r="I73" i="1"/>
  <c r="I74" i="1"/>
  <c r="I75" i="1"/>
  <c r="I76" i="1"/>
  <c r="I77" i="1"/>
  <c r="I78" i="1"/>
  <c r="I79" i="1"/>
  <c r="I80" i="1"/>
  <c r="K80" i="1" s="1"/>
  <c r="L80" i="1" s="1"/>
  <c r="I81" i="1"/>
  <c r="M81" i="1" s="1"/>
  <c r="I82" i="1"/>
  <c r="M82" i="1" s="1"/>
  <c r="I83" i="1"/>
  <c r="I84" i="1"/>
  <c r="M84" i="1" s="1"/>
  <c r="I85" i="1"/>
  <c r="M85" i="1" s="1"/>
  <c r="I86" i="1"/>
  <c r="M86" i="1" s="1"/>
  <c r="I87" i="1"/>
  <c r="I88" i="1"/>
  <c r="I89" i="1"/>
  <c r="I90" i="1"/>
  <c r="I91" i="1"/>
  <c r="I92" i="1"/>
  <c r="I93" i="1"/>
  <c r="I94" i="1"/>
  <c r="I95" i="1"/>
  <c r="I96" i="1"/>
  <c r="I97" i="1"/>
  <c r="M97" i="1" s="1"/>
  <c r="I98" i="1"/>
  <c r="I99" i="1"/>
  <c r="I100" i="1"/>
  <c r="I101" i="1"/>
  <c r="I102" i="1"/>
  <c r="I103" i="1"/>
  <c r="I104" i="1"/>
  <c r="M104" i="1" s="1"/>
  <c r="I105" i="1"/>
  <c r="M105" i="1" s="1"/>
  <c r="I106" i="1"/>
  <c r="M106" i="1" s="1"/>
  <c r="I107" i="1"/>
  <c r="M107" i="1" s="1"/>
  <c r="I108" i="1"/>
  <c r="M108" i="1" s="1"/>
  <c r="I109" i="1"/>
  <c r="I110" i="1"/>
  <c r="I111" i="1"/>
  <c r="I112" i="1"/>
  <c r="I113" i="1"/>
  <c r="I114" i="1"/>
  <c r="I115" i="1"/>
  <c r="I116" i="1"/>
  <c r="M116" i="1" s="1"/>
  <c r="I117" i="1"/>
  <c r="M117" i="1" s="1"/>
  <c r="I118" i="1"/>
  <c r="I119" i="1"/>
  <c r="I120" i="1"/>
  <c r="M120" i="1" s="1"/>
  <c r="I121" i="1"/>
  <c r="M121" i="1" s="1"/>
  <c r="I122" i="1"/>
  <c r="M122" i="1" s="1"/>
  <c r="I123" i="1"/>
  <c r="I124" i="1"/>
  <c r="I125" i="1"/>
  <c r="I126" i="1"/>
  <c r="I127" i="1"/>
  <c r="I128" i="1"/>
  <c r="I129" i="1"/>
  <c r="I130" i="1"/>
  <c r="I131" i="1"/>
  <c r="M131" i="1" s="1"/>
  <c r="I132" i="1"/>
  <c r="M132" i="1" s="1"/>
  <c r="I133" i="1"/>
  <c r="M133" i="1" s="1"/>
  <c r="I134" i="1"/>
  <c r="I135" i="1"/>
  <c r="I136" i="1"/>
  <c r="I137" i="1"/>
  <c r="I138" i="1"/>
  <c r="I139" i="1"/>
  <c r="I140" i="1"/>
  <c r="I141" i="1"/>
  <c r="I142" i="1"/>
  <c r="M142" i="1" s="1"/>
  <c r="I143" i="1"/>
  <c r="M143" i="1" s="1"/>
  <c r="I144" i="1"/>
  <c r="M144" i="1" s="1"/>
  <c r="I145" i="1"/>
  <c r="I146" i="1"/>
  <c r="M146" i="1" s="1"/>
  <c r="I147" i="1"/>
  <c r="I148" i="1"/>
  <c r="I149" i="1"/>
  <c r="I150" i="1"/>
  <c r="I151" i="1"/>
  <c r="I152" i="1"/>
  <c r="I153" i="1"/>
  <c r="I154" i="1"/>
  <c r="I155" i="1"/>
  <c r="I156" i="1"/>
  <c r="M156" i="1" s="1"/>
  <c r="I157" i="1"/>
  <c r="M157" i="1" s="1"/>
  <c r="I158" i="1"/>
  <c r="M158" i="1" s="1"/>
  <c r="I159" i="1"/>
  <c r="K159" i="1" s="1"/>
  <c r="L159" i="1" s="1"/>
  <c r="I160" i="1"/>
  <c r="I161" i="1"/>
  <c r="I162" i="1"/>
  <c r="I163" i="1"/>
  <c r="I164" i="1"/>
  <c r="M164" i="1" s="1"/>
  <c r="I165" i="1"/>
  <c r="M165" i="1" s="1"/>
  <c r="I166" i="1"/>
  <c r="I167" i="1"/>
  <c r="I168" i="1"/>
  <c r="M168" i="1" s="1"/>
  <c r="I169" i="1"/>
  <c r="M169" i="1" s="1"/>
  <c r="I170" i="1"/>
  <c r="I171" i="1"/>
  <c r="I172" i="1"/>
  <c r="I173" i="1"/>
  <c r="I174" i="1"/>
  <c r="I175" i="1"/>
  <c r="I176" i="1"/>
  <c r="M176" i="1" s="1"/>
  <c r="I177" i="1"/>
  <c r="M177" i="1" s="1"/>
  <c r="I178" i="1"/>
  <c r="M178" i="1" s="1"/>
  <c r="I179" i="1"/>
  <c r="M179" i="1" s="1"/>
  <c r="I180" i="1"/>
  <c r="I181" i="1"/>
  <c r="I182" i="1"/>
  <c r="I183" i="1"/>
  <c r="I184" i="1"/>
  <c r="I185" i="1"/>
  <c r="I186" i="1"/>
  <c r="I187" i="1"/>
  <c r="I188" i="1"/>
  <c r="I189" i="1"/>
  <c r="I190" i="1"/>
  <c r="I191" i="1"/>
  <c r="M191" i="1" s="1"/>
  <c r="I192" i="1"/>
  <c r="M192" i="1" s="1"/>
  <c r="I193" i="1"/>
  <c r="M193" i="1" s="1"/>
  <c r="I194" i="1"/>
  <c r="M194" i="1" s="1"/>
  <c r="I195" i="1"/>
  <c r="I196" i="1"/>
  <c r="I197" i="1"/>
  <c r="I198" i="1"/>
  <c r="I199" i="1"/>
  <c r="I200" i="1"/>
  <c r="I201" i="1"/>
  <c r="M201" i="1" s="1"/>
  <c r="I202" i="1"/>
  <c r="M202" i="1" s="1"/>
  <c r="I203" i="1"/>
  <c r="M203" i="1" s="1"/>
  <c r="I204" i="1"/>
  <c r="M204" i="1" s="1"/>
  <c r="I205" i="1"/>
  <c r="M205" i="1" s="1"/>
  <c r="I206" i="1"/>
  <c r="M206" i="1" s="1"/>
  <c r="I207" i="1"/>
  <c r="I208" i="1"/>
  <c r="I209" i="1"/>
  <c r="I210" i="1"/>
  <c r="I211" i="1"/>
  <c r="I212" i="1"/>
  <c r="M212" i="1" s="1"/>
  <c r="I213" i="1"/>
  <c r="I214" i="1"/>
  <c r="I215" i="1"/>
  <c r="I216" i="1"/>
  <c r="I217" i="1"/>
  <c r="I218" i="1"/>
  <c r="I219" i="1"/>
  <c r="I220" i="1"/>
  <c r="I221" i="1"/>
  <c r="I222" i="1"/>
  <c r="I223" i="1"/>
  <c r="I224" i="1"/>
  <c r="I225" i="1"/>
  <c r="M225" i="1" s="1"/>
  <c r="I226" i="1"/>
  <c r="M226" i="1" s="1"/>
  <c r="I227" i="1"/>
  <c r="M227" i="1" s="1"/>
  <c r="I228" i="1"/>
  <c r="M228" i="1" s="1"/>
  <c r="I229" i="1"/>
  <c r="M229" i="1" s="1"/>
  <c r="I230" i="1"/>
  <c r="M230" i="1" s="1"/>
  <c r="I231" i="1"/>
  <c r="I232" i="1"/>
  <c r="K232" i="1" s="1"/>
  <c r="L232" i="1" s="1"/>
  <c r="I233" i="1"/>
  <c r="I234" i="1"/>
  <c r="I235" i="1"/>
  <c r="I236" i="1"/>
  <c r="M236" i="1" s="1"/>
  <c r="I237" i="1"/>
  <c r="M237" i="1" s="1"/>
  <c r="I238" i="1"/>
  <c r="M238" i="1" s="1"/>
  <c r="I239" i="1"/>
  <c r="M239" i="1" s="1"/>
  <c r="I240" i="1"/>
  <c r="M240" i="1" s="1"/>
  <c r="I241" i="1"/>
  <c r="I242" i="1"/>
  <c r="I243" i="1"/>
  <c r="I244" i="1"/>
  <c r="K244" i="1" s="1"/>
  <c r="L244" i="1" s="1"/>
  <c r="I245" i="1"/>
  <c r="I246" i="1"/>
  <c r="I247" i="1"/>
  <c r="I248" i="1"/>
  <c r="I249" i="1"/>
  <c r="I250" i="1"/>
  <c r="I251" i="1"/>
  <c r="I252" i="1"/>
  <c r="I253" i="1"/>
  <c r="M253" i="1" s="1"/>
  <c r="I254" i="1"/>
  <c r="M254" i="1" s="1"/>
  <c r="I255" i="1"/>
  <c r="I256" i="1"/>
  <c r="I257" i="1"/>
  <c r="I258" i="1"/>
  <c r="I259" i="1"/>
  <c r="I260" i="1"/>
  <c r="M260" i="1" s="1"/>
  <c r="I261" i="1"/>
  <c r="M261" i="1" s="1"/>
  <c r="I262" i="1"/>
  <c r="M262" i="1" s="1"/>
  <c r="I263" i="1"/>
  <c r="M263" i="1" s="1"/>
  <c r="I264" i="1"/>
  <c r="M264" i="1" s="1"/>
  <c r="I265" i="1"/>
  <c r="M265" i="1" s="1"/>
  <c r="I266" i="1"/>
  <c r="M266" i="1" s="1"/>
  <c r="I267" i="1"/>
  <c r="I268" i="1"/>
  <c r="I269" i="1"/>
  <c r="I270" i="1"/>
  <c r="I271" i="1"/>
  <c r="I272" i="1"/>
  <c r="I273" i="1"/>
  <c r="I274" i="1"/>
  <c r="I275" i="1"/>
  <c r="M275" i="1" s="1"/>
  <c r="I276" i="1"/>
  <c r="M276" i="1" s="1"/>
  <c r="I277" i="1"/>
  <c r="I278" i="1"/>
  <c r="I279" i="1"/>
  <c r="I280" i="1"/>
  <c r="I281" i="1"/>
  <c r="I282" i="1"/>
  <c r="I283" i="1"/>
  <c r="I284" i="1"/>
  <c r="I285" i="1"/>
  <c r="I286" i="1"/>
  <c r="M286" i="1" s="1"/>
  <c r="I287" i="1"/>
  <c r="M287" i="1" s="1"/>
  <c r="I288" i="1"/>
  <c r="M288" i="1" s="1"/>
  <c r="I289" i="1"/>
  <c r="I290" i="1"/>
  <c r="M290" i="1" s="1"/>
  <c r="I291" i="1"/>
  <c r="I292" i="1"/>
  <c r="I293" i="1"/>
  <c r="I294" i="1"/>
  <c r="I295" i="1"/>
  <c r="I296" i="1"/>
  <c r="I297" i="1"/>
  <c r="I298" i="1"/>
  <c r="M298" i="1" s="1"/>
  <c r="I299" i="1"/>
  <c r="M299" i="1" s="1"/>
  <c r="I300" i="1"/>
  <c r="M300" i="1" s="1"/>
  <c r="I301" i="1"/>
  <c r="M301" i="1" s="1"/>
  <c r="I302" i="1"/>
  <c r="M302" i="1" s="1"/>
  <c r="I303" i="1"/>
  <c r="I304" i="1"/>
  <c r="I305" i="1"/>
  <c r="I306" i="1"/>
  <c r="I307" i="1"/>
  <c r="I308" i="1"/>
  <c r="M308" i="1" s="1"/>
  <c r="I309" i="1"/>
  <c r="M309" i="1" s="1"/>
  <c r="I310" i="1"/>
  <c r="I311" i="1"/>
  <c r="I312" i="1"/>
  <c r="I313" i="1"/>
  <c r="I314" i="1"/>
  <c r="I315" i="1"/>
  <c r="K315" i="1" s="1"/>
  <c r="L315" i="1" s="1"/>
  <c r="I316" i="1"/>
  <c r="I317" i="1"/>
  <c r="I318" i="1"/>
  <c r="I319" i="1"/>
  <c r="I320" i="1"/>
  <c r="M320" i="1" s="1"/>
  <c r="I321" i="1"/>
  <c r="M321" i="1" s="1"/>
  <c r="I322" i="1"/>
  <c r="I323" i="1"/>
  <c r="I324" i="1"/>
  <c r="M324" i="1" s="1"/>
  <c r="I325" i="1"/>
  <c r="M325" i="1" s="1"/>
  <c r="I326" i="1"/>
  <c r="I327" i="1"/>
  <c r="I328" i="1"/>
  <c r="I329" i="1"/>
  <c r="I330" i="1"/>
  <c r="I331" i="1"/>
  <c r="I332" i="1"/>
  <c r="M332" i="1" s="1"/>
  <c r="I333" i="1"/>
  <c r="M333" i="1" s="1"/>
  <c r="I334" i="1"/>
  <c r="M334" i="1" s="1"/>
  <c r="I335" i="1"/>
  <c r="I336" i="1"/>
  <c r="M336" i="1" s="1"/>
  <c r="I337" i="1"/>
  <c r="M337" i="1" s="1"/>
  <c r="I338" i="1"/>
  <c r="M338" i="1" s="1"/>
  <c r="I339" i="1"/>
  <c r="I340" i="1"/>
  <c r="I341" i="1"/>
  <c r="I342" i="1"/>
  <c r="I343" i="1"/>
  <c r="I344" i="1"/>
  <c r="I345" i="1"/>
  <c r="I346" i="1"/>
  <c r="I347" i="1"/>
  <c r="I348" i="1"/>
  <c r="I349" i="1"/>
  <c r="I350" i="1"/>
  <c r="M350" i="1" s="1"/>
  <c r="I351" i="1"/>
  <c r="I352" i="1"/>
  <c r="I353" i="1"/>
  <c r="I354" i="1"/>
  <c r="I355" i="1"/>
  <c r="I356" i="1"/>
  <c r="M356" i="1" s="1"/>
  <c r="I357" i="1"/>
  <c r="M357" i="1" s="1"/>
  <c r="I358" i="1"/>
  <c r="M358" i="1" s="1"/>
  <c r="I359" i="1"/>
  <c r="M359" i="1" s="1"/>
  <c r="I360" i="1"/>
  <c r="M360" i="1" s="1"/>
  <c r="I361" i="1"/>
  <c r="I362" i="1"/>
  <c r="I363" i="1"/>
  <c r="I364" i="1"/>
  <c r="I365" i="1"/>
  <c r="I366" i="1"/>
  <c r="I367" i="1"/>
  <c r="I368" i="1"/>
  <c r="M368" i="1" s="1"/>
  <c r="I369" i="1"/>
  <c r="I370" i="1"/>
  <c r="I371" i="1"/>
  <c r="I372" i="1"/>
  <c r="M372" i="1" s="1"/>
  <c r="I373" i="1"/>
  <c r="M373" i="1" s="1"/>
  <c r="I374" i="1"/>
  <c r="M374" i="1" s="1"/>
  <c r="I375" i="1"/>
  <c r="I376" i="1"/>
  <c r="I377" i="1"/>
  <c r="I378" i="1"/>
  <c r="I379" i="1"/>
  <c r="I380" i="1"/>
  <c r="I381" i="1"/>
  <c r="I382" i="1"/>
  <c r="I383" i="1"/>
  <c r="M383" i="1" s="1"/>
  <c r="I384" i="1"/>
  <c r="M384" i="1" s="1"/>
  <c r="I385" i="1"/>
  <c r="M385" i="1" s="1"/>
  <c r="I386" i="1"/>
  <c r="I387" i="1"/>
  <c r="I388" i="1"/>
  <c r="I389" i="1"/>
  <c r="I390" i="1"/>
  <c r="I391" i="1"/>
  <c r="I392" i="1"/>
  <c r="M392" i="1" s="1"/>
  <c r="I393" i="1"/>
  <c r="M393" i="1" s="1"/>
  <c r="I394" i="1"/>
  <c r="M394" i="1" s="1"/>
  <c r="I395" i="1"/>
  <c r="M395" i="1" s="1"/>
  <c r="I396" i="1"/>
  <c r="M396" i="1" s="1"/>
  <c r="I397" i="1"/>
  <c r="I398" i="1"/>
  <c r="I399" i="1"/>
  <c r="I400" i="1"/>
  <c r="I401" i="1"/>
  <c r="I402" i="1"/>
  <c r="I403" i="1"/>
  <c r="I404" i="1"/>
  <c r="I405" i="1"/>
  <c r="I406" i="1"/>
  <c r="I407" i="1"/>
  <c r="I408" i="1"/>
  <c r="M408" i="1" s="1"/>
  <c r="I409" i="1"/>
  <c r="M409" i="1" s="1"/>
  <c r="I410" i="1"/>
  <c r="M410" i="1" s="1"/>
  <c r="I411" i="1"/>
  <c r="I412" i="1"/>
  <c r="I413" i="1"/>
  <c r="I414" i="1"/>
  <c r="I415" i="1"/>
  <c r="I416" i="1"/>
  <c r="I417" i="1"/>
  <c r="M417" i="1" s="1"/>
  <c r="I418" i="1"/>
  <c r="M418" i="1" s="1"/>
  <c r="I419" i="1"/>
  <c r="M419" i="1" s="1"/>
  <c r="I420" i="1"/>
  <c r="M420" i="1" s="1"/>
  <c r="I421" i="1"/>
  <c r="M421" i="1" s="1"/>
  <c r="I422" i="1"/>
  <c r="M422" i="1" s="1"/>
  <c r="I423" i="1"/>
  <c r="I424" i="1"/>
  <c r="I425" i="1"/>
  <c r="I426" i="1"/>
  <c r="I427" i="1"/>
  <c r="I428" i="1"/>
  <c r="I429" i="1"/>
  <c r="I430" i="1"/>
  <c r="M430" i="1" s="1"/>
  <c r="I431" i="1"/>
  <c r="M431" i="1" s="1"/>
  <c r="I432" i="1"/>
  <c r="I433" i="1"/>
  <c r="I434" i="1"/>
  <c r="I435" i="1"/>
  <c r="I436" i="1"/>
  <c r="I437" i="1"/>
  <c r="I438" i="1"/>
  <c r="I439" i="1"/>
  <c r="I440" i="1"/>
  <c r="I441" i="1"/>
  <c r="I442" i="1"/>
  <c r="M442" i="1" s="1"/>
  <c r="I443" i="1"/>
  <c r="M443" i="1" s="1"/>
  <c r="I444" i="1"/>
  <c r="M444" i="1" s="1"/>
  <c r="I445" i="1"/>
  <c r="M445" i="1" s="1"/>
  <c r="I446" i="1"/>
  <c r="M446" i="1" s="1"/>
  <c r="I447" i="1"/>
  <c r="I448" i="1"/>
  <c r="I449" i="1"/>
  <c r="I450" i="1"/>
  <c r="I451" i="1"/>
  <c r="I452" i="1"/>
  <c r="M452" i="1" s="1"/>
  <c r="I453" i="1"/>
  <c r="M453" i="1" s="1"/>
  <c r="I454" i="1"/>
  <c r="K454" i="1" s="1"/>
  <c r="L454" i="1" s="1"/>
  <c r="I455" i="1"/>
  <c r="I456" i="1"/>
  <c r="M456" i="1" s="1"/>
  <c r="I457" i="1"/>
  <c r="M457" i="1" s="1"/>
  <c r="I458" i="1"/>
  <c r="I459" i="1"/>
  <c r="K459" i="1" s="1"/>
  <c r="L459" i="1" s="1"/>
  <c r="I460" i="1"/>
  <c r="I461" i="1"/>
  <c r="I462" i="1"/>
  <c r="I463" i="1"/>
  <c r="I464" i="1"/>
  <c r="M464" i="1" s="1"/>
  <c r="I465" i="1"/>
  <c r="M465" i="1" s="1"/>
  <c r="I466" i="1"/>
  <c r="I467" i="1"/>
  <c r="I468" i="1"/>
  <c r="I469" i="1"/>
  <c r="I470" i="1"/>
  <c r="I471" i="1"/>
  <c r="I472" i="1"/>
  <c r="I473" i="1"/>
  <c r="I474" i="1"/>
  <c r="I475" i="1"/>
  <c r="I476" i="1"/>
  <c r="M476" i="1" s="1"/>
  <c r="I477" i="1"/>
  <c r="K477" i="1" s="1"/>
  <c r="L477" i="1" s="1"/>
  <c r="I478" i="1"/>
  <c r="K478" i="1" s="1"/>
  <c r="L478" i="1" s="1"/>
  <c r="I479" i="1"/>
  <c r="M479" i="1" s="1"/>
  <c r="I480" i="1"/>
  <c r="M480" i="1" s="1"/>
  <c r="I481" i="1"/>
  <c r="M481" i="1" s="1"/>
  <c r="I482" i="1"/>
  <c r="M482" i="1" s="1"/>
  <c r="I483" i="1"/>
  <c r="K483" i="1" s="1"/>
  <c r="L483" i="1" s="1"/>
  <c r="I484" i="1"/>
  <c r="I485" i="1"/>
  <c r="I486" i="1"/>
  <c r="I487" i="1"/>
  <c r="I488" i="1"/>
  <c r="I489" i="1"/>
  <c r="M489" i="1" s="1"/>
  <c r="I490" i="1"/>
  <c r="M490" i="1" s="1"/>
  <c r="I491" i="1"/>
  <c r="M491" i="1" s="1"/>
  <c r="I492" i="1"/>
  <c r="M492" i="1" s="1"/>
  <c r="I493" i="1"/>
  <c r="M493" i="1" s="1"/>
  <c r="I494" i="1"/>
  <c r="I495" i="1"/>
  <c r="I496" i="1"/>
  <c r="I497" i="1"/>
  <c r="I498" i="1"/>
  <c r="I499" i="1"/>
  <c r="I500" i="1"/>
  <c r="I501" i="1"/>
  <c r="I502" i="1"/>
  <c r="I503" i="1"/>
  <c r="I504" i="1"/>
  <c r="I505" i="1"/>
  <c r="I506" i="1"/>
  <c r="I507" i="1"/>
  <c r="I508" i="1"/>
  <c r="I509" i="1"/>
  <c r="I510" i="1"/>
  <c r="I511" i="1"/>
  <c r="I512" i="1"/>
  <c r="M512" i="1" s="1"/>
  <c r="I513" i="1"/>
  <c r="M513" i="1" s="1"/>
  <c r="I514" i="1"/>
  <c r="M514" i="1" s="1"/>
  <c r="I515" i="1"/>
  <c r="M515" i="1" s="1"/>
  <c r="I516" i="1"/>
  <c r="M516" i="1" s="1"/>
  <c r="I517" i="1"/>
  <c r="M517" i="1" s="1"/>
  <c r="I518" i="1"/>
  <c r="M518" i="1" s="1"/>
  <c r="I519" i="1"/>
  <c r="I520" i="1"/>
  <c r="I521" i="1"/>
  <c r="I522" i="1"/>
  <c r="I523" i="1"/>
  <c r="I524" i="1"/>
  <c r="M524" i="1" s="1"/>
  <c r="I525" i="1"/>
  <c r="M525" i="1" s="1"/>
  <c r="I526" i="1"/>
  <c r="M526" i="1" s="1"/>
  <c r="I527" i="1"/>
  <c r="I528" i="1"/>
  <c r="I529" i="1"/>
  <c r="I530" i="1"/>
  <c r="I531" i="1"/>
  <c r="I532" i="1"/>
  <c r="I533" i="1"/>
  <c r="I534" i="1"/>
  <c r="K534" i="1" s="1"/>
  <c r="L534" i="1" s="1"/>
  <c r="I535" i="1"/>
  <c r="K535" i="1" s="1"/>
  <c r="L535" i="1" s="1"/>
  <c r="I536" i="1"/>
  <c r="I537" i="1"/>
  <c r="I538" i="1"/>
  <c r="I539" i="1"/>
  <c r="M539" i="1" s="1"/>
  <c r="I540" i="1"/>
  <c r="M540" i="1" s="1"/>
  <c r="I541" i="1"/>
  <c r="M541" i="1" s="1"/>
  <c r="I542" i="1"/>
  <c r="I543" i="1"/>
  <c r="I544" i="1"/>
  <c r="I545" i="1"/>
  <c r="I546" i="1"/>
  <c r="I547" i="1"/>
  <c r="I548" i="1"/>
  <c r="M548" i="1" s="1"/>
  <c r="I549" i="1"/>
  <c r="M549" i="1" s="1"/>
  <c r="I550" i="1"/>
  <c r="M550" i="1" s="1"/>
  <c r="I551" i="1"/>
  <c r="M551" i="1" s="1"/>
  <c r="I552" i="1"/>
  <c r="M552" i="1" s="1"/>
  <c r="I553" i="1"/>
  <c r="M553" i="1" s="1"/>
  <c r="I554" i="1"/>
  <c r="M554" i="1" s="1"/>
  <c r="I555" i="1"/>
  <c r="K555" i="1" s="1"/>
  <c r="L555" i="1" s="1"/>
  <c r="I556" i="1"/>
  <c r="I557" i="1"/>
  <c r="I558" i="1"/>
  <c r="I559" i="1"/>
  <c r="I560" i="1"/>
  <c r="I561" i="1"/>
  <c r="I562" i="1"/>
  <c r="I563" i="1"/>
  <c r="I564" i="1"/>
  <c r="I565" i="1"/>
  <c r="I566" i="1"/>
  <c r="I567" i="1"/>
  <c r="I568" i="1"/>
  <c r="I569" i="1"/>
  <c r="I570" i="1"/>
  <c r="I571" i="1"/>
  <c r="I572" i="1"/>
  <c r="M572" i="1" s="1"/>
  <c r="I573" i="1"/>
  <c r="M573" i="1" s="1"/>
  <c r="I574" i="1"/>
  <c r="M574" i="1" s="1"/>
  <c r="I575" i="1"/>
  <c r="M575" i="1" s="1"/>
  <c r="I576" i="1"/>
  <c r="M576" i="1" s="1"/>
  <c r="I577" i="1"/>
  <c r="I578" i="1"/>
  <c r="M578" i="1" s="1"/>
  <c r="I579" i="1"/>
  <c r="I580" i="1"/>
  <c r="I581" i="1"/>
  <c r="I582" i="1"/>
  <c r="I583" i="1"/>
  <c r="I584" i="1"/>
  <c r="K584" i="1" s="1"/>
  <c r="L584" i="1" s="1"/>
  <c r="I585" i="1"/>
  <c r="I586" i="1"/>
  <c r="M586" i="1" s="1"/>
  <c r="I587" i="1"/>
  <c r="M587" i="1" s="1"/>
  <c r="I588" i="1"/>
  <c r="M588" i="1" s="1"/>
  <c r="I589" i="1"/>
  <c r="M589" i="1" s="1"/>
  <c r="I590" i="1"/>
  <c r="M590" i="1" s="1"/>
  <c r="I591" i="1"/>
  <c r="I592" i="1"/>
  <c r="I593" i="1"/>
  <c r="I594" i="1"/>
  <c r="I595" i="1"/>
  <c r="I596" i="1"/>
  <c r="I597" i="1"/>
  <c r="I598" i="1"/>
  <c r="I599" i="1"/>
  <c r="I600" i="1"/>
  <c r="M600" i="1" s="1"/>
  <c r="I601" i="1"/>
  <c r="M601" i="1" s="1"/>
  <c r="I602" i="1"/>
  <c r="I603" i="1"/>
  <c r="I604" i="1"/>
  <c r="I605" i="1"/>
  <c r="I606" i="1"/>
  <c r="I607" i="1"/>
  <c r="I608" i="1"/>
  <c r="M608" i="1" s="1"/>
  <c r="I609" i="1"/>
  <c r="M609" i="1" s="1"/>
  <c r="I610" i="1"/>
  <c r="I611" i="1"/>
  <c r="I612" i="1"/>
  <c r="M612" i="1" s="1"/>
  <c r="I613" i="1"/>
  <c r="M613" i="1" s="1"/>
  <c r="I614" i="1"/>
  <c r="M614" i="1" s="1"/>
  <c r="I615" i="1"/>
  <c r="I616" i="1"/>
  <c r="I617" i="1"/>
  <c r="I618" i="1"/>
  <c r="I619" i="1"/>
  <c r="I620" i="1"/>
  <c r="M620" i="1" s="1"/>
  <c r="I621" i="1"/>
  <c r="I622" i="1"/>
  <c r="I623" i="1"/>
  <c r="I624" i="1"/>
  <c r="M624" i="1" s="1"/>
  <c r="I625" i="1"/>
  <c r="M625" i="1" s="1"/>
  <c r="I626" i="1"/>
  <c r="M626" i="1" s="1"/>
  <c r="I627" i="1"/>
  <c r="I628" i="1"/>
  <c r="I629" i="1"/>
  <c r="I630" i="1"/>
  <c r="I631" i="1"/>
  <c r="I632" i="1"/>
  <c r="I633" i="1"/>
  <c r="I634" i="1"/>
  <c r="M634" i="1" s="1"/>
  <c r="I635" i="1"/>
  <c r="M635" i="1" s="1"/>
  <c r="I636" i="1"/>
  <c r="I637" i="1"/>
  <c r="I638" i="1"/>
  <c r="M638" i="1" s="1"/>
  <c r="I639" i="1"/>
  <c r="I640" i="1"/>
  <c r="I641" i="1"/>
  <c r="I642" i="1"/>
  <c r="I643" i="1"/>
  <c r="K643" i="1" s="1"/>
  <c r="L643" i="1" s="1"/>
  <c r="I644" i="1"/>
  <c r="M644" i="1" s="1"/>
  <c r="I645" i="1"/>
  <c r="M645" i="1" s="1"/>
  <c r="I646" i="1"/>
  <c r="M646" i="1" s="1"/>
  <c r="I647" i="1"/>
  <c r="M647" i="1" s="1"/>
  <c r="I648" i="1"/>
  <c r="M648" i="1" s="1"/>
  <c r="I649" i="1"/>
  <c r="I650" i="1"/>
  <c r="I651" i="1"/>
  <c r="I652" i="1"/>
  <c r="I653" i="1"/>
  <c r="I654" i="1"/>
  <c r="I655" i="1"/>
  <c r="I656" i="1"/>
  <c r="I657" i="1"/>
  <c r="I658" i="1"/>
  <c r="I659" i="1"/>
  <c r="I660" i="1"/>
  <c r="M660" i="1" s="1"/>
  <c r="I661" i="1"/>
  <c r="M661" i="1" s="1"/>
  <c r="I662" i="1"/>
  <c r="M662" i="1" s="1"/>
  <c r="I663" i="1"/>
  <c r="I664" i="1"/>
  <c r="I665" i="1"/>
  <c r="I666" i="1"/>
  <c r="I667" i="1"/>
  <c r="I668" i="1"/>
  <c r="I669" i="1"/>
  <c r="M669" i="1" s="1"/>
  <c r="I670" i="1"/>
  <c r="M670" i="1" s="1"/>
  <c r="I671" i="1"/>
  <c r="M671" i="1" s="1"/>
  <c r="I672" i="1"/>
  <c r="M672" i="1" s="1"/>
  <c r="I673" i="1"/>
  <c r="M673" i="1" s="1"/>
  <c r="I674" i="1"/>
  <c r="I675" i="1"/>
  <c r="I676" i="1"/>
  <c r="I677" i="1"/>
  <c r="I678" i="1"/>
  <c r="I679" i="1"/>
  <c r="I680" i="1"/>
  <c r="M680" i="1" s="1"/>
  <c r="I681" i="1"/>
  <c r="M681" i="1" s="1"/>
  <c r="I682" i="1"/>
  <c r="M682" i="1" s="1"/>
  <c r="I683" i="1"/>
  <c r="I684" i="1"/>
  <c r="I685" i="1"/>
  <c r="I686" i="1"/>
  <c r="I687" i="1"/>
  <c r="I688" i="1"/>
  <c r="I689" i="1"/>
  <c r="I690" i="1"/>
  <c r="I691" i="1"/>
  <c r="I692" i="1"/>
  <c r="I693" i="1"/>
  <c r="I694" i="1"/>
  <c r="M694" i="1" s="1"/>
  <c r="I695" i="1"/>
  <c r="M695" i="1" s="1"/>
  <c r="I696" i="1"/>
  <c r="M696" i="1" s="1"/>
  <c r="I697" i="1"/>
  <c r="M697" i="1" s="1"/>
  <c r="I698" i="1"/>
  <c r="M698" i="1" s="1"/>
  <c r="I699" i="1"/>
  <c r="I700" i="1"/>
  <c r="I701" i="1"/>
  <c r="I702" i="1"/>
  <c r="I703" i="1"/>
  <c r="I704" i="1"/>
  <c r="I705" i="1"/>
  <c r="M705" i="1" s="1"/>
  <c r="I706" i="1"/>
  <c r="M706" i="1" s="1"/>
  <c r="I707" i="1"/>
  <c r="M707" i="1" s="1"/>
  <c r="I708" i="1"/>
  <c r="M708" i="1" s="1"/>
  <c r="I709" i="1"/>
  <c r="M709" i="1" s="1"/>
  <c r="I710" i="1"/>
  <c r="M710" i="1" s="1"/>
  <c r="I711" i="1"/>
  <c r="I712" i="1"/>
  <c r="I713" i="1"/>
  <c r="I714" i="1"/>
  <c r="I715" i="1"/>
  <c r="I716" i="1"/>
  <c r="I717" i="1"/>
  <c r="I718" i="1"/>
  <c r="I719" i="1"/>
  <c r="I720" i="1"/>
  <c r="I721" i="1"/>
  <c r="I722" i="1"/>
  <c r="I723" i="1"/>
  <c r="I724" i="1"/>
  <c r="I725" i="1"/>
  <c r="I726" i="1"/>
  <c r="I727" i="1"/>
  <c r="I728" i="1"/>
  <c r="M728" i="1" s="1"/>
  <c r="I729" i="1"/>
  <c r="M729" i="1" s="1"/>
  <c r="I730" i="1"/>
  <c r="M730" i="1" s="1"/>
  <c r="I731" i="1"/>
  <c r="M731" i="1" s="1"/>
  <c r="I732" i="1"/>
  <c r="M732" i="1" s="1"/>
  <c r="I733" i="1"/>
  <c r="M733" i="1" s="1"/>
  <c r="I734" i="1"/>
  <c r="M734" i="1" s="1"/>
  <c r="I735" i="1"/>
  <c r="I736" i="1"/>
  <c r="I737" i="1"/>
  <c r="I738" i="1"/>
  <c r="I739" i="1"/>
  <c r="I740" i="1"/>
  <c r="M740" i="1" s="1"/>
  <c r="I741" i="1"/>
  <c r="M741" i="1" s="1"/>
  <c r="I742" i="1"/>
  <c r="I743" i="1"/>
  <c r="I744" i="1"/>
  <c r="M744" i="1" s="1"/>
  <c r="I745" i="1"/>
  <c r="I746" i="1"/>
  <c r="I747" i="1"/>
  <c r="I748" i="1"/>
  <c r="I749" i="1"/>
  <c r="I750" i="1"/>
  <c r="I751" i="1"/>
  <c r="I752" i="1"/>
  <c r="I753" i="1"/>
  <c r="I754" i="1"/>
  <c r="I755" i="1"/>
  <c r="I756" i="1"/>
  <c r="M756" i="1" s="1"/>
  <c r="I757" i="1"/>
  <c r="M757" i="1" s="1"/>
  <c r="I758" i="1"/>
  <c r="M758" i="1" s="1"/>
  <c r="I759" i="1"/>
  <c r="I760" i="1"/>
  <c r="I761" i="1"/>
  <c r="I762" i="1"/>
  <c r="I763" i="1"/>
  <c r="I764" i="1"/>
  <c r="M764" i="1" s="1"/>
  <c r="I765" i="1"/>
  <c r="I766" i="1"/>
  <c r="I767" i="1"/>
  <c r="M767" i="1" s="1"/>
  <c r="I768" i="1"/>
  <c r="M768" i="1" s="1"/>
  <c r="I769" i="1"/>
  <c r="M769" i="1" s="1"/>
  <c r="I770" i="1"/>
  <c r="M770" i="1" s="1"/>
  <c r="I771" i="1"/>
  <c r="I772" i="1"/>
  <c r="I773" i="1"/>
  <c r="I774" i="1"/>
  <c r="I775" i="1"/>
  <c r="I776" i="1"/>
  <c r="I777" i="1"/>
  <c r="M777" i="1" s="1"/>
  <c r="I778" i="1"/>
  <c r="M778" i="1" s="1"/>
  <c r="I779" i="1"/>
  <c r="M779" i="1" s="1"/>
  <c r="I780" i="1"/>
  <c r="I781" i="1"/>
  <c r="I782" i="1"/>
  <c r="I783" i="1"/>
  <c r="I784" i="1"/>
  <c r="K784" i="1" s="1"/>
  <c r="L784" i="1" s="1"/>
  <c r="I785" i="1"/>
  <c r="I786" i="1"/>
  <c r="I787" i="1"/>
  <c r="I788" i="1"/>
  <c r="I789" i="1"/>
  <c r="M789" i="1" s="1"/>
  <c r="I790" i="1"/>
  <c r="M790" i="1" s="1"/>
  <c r="I791" i="1"/>
  <c r="I792" i="1"/>
  <c r="I793" i="1"/>
  <c r="I794" i="1"/>
  <c r="I795" i="1"/>
  <c r="I796" i="1"/>
  <c r="I797" i="1"/>
  <c r="I798" i="1"/>
  <c r="I799" i="1"/>
  <c r="I800" i="1"/>
  <c r="M800" i="1" s="1"/>
  <c r="I801" i="1"/>
  <c r="M801" i="1" s="1"/>
  <c r="I802" i="1"/>
  <c r="I803" i="1"/>
  <c r="M803" i="1" s="1"/>
  <c r="I804" i="1"/>
  <c r="M804" i="1" s="1"/>
  <c r="I805" i="1"/>
  <c r="M805" i="1" s="1"/>
  <c r="I806" i="1"/>
  <c r="M806" i="1" s="1"/>
  <c r="I807" i="1"/>
  <c r="I808" i="1"/>
  <c r="I809" i="1"/>
  <c r="I810" i="1"/>
  <c r="I811" i="1"/>
  <c r="I812" i="1"/>
  <c r="M812" i="1" s="1"/>
  <c r="I813" i="1"/>
  <c r="I814" i="1"/>
  <c r="I815" i="1"/>
  <c r="I816" i="1"/>
  <c r="I817" i="1"/>
  <c r="I818" i="1"/>
  <c r="I819" i="1"/>
  <c r="I820" i="1"/>
  <c r="I821" i="1"/>
  <c r="I822" i="1"/>
  <c r="I823" i="1"/>
  <c r="I824" i="1"/>
  <c r="K824" i="1" s="1"/>
  <c r="L824" i="1" s="1"/>
  <c r="I825" i="1"/>
  <c r="M825" i="1" s="1"/>
  <c r="I826" i="1"/>
  <c r="M826" i="1" s="1"/>
  <c r="I827" i="1"/>
  <c r="M827" i="1" s="1"/>
  <c r="I828" i="1"/>
  <c r="M828" i="1" s="1"/>
  <c r="I829" i="1"/>
  <c r="I830" i="1"/>
  <c r="I831" i="1"/>
  <c r="I832" i="1"/>
  <c r="I833" i="1"/>
  <c r="I834" i="1"/>
  <c r="I835" i="1"/>
  <c r="I836" i="1"/>
  <c r="M836" i="1" s="1"/>
  <c r="I837" i="1"/>
  <c r="M837" i="1" s="1"/>
  <c r="I838" i="1"/>
  <c r="I839" i="1"/>
  <c r="I840" i="1"/>
  <c r="M840" i="1" s="1"/>
  <c r="I841" i="1"/>
  <c r="M841" i="1" s="1"/>
  <c r="I842" i="1"/>
  <c r="M842" i="1" s="1"/>
  <c r="I843" i="1"/>
  <c r="I844" i="1"/>
  <c r="I845" i="1"/>
  <c r="I846" i="1"/>
  <c r="I847" i="1"/>
  <c r="I848" i="1"/>
  <c r="I849" i="1"/>
  <c r="I850" i="1"/>
  <c r="I851" i="1"/>
  <c r="I852" i="1"/>
  <c r="I853" i="1"/>
  <c r="I854" i="1"/>
  <c r="M854" i="1" s="1"/>
  <c r="I855" i="1"/>
  <c r="I856" i="1"/>
  <c r="I857" i="1"/>
  <c r="I858" i="1"/>
  <c r="I859" i="1"/>
  <c r="I860" i="1"/>
  <c r="M860" i="1" s="1"/>
  <c r="I861" i="1"/>
  <c r="M861" i="1" s="1"/>
  <c r="I862" i="1"/>
  <c r="M862" i="1" s="1"/>
  <c r="I863" i="1"/>
  <c r="M863" i="1" s="1"/>
  <c r="I864" i="1"/>
  <c r="M864" i="1" s="1"/>
  <c r="I865" i="1"/>
  <c r="I866" i="1"/>
  <c r="I867" i="1"/>
  <c r="I868" i="1"/>
  <c r="I869" i="1"/>
  <c r="I870" i="1"/>
  <c r="I871" i="1"/>
  <c r="I872" i="1"/>
  <c r="I873" i="1"/>
  <c r="I874" i="1"/>
  <c r="I875" i="1"/>
  <c r="I876" i="1"/>
  <c r="M876" i="1" s="1"/>
  <c r="I877" i="1"/>
  <c r="M877" i="1" s="1"/>
  <c r="I878" i="1"/>
  <c r="M878" i="1" s="1"/>
  <c r="I879" i="1"/>
  <c r="I880" i="1"/>
  <c r="I881" i="1"/>
  <c r="I882" i="1"/>
  <c r="I883" i="1"/>
  <c r="I884" i="1"/>
  <c r="I885" i="1"/>
  <c r="I886" i="1"/>
  <c r="M886" i="1" s="1"/>
  <c r="I887" i="1"/>
  <c r="M887" i="1" s="1"/>
  <c r="I888" i="1"/>
  <c r="M888" i="1" s="1"/>
  <c r="I889" i="1"/>
  <c r="I890" i="1"/>
  <c r="I891" i="1"/>
  <c r="I892" i="1"/>
  <c r="I893" i="1"/>
  <c r="I894" i="1"/>
  <c r="I895" i="1"/>
  <c r="I896" i="1"/>
  <c r="M896" i="1" s="1"/>
  <c r="I897" i="1"/>
  <c r="M897" i="1" s="1"/>
  <c r="I898" i="1"/>
  <c r="I899" i="1"/>
  <c r="I900" i="1"/>
  <c r="M900" i="1" s="1"/>
  <c r="I901" i="1"/>
  <c r="M901" i="1" s="1"/>
  <c r="I902" i="1"/>
  <c r="I903" i="1"/>
  <c r="I904" i="1"/>
  <c r="I905" i="1"/>
  <c r="I906" i="1"/>
  <c r="I907" i="1"/>
  <c r="I908" i="1"/>
  <c r="K908" i="1" s="1"/>
  <c r="L908" i="1" s="1"/>
  <c r="I909" i="1"/>
  <c r="I910" i="1"/>
  <c r="I911" i="1"/>
  <c r="M911" i="1" s="1"/>
  <c r="I912" i="1"/>
  <c r="M912" i="1" s="1"/>
  <c r="I913" i="1"/>
  <c r="M913" i="1" s="1"/>
  <c r="I914" i="1"/>
  <c r="M914" i="1" s="1"/>
  <c r="I915" i="1"/>
  <c r="I916" i="1"/>
  <c r="I917" i="1"/>
  <c r="I918" i="1"/>
  <c r="I919" i="1"/>
  <c r="I920" i="1"/>
  <c r="I921" i="1"/>
  <c r="M921" i="1" s="1"/>
  <c r="I922" i="1"/>
  <c r="M922" i="1" s="1"/>
  <c r="I923" i="1"/>
  <c r="M923" i="1" s="1"/>
  <c r="I924" i="1"/>
  <c r="I925" i="1"/>
  <c r="I926" i="1"/>
  <c r="I927" i="1"/>
  <c r="I928" i="1"/>
  <c r="I929" i="1"/>
  <c r="I930" i="1"/>
  <c r="I931" i="1"/>
  <c r="I932" i="1"/>
  <c r="M932" i="1" s="1"/>
  <c r="I933" i="1"/>
  <c r="M933" i="1" s="1"/>
  <c r="I934" i="1"/>
  <c r="M934" i="1" s="1"/>
  <c r="I935" i="1"/>
  <c r="I936" i="1"/>
  <c r="I937" i="1"/>
  <c r="I938" i="1"/>
  <c r="I939" i="1"/>
  <c r="I940" i="1"/>
  <c r="I941" i="1"/>
  <c r="I942" i="1"/>
  <c r="I943" i="1"/>
  <c r="I944" i="1"/>
  <c r="I945" i="1"/>
  <c r="M945" i="1" s="1"/>
  <c r="I946" i="1"/>
  <c r="M946" i="1" s="1"/>
  <c r="I947" i="1"/>
  <c r="I948" i="1"/>
  <c r="M948" i="1" s="1"/>
  <c r="I949" i="1"/>
  <c r="M949" i="1" s="1"/>
  <c r="I950" i="1"/>
  <c r="M950" i="1" s="1"/>
  <c r="I951" i="1"/>
  <c r="I952" i="1"/>
  <c r="I953" i="1"/>
  <c r="I954" i="1"/>
  <c r="I955" i="1"/>
  <c r="I956" i="1"/>
  <c r="I957" i="1"/>
  <c r="M957" i="1" s="1"/>
  <c r="I958" i="1"/>
  <c r="M958" i="1" s="1"/>
  <c r="I959" i="1"/>
  <c r="M959" i="1" s="1"/>
  <c r="I960" i="1"/>
  <c r="M960" i="1" s="1"/>
  <c r="I961" i="1"/>
  <c r="M961" i="1" s="1"/>
  <c r="I962" i="1"/>
  <c r="I963" i="1"/>
  <c r="K963" i="1" s="1"/>
  <c r="L963" i="1" s="1"/>
  <c r="I964" i="1"/>
  <c r="I965" i="1"/>
  <c r="I966" i="1"/>
  <c r="I967" i="1"/>
  <c r="I968" i="1"/>
  <c r="M968" i="1" s="1"/>
  <c r="I969" i="1"/>
  <c r="I970" i="1"/>
  <c r="I971" i="1"/>
  <c r="I972" i="1"/>
  <c r="I973" i="1"/>
  <c r="I974" i="1"/>
  <c r="I975" i="1"/>
  <c r="I976" i="1"/>
  <c r="I977" i="1"/>
  <c r="I978" i="1"/>
  <c r="I979" i="1"/>
  <c r="I980" i="1"/>
  <c r="M980" i="1" s="1"/>
  <c r="I981" i="1"/>
  <c r="M981" i="1" s="1"/>
  <c r="I982" i="1"/>
  <c r="M982" i="1" s="1"/>
  <c r="I983" i="1"/>
  <c r="M983" i="1" s="1"/>
  <c r="I984" i="1"/>
  <c r="M984" i="1" s="1"/>
  <c r="I985" i="1"/>
  <c r="M985" i="1" s="1"/>
  <c r="I986" i="1"/>
  <c r="M986" i="1" s="1"/>
  <c r="I987" i="1"/>
  <c r="I988" i="1"/>
  <c r="I989" i="1"/>
  <c r="I990" i="1"/>
  <c r="I991" i="1"/>
  <c r="I992" i="1"/>
  <c r="I993" i="1"/>
  <c r="M993" i="1" s="1"/>
  <c r="I994" i="1"/>
  <c r="M994" i="1" s="1"/>
  <c r="I995" i="1"/>
  <c r="M995" i="1" s="1"/>
  <c r="I996" i="1"/>
  <c r="M996" i="1" s="1"/>
  <c r="I997" i="1"/>
  <c r="I998" i="1"/>
  <c r="I999" i="1"/>
  <c r="I1000" i="1"/>
  <c r="I1001" i="1"/>
  <c r="I1002" i="1"/>
  <c r="I1003" i="1"/>
  <c r="I1004" i="1"/>
  <c r="I1005" i="1"/>
  <c r="I1006" i="1"/>
  <c r="I1007" i="1"/>
  <c r="I1008" i="1"/>
  <c r="M1008" i="1" s="1"/>
  <c r="I1009" i="1"/>
  <c r="I1010" i="1"/>
  <c r="M1010" i="1" s="1"/>
  <c r="I1011" i="1"/>
  <c r="I1012" i="1"/>
  <c r="I1013" i="1"/>
  <c r="I1014" i="1"/>
  <c r="I1015" i="1"/>
  <c r="I1016" i="1"/>
  <c r="M1016" i="1" s="1"/>
  <c r="I1017" i="1"/>
  <c r="M1017" i="1" s="1"/>
  <c r="I1018" i="1"/>
  <c r="M1018" i="1" s="1"/>
  <c r="I1019" i="1"/>
  <c r="M1019" i="1" s="1"/>
  <c r="I1020" i="1"/>
  <c r="M1020" i="1" s="1"/>
  <c r="I1021" i="1"/>
  <c r="I1022" i="1"/>
  <c r="M1022" i="1" s="1"/>
  <c r="I1023" i="1"/>
  <c r="I1024" i="1"/>
  <c r="I1025" i="1"/>
  <c r="I1026" i="1"/>
  <c r="I1027" i="1"/>
  <c r="I1028" i="1"/>
  <c r="M1028" i="1" s="1"/>
  <c r="I1029" i="1"/>
  <c r="M1029" i="1" s="1"/>
  <c r="I1030" i="1"/>
  <c r="I1031" i="1"/>
  <c r="I1032" i="1"/>
  <c r="K1032" i="1" s="1"/>
  <c r="L1032" i="1" s="1"/>
  <c r="I1033" i="1"/>
  <c r="I1034" i="1"/>
  <c r="I1035" i="1"/>
  <c r="I1036" i="1"/>
  <c r="I1037" i="1"/>
  <c r="I1038" i="1"/>
  <c r="I1039" i="1"/>
  <c r="I1040" i="1"/>
  <c r="I1041" i="1"/>
  <c r="I1042" i="1"/>
  <c r="M1042" i="1" s="1"/>
  <c r="I1043" i="1"/>
  <c r="M1043" i="1" s="1"/>
  <c r="I1044" i="1"/>
  <c r="M1044" i="1" s="1"/>
  <c r="I1045" i="1"/>
  <c r="M1045" i="1" s="1"/>
  <c r="I1046" i="1"/>
  <c r="M1046" i="1" s="1"/>
  <c r="I1047" i="1"/>
  <c r="I1048" i="1"/>
  <c r="I1049" i="1"/>
  <c r="I1050" i="1"/>
  <c r="I1051" i="1"/>
  <c r="K1051" i="1" s="1"/>
  <c r="L1051" i="1" s="1"/>
  <c r="I1052" i="1"/>
  <c r="M1052" i="1" s="1"/>
  <c r="I1053" i="1"/>
  <c r="I1054" i="1"/>
  <c r="I1055" i="1"/>
  <c r="M1055" i="1" s="1"/>
  <c r="I1056" i="1"/>
  <c r="M1056" i="1" s="1"/>
  <c r="I1057" i="1"/>
  <c r="M1057" i="1" s="1"/>
  <c r="I1058" i="1"/>
  <c r="M1058" i="1" s="1"/>
  <c r="I1059" i="1"/>
  <c r="I1060" i="1"/>
  <c r="I1061" i="1"/>
  <c r="I1062" i="1"/>
  <c r="I1063" i="1"/>
  <c r="I1064" i="1"/>
  <c r="I1065" i="1"/>
  <c r="M1065" i="1" s="1"/>
  <c r="I1066" i="1"/>
  <c r="I1067" i="1"/>
  <c r="I1068" i="1"/>
  <c r="I1069" i="1"/>
  <c r="I1070" i="1"/>
  <c r="I1071" i="1"/>
  <c r="I1072" i="1"/>
  <c r="I1073" i="1"/>
  <c r="I1074" i="1"/>
  <c r="I1075" i="1"/>
  <c r="I1076" i="1"/>
  <c r="M1076" i="1" s="1"/>
  <c r="I1077" i="1"/>
  <c r="M1077" i="1" s="1"/>
  <c r="I1078" i="1"/>
  <c r="M1078" i="1" s="1"/>
  <c r="I1079" i="1"/>
  <c r="I1080" i="1"/>
  <c r="I1081" i="1"/>
  <c r="I1082" i="1"/>
  <c r="I1083" i="1"/>
  <c r="I1084" i="1"/>
  <c r="I1085" i="1"/>
  <c r="I1086" i="1"/>
  <c r="I1087" i="1"/>
  <c r="I1088" i="1"/>
  <c r="M1088" i="1" s="1"/>
  <c r="I1089" i="1"/>
  <c r="M1089" i="1" s="1"/>
  <c r="I1090" i="1"/>
  <c r="M1090" i="1" s="1"/>
  <c r="I1091" i="1"/>
  <c r="I1092" i="1"/>
  <c r="I1093" i="1"/>
  <c r="I1094" i="1"/>
  <c r="M1094" i="1" s="1"/>
  <c r="I1095" i="1"/>
  <c r="I1096" i="1"/>
  <c r="I1097" i="1"/>
  <c r="I1098" i="1"/>
  <c r="I1099" i="1"/>
  <c r="I1100" i="1"/>
  <c r="I1101" i="1"/>
  <c r="I1102" i="1"/>
  <c r="I1103" i="1"/>
  <c r="M1103" i="1" s="1"/>
  <c r="I1104" i="1"/>
  <c r="M1104" i="1" s="1"/>
  <c r="I1105" i="1"/>
  <c r="I1106" i="1"/>
  <c r="I1107" i="1"/>
  <c r="I1108" i="1"/>
  <c r="I1109" i="1"/>
  <c r="I1110" i="1"/>
  <c r="I1111" i="1"/>
  <c r="I1112" i="1"/>
  <c r="I1113" i="1"/>
  <c r="M1113" i="1" s="1"/>
  <c r="I1114" i="1"/>
  <c r="M1114" i="1" s="1"/>
  <c r="I1115" i="1"/>
  <c r="M1115" i="1" s="1"/>
  <c r="I1116" i="1"/>
  <c r="M1116" i="1" s="1"/>
  <c r="I1117" i="1"/>
  <c r="I1118" i="1"/>
  <c r="I1119" i="1"/>
  <c r="I1120" i="1"/>
  <c r="I1121" i="1"/>
  <c r="I1122" i="1"/>
  <c r="I1123" i="1"/>
  <c r="I1124" i="1"/>
  <c r="I1125" i="1"/>
  <c r="I1126" i="1"/>
  <c r="I1127" i="1"/>
  <c r="I1128" i="1"/>
  <c r="I1129" i="1"/>
  <c r="M1129" i="1" s="1"/>
  <c r="I1130" i="1"/>
  <c r="M1130" i="1" s="1"/>
  <c r="I1131" i="1"/>
  <c r="I1132" i="1"/>
  <c r="I1133" i="1"/>
  <c r="I1134" i="1"/>
  <c r="I1135" i="1"/>
  <c r="I1136" i="1"/>
  <c r="I1137" i="1"/>
  <c r="I1138" i="1"/>
  <c r="I1139" i="1"/>
  <c r="M1139" i="1" s="1"/>
  <c r="I1140" i="1"/>
  <c r="M1140" i="1" s="1"/>
  <c r="I1141" i="1"/>
  <c r="M1141" i="1" s="1"/>
  <c r="I1142" i="1"/>
  <c r="M1142" i="1" s="1"/>
  <c r="I1143" i="1"/>
  <c r="I1144" i="1"/>
  <c r="I1145" i="1"/>
  <c r="I1146" i="1"/>
  <c r="I1147" i="1"/>
  <c r="I1148" i="1"/>
  <c r="M1148" i="1" s="1"/>
  <c r="I1149" i="1"/>
  <c r="M1149" i="1" s="1"/>
  <c r="I1150" i="1"/>
  <c r="M1150" i="1" s="1"/>
  <c r="I1151" i="1"/>
  <c r="M1151" i="1" s="1"/>
  <c r="I1152" i="1"/>
  <c r="I1153" i="1"/>
  <c r="I1154" i="1"/>
  <c r="I1155" i="1"/>
  <c r="I1156" i="1"/>
  <c r="I1157" i="1"/>
  <c r="I1158" i="1"/>
  <c r="I1159" i="1"/>
  <c r="I1160" i="1"/>
  <c r="I1161" i="1"/>
  <c r="I1162" i="1"/>
  <c r="I1163" i="1"/>
  <c r="I1164" i="1"/>
  <c r="M1164" i="1" s="1"/>
  <c r="I1165" i="1"/>
  <c r="K1165" i="1" s="1"/>
  <c r="L1165" i="1" s="1"/>
  <c r="I1166" i="1"/>
  <c r="M1166" i="1" s="1"/>
  <c r="I1167" i="1"/>
  <c r="I1168" i="1"/>
  <c r="I1169" i="1"/>
  <c r="I1170" i="1"/>
  <c r="I1171" i="1"/>
  <c r="I1172" i="1"/>
  <c r="M1172" i="1" s="1"/>
  <c r="I1173" i="1"/>
  <c r="M1173" i="1" s="1"/>
  <c r="I1174" i="1"/>
  <c r="M1174" i="1" s="1"/>
  <c r="I1175" i="1"/>
  <c r="M1175" i="1" s="1"/>
  <c r="I1176" i="1"/>
  <c r="M1176" i="1" s="1"/>
  <c r="I1177" i="1"/>
  <c r="M1177" i="1" s="1"/>
  <c r="I1178" i="1"/>
  <c r="I1179" i="1"/>
  <c r="I1180" i="1"/>
  <c r="I1181" i="1"/>
  <c r="I1182" i="1"/>
  <c r="I1183" i="1"/>
  <c r="I1184" i="1"/>
  <c r="I1185" i="1"/>
  <c r="M1185" i="1" s="1"/>
  <c r="I1186" i="1"/>
  <c r="I1187" i="1"/>
  <c r="I1188" i="1"/>
  <c r="I1189" i="1"/>
  <c r="I1190" i="1"/>
  <c r="I1191" i="1"/>
  <c r="I1192" i="1"/>
  <c r="I1193" i="1"/>
  <c r="I1194" i="1"/>
  <c r="I1195" i="1"/>
  <c r="I1196" i="1"/>
  <c r="I1197" i="1"/>
  <c r="I1198" i="1"/>
  <c r="I1199" i="1"/>
  <c r="M1199" i="1" s="1"/>
  <c r="I1200" i="1"/>
  <c r="M1200" i="1" s="1"/>
  <c r="I1201" i="1"/>
  <c r="M1201" i="1" s="1"/>
  <c r="I1202" i="1"/>
  <c r="M1202" i="1" s="1"/>
  <c r="I1203" i="1"/>
  <c r="I1204" i="1"/>
  <c r="I1205" i="1"/>
  <c r="I1206" i="1"/>
  <c r="I1207" i="1"/>
  <c r="I1208" i="1"/>
  <c r="I1209" i="1"/>
  <c r="M1209" i="1" s="1"/>
  <c r="I1210" i="1"/>
  <c r="M1210" i="1" s="1"/>
  <c r="I1211" i="1"/>
  <c r="M1211" i="1" s="1"/>
  <c r="I1212" i="1"/>
  <c r="I1213" i="1"/>
  <c r="I1214" i="1"/>
  <c r="I1215" i="1"/>
  <c r="I1216" i="1"/>
  <c r="I1217" i="1"/>
  <c r="I1218" i="1"/>
  <c r="I1219" i="1"/>
  <c r="K1219" i="1" s="1"/>
  <c r="L1219" i="1" s="1"/>
  <c r="I1220" i="1"/>
  <c r="I1221" i="1"/>
  <c r="I1222" i="1"/>
  <c r="I1223" i="1"/>
  <c r="I1224" i="1"/>
  <c r="I1225" i="1"/>
  <c r="I1226" i="1"/>
  <c r="I1227" i="1"/>
  <c r="I1228" i="1"/>
  <c r="I1229" i="1"/>
  <c r="I1230" i="1"/>
  <c r="I1231" i="1"/>
  <c r="I1232" i="1"/>
  <c r="M1232" i="1" s="1"/>
  <c r="I1233" i="1"/>
  <c r="M1233" i="1" s="1"/>
  <c r="I1234" i="1"/>
  <c r="M1234" i="1" s="1"/>
  <c r="I1235" i="1"/>
  <c r="I1236" i="1"/>
  <c r="M1236" i="1" s="1"/>
  <c r="I1237" i="1"/>
  <c r="K1237" i="1" s="1"/>
  <c r="L1237" i="1" s="1"/>
  <c r="I1238" i="1"/>
  <c r="M1238" i="1" s="1"/>
  <c r="I1239" i="1"/>
  <c r="I1240" i="1"/>
  <c r="I1241" i="1"/>
  <c r="I1242" i="1"/>
  <c r="I1243" i="1"/>
  <c r="I1244" i="1"/>
  <c r="I1245" i="1"/>
  <c r="M1245" i="1" s="1"/>
  <c r="I1246" i="1"/>
  <c r="M1246" i="1" s="1"/>
  <c r="I1247" i="1"/>
  <c r="M1247" i="1" s="1"/>
  <c r="I1248" i="1"/>
  <c r="M1248" i="1" s="1"/>
  <c r="I1249" i="1"/>
  <c r="I1250" i="1"/>
  <c r="I1251" i="1"/>
  <c r="I1252" i="1"/>
  <c r="I1253" i="1"/>
  <c r="I1254" i="1"/>
  <c r="I1255" i="1"/>
  <c r="I1256" i="1"/>
  <c r="I1257" i="1"/>
  <c r="I1258" i="1"/>
  <c r="I1259" i="1"/>
  <c r="M1259" i="1" s="1"/>
  <c r="I1260" i="1"/>
  <c r="M1260" i="1" s="1"/>
  <c r="I1261" i="1"/>
  <c r="I1262" i="1"/>
  <c r="I1263" i="1"/>
  <c r="I1264" i="1"/>
  <c r="I1265" i="1"/>
  <c r="I1266" i="1"/>
  <c r="I1267" i="1"/>
  <c r="I1268" i="1"/>
  <c r="M1268" i="1" s="1"/>
  <c r="I1269" i="1"/>
  <c r="M1269" i="1" s="1"/>
  <c r="I1270" i="1"/>
  <c r="I1271" i="1"/>
  <c r="M1271" i="1" s="1"/>
  <c r="I1272" i="1"/>
  <c r="I1273" i="1"/>
  <c r="I1274" i="1"/>
  <c r="M1274" i="1" s="1"/>
  <c r="I1275" i="1"/>
  <c r="I1276" i="1"/>
  <c r="I1277" i="1"/>
  <c r="I1278" i="1"/>
  <c r="I1279" i="1"/>
  <c r="I1280" i="1"/>
  <c r="I1281" i="1"/>
  <c r="M1281" i="1" s="1"/>
  <c r="I1282" i="1"/>
  <c r="M1282" i="1" s="1"/>
  <c r="I1283" i="1"/>
  <c r="I1284" i="1"/>
  <c r="I1285" i="1"/>
  <c r="I1286" i="1"/>
  <c r="I1287" i="1"/>
  <c r="I1288" i="1"/>
  <c r="I1289" i="1"/>
  <c r="I1290" i="1"/>
  <c r="I1291" i="1"/>
  <c r="I1292" i="1"/>
  <c r="I1293" i="1"/>
  <c r="I1294" i="1"/>
  <c r="M1294" i="1" s="1"/>
  <c r="I1295" i="1"/>
  <c r="M1295" i="1" s="1"/>
  <c r="I1296" i="1"/>
  <c r="M1296" i="1" s="1"/>
  <c r="I1297" i="1"/>
  <c r="I1298" i="1"/>
  <c r="I1299" i="1"/>
  <c r="I1300" i="1"/>
  <c r="I1301" i="1"/>
  <c r="I1302" i="1"/>
  <c r="I1303" i="1"/>
  <c r="I1304" i="1"/>
  <c r="M1304" i="1" s="1"/>
  <c r="I1305" i="1"/>
  <c r="M1305" i="1" s="1"/>
  <c r="I1306" i="1"/>
  <c r="I1307" i="1"/>
  <c r="M1307" i="1" s="1"/>
  <c r="I1308" i="1"/>
  <c r="M1308" i="1" s="1"/>
  <c r="I1309" i="1"/>
  <c r="M1309" i="1" s="1"/>
  <c r="I1310" i="1"/>
  <c r="M1310" i="1" s="1"/>
  <c r="I1311" i="1"/>
  <c r="I1312" i="1"/>
  <c r="I1313" i="1"/>
  <c r="I1314" i="1"/>
  <c r="I1315" i="1"/>
  <c r="I1316" i="1"/>
  <c r="I1317" i="1"/>
  <c r="I1318" i="1"/>
  <c r="I1319" i="1"/>
  <c r="K1319" i="1" s="1"/>
  <c r="L1319" i="1" s="1"/>
  <c r="I1320" i="1"/>
  <c r="I1321" i="1"/>
  <c r="I1322" i="1"/>
  <c r="I1323" i="1"/>
  <c r="I1324" i="1"/>
  <c r="I1325" i="1"/>
  <c r="I1326" i="1"/>
  <c r="I1327" i="1"/>
  <c r="I1328" i="1"/>
  <c r="M1328" i="1" s="1"/>
  <c r="I1329" i="1"/>
  <c r="M1329" i="1" s="1"/>
  <c r="I1330" i="1"/>
  <c r="M1330" i="1" s="1"/>
  <c r="I1331" i="1"/>
  <c r="M1331" i="1" s="1"/>
  <c r="I1332" i="1"/>
  <c r="M1332" i="1" s="1"/>
  <c r="I1333" i="1"/>
  <c r="M1333" i="1" s="1"/>
  <c r="I1334" i="1"/>
  <c r="M1334" i="1" s="1"/>
  <c r="I1335" i="1"/>
  <c r="I1336" i="1"/>
  <c r="I1337" i="1"/>
  <c r="I1338" i="1"/>
  <c r="I1339" i="1"/>
  <c r="I1340" i="1"/>
  <c r="M1340" i="1" s="1"/>
  <c r="I1341" i="1"/>
  <c r="I1342" i="1"/>
  <c r="I1343" i="1"/>
  <c r="K1343" i="1" s="1"/>
  <c r="L1343" i="1" s="1"/>
  <c r="I1344" i="1"/>
  <c r="K1344" i="1" s="1"/>
  <c r="L1344" i="1" s="1"/>
  <c r="I1345" i="1"/>
  <c r="M1345" i="1" s="1"/>
  <c r="I1346" i="1"/>
  <c r="M1346" i="1" s="1"/>
  <c r="I1347" i="1"/>
  <c r="I1348" i="1"/>
  <c r="I1349" i="1"/>
  <c r="I1350" i="1"/>
  <c r="I1351" i="1"/>
  <c r="I1352" i="1"/>
  <c r="I1353" i="1"/>
  <c r="I1354" i="1"/>
  <c r="I1355" i="1"/>
  <c r="I1356" i="1"/>
  <c r="M1356" i="1" s="1"/>
  <c r="I1357" i="1"/>
  <c r="I1358" i="1"/>
  <c r="I1359" i="1"/>
  <c r="I1360" i="1"/>
  <c r="I1361" i="1"/>
  <c r="I1362" i="1"/>
  <c r="I1363" i="1"/>
  <c r="I1364" i="1"/>
  <c r="M1364" i="1" s="1"/>
  <c r="I1365" i="1"/>
  <c r="M1365" i="1" s="1"/>
  <c r="I1366" i="1"/>
  <c r="M1366" i="1" s="1"/>
  <c r="I1367" i="1"/>
  <c r="I1368" i="1"/>
  <c r="I1369" i="1"/>
  <c r="I1370" i="1"/>
  <c r="M1370" i="1" s="1"/>
  <c r="I1371" i="1"/>
  <c r="I1372" i="1"/>
  <c r="I1373" i="1"/>
  <c r="I1374" i="1"/>
  <c r="I1375" i="1"/>
  <c r="I1376" i="1"/>
  <c r="M1376" i="1" s="1"/>
  <c r="I1377" i="1"/>
  <c r="I1378" i="1"/>
  <c r="I1379" i="1"/>
  <c r="I1380" i="1"/>
  <c r="K1380" i="1" s="1"/>
  <c r="L1380" i="1" s="1"/>
  <c r="I1381" i="1"/>
  <c r="K1381" i="1" s="1"/>
  <c r="L1381" i="1" s="1"/>
  <c r="I1382" i="1"/>
  <c r="M1382" i="1" s="1"/>
  <c r="I1383" i="1"/>
  <c r="I1384" i="1"/>
  <c r="I1385" i="1"/>
  <c r="I1386" i="1"/>
  <c r="I1387" i="1"/>
  <c r="I1388" i="1"/>
  <c r="I1389" i="1"/>
  <c r="M1389" i="1" s="1"/>
  <c r="I1390" i="1"/>
  <c r="M1390" i="1" s="1"/>
  <c r="I1391" i="1"/>
  <c r="M1391" i="1" s="1"/>
  <c r="I1392" i="1"/>
  <c r="M1392" i="1" s="1"/>
  <c r="I1393" i="1"/>
  <c r="I1394" i="1"/>
  <c r="I1395" i="1"/>
  <c r="I1396" i="1"/>
  <c r="I1397" i="1"/>
  <c r="I1398" i="1"/>
  <c r="I1399" i="1"/>
  <c r="I1400" i="1"/>
  <c r="I1401" i="1"/>
  <c r="M1401" i="1" s="1"/>
  <c r="I1402" i="1"/>
  <c r="I1403" i="1"/>
  <c r="M1403" i="1" s="1"/>
  <c r="I1404" i="1"/>
  <c r="M1404" i="1" s="1"/>
  <c r="I1405" i="1"/>
  <c r="I1406" i="1"/>
  <c r="I1407" i="1"/>
  <c r="I1408" i="1"/>
  <c r="I1409" i="1"/>
  <c r="I1410" i="1"/>
  <c r="I1411" i="1"/>
  <c r="I1412" i="1"/>
  <c r="I1413" i="1"/>
  <c r="I1414" i="1"/>
  <c r="I1415" i="1"/>
  <c r="M1415" i="1" s="1"/>
  <c r="I1416" i="1"/>
  <c r="K1416" i="1" s="1"/>
  <c r="L1416" i="1" s="1"/>
  <c r="I1417" i="1"/>
  <c r="M1417" i="1" s="1"/>
  <c r="I1418" i="1"/>
  <c r="M1418" i="1" s="1"/>
  <c r="I1419" i="1"/>
  <c r="I1420" i="1"/>
  <c r="I1421" i="1"/>
  <c r="I1422" i="1"/>
  <c r="I1423" i="1"/>
  <c r="I1424" i="1"/>
  <c r="I1425" i="1"/>
  <c r="I1426" i="1"/>
  <c r="M1426" i="1" s="1"/>
  <c r="I1427" i="1"/>
  <c r="M1427" i="1" s="1"/>
  <c r="I1428" i="1"/>
  <c r="M1428" i="1" s="1"/>
  <c r="I1429" i="1"/>
  <c r="M1429" i="1" s="1"/>
  <c r="I1430" i="1"/>
  <c r="M1430" i="1" s="1"/>
  <c r="I1431" i="1"/>
  <c r="I1432" i="1"/>
  <c r="I1433" i="1"/>
  <c r="I1434" i="1"/>
  <c r="I1435" i="1"/>
  <c r="I1436" i="1"/>
  <c r="M1436" i="1" s="1"/>
  <c r="I1437" i="1"/>
  <c r="I1438" i="1"/>
  <c r="I1439" i="1"/>
  <c r="I1440" i="1"/>
  <c r="I1441" i="1"/>
  <c r="I1442" i="1"/>
  <c r="I1443" i="1"/>
  <c r="I1444" i="1"/>
  <c r="I1445" i="1"/>
  <c r="I1446" i="1"/>
  <c r="I1447" i="1"/>
  <c r="M1447" i="1" s="1"/>
  <c r="I1448" i="1"/>
  <c r="M1448" i="1" s="1"/>
  <c r="I1449" i="1"/>
  <c r="M1449" i="1" s="1"/>
  <c r="I1450" i="1"/>
  <c r="I1451" i="1"/>
  <c r="M1451" i="1" s="1"/>
  <c r="I1452" i="1"/>
  <c r="M1452" i="1" s="1"/>
  <c r="I1453" i="1"/>
  <c r="M1453" i="1" s="1"/>
  <c r="I1454" i="1"/>
  <c r="M1454" i="1" s="1"/>
  <c r="I1455" i="1"/>
  <c r="I1456" i="1"/>
  <c r="I1457" i="1"/>
  <c r="I1458" i="1"/>
  <c r="I1459" i="1"/>
  <c r="I1460" i="1"/>
  <c r="M1460" i="1" s="1"/>
  <c r="I1461" i="1"/>
  <c r="M1461" i="1" s="1"/>
  <c r="I1462" i="1"/>
  <c r="M1462" i="1" s="1"/>
  <c r="I1463" i="1"/>
  <c r="M1463" i="1" s="1"/>
  <c r="I1464" i="1"/>
  <c r="I1465" i="1"/>
  <c r="I1466" i="1"/>
  <c r="I1467" i="1"/>
  <c r="I1468" i="1"/>
  <c r="I1469" i="1"/>
  <c r="I1470" i="1"/>
  <c r="I1471" i="1"/>
  <c r="I1472" i="1"/>
  <c r="I1473" i="1"/>
  <c r="I1474" i="1"/>
  <c r="I1475" i="1"/>
  <c r="M1475" i="1" s="1"/>
  <c r="I1476" i="1"/>
  <c r="M1476" i="1" s="1"/>
  <c r="I1477" i="1"/>
  <c r="M1477" i="1" s="1"/>
  <c r="I1478" i="1"/>
  <c r="I1479" i="1"/>
  <c r="I1480" i="1"/>
  <c r="I1481" i="1"/>
  <c r="I1482" i="1"/>
  <c r="I1483" i="1"/>
  <c r="I1484" i="1"/>
  <c r="M1484" i="1" s="1"/>
  <c r="I1485" i="1"/>
  <c r="M1485" i="1" s="1"/>
  <c r="I1486" i="1"/>
  <c r="I1487" i="1"/>
  <c r="M1487" i="1" s="1"/>
  <c r="I1488" i="1"/>
  <c r="M1488" i="1" s="1"/>
  <c r="I1489" i="1"/>
  <c r="I1490" i="1"/>
  <c r="M1490" i="1" s="1"/>
  <c r="I1491" i="1"/>
  <c r="I1492" i="1"/>
  <c r="I1493" i="1"/>
  <c r="I1494" i="1"/>
  <c r="I1495" i="1"/>
  <c r="I1496" i="1"/>
  <c r="I1497" i="1"/>
  <c r="I1498" i="1"/>
  <c r="I1499" i="1"/>
  <c r="I1500" i="1"/>
  <c r="I1501" i="1"/>
  <c r="I1502" i="1"/>
  <c r="I1503" i="1"/>
  <c r="I1504" i="1"/>
  <c r="I1505" i="1"/>
  <c r="I1506" i="1"/>
  <c r="I1507" i="1"/>
  <c r="I1508" i="1"/>
  <c r="M1508" i="1" s="1"/>
  <c r="I1509" i="1"/>
  <c r="M1509" i="1" s="1"/>
  <c r="I1510" i="1"/>
  <c r="M1510" i="1" s="1"/>
  <c r="I1511" i="1"/>
  <c r="M1511" i="1" s="1"/>
  <c r="I1512" i="1"/>
  <c r="M1512" i="1" s="1"/>
  <c r="I1513" i="1"/>
  <c r="I1514" i="1"/>
  <c r="I1515" i="1"/>
  <c r="I1516" i="1"/>
  <c r="I1517" i="1"/>
  <c r="I1518" i="1"/>
  <c r="I1519" i="1"/>
  <c r="M1519" i="1" s="1"/>
  <c r="I1520" i="1"/>
  <c r="M1520" i="1" s="1"/>
  <c r="I1521" i="1"/>
  <c r="K1521" i="1" s="1"/>
  <c r="L1521" i="1" s="1"/>
  <c r="I1522" i="1"/>
  <c r="I1523" i="1"/>
  <c r="I1524" i="1"/>
  <c r="M1524" i="1" s="1"/>
  <c r="I1525" i="1"/>
  <c r="M1525" i="1" s="1"/>
  <c r="I1526" i="1"/>
  <c r="M1526" i="1" s="1"/>
  <c r="I1527" i="1"/>
  <c r="I1528" i="1"/>
  <c r="I1529" i="1"/>
  <c r="I1530" i="1"/>
  <c r="I1531" i="1"/>
  <c r="I1532" i="1"/>
  <c r="I1533" i="1"/>
  <c r="I1534" i="1"/>
  <c r="K1534" i="1" s="1"/>
  <c r="L1534" i="1" s="1"/>
  <c r="I1535" i="1"/>
  <c r="K1535" i="1" s="1"/>
  <c r="L1535" i="1" s="1"/>
  <c r="I1536" i="1"/>
  <c r="M1536" i="1" s="1"/>
  <c r="I1537" i="1"/>
  <c r="I1538" i="1"/>
  <c r="I1539" i="1"/>
  <c r="I1540" i="1"/>
  <c r="I1541" i="1"/>
  <c r="I1542" i="1"/>
  <c r="I1543" i="1"/>
  <c r="I1544" i="1"/>
  <c r="I1545" i="1"/>
  <c r="M1545" i="1" s="1"/>
  <c r="I1546" i="1"/>
  <c r="M1546" i="1" s="1"/>
  <c r="I1547" i="1"/>
  <c r="M1547" i="1" s="1"/>
  <c r="I1548" i="1"/>
  <c r="M1548" i="1" s="1"/>
  <c r="I1549" i="1"/>
  <c r="I1550" i="1"/>
  <c r="I1551" i="1"/>
  <c r="I1552" i="1"/>
  <c r="I1553" i="1"/>
  <c r="I1554" i="1"/>
  <c r="I1555" i="1"/>
  <c r="I1556" i="1"/>
  <c r="I1557" i="1"/>
  <c r="M1557" i="1" s="1"/>
  <c r="I1558" i="1"/>
  <c r="M1558" i="1" s="1"/>
  <c r="I1559" i="1"/>
  <c r="K1559" i="1" s="1"/>
  <c r="L1559" i="1" s="1"/>
  <c r="I1560" i="1"/>
  <c r="K1560" i="1" s="1"/>
  <c r="L1560" i="1" s="1"/>
  <c r="I1561" i="1"/>
  <c r="K1561" i="1" s="1"/>
  <c r="L1561" i="1" s="1"/>
  <c r="I1562" i="1"/>
  <c r="M1562" i="1" s="1"/>
  <c r="I1563" i="1"/>
  <c r="I1564" i="1"/>
  <c r="I1565" i="1"/>
  <c r="I1566" i="1"/>
  <c r="I1567" i="1"/>
  <c r="I1568" i="1"/>
  <c r="I1569" i="1"/>
  <c r="M1569" i="1" s="1"/>
  <c r="I1570" i="1"/>
  <c r="I1571" i="1"/>
  <c r="M1571" i="1" s="1"/>
  <c r="I1572" i="1"/>
  <c r="M1572" i="1" s="1"/>
  <c r="I1573" i="1"/>
  <c r="I1574" i="1"/>
  <c r="I1575" i="1"/>
  <c r="I1576" i="1"/>
  <c r="I1577" i="1"/>
  <c r="I1578" i="1"/>
  <c r="I1579" i="1"/>
  <c r="K1579" i="1" s="1"/>
  <c r="L1579" i="1" s="1"/>
  <c r="I1580" i="1"/>
  <c r="I1581" i="1"/>
  <c r="I1582" i="1"/>
  <c r="I1583" i="1"/>
  <c r="I1584" i="1"/>
  <c r="I1585" i="1"/>
  <c r="I1586" i="1"/>
  <c r="I1587" i="1"/>
  <c r="I1588" i="1"/>
  <c r="I1589" i="1"/>
  <c r="I1590" i="1"/>
  <c r="I1591" i="1"/>
  <c r="M1591" i="1" s="1"/>
  <c r="I1592" i="1"/>
  <c r="M1592" i="1" s="1"/>
  <c r="I1593" i="1"/>
  <c r="M1593" i="1" s="1"/>
  <c r="I1594" i="1"/>
  <c r="M1594" i="1" s="1"/>
  <c r="I1595" i="1"/>
  <c r="M1595" i="1" s="1"/>
  <c r="I1596" i="1"/>
  <c r="M1596" i="1" s="1"/>
  <c r="I1597" i="1"/>
  <c r="M1597" i="1" s="1"/>
  <c r="I1598" i="1"/>
  <c r="M1598" i="1" s="1"/>
  <c r="I1599" i="1"/>
  <c r="I1600" i="1"/>
  <c r="I1601" i="1"/>
  <c r="I1602" i="1"/>
  <c r="I1603" i="1"/>
  <c r="I1604" i="1"/>
  <c r="M1604" i="1" s="1"/>
  <c r="I1605" i="1"/>
  <c r="M1605" i="1" s="1"/>
  <c r="I1606" i="1"/>
  <c r="I1607" i="1"/>
  <c r="I1608" i="1"/>
  <c r="I1609" i="1"/>
  <c r="I1610" i="1"/>
  <c r="I1611" i="1"/>
  <c r="I1612" i="1"/>
  <c r="I1613" i="1"/>
  <c r="I1614" i="1"/>
  <c r="I1615" i="1"/>
  <c r="I1616" i="1"/>
  <c r="I1617" i="1"/>
  <c r="I1618" i="1"/>
  <c r="I1619" i="1"/>
  <c r="M1619" i="1" s="1"/>
  <c r="I1620" i="1"/>
  <c r="M1620" i="1" s="1"/>
  <c r="I1621" i="1"/>
  <c r="I1622" i="1"/>
  <c r="I1623" i="1"/>
  <c r="I1624" i="1"/>
  <c r="I1625" i="1"/>
  <c r="I1626" i="1"/>
  <c r="I1627" i="1"/>
  <c r="M1627" i="1" s="1"/>
  <c r="I1628" i="1"/>
  <c r="M1628" i="1" s="1"/>
  <c r="I1629" i="1"/>
  <c r="M1629" i="1" s="1"/>
  <c r="I1630" i="1"/>
  <c r="I1631" i="1"/>
  <c r="I1632" i="1"/>
  <c r="M1632" i="1" s="1"/>
  <c r="I1633" i="1"/>
  <c r="M1633" i="1" s="1"/>
  <c r="I1634" i="1"/>
  <c r="M1634" i="1" s="1"/>
  <c r="I1635" i="1"/>
  <c r="I1636" i="1"/>
  <c r="I1637" i="1"/>
  <c r="I1638" i="1"/>
  <c r="I1639" i="1"/>
  <c r="I1640" i="1"/>
  <c r="I1641" i="1"/>
  <c r="I1642" i="1"/>
  <c r="I1643" i="1"/>
  <c r="I1644" i="1"/>
  <c r="I1645" i="1"/>
  <c r="M1645" i="1" s="1"/>
  <c r="I1646" i="1"/>
  <c r="M1646" i="1" s="1"/>
  <c r="I1647" i="1"/>
  <c r="I1648" i="1"/>
  <c r="I1649" i="1"/>
  <c r="I1650" i="1"/>
  <c r="I1651" i="1"/>
  <c r="I1652" i="1"/>
  <c r="M1652" i="1" s="1"/>
  <c r="I1653" i="1"/>
  <c r="M1653" i="1" s="1"/>
  <c r="I1654" i="1"/>
  <c r="I1655" i="1"/>
  <c r="M1655" i="1" s="1"/>
  <c r="I1656" i="1"/>
  <c r="M1656" i="1" s="1"/>
  <c r="I1657" i="1"/>
  <c r="I1658" i="1"/>
  <c r="I1659" i="1"/>
  <c r="I1660" i="1"/>
  <c r="I1661" i="1"/>
  <c r="I1662" i="1"/>
  <c r="I1663" i="1"/>
  <c r="I1664" i="1"/>
  <c r="K1664" i="1" s="1"/>
  <c r="L1664" i="1" s="1"/>
  <c r="I1665" i="1"/>
  <c r="M1665" i="1" s="1"/>
  <c r="I1666" i="1"/>
  <c r="M1666" i="1" s="1"/>
  <c r="I1667" i="1"/>
  <c r="M1667" i="1" s="1"/>
  <c r="I1668" i="1"/>
  <c r="M1668" i="1" s="1"/>
  <c r="I1669" i="1"/>
  <c r="M1669" i="1" s="1"/>
  <c r="I1670" i="1"/>
  <c r="M1670" i="1" s="1"/>
  <c r="I1671" i="1"/>
  <c r="I1672" i="1"/>
  <c r="I1673" i="1"/>
  <c r="I1674" i="1"/>
  <c r="I1675" i="1"/>
  <c r="I1676" i="1"/>
  <c r="M1676" i="1" s="1"/>
  <c r="I1677" i="1"/>
  <c r="M1677" i="1" s="1"/>
  <c r="I1678" i="1"/>
  <c r="M1678" i="1" s="1"/>
  <c r="I1679" i="1"/>
  <c r="M1679" i="1" s="1"/>
  <c r="I1680" i="1"/>
  <c r="M1680" i="1" s="1"/>
  <c r="I1681" i="1"/>
  <c r="I1682" i="1"/>
  <c r="I1683" i="1"/>
  <c r="I1684" i="1"/>
  <c r="I1685" i="1"/>
  <c r="I1686" i="1"/>
  <c r="I1687" i="1"/>
  <c r="I1688" i="1"/>
  <c r="I1689" i="1"/>
  <c r="K1689" i="1" s="1"/>
  <c r="L1689" i="1" s="1"/>
  <c r="I1690" i="1"/>
  <c r="I1691" i="1"/>
  <c r="M1691" i="1" s="1"/>
  <c r="I1692" i="1"/>
  <c r="M1692" i="1" s="1"/>
  <c r="I1693" i="1"/>
  <c r="I1694" i="1"/>
  <c r="I1695" i="1"/>
  <c r="I1696" i="1"/>
  <c r="I1697" i="1"/>
  <c r="I1698" i="1"/>
  <c r="I1699" i="1"/>
  <c r="M1699" i="1" s="1"/>
  <c r="I1700" i="1"/>
  <c r="M1700" i="1" s="1"/>
  <c r="I1701" i="1"/>
  <c r="M1701" i="1" s="1"/>
  <c r="I1702" i="1"/>
  <c r="M1702" i="1" s="1"/>
  <c r="I1703" i="1"/>
  <c r="I1704" i="1"/>
  <c r="M1704" i="1" s="1"/>
  <c r="I1705" i="1"/>
  <c r="I1706" i="1"/>
  <c r="M1706" i="1" s="1"/>
  <c r="I1707" i="1"/>
  <c r="I1708" i="1"/>
  <c r="I1709" i="1"/>
  <c r="I1710" i="1"/>
  <c r="I1711" i="1"/>
  <c r="I1712" i="1"/>
  <c r="I1713" i="1"/>
  <c r="I1714" i="1"/>
  <c r="I1715" i="1"/>
  <c r="M1715" i="1" s="1"/>
  <c r="I1716" i="1"/>
  <c r="M1716" i="1" s="1"/>
  <c r="I1717" i="1"/>
  <c r="M1717" i="1" s="1"/>
  <c r="I1718" i="1"/>
  <c r="I1719" i="1"/>
  <c r="I1720" i="1"/>
  <c r="I1721" i="1"/>
  <c r="I1722" i="1"/>
  <c r="I1723" i="1"/>
  <c r="I1724" i="1"/>
  <c r="M1724" i="1" s="1"/>
  <c r="I1725" i="1"/>
  <c r="M1725" i="1" s="1"/>
  <c r="I1726" i="1"/>
  <c r="I1727" i="1"/>
  <c r="M1727" i="1" s="1"/>
  <c r="I1728" i="1"/>
  <c r="I1729" i="1"/>
  <c r="I1730" i="1"/>
  <c r="I1731" i="1"/>
  <c r="I1732" i="1"/>
  <c r="I1733" i="1"/>
  <c r="I1734" i="1"/>
  <c r="I1735" i="1"/>
  <c r="I1736" i="1"/>
  <c r="M1736" i="1" s="1"/>
  <c r="I1737" i="1"/>
  <c r="M1737" i="1" s="1"/>
  <c r="I1738" i="1"/>
  <c r="M1738" i="1" s="1"/>
  <c r="I1739" i="1"/>
  <c r="M1739" i="1" s="1"/>
  <c r="I1740" i="1"/>
  <c r="K1740" i="1" s="1"/>
  <c r="L1740" i="1" s="1"/>
  <c r="I1741" i="1"/>
  <c r="M1741" i="1" s="1"/>
  <c r="I1742" i="1"/>
  <c r="M1742" i="1" s="1"/>
  <c r="I1743" i="1"/>
  <c r="I1744" i="1"/>
  <c r="I1745" i="1"/>
  <c r="I1746" i="1"/>
  <c r="I1747" i="1"/>
  <c r="I1748" i="1"/>
  <c r="M1748" i="1" s="1"/>
  <c r="I1749" i="1"/>
  <c r="M1749" i="1" s="1"/>
  <c r="I1750" i="1"/>
  <c r="M1750" i="1" s="1"/>
  <c r="I1751" i="1"/>
  <c r="M1751" i="1" s="1"/>
  <c r="I1752" i="1"/>
  <c r="I1753" i="1"/>
  <c r="I1754" i="1"/>
  <c r="I1755" i="1"/>
  <c r="I1756" i="1"/>
  <c r="I1757" i="1"/>
  <c r="I1758" i="1"/>
  <c r="I1759" i="1"/>
  <c r="I1760" i="1"/>
  <c r="I1761" i="1"/>
  <c r="M1761" i="1" s="1"/>
  <c r="I1762" i="1"/>
  <c r="I1763" i="1"/>
  <c r="M1763" i="1" s="1"/>
  <c r="I1764" i="1"/>
  <c r="M1764" i="1" s="1"/>
  <c r="I1765" i="1"/>
  <c r="I1766" i="1"/>
  <c r="M1766" i="1" s="1"/>
  <c r="I1767" i="1"/>
  <c r="I1768" i="1"/>
  <c r="I1769" i="1"/>
  <c r="I1770" i="1"/>
  <c r="I1771" i="1"/>
  <c r="M1771" i="1" s="1"/>
  <c r="I1772" i="1"/>
  <c r="M1772" i="1" s="1"/>
  <c r="I1773" i="1"/>
  <c r="M1773" i="1" s="1"/>
  <c r="I1774" i="1"/>
  <c r="K1774" i="1" s="1"/>
  <c r="L1774" i="1" s="1"/>
  <c r="I1775" i="1"/>
  <c r="K1775" i="1" s="1"/>
  <c r="I1776" i="1"/>
  <c r="M1776" i="1" s="1"/>
  <c r="I1777" i="1"/>
  <c r="M1777" i="1" s="1"/>
  <c r="I1778" i="1"/>
  <c r="M1778" i="1" s="1"/>
  <c r="I1779" i="1"/>
  <c r="I1780" i="1"/>
  <c r="I1781" i="1"/>
  <c r="I1782" i="1"/>
  <c r="I1783" i="1"/>
  <c r="I1784" i="1"/>
  <c r="I1785" i="1"/>
  <c r="I1786" i="1"/>
  <c r="M1786" i="1" s="1"/>
  <c r="I1787" i="1"/>
  <c r="M1787" i="1" s="1"/>
  <c r="I1788" i="1"/>
  <c r="M1788" i="1" s="1"/>
  <c r="I1789" i="1"/>
  <c r="K1789" i="1" s="1"/>
  <c r="L1789" i="1" s="1"/>
  <c r="I1790" i="1"/>
  <c r="I1791" i="1"/>
  <c r="I1792" i="1"/>
  <c r="I1793" i="1"/>
  <c r="I1794" i="1"/>
  <c r="I1795" i="1"/>
  <c r="I1796" i="1"/>
  <c r="M1796" i="1" s="1"/>
  <c r="I1797" i="1"/>
  <c r="M1797" i="1" s="1"/>
  <c r="I1798" i="1"/>
  <c r="I1799" i="1"/>
  <c r="I1800" i="1"/>
  <c r="I1801" i="1"/>
  <c r="I1802" i="1"/>
  <c r="I1803" i="1"/>
  <c r="I1804" i="1"/>
  <c r="I1805" i="1"/>
  <c r="I1806" i="1"/>
  <c r="I1807" i="1"/>
  <c r="I1808" i="1"/>
  <c r="M1808" i="1" s="1"/>
  <c r="I1809" i="1"/>
  <c r="M1809" i="1" s="1"/>
  <c r="I1810" i="1"/>
  <c r="M1810" i="1" s="1"/>
  <c r="I1811" i="1"/>
  <c r="M1811" i="1" s="1"/>
  <c r="I1812" i="1"/>
  <c r="M1812" i="1" s="1"/>
  <c r="I1813" i="1"/>
  <c r="M1813" i="1" s="1"/>
  <c r="I1814" i="1"/>
  <c r="M1814" i="1" s="1"/>
  <c r="I1815" i="1"/>
  <c r="I1816" i="1"/>
  <c r="I1817" i="1"/>
  <c r="I1818" i="1"/>
  <c r="I1819" i="1"/>
  <c r="I1820" i="1"/>
  <c r="M1820" i="1" s="1"/>
  <c r="I1821" i="1"/>
  <c r="M1821" i="1" s="1"/>
  <c r="I1822" i="1"/>
  <c r="I1823" i="1"/>
  <c r="K1823" i="1" s="1"/>
  <c r="L1823" i="1" s="1"/>
  <c r="I1824" i="1"/>
  <c r="K1824" i="1" s="1"/>
  <c r="L1824" i="1" s="1"/>
  <c r="I1825" i="1"/>
  <c r="K1825" i="1" s="1"/>
  <c r="L1825" i="1" s="1"/>
  <c r="I1826" i="1"/>
  <c r="I1827" i="1"/>
  <c r="I1828" i="1"/>
  <c r="I1829" i="1"/>
  <c r="I1830" i="1"/>
  <c r="I1831" i="1"/>
  <c r="I1832" i="1"/>
  <c r="M1832" i="1" s="1"/>
  <c r="I1833" i="1"/>
  <c r="M1833" i="1" s="1"/>
  <c r="I1834" i="1"/>
  <c r="I1835" i="1"/>
  <c r="M1835" i="1" s="1"/>
  <c r="I1836" i="1"/>
  <c r="M1836" i="1" s="1"/>
  <c r="I1837" i="1"/>
  <c r="M1837" i="1" s="1"/>
  <c r="I1838" i="1"/>
  <c r="M1838" i="1" s="1"/>
  <c r="I1839" i="1"/>
  <c r="I1840" i="1"/>
  <c r="I1841" i="1"/>
  <c r="I1842" i="1"/>
  <c r="I1843" i="1"/>
  <c r="M1843" i="1" s="1"/>
  <c r="I1844" i="1"/>
  <c r="I1845" i="1"/>
  <c r="I1846" i="1"/>
  <c r="I1847" i="1"/>
  <c r="I1848" i="1"/>
  <c r="M1848" i="1" s="1"/>
  <c r="I1849" i="1"/>
  <c r="M1849" i="1" s="1"/>
  <c r="I1850" i="1"/>
  <c r="M1850" i="1" s="1"/>
  <c r="I1851" i="1"/>
  <c r="I1852" i="1"/>
  <c r="I1853" i="1"/>
  <c r="I1854" i="1"/>
  <c r="I1855" i="1"/>
  <c r="I1856" i="1"/>
  <c r="M1856" i="1" s="1"/>
  <c r="I1857" i="1"/>
  <c r="M1857" i="1" s="1"/>
  <c r="I1858" i="1"/>
  <c r="M1858" i="1" s="1"/>
  <c r="I1859" i="1"/>
  <c r="M1859" i="1" s="1"/>
  <c r="I1860" i="1"/>
  <c r="M1860" i="1" s="1"/>
  <c r="I1861" i="1"/>
  <c r="I1862" i="1"/>
  <c r="I1863" i="1"/>
  <c r="I1864" i="1"/>
  <c r="I1865" i="1"/>
  <c r="I1866" i="1"/>
  <c r="I1867" i="1"/>
  <c r="I1868" i="1"/>
  <c r="M1868" i="1" s="1"/>
  <c r="I1869" i="1"/>
  <c r="I1870" i="1"/>
  <c r="I1871" i="1"/>
  <c r="I1872" i="1"/>
  <c r="I1873" i="1"/>
  <c r="I1874" i="1"/>
  <c r="M1874" i="1" s="1"/>
  <c r="I1875" i="1"/>
  <c r="I1876" i="1"/>
  <c r="I1877" i="1"/>
  <c r="I1878" i="1"/>
  <c r="I1879" i="1"/>
  <c r="M1879" i="1" s="1"/>
  <c r="I1880" i="1"/>
  <c r="M1880" i="1" s="1"/>
  <c r="I1881" i="1"/>
  <c r="M1881" i="1" s="1"/>
  <c r="I1882" i="1"/>
  <c r="M1882" i="1" s="1"/>
  <c r="I1883" i="1"/>
  <c r="M1883" i="1" s="1"/>
  <c r="I1884" i="1"/>
  <c r="I1885" i="1"/>
  <c r="M1885" i="1" s="1"/>
  <c r="I1886" i="1"/>
  <c r="M1886" i="1" s="1"/>
  <c r="I1887" i="1"/>
  <c r="I1888" i="1"/>
  <c r="I1889" i="1"/>
  <c r="I1890" i="1"/>
  <c r="I1891" i="1"/>
  <c r="I1892" i="1"/>
  <c r="M1892" i="1" s="1"/>
  <c r="I1893" i="1"/>
  <c r="I1894" i="1"/>
  <c r="I1895" i="1"/>
  <c r="I1896" i="1"/>
  <c r="I1897" i="1"/>
  <c r="I1898" i="1"/>
  <c r="I1899" i="1"/>
  <c r="I1900" i="1"/>
  <c r="I1901" i="1"/>
  <c r="I1902" i="1"/>
  <c r="I1903" i="1"/>
  <c r="I1904" i="1"/>
  <c r="M1904" i="1" s="1"/>
  <c r="I1905" i="1"/>
  <c r="M1905" i="1" s="1"/>
  <c r="I1906" i="1"/>
  <c r="I1907" i="1"/>
  <c r="M1907" i="1" s="1"/>
  <c r="I1908" i="1"/>
  <c r="M1908" i="1" s="1"/>
  <c r="I1909" i="1"/>
  <c r="M1909" i="1" s="1"/>
  <c r="I1910" i="1"/>
  <c r="I1911" i="1"/>
  <c r="I1912" i="1"/>
  <c r="I1913" i="1"/>
  <c r="I1914" i="1"/>
  <c r="I1915" i="1"/>
  <c r="I1916" i="1"/>
  <c r="I1917" i="1"/>
  <c r="I1918" i="1"/>
  <c r="M1918" i="1" s="1"/>
  <c r="I1919" i="1"/>
  <c r="M1919" i="1" s="1"/>
  <c r="I1920" i="1"/>
  <c r="M1920" i="1" s="1"/>
  <c r="I1921" i="1"/>
  <c r="I1922" i="1"/>
  <c r="M1922" i="1" s="1"/>
  <c r="I1923" i="1"/>
  <c r="I1924" i="1"/>
  <c r="I1925" i="1"/>
  <c r="I1926" i="1"/>
  <c r="I1927" i="1"/>
  <c r="I1928" i="1"/>
  <c r="M1928" i="1" s="1"/>
  <c r="I1929" i="1"/>
  <c r="M1929" i="1" s="1"/>
  <c r="I1930" i="1"/>
  <c r="I1931" i="1"/>
  <c r="M1931" i="1" s="1"/>
  <c r="I1932" i="1"/>
  <c r="M1932" i="1" s="1"/>
  <c r="I1933" i="1"/>
  <c r="I1934" i="1"/>
  <c r="I1935" i="1"/>
  <c r="I1936" i="1"/>
  <c r="I1937" i="1"/>
  <c r="I1938" i="1"/>
  <c r="I1939" i="1"/>
  <c r="I1940" i="1"/>
  <c r="I1941" i="1"/>
  <c r="I1942" i="1"/>
  <c r="I1943" i="1"/>
  <c r="M1943" i="1" s="1"/>
  <c r="I1944" i="1"/>
  <c r="M1944" i="1" s="1"/>
  <c r="I1945" i="1"/>
  <c r="M1945" i="1" s="1"/>
  <c r="I1946" i="1"/>
  <c r="M1946" i="1" s="1"/>
  <c r="I1947" i="1"/>
  <c r="I1948" i="1"/>
  <c r="I1949" i="1"/>
  <c r="I1950" i="1"/>
  <c r="I1951" i="1"/>
  <c r="M1951" i="1" s="1"/>
  <c r="I1952" i="1"/>
  <c r="M1952" i="1" s="1"/>
  <c r="I1953" i="1"/>
  <c r="M1953" i="1" s="1"/>
  <c r="I1954" i="1"/>
  <c r="M1954" i="1" s="1"/>
  <c r="I1955" i="1"/>
  <c r="K1955" i="1" s="1"/>
  <c r="L1955" i="1" s="1"/>
  <c r="I1956" i="1"/>
  <c r="K1956" i="1" s="1"/>
  <c r="L1956" i="1" s="1"/>
  <c r="I1957" i="1"/>
  <c r="K1957" i="1" s="1"/>
  <c r="L1957" i="1" s="1"/>
  <c r="I1958" i="1"/>
  <c r="M1958" i="1" s="1"/>
  <c r="I1959" i="1"/>
  <c r="I1960" i="1"/>
  <c r="I1961" i="1"/>
  <c r="I1962" i="1"/>
  <c r="I1963" i="1"/>
  <c r="I1964" i="1"/>
  <c r="I1965" i="1"/>
  <c r="I1966" i="1"/>
  <c r="I1967" i="1"/>
  <c r="I1968" i="1"/>
  <c r="M1968" i="1" s="1"/>
  <c r="I1969" i="1"/>
  <c r="I1970" i="1"/>
  <c r="I1971" i="1"/>
  <c r="I1972" i="1"/>
  <c r="I1973" i="1"/>
  <c r="I1974" i="1"/>
  <c r="I1975" i="1"/>
  <c r="I1976" i="1"/>
  <c r="M1976" i="1" s="1"/>
  <c r="I1977" i="1"/>
  <c r="M1977" i="1" s="1"/>
  <c r="I1978" i="1"/>
  <c r="M1978" i="1" s="1"/>
  <c r="I1979" i="1"/>
  <c r="M1979" i="1" s="1"/>
  <c r="I1980" i="1"/>
  <c r="M1980" i="1" s="1"/>
  <c r="I1981" i="1"/>
  <c r="I1982" i="1"/>
  <c r="I1983" i="1"/>
  <c r="I1984" i="1"/>
  <c r="I1985" i="1"/>
  <c r="I1986" i="1"/>
  <c r="I1987" i="1"/>
  <c r="I1988" i="1"/>
  <c r="M1988" i="1" s="1"/>
  <c r="I1989" i="1"/>
  <c r="M1989" i="1" s="1"/>
  <c r="I1990" i="1"/>
  <c r="M1990" i="1" s="1"/>
  <c r="I1991" i="1"/>
  <c r="M1991" i="1" s="1"/>
  <c r="I1992" i="1"/>
  <c r="M1992" i="1" s="1"/>
  <c r="I1993" i="1"/>
  <c r="M1993" i="1" s="1"/>
  <c r="I1994" i="1"/>
  <c r="M1994" i="1" s="1"/>
  <c r="I1995" i="1"/>
  <c r="I1996" i="1"/>
  <c r="I1997" i="1"/>
  <c r="I1998" i="1"/>
  <c r="I1999" i="1"/>
  <c r="I2000" i="1"/>
  <c r="M2000" i="1" s="1"/>
  <c r="I2001" i="1"/>
  <c r="M2001" i="1" s="1"/>
  <c r="I2002" i="1"/>
  <c r="I2003" i="1"/>
  <c r="M2003" i="1" s="1"/>
  <c r="I2004" i="1"/>
  <c r="M2004" i="1" s="1"/>
  <c r="I2005" i="1"/>
  <c r="I2006" i="1"/>
  <c r="I2007" i="1"/>
  <c r="I2008" i="1"/>
  <c r="I2009" i="1"/>
  <c r="I2010" i="1"/>
  <c r="I2011" i="1"/>
  <c r="I2012" i="1"/>
  <c r="I2013" i="1"/>
  <c r="M2013" i="1" s="1"/>
  <c r="I2014" i="1"/>
  <c r="M2014" i="1" s="1"/>
  <c r="I2015" i="1"/>
  <c r="M2015" i="1" s="1"/>
  <c r="I2016" i="1"/>
  <c r="M2016" i="1" s="1"/>
  <c r="I2017" i="1"/>
  <c r="M2017" i="1" s="1"/>
  <c r="I2018" i="1"/>
  <c r="M2018" i="1" s="1"/>
  <c r="I2019" i="1"/>
  <c r="I2020" i="1"/>
  <c r="I2021" i="1"/>
  <c r="I2022" i="1"/>
  <c r="I2023" i="1"/>
  <c r="M2023" i="1" s="1"/>
  <c r="I2024" i="1"/>
  <c r="M2024" i="1" s="1"/>
  <c r="I2025" i="1"/>
  <c r="M2025" i="1" s="1"/>
  <c r="I2026" i="1"/>
  <c r="I2027" i="1"/>
  <c r="I2028" i="1"/>
  <c r="M2028" i="1" s="1"/>
  <c r="I2029" i="1"/>
  <c r="M2029" i="1" s="1"/>
  <c r="I2030" i="1"/>
  <c r="M2030" i="1" s="1"/>
  <c r="I2031" i="1"/>
  <c r="I2032" i="1"/>
  <c r="I2033" i="1"/>
  <c r="I2034" i="1"/>
  <c r="I2035" i="1"/>
  <c r="I2036" i="1"/>
  <c r="I2037" i="1"/>
  <c r="I2038" i="1"/>
  <c r="I2039" i="1"/>
  <c r="M2039" i="1" s="1"/>
  <c r="I2040" i="1"/>
  <c r="M2040" i="1" s="1"/>
  <c r="I2041" i="1"/>
  <c r="M2041" i="1" s="1"/>
  <c r="I2042" i="1"/>
  <c r="M2042" i="1" s="1"/>
  <c r="I2043" i="1"/>
  <c r="I2044" i="1"/>
  <c r="I2045" i="1"/>
  <c r="I2046" i="1"/>
  <c r="I2047" i="1"/>
  <c r="I2048" i="1"/>
  <c r="I2049" i="1"/>
  <c r="I2050" i="1"/>
  <c r="M2050" i="1" s="1"/>
  <c r="I2051" i="1"/>
  <c r="M2051" i="1" s="1"/>
  <c r="I2052" i="1"/>
  <c r="I2053" i="1"/>
  <c r="I2054" i="1"/>
  <c r="K2054" i="1" s="1"/>
  <c r="L2054" i="1" s="1"/>
  <c r="I2055" i="1"/>
  <c r="I2056" i="1"/>
  <c r="I2057" i="1"/>
  <c r="I2058" i="1"/>
  <c r="I2059" i="1"/>
  <c r="I2060" i="1"/>
  <c r="M2060" i="1" s="1"/>
  <c r="I2061" i="1"/>
  <c r="K2061" i="1" s="1"/>
  <c r="L2061" i="1" s="1"/>
  <c r="I2062" i="1"/>
  <c r="I2063" i="1"/>
  <c r="M2063" i="1" s="1"/>
  <c r="I2064" i="1"/>
  <c r="M2064" i="1" s="1"/>
  <c r="I2065" i="1"/>
  <c r="M2065" i="1" s="1"/>
  <c r="I2066" i="1"/>
  <c r="M2066" i="1" s="1"/>
  <c r="I2067" i="1"/>
  <c r="I2068" i="1"/>
  <c r="I2069" i="1"/>
  <c r="I2070" i="1"/>
  <c r="I2071" i="1"/>
  <c r="I2072" i="1"/>
  <c r="M2072" i="1" s="1"/>
  <c r="I2073" i="1"/>
  <c r="M2073" i="1" s="1"/>
  <c r="I2074" i="1"/>
  <c r="M2074" i="1" s="1"/>
  <c r="I2075" i="1"/>
  <c r="M2075" i="1" s="1"/>
  <c r="I2076" i="1"/>
  <c r="I2077" i="1"/>
  <c r="I2078" i="1"/>
  <c r="I2079" i="1"/>
  <c r="I2080" i="1"/>
  <c r="I2081" i="1"/>
  <c r="I2082" i="1"/>
  <c r="I2083" i="1"/>
  <c r="I2084" i="1"/>
  <c r="M2084" i="1" s="1"/>
  <c r="I2085" i="1"/>
  <c r="M2085" i="1" s="1"/>
  <c r="I2086" i="1"/>
  <c r="M2086" i="1" s="1"/>
  <c r="I2087" i="1"/>
  <c r="M2087" i="1" s="1"/>
  <c r="I2088" i="1"/>
  <c r="M2088" i="1" s="1"/>
  <c r="I2089" i="1"/>
  <c r="I2090" i="1"/>
  <c r="I2091" i="1"/>
  <c r="I2092" i="1"/>
  <c r="I2093" i="1"/>
  <c r="I2094" i="1"/>
  <c r="I2095" i="1"/>
  <c r="I2096" i="1"/>
  <c r="M2096" i="1" s="1"/>
  <c r="I2097" i="1"/>
  <c r="K2097" i="1" s="1"/>
  <c r="L2097" i="1" s="1"/>
  <c r="I2098" i="1"/>
  <c r="I2099" i="1"/>
  <c r="I2100" i="1"/>
  <c r="M2100" i="1" s="1"/>
  <c r="I2101" i="1"/>
  <c r="M2101" i="1" s="1"/>
  <c r="I2" i="1"/>
  <c r="M2" i="1" s="1"/>
  <c r="H2"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4" i="1"/>
  <c r="H3" i="1"/>
  <c r="M2026" i="1" l="1"/>
  <c r="K2026" i="1"/>
  <c r="L2026" i="1" s="1"/>
  <c r="M2002" i="1"/>
  <c r="K2002" i="1"/>
  <c r="L2002" i="1" s="1"/>
  <c r="K1930" i="1"/>
  <c r="L1930" i="1" s="1"/>
  <c r="M1930" i="1"/>
  <c r="M1834" i="1"/>
  <c r="K1834" i="1"/>
  <c r="L1834" i="1" s="1"/>
  <c r="M1822" i="1"/>
  <c r="K1822" i="1"/>
  <c r="L1822" i="1" s="1"/>
  <c r="M1798" i="1"/>
  <c r="K1798" i="1"/>
  <c r="L1798" i="1" s="1"/>
  <c r="M1726" i="1"/>
  <c r="K1726" i="1"/>
  <c r="L1726" i="1" s="1"/>
  <c r="M1714" i="1"/>
  <c r="K1714" i="1"/>
  <c r="L1714" i="1" s="1"/>
  <c r="M1690" i="1"/>
  <c r="K1690" i="1"/>
  <c r="L1690" i="1" s="1"/>
  <c r="M1654" i="1"/>
  <c r="K1654" i="1"/>
  <c r="L1654" i="1" s="1"/>
  <c r="K1630" i="1"/>
  <c r="L1630" i="1" s="1"/>
  <c r="M1630" i="1"/>
  <c r="M1618" i="1"/>
  <c r="K1618" i="1"/>
  <c r="L1618" i="1" s="1"/>
  <c r="M1606" i="1"/>
  <c r="K1606" i="1"/>
  <c r="L1606" i="1" s="1"/>
  <c r="M1582" i="1"/>
  <c r="K1582" i="1"/>
  <c r="L1582" i="1" s="1"/>
  <c r="M1522" i="1"/>
  <c r="K1522" i="1"/>
  <c r="L1522" i="1" s="1"/>
  <c r="M1498" i="1"/>
  <c r="K1498" i="1"/>
  <c r="L1498" i="1" s="1"/>
  <c r="M1486" i="1"/>
  <c r="K1486" i="1"/>
  <c r="L1486" i="1" s="1"/>
  <c r="M1474" i="1"/>
  <c r="K1474" i="1"/>
  <c r="L1474" i="1" s="1"/>
  <c r="M1450" i="1"/>
  <c r="K1450" i="1"/>
  <c r="L1450" i="1" s="1"/>
  <c r="M1438" i="1"/>
  <c r="K1438" i="1"/>
  <c r="L1438" i="1" s="1"/>
  <c r="M1414" i="1"/>
  <c r="K1414" i="1"/>
  <c r="L1414" i="1" s="1"/>
  <c r="M1378" i="1"/>
  <c r="K1378" i="1"/>
  <c r="L1378" i="1" s="1"/>
  <c r="M1354" i="1"/>
  <c r="K1354" i="1"/>
  <c r="L1354" i="1" s="1"/>
  <c r="M1342" i="1"/>
  <c r="K1342" i="1"/>
  <c r="L1342" i="1" s="1"/>
  <c r="M1318" i="1"/>
  <c r="K1318" i="1"/>
  <c r="L1318" i="1" s="1"/>
  <c r="M1306" i="1"/>
  <c r="K1306" i="1"/>
  <c r="L1306" i="1" s="1"/>
  <c r="M1270" i="1"/>
  <c r="K1270" i="1"/>
  <c r="L1270" i="1" s="1"/>
  <c r="M1258" i="1"/>
  <c r="K1258" i="1"/>
  <c r="L1258" i="1" s="1"/>
  <c r="M1222" i="1"/>
  <c r="K1222" i="1"/>
  <c r="L1222" i="1" s="1"/>
  <c r="K1546" i="1"/>
  <c r="L1546" i="1" s="1"/>
  <c r="K1390" i="1"/>
  <c r="L1390" i="1" s="1"/>
  <c r="K1234" i="1"/>
  <c r="L1234" i="1" s="1"/>
  <c r="K1810" i="1"/>
  <c r="L1810" i="1" s="1"/>
  <c r="K1678" i="1"/>
  <c r="L1678" i="1" s="1"/>
  <c r="K1462" i="1"/>
  <c r="L1462" i="1" s="1"/>
  <c r="K2074" i="1"/>
  <c r="L2074" i="1" s="1"/>
  <c r="K1858" i="1"/>
  <c r="L1858" i="1" s="1"/>
  <c r="K1738" i="1"/>
  <c r="L1738" i="1" s="1"/>
  <c r="M1915" i="1"/>
  <c r="K1915" i="1"/>
  <c r="L1915" i="1" s="1"/>
  <c r="M1807" i="1"/>
  <c r="K1807" i="1"/>
  <c r="L1807" i="1" s="1"/>
  <c r="K1435" i="1"/>
  <c r="L1435" i="1" s="1"/>
  <c r="M1435" i="1"/>
  <c r="K1978" i="1"/>
  <c r="L1978" i="1" s="1"/>
  <c r="K1918" i="1"/>
  <c r="L1918" i="1" s="1"/>
  <c r="K1594" i="1"/>
  <c r="L1594" i="1" s="1"/>
  <c r="K1366" i="1"/>
  <c r="L1366" i="1" s="1"/>
  <c r="K1843" i="1"/>
  <c r="L1843" i="1" s="1"/>
  <c r="K1666" i="1"/>
  <c r="L1666" i="1" s="1"/>
  <c r="K1510" i="1"/>
  <c r="L1510" i="1" s="1"/>
  <c r="K1294" i="1"/>
  <c r="L1294" i="1" s="1"/>
  <c r="M1534" i="1"/>
  <c r="K124" i="1"/>
  <c r="L124" i="1" s="1"/>
  <c r="M124" i="1"/>
  <c r="K1786" i="1"/>
  <c r="L1786" i="1" s="1"/>
  <c r="K1282" i="1"/>
  <c r="L1282" i="1" s="1"/>
  <c r="K231" i="1"/>
  <c r="L231" i="1" s="1"/>
  <c r="M231" i="1"/>
  <c r="K123" i="1"/>
  <c r="L123" i="1" s="1"/>
  <c r="M123" i="1"/>
  <c r="K2050" i="1"/>
  <c r="L2050" i="1" s="1"/>
  <c r="M2090" i="1"/>
  <c r="K2090" i="1"/>
  <c r="L2090" i="1" s="1"/>
  <c r="M2078" i="1"/>
  <c r="K2078" i="1"/>
  <c r="L2078" i="1" s="1"/>
  <c r="M2006" i="1"/>
  <c r="K2006" i="1"/>
  <c r="L2006" i="1" s="1"/>
  <c r="M1982" i="1"/>
  <c r="K1982" i="1"/>
  <c r="L1982" i="1" s="1"/>
  <c r="M1970" i="1"/>
  <c r="K1970" i="1"/>
  <c r="L1970" i="1" s="1"/>
  <c r="M1934" i="1"/>
  <c r="K1934" i="1"/>
  <c r="L1934" i="1" s="1"/>
  <c r="M1910" i="1"/>
  <c r="K1910" i="1"/>
  <c r="L1910" i="1" s="1"/>
  <c r="M1898" i="1"/>
  <c r="K1898" i="1"/>
  <c r="L1898" i="1" s="1"/>
  <c r="M1862" i="1"/>
  <c r="K1862" i="1"/>
  <c r="L1862" i="1" s="1"/>
  <c r="K1826" i="1"/>
  <c r="L1826" i="1" s="1"/>
  <c r="M1826" i="1"/>
  <c r="M1802" i="1"/>
  <c r="K1802" i="1"/>
  <c r="L1802" i="1" s="1"/>
  <c r="M1790" i="1"/>
  <c r="K1790" i="1"/>
  <c r="L1790" i="1" s="1"/>
  <c r="K1754" i="1"/>
  <c r="L1754" i="1" s="1"/>
  <c r="M1754" i="1"/>
  <c r="M1730" i="1"/>
  <c r="K1730" i="1"/>
  <c r="L1730" i="1" s="1"/>
  <c r="M1718" i="1"/>
  <c r="K1718" i="1"/>
  <c r="L1718" i="1" s="1"/>
  <c r="M1694" i="1"/>
  <c r="K1694" i="1"/>
  <c r="L1694" i="1" s="1"/>
  <c r="M1682" i="1"/>
  <c r="K1682" i="1"/>
  <c r="L1682" i="1" s="1"/>
  <c r="M1658" i="1"/>
  <c r="K1658" i="1"/>
  <c r="L1658" i="1" s="1"/>
  <c r="M1622" i="1"/>
  <c r="K1622" i="1"/>
  <c r="L1622" i="1" s="1"/>
  <c r="M1610" i="1"/>
  <c r="K1610" i="1"/>
  <c r="L1610" i="1" s="1"/>
  <c r="M1586" i="1"/>
  <c r="K1586" i="1"/>
  <c r="L1586" i="1" s="1"/>
  <c r="M1574" i="1"/>
  <c r="K1574" i="1"/>
  <c r="L1574" i="1" s="1"/>
  <c r="M1550" i="1"/>
  <c r="K1550" i="1"/>
  <c r="L1550" i="1" s="1"/>
  <c r="M1538" i="1"/>
  <c r="K1538" i="1"/>
  <c r="L1538" i="1" s="1"/>
  <c r="M1514" i="1"/>
  <c r="K1514" i="1"/>
  <c r="L1514" i="1" s="1"/>
  <c r="M1502" i="1"/>
  <c r="K1502" i="1"/>
  <c r="L1502" i="1" s="1"/>
  <c r="M1478" i="1"/>
  <c r="K1478" i="1"/>
  <c r="L1478" i="1" s="1"/>
  <c r="M1466" i="1"/>
  <c r="K1466" i="1"/>
  <c r="L1466" i="1" s="1"/>
  <c r="M1442" i="1"/>
  <c r="K1442" i="1"/>
  <c r="L1442" i="1" s="1"/>
  <c r="M1406" i="1"/>
  <c r="K1406" i="1"/>
  <c r="L1406" i="1" s="1"/>
  <c r="M1394" i="1"/>
  <c r="K1394" i="1"/>
  <c r="L1394" i="1" s="1"/>
  <c r="M1358" i="1"/>
  <c r="K1358" i="1"/>
  <c r="L1358" i="1" s="1"/>
  <c r="M1322" i="1"/>
  <c r="K1322" i="1"/>
  <c r="L1322" i="1" s="1"/>
  <c r="M1298" i="1"/>
  <c r="K1298" i="1"/>
  <c r="L1298" i="1" s="1"/>
  <c r="M1286" i="1"/>
  <c r="K1286" i="1"/>
  <c r="L1286" i="1" s="1"/>
  <c r="M1262" i="1"/>
  <c r="K1262" i="1"/>
  <c r="L1262" i="1" s="1"/>
  <c r="M1250" i="1"/>
  <c r="K1250" i="1"/>
  <c r="L1250" i="1" s="1"/>
  <c r="M1226" i="1"/>
  <c r="K1226" i="1"/>
  <c r="L1226" i="1" s="1"/>
  <c r="M1214" i="1"/>
  <c r="K1214" i="1"/>
  <c r="L1214" i="1" s="1"/>
  <c r="M1190" i="1"/>
  <c r="K1190" i="1"/>
  <c r="L1190" i="1" s="1"/>
  <c r="M1178" i="1"/>
  <c r="K1178" i="1"/>
  <c r="L1178" i="1" s="1"/>
  <c r="M1154" i="1"/>
  <c r="K1154" i="1"/>
  <c r="L1154" i="1" s="1"/>
  <c r="M1118" i="1"/>
  <c r="K1118" i="1"/>
  <c r="L1118" i="1" s="1"/>
  <c r="M1106" i="1"/>
  <c r="K1106" i="1"/>
  <c r="L1106" i="1" s="1"/>
  <c r="M1082" i="1"/>
  <c r="K1082" i="1"/>
  <c r="L1082" i="1" s="1"/>
  <c r="M1070" i="1"/>
  <c r="K1070" i="1"/>
  <c r="L1070" i="1" s="1"/>
  <c r="K1034" i="1"/>
  <c r="L1034" i="1" s="1"/>
  <c r="M1034" i="1"/>
  <c r="M998" i="1"/>
  <c r="K998" i="1"/>
  <c r="L998" i="1" s="1"/>
  <c r="M974" i="1"/>
  <c r="K974" i="1"/>
  <c r="L974" i="1" s="1"/>
  <c r="M962" i="1"/>
  <c r="K962" i="1"/>
  <c r="L962" i="1" s="1"/>
  <c r="M938" i="1"/>
  <c r="K938" i="1"/>
  <c r="L938" i="1" s="1"/>
  <c r="M926" i="1"/>
  <c r="K926" i="1"/>
  <c r="L926" i="1" s="1"/>
  <c r="M902" i="1"/>
  <c r="K902" i="1"/>
  <c r="L902" i="1" s="1"/>
  <c r="M890" i="1"/>
  <c r="K890" i="1"/>
  <c r="L890" i="1" s="1"/>
  <c r="M866" i="1"/>
  <c r="K866" i="1"/>
  <c r="L866" i="1" s="1"/>
  <c r="M830" i="1"/>
  <c r="K830" i="1"/>
  <c r="L830" i="1" s="1"/>
  <c r="M818" i="1"/>
  <c r="K818" i="1"/>
  <c r="L818" i="1" s="1"/>
  <c r="M794" i="1"/>
  <c r="K794" i="1"/>
  <c r="L794" i="1" s="1"/>
  <c r="M782" i="1"/>
  <c r="K782" i="1"/>
  <c r="L782" i="1" s="1"/>
  <c r="M746" i="1"/>
  <c r="K746" i="1"/>
  <c r="L746" i="1" s="1"/>
  <c r="M722" i="1"/>
  <c r="K722" i="1"/>
  <c r="L722" i="1" s="1"/>
  <c r="M686" i="1"/>
  <c r="K686" i="1"/>
  <c r="L686" i="1" s="1"/>
  <c r="M674" i="1"/>
  <c r="K674" i="1"/>
  <c r="L674" i="1" s="1"/>
  <c r="M650" i="1"/>
  <c r="K650" i="1"/>
  <c r="L650" i="1" s="1"/>
  <c r="M602" i="1"/>
  <c r="K602" i="1"/>
  <c r="L602" i="1" s="1"/>
  <c r="M566" i="1"/>
  <c r="K566" i="1"/>
  <c r="L566" i="1" s="1"/>
  <c r="M542" i="1"/>
  <c r="K542" i="1"/>
  <c r="L542" i="1" s="1"/>
  <c r="M530" i="1"/>
  <c r="K530" i="1"/>
  <c r="L530" i="1" s="1"/>
  <c r="M506" i="1"/>
  <c r="K506" i="1"/>
  <c r="L506" i="1" s="1"/>
  <c r="M494" i="1"/>
  <c r="K494" i="1"/>
  <c r="L494" i="1" s="1"/>
  <c r="M470" i="1"/>
  <c r="K470" i="1"/>
  <c r="L470" i="1" s="1"/>
  <c r="M458" i="1"/>
  <c r="K458" i="1"/>
  <c r="L458" i="1" s="1"/>
  <c r="M434" i="1"/>
  <c r="K434" i="1"/>
  <c r="L434" i="1" s="1"/>
  <c r="M398" i="1"/>
  <c r="K398" i="1"/>
  <c r="L398" i="1" s="1"/>
  <c r="M386" i="1"/>
  <c r="K386" i="1"/>
  <c r="L386" i="1" s="1"/>
  <c r="M362" i="1"/>
  <c r="K362" i="1"/>
  <c r="L362" i="1" s="1"/>
  <c r="M326" i="1"/>
  <c r="K326" i="1"/>
  <c r="L326" i="1" s="1"/>
  <c r="M314" i="1"/>
  <c r="K314" i="1"/>
  <c r="L314" i="1" s="1"/>
  <c r="M278" i="1"/>
  <c r="K278" i="1"/>
  <c r="L278" i="1" s="1"/>
  <c r="M242" i="1"/>
  <c r="K242" i="1"/>
  <c r="L242" i="1" s="1"/>
  <c r="M218" i="1"/>
  <c r="K218" i="1"/>
  <c r="L218" i="1" s="1"/>
  <c r="M182" i="1"/>
  <c r="K182" i="1"/>
  <c r="L182" i="1" s="1"/>
  <c r="M170" i="1"/>
  <c r="K170" i="1"/>
  <c r="L170" i="1" s="1"/>
  <c r="M134" i="1"/>
  <c r="K134" i="1"/>
  <c r="L134" i="1" s="1"/>
  <c r="M110" i="1"/>
  <c r="K110" i="1"/>
  <c r="L110" i="1" s="1"/>
  <c r="M98" i="1"/>
  <c r="K98" i="1"/>
  <c r="L98" i="1" s="1"/>
  <c r="M74" i="1"/>
  <c r="K74" i="1"/>
  <c r="L74" i="1" s="1"/>
  <c r="M62" i="1"/>
  <c r="K62" i="1"/>
  <c r="L62" i="1" s="1"/>
  <c r="M38" i="1"/>
  <c r="K38" i="1"/>
  <c r="L38" i="1" s="1"/>
  <c r="M26" i="1"/>
  <c r="K26" i="1"/>
  <c r="L26" i="1" s="1"/>
  <c r="K1882" i="1"/>
  <c r="L1882" i="1" s="1"/>
  <c r="K1645" i="1"/>
  <c r="L1645" i="1" s="1"/>
  <c r="K1558" i="1"/>
  <c r="L1558" i="1" s="1"/>
  <c r="K1333" i="1"/>
  <c r="L1333" i="1" s="1"/>
  <c r="K1010" i="1"/>
  <c r="L1010" i="1" s="1"/>
  <c r="K614" i="1"/>
  <c r="L614" i="1" s="1"/>
  <c r="M643" i="1"/>
  <c r="M2098" i="1"/>
  <c r="K2098" i="1"/>
  <c r="L2098" i="1" s="1"/>
  <c r="M2062" i="1"/>
  <c r="K2062" i="1"/>
  <c r="L2062" i="1" s="1"/>
  <c r="M2038" i="1"/>
  <c r="K2038" i="1"/>
  <c r="L2038" i="1" s="1"/>
  <c r="M1966" i="1"/>
  <c r="K1966" i="1"/>
  <c r="L1966" i="1" s="1"/>
  <c r="M1942" i="1"/>
  <c r="K1942" i="1"/>
  <c r="L1942" i="1" s="1"/>
  <c r="M1906" i="1"/>
  <c r="K1906" i="1"/>
  <c r="L1906" i="1" s="1"/>
  <c r="M1894" i="1"/>
  <c r="K1894" i="1"/>
  <c r="L1894" i="1" s="1"/>
  <c r="M1870" i="1"/>
  <c r="K1870" i="1"/>
  <c r="L1870" i="1" s="1"/>
  <c r="M1846" i="1"/>
  <c r="K1846" i="1"/>
  <c r="L1846" i="1" s="1"/>
  <c r="M1762" i="1"/>
  <c r="K1762" i="1"/>
  <c r="L1762" i="1" s="1"/>
  <c r="M1642" i="1"/>
  <c r="K1642" i="1"/>
  <c r="L1642" i="1" s="1"/>
  <c r="M1570" i="1"/>
  <c r="K1570" i="1"/>
  <c r="L1570" i="1" s="1"/>
  <c r="M1402" i="1"/>
  <c r="K1402" i="1"/>
  <c r="L1402" i="1" s="1"/>
  <c r="M2095" i="1"/>
  <c r="K2095" i="1"/>
  <c r="L2095" i="1" s="1"/>
  <c r="M2059" i="1"/>
  <c r="K2059" i="1"/>
  <c r="L2059" i="1" s="1"/>
  <c r="M1987" i="1"/>
  <c r="K1987" i="1"/>
  <c r="L1987" i="1" s="1"/>
  <c r="M1735" i="1"/>
  <c r="K1735" i="1"/>
  <c r="L1735" i="1" s="1"/>
  <c r="M1663" i="1"/>
  <c r="K1663" i="1"/>
  <c r="L1663" i="1" s="1"/>
  <c r="M1555" i="1"/>
  <c r="K1555" i="1"/>
  <c r="L1555" i="1" s="1"/>
  <c r="K402" i="1"/>
  <c r="L402" i="1" s="1"/>
  <c r="M402" i="1"/>
  <c r="K664" i="1"/>
  <c r="L664" i="1" s="1"/>
  <c r="M664" i="1"/>
  <c r="K2014" i="1"/>
  <c r="L2014" i="1" s="1"/>
  <c r="K1954" i="1"/>
  <c r="L1954" i="1" s="1"/>
  <c r="K783" i="1"/>
  <c r="L783" i="1" s="1"/>
  <c r="M783" i="1"/>
  <c r="M2089" i="1"/>
  <c r="K2089" i="1"/>
  <c r="L2089" i="1" s="1"/>
  <c r="M2077" i="1"/>
  <c r="K2077" i="1"/>
  <c r="L2077" i="1" s="1"/>
  <c r="M2053" i="1"/>
  <c r="K2053" i="1"/>
  <c r="L2053" i="1" s="1"/>
  <c r="M2005" i="1"/>
  <c r="K2005" i="1"/>
  <c r="L2005" i="1" s="1"/>
  <c r="M1981" i="1"/>
  <c r="K1981" i="1"/>
  <c r="L1981" i="1" s="1"/>
  <c r="M1969" i="1"/>
  <c r="K1969" i="1"/>
  <c r="L1969" i="1" s="1"/>
  <c r="M1933" i="1"/>
  <c r="K1933" i="1"/>
  <c r="L1933" i="1" s="1"/>
  <c r="K1921" i="1"/>
  <c r="L1921" i="1" s="1"/>
  <c r="M1921" i="1"/>
  <c r="M1897" i="1"/>
  <c r="K1897" i="1"/>
  <c r="L1897" i="1" s="1"/>
  <c r="M1873" i="1"/>
  <c r="K1873" i="1"/>
  <c r="L1873" i="1" s="1"/>
  <c r="M1861" i="1"/>
  <c r="K1861" i="1"/>
  <c r="L1861" i="1" s="1"/>
  <c r="M1801" i="1"/>
  <c r="K1801" i="1"/>
  <c r="L1801" i="1" s="1"/>
  <c r="M1765" i="1"/>
  <c r="K1765" i="1"/>
  <c r="L1765" i="1" s="1"/>
  <c r="M1753" i="1"/>
  <c r="K1753" i="1"/>
  <c r="L1753" i="1" s="1"/>
  <c r="M1729" i="1"/>
  <c r="K1729" i="1"/>
  <c r="L1729" i="1" s="1"/>
  <c r="K1705" i="1"/>
  <c r="L1705" i="1" s="1"/>
  <c r="M1705" i="1"/>
  <c r="M1693" i="1"/>
  <c r="K1693" i="1"/>
  <c r="L1693" i="1" s="1"/>
  <c r="M1681" i="1"/>
  <c r="K1681" i="1"/>
  <c r="L1681" i="1" s="1"/>
  <c r="M1657" i="1"/>
  <c r="K1657" i="1"/>
  <c r="L1657" i="1" s="1"/>
  <c r="M1621" i="1"/>
  <c r="K1621" i="1"/>
  <c r="L1621" i="1" s="1"/>
  <c r="M1609" i="1"/>
  <c r="K1609" i="1"/>
  <c r="L1609" i="1" s="1"/>
  <c r="M1585" i="1"/>
  <c r="K1585" i="1"/>
  <c r="L1585" i="1" s="1"/>
  <c r="M1573" i="1"/>
  <c r="K1573" i="1"/>
  <c r="L1573" i="1" s="1"/>
  <c r="M1549" i="1"/>
  <c r="K1549" i="1"/>
  <c r="L1549" i="1" s="1"/>
  <c r="M1537" i="1"/>
  <c r="K1537" i="1"/>
  <c r="L1537" i="1" s="1"/>
  <c r="M1513" i="1"/>
  <c r="K1513" i="1"/>
  <c r="L1513" i="1" s="1"/>
  <c r="M1501" i="1"/>
  <c r="K1501" i="1"/>
  <c r="L1501" i="1" s="1"/>
  <c r="K1489" i="1"/>
  <c r="L1489" i="1" s="1"/>
  <c r="M1489" i="1"/>
  <c r="M1465" i="1"/>
  <c r="K1465" i="1"/>
  <c r="L1465" i="1" s="1"/>
  <c r="M1441" i="1"/>
  <c r="K1441" i="1"/>
  <c r="L1441" i="1" s="1"/>
  <c r="M1405" i="1"/>
  <c r="K1405" i="1"/>
  <c r="L1405" i="1" s="1"/>
  <c r="M1393" i="1"/>
  <c r="K1393" i="1"/>
  <c r="L1393" i="1" s="1"/>
  <c r="M1369" i="1"/>
  <c r="K1369" i="1"/>
  <c r="L1369" i="1" s="1"/>
  <c r="M1357" i="1"/>
  <c r="K1357" i="1"/>
  <c r="L1357" i="1" s="1"/>
  <c r="M1321" i="1"/>
  <c r="K1321" i="1"/>
  <c r="L1321" i="1" s="1"/>
  <c r="M1297" i="1"/>
  <c r="K1297" i="1"/>
  <c r="L1297" i="1" s="1"/>
  <c r="K1285" i="1"/>
  <c r="L1285" i="1" s="1"/>
  <c r="M1285" i="1"/>
  <c r="K1273" i="1"/>
  <c r="L1273" i="1" s="1"/>
  <c r="M1273" i="1"/>
  <c r="M1261" i="1"/>
  <c r="K1261" i="1"/>
  <c r="L1261" i="1" s="1"/>
  <c r="M1249" i="1"/>
  <c r="K1249" i="1"/>
  <c r="L1249" i="1" s="1"/>
  <c r="M1225" i="1"/>
  <c r="K1225" i="1"/>
  <c r="L1225" i="1" s="1"/>
  <c r="M1213" i="1"/>
  <c r="K1213" i="1"/>
  <c r="L1213" i="1" s="1"/>
  <c r="M1189" i="1"/>
  <c r="K1189" i="1"/>
  <c r="L1189" i="1" s="1"/>
  <c r="M1153" i="1"/>
  <c r="K1153" i="1"/>
  <c r="L1153" i="1" s="1"/>
  <c r="M1117" i="1"/>
  <c r="K1117" i="1"/>
  <c r="L1117" i="1" s="1"/>
  <c r="M1105" i="1"/>
  <c r="K1105" i="1"/>
  <c r="L1105" i="1" s="1"/>
  <c r="K1093" i="1"/>
  <c r="L1093" i="1" s="1"/>
  <c r="M1093" i="1"/>
  <c r="M1081" i="1"/>
  <c r="K1081" i="1"/>
  <c r="L1081" i="1" s="1"/>
  <c r="M1069" i="1"/>
  <c r="K1069" i="1"/>
  <c r="L1069" i="1" s="1"/>
  <c r="K1033" i="1"/>
  <c r="L1033" i="1" s="1"/>
  <c r="M1033" i="1"/>
  <c r="K1021" i="1"/>
  <c r="L1021" i="1" s="1"/>
  <c r="M1021" i="1"/>
  <c r="M1009" i="1"/>
  <c r="K1009" i="1"/>
  <c r="L1009" i="1" s="1"/>
  <c r="M997" i="1"/>
  <c r="K997" i="1"/>
  <c r="L997" i="1" s="1"/>
  <c r="M973" i="1"/>
  <c r="K973" i="1"/>
  <c r="L973" i="1" s="1"/>
  <c r="M937" i="1"/>
  <c r="K937" i="1"/>
  <c r="L937" i="1" s="1"/>
  <c r="M925" i="1"/>
  <c r="K925" i="1"/>
  <c r="L925" i="1" s="1"/>
  <c r="M889" i="1"/>
  <c r="K889" i="1"/>
  <c r="L889" i="1" s="1"/>
  <c r="M865" i="1"/>
  <c r="K865" i="1"/>
  <c r="L865" i="1" s="1"/>
  <c r="M853" i="1"/>
  <c r="K853" i="1"/>
  <c r="L853" i="1" s="1"/>
  <c r="M829" i="1"/>
  <c r="K829" i="1"/>
  <c r="L829" i="1" s="1"/>
  <c r="M817" i="1"/>
  <c r="K817" i="1"/>
  <c r="L817" i="1" s="1"/>
  <c r="M793" i="1"/>
  <c r="K793" i="1"/>
  <c r="L793" i="1" s="1"/>
  <c r="M781" i="1"/>
  <c r="K781" i="1"/>
  <c r="L781" i="1" s="1"/>
  <c r="M745" i="1"/>
  <c r="K745" i="1"/>
  <c r="L745" i="1" s="1"/>
  <c r="M721" i="1"/>
  <c r="K721" i="1"/>
  <c r="L721" i="1" s="1"/>
  <c r="M685" i="1"/>
  <c r="K685" i="1"/>
  <c r="L685" i="1" s="1"/>
  <c r="M649" i="1"/>
  <c r="K649" i="1"/>
  <c r="L649" i="1" s="1"/>
  <c r="K1946" i="1"/>
  <c r="L1946" i="1" s="1"/>
  <c r="K1766" i="1"/>
  <c r="L1766" i="1" s="1"/>
  <c r="K1702" i="1"/>
  <c r="L1702" i="1" s="1"/>
  <c r="K1477" i="1"/>
  <c r="L1477" i="1" s="1"/>
  <c r="K1426" i="1"/>
  <c r="L1426" i="1" s="1"/>
  <c r="K1177" i="1"/>
  <c r="L1177" i="1" s="1"/>
  <c r="M1789" i="1"/>
  <c r="M637" i="1"/>
  <c r="K637" i="1"/>
  <c r="L637" i="1" s="1"/>
  <c r="M577" i="1"/>
  <c r="K577" i="1"/>
  <c r="L577" i="1" s="1"/>
  <c r="M565" i="1"/>
  <c r="K565" i="1"/>
  <c r="L565" i="1" s="1"/>
  <c r="M529" i="1"/>
  <c r="K529" i="1"/>
  <c r="L529" i="1" s="1"/>
  <c r="M505" i="1"/>
  <c r="K505" i="1"/>
  <c r="L505" i="1" s="1"/>
  <c r="M469" i="1"/>
  <c r="K469" i="1"/>
  <c r="L469" i="1" s="1"/>
  <c r="M433" i="1"/>
  <c r="K433" i="1"/>
  <c r="L433" i="1" s="1"/>
  <c r="M397" i="1"/>
  <c r="K397" i="1"/>
  <c r="L397" i="1" s="1"/>
  <c r="M361" i="1"/>
  <c r="K361" i="1"/>
  <c r="L361" i="1" s="1"/>
  <c r="M349" i="1"/>
  <c r="K349" i="1"/>
  <c r="L349" i="1" s="1"/>
  <c r="M313" i="1"/>
  <c r="K313" i="1"/>
  <c r="L313" i="1" s="1"/>
  <c r="M289" i="1"/>
  <c r="K289" i="1"/>
  <c r="L289" i="1" s="1"/>
  <c r="M277" i="1"/>
  <c r="K277" i="1"/>
  <c r="L277" i="1" s="1"/>
  <c r="M241" i="1"/>
  <c r="K241" i="1"/>
  <c r="L241" i="1" s="1"/>
  <c r="M217" i="1"/>
  <c r="K217" i="1"/>
  <c r="L217" i="1" s="1"/>
  <c r="M181" i="1"/>
  <c r="K181" i="1"/>
  <c r="L181" i="1" s="1"/>
  <c r="M145" i="1"/>
  <c r="K145" i="1"/>
  <c r="L145" i="1" s="1"/>
  <c r="M109" i="1"/>
  <c r="K109" i="1"/>
  <c r="L109" i="1" s="1"/>
  <c r="M73" i="1"/>
  <c r="K73" i="1"/>
  <c r="L73" i="1" s="1"/>
  <c r="M61" i="1"/>
  <c r="K61" i="1"/>
  <c r="L61" i="1" s="1"/>
  <c r="M25" i="1"/>
  <c r="K25" i="1"/>
  <c r="L25" i="1" s="1"/>
  <c r="K1042" i="1"/>
  <c r="L1042" i="1" s="1"/>
  <c r="K421" i="1"/>
  <c r="L421" i="1" s="1"/>
  <c r="K286" i="1"/>
  <c r="L286" i="1" s="1"/>
  <c r="K97" i="1"/>
  <c r="L97" i="1" s="1"/>
  <c r="M2076" i="1"/>
  <c r="K2076" i="1"/>
  <c r="L2076" i="1" s="1"/>
  <c r="M2052" i="1"/>
  <c r="K2052" i="1"/>
  <c r="L2052" i="1" s="1"/>
  <c r="M1896" i="1"/>
  <c r="K1896" i="1"/>
  <c r="L1896" i="1" s="1"/>
  <c r="K1884" i="1"/>
  <c r="L1884" i="1" s="1"/>
  <c r="M1884" i="1"/>
  <c r="M1872" i="1"/>
  <c r="K1872" i="1"/>
  <c r="L1872" i="1" s="1"/>
  <c r="M1800" i="1"/>
  <c r="K1800" i="1"/>
  <c r="L1800" i="1" s="1"/>
  <c r="M1752" i="1"/>
  <c r="K1752" i="1"/>
  <c r="L1752" i="1" s="1"/>
  <c r="M1728" i="1"/>
  <c r="K1728" i="1"/>
  <c r="L1728" i="1" s="1"/>
  <c r="M1608" i="1"/>
  <c r="K1608" i="1"/>
  <c r="L1608" i="1" s="1"/>
  <c r="M1584" i="1"/>
  <c r="K1584" i="1"/>
  <c r="L1584" i="1" s="1"/>
  <c r="M1500" i="1"/>
  <c r="K1500" i="1"/>
  <c r="L1500" i="1" s="1"/>
  <c r="M1464" i="1"/>
  <c r="K1464" i="1"/>
  <c r="L1464" i="1" s="1"/>
  <c r="M1440" i="1"/>
  <c r="K1440" i="1"/>
  <c r="L1440" i="1" s="1"/>
  <c r="M1368" i="1"/>
  <c r="K1368" i="1"/>
  <c r="L1368" i="1" s="1"/>
  <c r="M1320" i="1"/>
  <c r="K1320" i="1"/>
  <c r="L1320" i="1" s="1"/>
  <c r="M1284" i="1"/>
  <c r="K1284" i="1"/>
  <c r="L1284" i="1" s="1"/>
  <c r="K1272" i="1"/>
  <c r="L1272" i="1" s="1"/>
  <c r="M1272" i="1"/>
  <c r="M1224" i="1"/>
  <c r="K1224" i="1"/>
  <c r="L1224" i="1" s="1"/>
  <c r="M1212" i="1"/>
  <c r="K1212" i="1"/>
  <c r="L1212" i="1" s="1"/>
  <c r="M1188" i="1"/>
  <c r="K1188" i="1"/>
  <c r="L1188" i="1" s="1"/>
  <c r="M1152" i="1"/>
  <c r="K1152" i="1"/>
  <c r="L1152" i="1" s="1"/>
  <c r="K1128" i="1"/>
  <c r="L1128" i="1" s="1"/>
  <c r="M1128" i="1"/>
  <c r="K1092" i="1"/>
  <c r="L1092" i="1" s="1"/>
  <c r="M1092" i="1"/>
  <c r="M1080" i="1"/>
  <c r="K1080" i="1"/>
  <c r="L1080" i="1" s="1"/>
  <c r="M1068" i="1"/>
  <c r="K1068" i="1"/>
  <c r="L1068" i="1" s="1"/>
  <c r="M972" i="1"/>
  <c r="K972" i="1"/>
  <c r="L972" i="1" s="1"/>
  <c r="M936" i="1"/>
  <c r="K936" i="1"/>
  <c r="L936" i="1" s="1"/>
  <c r="M924" i="1"/>
  <c r="K924" i="1"/>
  <c r="L924" i="1" s="1"/>
  <c r="M852" i="1"/>
  <c r="K852" i="1"/>
  <c r="L852" i="1" s="1"/>
  <c r="M816" i="1"/>
  <c r="K816" i="1"/>
  <c r="L816" i="1" s="1"/>
  <c r="M792" i="1"/>
  <c r="K792" i="1"/>
  <c r="L792" i="1" s="1"/>
  <c r="M780" i="1"/>
  <c r="K780" i="1"/>
  <c r="L780" i="1" s="1"/>
  <c r="M720" i="1"/>
  <c r="K720" i="1"/>
  <c r="L720" i="1" s="1"/>
  <c r="M684" i="1"/>
  <c r="K684" i="1"/>
  <c r="L684" i="1" s="1"/>
  <c r="M636" i="1"/>
  <c r="K636" i="1"/>
  <c r="L636" i="1" s="1"/>
  <c r="M564" i="1"/>
  <c r="K564" i="1"/>
  <c r="L564" i="1" s="1"/>
  <c r="M528" i="1"/>
  <c r="K528" i="1"/>
  <c r="L528" i="1" s="1"/>
  <c r="M504" i="1"/>
  <c r="K504" i="1"/>
  <c r="L504" i="1" s="1"/>
  <c r="M468" i="1"/>
  <c r="K468" i="1"/>
  <c r="L468" i="1" s="1"/>
  <c r="M432" i="1"/>
  <c r="K432" i="1"/>
  <c r="L432" i="1" s="1"/>
  <c r="M348" i="1"/>
  <c r="K348" i="1"/>
  <c r="L348" i="1" s="1"/>
  <c r="M312" i="1"/>
  <c r="K312" i="1"/>
  <c r="L312" i="1" s="1"/>
  <c r="M252" i="1"/>
  <c r="K252" i="1"/>
  <c r="L252" i="1" s="1"/>
  <c r="M216" i="1"/>
  <c r="K216" i="1"/>
  <c r="L216" i="1" s="1"/>
  <c r="M180" i="1"/>
  <c r="K180" i="1"/>
  <c r="L180" i="1" s="1"/>
  <c r="M96" i="1"/>
  <c r="K96" i="1"/>
  <c r="L96" i="1" s="1"/>
  <c r="M60" i="1"/>
  <c r="K60" i="1"/>
  <c r="L60" i="1" s="1"/>
  <c r="M24" i="1"/>
  <c r="K24" i="1"/>
  <c r="L24" i="1" s="1"/>
  <c r="K1905" i="1"/>
  <c r="L1905" i="1" s="1"/>
  <c r="K1764" i="1"/>
  <c r="L1764" i="1" s="1"/>
  <c r="K1656" i="1"/>
  <c r="L1656" i="1" s="1"/>
  <c r="K1404" i="1"/>
  <c r="L1404" i="1" s="1"/>
  <c r="K1269" i="1"/>
  <c r="L1269" i="1" s="1"/>
  <c r="K1078" i="1"/>
  <c r="L1078" i="1" s="1"/>
  <c r="K1029" i="1"/>
  <c r="L1029" i="1" s="1"/>
  <c r="K934" i="1"/>
  <c r="L934" i="1" s="1"/>
  <c r="K837" i="1"/>
  <c r="L837" i="1" s="1"/>
  <c r="K706" i="1"/>
  <c r="L706" i="1" s="1"/>
  <c r="K648" i="1"/>
  <c r="L648" i="1" s="1"/>
  <c r="K609" i="1"/>
  <c r="L609" i="1" s="1"/>
  <c r="K514" i="1"/>
  <c r="L514" i="1" s="1"/>
  <c r="K465" i="1"/>
  <c r="L465" i="1" s="1"/>
  <c r="K420" i="1"/>
  <c r="L420" i="1" s="1"/>
  <c r="K325" i="1"/>
  <c r="L325" i="1" s="1"/>
  <c r="K276" i="1"/>
  <c r="L276" i="1" s="1"/>
  <c r="K82" i="1"/>
  <c r="L82" i="1" s="1"/>
  <c r="M478" i="1"/>
  <c r="M2099" i="1"/>
  <c r="K2099" i="1"/>
  <c r="L2099" i="1" s="1"/>
  <c r="M2027" i="1"/>
  <c r="K2027" i="1"/>
  <c r="L2027" i="1" s="1"/>
  <c r="M1967" i="1"/>
  <c r="K1967" i="1"/>
  <c r="L1967" i="1" s="1"/>
  <c r="M1895" i="1"/>
  <c r="K1895" i="1"/>
  <c r="L1895" i="1" s="1"/>
  <c r="M1871" i="1"/>
  <c r="K1871" i="1"/>
  <c r="L1871" i="1" s="1"/>
  <c r="M1847" i="1"/>
  <c r="K1847" i="1"/>
  <c r="L1847" i="1" s="1"/>
  <c r="M1799" i="1"/>
  <c r="K1799" i="1"/>
  <c r="L1799" i="1" s="1"/>
  <c r="M1703" i="1"/>
  <c r="K1703" i="1"/>
  <c r="L1703" i="1" s="1"/>
  <c r="K1643" i="1"/>
  <c r="L1643" i="1" s="1"/>
  <c r="M1643" i="1"/>
  <c r="M1631" i="1"/>
  <c r="K1631" i="1"/>
  <c r="L1631" i="1" s="1"/>
  <c r="K1607" i="1"/>
  <c r="L1607" i="1" s="1"/>
  <c r="M1607" i="1"/>
  <c r="M1583" i="1"/>
  <c r="K1583" i="1"/>
  <c r="L1583" i="1" s="1"/>
  <c r="M1523" i="1"/>
  <c r="K1523" i="1"/>
  <c r="L1523" i="1" s="1"/>
  <c r="K1499" i="1"/>
  <c r="L1499" i="1" s="1"/>
  <c r="M1499" i="1"/>
  <c r="M1439" i="1"/>
  <c r="K1439" i="1"/>
  <c r="L1439" i="1" s="1"/>
  <c r="M1379" i="1"/>
  <c r="K1379" i="1"/>
  <c r="L1379" i="1" s="1"/>
  <c r="M1367" i="1"/>
  <c r="K1367" i="1"/>
  <c r="L1367" i="1" s="1"/>
  <c r="M1355" i="1"/>
  <c r="K1355" i="1"/>
  <c r="L1355" i="1" s="1"/>
  <c r="M1283" i="1"/>
  <c r="K1283" i="1"/>
  <c r="L1283" i="1" s="1"/>
  <c r="M1235" i="1"/>
  <c r="K1235" i="1"/>
  <c r="L1235" i="1" s="1"/>
  <c r="M1223" i="1"/>
  <c r="K1223" i="1"/>
  <c r="L1223" i="1" s="1"/>
  <c r="M1187" i="1"/>
  <c r="K1187" i="1"/>
  <c r="L1187" i="1" s="1"/>
  <c r="M1163" i="1"/>
  <c r="K1163" i="1"/>
  <c r="L1163" i="1" s="1"/>
  <c r="M1127" i="1"/>
  <c r="K1127" i="1"/>
  <c r="L1127" i="1" s="1"/>
  <c r="K1091" i="1"/>
  <c r="L1091" i="1" s="1"/>
  <c r="M1091" i="1"/>
  <c r="M1079" i="1"/>
  <c r="K1079" i="1"/>
  <c r="L1079" i="1" s="1"/>
  <c r="M1067" i="1"/>
  <c r="K1067" i="1"/>
  <c r="L1067" i="1" s="1"/>
  <c r="M1031" i="1"/>
  <c r="K1031" i="1"/>
  <c r="L1031" i="1" s="1"/>
  <c r="M1007" i="1"/>
  <c r="K1007" i="1"/>
  <c r="L1007" i="1" s="1"/>
  <c r="M971" i="1"/>
  <c r="K971" i="1"/>
  <c r="L971" i="1" s="1"/>
  <c r="M947" i="1"/>
  <c r="K947" i="1"/>
  <c r="L947" i="1" s="1"/>
  <c r="M935" i="1"/>
  <c r="K935" i="1"/>
  <c r="L935" i="1" s="1"/>
  <c r="M899" i="1"/>
  <c r="K899" i="1"/>
  <c r="L899" i="1" s="1"/>
  <c r="M875" i="1"/>
  <c r="K875" i="1"/>
  <c r="L875" i="1" s="1"/>
  <c r="M851" i="1"/>
  <c r="K851" i="1"/>
  <c r="L851" i="1" s="1"/>
  <c r="M839" i="1"/>
  <c r="K839" i="1"/>
  <c r="L839" i="1" s="1"/>
  <c r="M815" i="1"/>
  <c r="K815" i="1"/>
  <c r="L815" i="1" s="1"/>
  <c r="M791" i="1"/>
  <c r="K791" i="1"/>
  <c r="L791" i="1" s="1"/>
  <c r="M755" i="1"/>
  <c r="K755" i="1"/>
  <c r="L755" i="1" s="1"/>
  <c r="M743" i="1"/>
  <c r="K743" i="1"/>
  <c r="L743" i="1" s="1"/>
  <c r="M719" i="1"/>
  <c r="K719" i="1"/>
  <c r="L719" i="1" s="1"/>
  <c r="M683" i="1"/>
  <c r="K683" i="1"/>
  <c r="L683" i="1" s="1"/>
  <c r="M659" i="1"/>
  <c r="K659" i="1"/>
  <c r="L659" i="1" s="1"/>
  <c r="M623" i="1"/>
  <c r="K623" i="1"/>
  <c r="L623" i="1" s="1"/>
  <c r="M611" i="1"/>
  <c r="K611" i="1"/>
  <c r="L611" i="1" s="1"/>
  <c r="M599" i="1"/>
  <c r="K599" i="1"/>
  <c r="L599" i="1" s="1"/>
  <c r="M563" i="1"/>
  <c r="K563" i="1"/>
  <c r="L563" i="1" s="1"/>
  <c r="M527" i="1"/>
  <c r="K527" i="1"/>
  <c r="L527" i="1" s="1"/>
  <c r="M503" i="1"/>
  <c r="K503" i="1"/>
  <c r="L503" i="1" s="1"/>
  <c r="M467" i="1"/>
  <c r="K467" i="1"/>
  <c r="L467" i="1" s="1"/>
  <c r="M455" i="1"/>
  <c r="K455" i="1"/>
  <c r="L455" i="1" s="1"/>
  <c r="M407" i="1"/>
  <c r="K407" i="1"/>
  <c r="L407" i="1" s="1"/>
  <c r="M371" i="1"/>
  <c r="K371" i="1"/>
  <c r="L371" i="1" s="1"/>
  <c r="M347" i="1"/>
  <c r="K347" i="1"/>
  <c r="L347" i="1" s="1"/>
  <c r="M335" i="1"/>
  <c r="K335" i="1"/>
  <c r="L335" i="1" s="1"/>
  <c r="M323" i="1"/>
  <c r="K323" i="1"/>
  <c r="L323" i="1" s="1"/>
  <c r="M311" i="1"/>
  <c r="K311" i="1"/>
  <c r="L311" i="1" s="1"/>
  <c r="M251" i="1"/>
  <c r="K251" i="1"/>
  <c r="L251" i="1" s="1"/>
  <c r="M215" i="1"/>
  <c r="K215" i="1"/>
  <c r="L215" i="1" s="1"/>
  <c r="M167" i="1"/>
  <c r="K167" i="1"/>
  <c r="L167" i="1" s="1"/>
  <c r="M155" i="1"/>
  <c r="K155" i="1"/>
  <c r="L155" i="1" s="1"/>
  <c r="M119" i="1"/>
  <c r="K119" i="1"/>
  <c r="L119" i="1" s="1"/>
  <c r="M95" i="1"/>
  <c r="K95" i="1"/>
  <c r="L95" i="1" s="1"/>
  <c r="M83" i="1"/>
  <c r="K83" i="1"/>
  <c r="L83" i="1" s="1"/>
  <c r="M59" i="1"/>
  <c r="K59" i="1"/>
  <c r="L59" i="1" s="1"/>
  <c r="M23" i="1"/>
  <c r="K23" i="1"/>
  <c r="L23" i="1" s="1"/>
  <c r="K1932" i="1"/>
  <c r="L1932" i="1" s="1"/>
  <c r="K1904" i="1"/>
  <c r="L1904" i="1" s="1"/>
  <c r="K1797" i="1"/>
  <c r="L1797" i="1" s="1"/>
  <c r="K1763" i="1"/>
  <c r="L1763" i="1" s="1"/>
  <c r="K1692" i="1"/>
  <c r="L1692" i="1" s="1"/>
  <c r="K1655" i="1"/>
  <c r="L1655" i="1" s="1"/>
  <c r="K1620" i="1"/>
  <c r="L1620" i="1" s="1"/>
  <c r="K1536" i="1"/>
  <c r="L1536" i="1" s="1"/>
  <c r="K1403" i="1"/>
  <c r="L1403" i="1" s="1"/>
  <c r="K1268" i="1"/>
  <c r="L1268" i="1" s="1"/>
  <c r="K1174" i="1"/>
  <c r="L1174" i="1" s="1"/>
  <c r="K1077" i="1"/>
  <c r="L1077" i="1" s="1"/>
  <c r="K1028" i="1"/>
  <c r="L1028" i="1" s="1"/>
  <c r="K982" i="1"/>
  <c r="L982" i="1" s="1"/>
  <c r="K933" i="1"/>
  <c r="L933" i="1" s="1"/>
  <c r="K888" i="1"/>
  <c r="L888" i="1" s="1"/>
  <c r="K836" i="1"/>
  <c r="L836" i="1" s="1"/>
  <c r="K744" i="1"/>
  <c r="L744" i="1" s="1"/>
  <c r="K705" i="1"/>
  <c r="L705" i="1" s="1"/>
  <c r="K647" i="1"/>
  <c r="L647" i="1" s="1"/>
  <c r="K608" i="1"/>
  <c r="L608" i="1" s="1"/>
  <c r="K550" i="1"/>
  <c r="L550" i="1" s="1"/>
  <c r="K513" i="1"/>
  <c r="L513" i="1" s="1"/>
  <c r="K464" i="1"/>
  <c r="L464" i="1" s="1"/>
  <c r="K419" i="1"/>
  <c r="L419" i="1" s="1"/>
  <c r="K324" i="1"/>
  <c r="L324" i="1" s="1"/>
  <c r="K275" i="1"/>
  <c r="L275" i="1" s="1"/>
  <c r="K227" i="1"/>
  <c r="L227" i="1" s="1"/>
  <c r="K178" i="1"/>
  <c r="L178" i="1" s="1"/>
  <c r="K133" i="1"/>
  <c r="L133" i="1" s="1"/>
  <c r="K81" i="1"/>
  <c r="L81" i="1" s="1"/>
  <c r="K37" i="1"/>
  <c r="L37" i="1" s="1"/>
  <c r="M1689" i="1"/>
  <c r="M477" i="1"/>
  <c r="K2001" i="1"/>
  <c r="L2001" i="1" s="1"/>
  <c r="K1931" i="1"/>
  <c r="L1931" i="1" s="1"/>
  <c r="K1833" i="1"/>
  <c r="L1833" i="1" s="1"/>
  <c r="K1796" i="1"/>
  <c r="L1796" i="1" s="1"/>
  <c r="K1725" i="1"/>
  <c r="L1725" i="1" s="1"/>
  <c r="K1691" i="1"/>
  <c r="L1691" i="1" s="1"/>
  <c r="K1619" i="1"/>
  <c r="L1619" i="1" s="1"/>
  <c r="K1572" i="1"/>
  <c r="L1572" i="1" s="1"/>
  <c r="K1485" i="1"/>
  <c r="L1485" i="1" s="1"/>
  <c r="K1449" i="1"/>
  <c r="L1449" i="1" s="1"/>
  <c r="K1305" i="1"/>
  <c r="L1305" i="1" s="1"/>
  <c r="K1260" i="1"/>
  <c r="L1260" i="1" s="1"/>
  <c r="K1211" i="1"/>
  <c r="L1211" i="1" s="1"/>
  <c r="K1173" i="1"/>
  <c r="L1173" i="1" s="1"/>
  <c r="K1116" i="1"/>
  <c r="L1116" i="1" s="1"/>
  <c r="K1076" i="1"/>
  <c r="L1076" i="1" s="1"/>
  <c r="K1019" i="1"/>
  <c r="L1019" i="1" s="1"/>
  <c r="K981" i="1"/>
  <c r="L981" i="1" s="1"/>
  <c r="K932" i="1"/>
  <c r="L932" i="1" s="1"/>
  <c r="K887" i="1"/>
  <c r="L887" i="1" s="1"/>
  <c r="K790" i="1"/>
  <c r="L790" i="1" s="1"/>
  <c r="K741" i="1"/>
  <c r="L741" i="1" s="1"/>
  <c r="K695" i="1"/>
  <c r="L695" i="1" s="1"/>
  <c r="K646" i="1"/>
  <c r="L646" i="1" s="1"/>
  <c r="K601" i="1"/>
  <c r="L601" i="1" s="1"/>
  <c r="K549" i="1"/>
  <c r="L549" i="1" s="1"/>
  <c r="K512" i="1"/>
  <c r="L512" i="1" s="1"/>
  <c r="K457" i="1"/>
  <c r="L457" i="1" s="1"/>
  <c r="K418" i="1"/>
  <c r="L418" i="1" s="1"/>
  <c r="K360" i="1"/>
  <c r="L360" i="1" s="1"/>
  <c r="K321" i="1"/>
  <c r="L321" i="1" s="1"/>
  <c r="K263" i="1"/>
  <c r="L263" i="1" s="1"/>
  <c r="K226" i="1"/>
  <c r="L226" i="1" s="1"/>
  <c r="K177" i="1"/>
  <c r="L177" i="1" s="1"/>
  <c r="K132" i="1"/>
  <c r="L132" i="1" s="1"/>
  <c r="K36" i="1"/>
  <c r="L36" i="1" s="1"/>
  <c r="M2097" i="1"/>
  <c r="M1416" i="1"/>
  <c r="M454" i="1"/>
  <c r="K2088" i="1"/>
  <c r="L2088" i="1" s="1"/>
  <c r="K2060" i="1"/>
  <c r="L2060" i="1" s="1"/>
  <c r="K2025" i="1"/>
  <c r="L2025" i="1" s="1"/>
  <c r="K2000" i="1"/>
  <c r="L2000" i="1" s="1"/>
  <c r="K1968" i="1"/>
  <c r="L1968" i="1" s="1"/>
  <c r="K1860" i="1"/>
  <c r="L1860" i="1" s="1"/>
  <c r="K1832" i="1"/>
  <c r="L1832" i="1" s="1"/>
  <c r="K1761" i="1"/>
  <c r="L1761" i="1" s="1"/>
  <c r="K1724" i="1"/>
  <c r="L1724" i="1" s="1"/>
  <c r="K1653" i="1"/>
  <c r="L1653" i="1" s="1"/>
  <c r="K1571" i="1"/>
  <c r="L1571" i="1" s="1"/>
  <c r="K1484" i="1"/>
  <c r="L1484" i="1" s="1"/>
  <c r="K1448" i="1"/>
  <c r="L1448" i="1" s="1"/>
  <c r="K1401" i="1"/>
  <c r="L1401" i="1" s="1"/>
  <c r="K1356" i="1"/>
  <c r="L1356" i="1" s="1"/>
  <c r="K1304" i="1"/>
  <c r="L1304" i="1" s="1"/>
  <c r="K1259" i="1"/>
  <c r="L1259" i="1" s="1"/>
  <c r="K1210" i="1"/>
  <c r="L1210" i="1" s="1"/>
  <c r="K1172" i="1"/>
  <c r="L1172" i="1" s="1"/>
  <c r="K1115" i="1"/>
  <c r="L1115" i="1" s="1"/>
  <c r="K1018" i="1"/>
  <c r="L1018" i="1" s="1"/>
  <c r="K980" i="1"/>
  <c r="L980" i="1" s="1"/>
  <c r="K886" i="1"/>
  <c r="L886" i="1" s="1"/>
  <c r="K789" i="1"/>
  <c r="L789" i="1" s="1"/>
  <c r="K740" i="1"/>
  <c r="L740" i="1" s="1"/>
  <c r="K694" i="1"/>
  <c r="L694" i="1" s="1"/>
  <c r="K645" i="1"/>
  <c r="L645" i="1" s="1"/>
  <c r="K600" i="1"/>
  <c r="L600" i="1" s="1"/>
  <c r="K548" i="1"/>
  <c r="L548" i="1" s="1"/>
  <c r="K456" i="1"/>
  <c r="L456" i="1" s="1"/>
  <c r="K417" i="1"/>
  <c r="L417" i="1" s="1"/>
  <c r="K359" i="1"/>
  <c r="L359" i="1" s="1"/>
  <c r="K320" i="1"/>
  <c r="L320" i="1" s="1"/>
  <c r="K262" i="1"/>
  <c r="L262" i="1" s="1"/>
  <c r="K225" i="1"/>
  <c r="L225" i="1" s="1"/>
  <c r="K176" i="1"/>
  <c r="L176" i="1" s="1"/>
  <c r="K131" i="1"/>
  <c r="L131" i="1" s="1"/>
  <c r="K35" i="1"/>
  <c r="L35" i="1" s="1"/>
  <c r="M1664" i="1"/>
  <c r="M1186" i="1"/>
  <c r="K1186" i="1"/>
  <c r="L1186" i="1" s="1"/>
  <c r="M1162" i="1"/>
  <c r="K1162" i="1"/>
  <c r="L1162" i="1" s="1"/>
  <c r="M1138" i="1"/>
  <c r="K1138" i="1"/>
  <c r="L1138" i="1" s="1"/>
  <c r="M1126" i="1"/>
  <c r="K1126" i="1"/>
  <c r="L1126" i="1" s="1"/>
  <c r="M1102" i="1"/>
  <c r="K1102" i="1"/>
  <c r="L1102" i="1" s="1"/>
  <c r="M1066" i="1"/>
  <c r="K1066" i="1"/>
  <c r="L1066" i="1" s="1"/>
  <c r="M1054" i="1"/>
  <c r="K1054" i="1"/>
  <c r="L1054" i="1" s="1"/>
  <c r="M1030" i="1"/>
  <c r="K1030" i="1"/>
  <c r="L1030" i="1" s="1"/>
  <c r="M1006" i="1"/>
  <c r="K1006" i="1"/>
  <c r="L1006" i="1" s="1"/>
  <c r="M970" i="1"/>
  <c r="K970" i="1"/>
  <c r="L970" i="1" s="1"/>
  <c r="M910" i="1"/>
  <c r="K910" i="1"/>
  <c r="L910" i="1" s="1"/>
  <c r="M898" i="1"/>
  <c r="K898" i="1"/>
  <c r="L898" i="1" s="1"/>
  <c r="M874" i="1"/>
  <c r="K874" i="1"/>
  <c r="L874" i="1" s="1"/>
  <c r="M850" i="1"/>
  <c r="K850" i="1"/>
  <c r="L850" i="1" s="1"/>
  <c r="M838" i="1"/>
  <c r="K838" i="1"/>
  <c r="L838" i="1" s="1"/>
  <c r="M814" i="1"/>
  <c r="K814" i="1"/>
  <c r="L814" i="1" s="1"/>
  <c r="M766" i="1"/>
  <c r="K766" i="1"/>
  <c r="L766" i="1" s="1"/>
  <c r="M754" i="1"/>
  <c r="K754" i="1"/>
  <c r="L754" i="1" s="1"/>
  <c r="M742" i="1"/>
  <c r="K742" i="1"/>
  <c r="L742" i="1" s="1"/>
  <c r="M718" i="1"/>
  <c r="K718" i="1"/>
  <c r="L718" i="1" s="1"/>
  <c r="M658" i="1"/>
  <c r="K658" i="1"/>
  <c r="L658" i="1" s="1"/>
  <c r="M622" i="1"/>
  <c r="K622" i="1"/>
  <c r="L622" i="1" s="1"/>
  <c r="M610" i="1"/>
  <c r="K610" i="1"/>
  <c r="L610" i="1" s="1"/>
  <c r="M598" i="1"/>
  <c r="K598" i="1"/>
  <c r="L598" i="1" s="1"/>
  <c r="M562" i="1"/>
  <c r="K562" i="1"/>
  <c r="L562" i="1" s="1"/>
  <c r="M538" i="1"/>
  <c r="K538" i="1"/>
  <c r="L538" i="1" s="1"/>
  <c r="M502" i="1"/>
  <c r="K502" i="1"/>
  <c r="L502" i="1" s="1"/>
  <c r="M466" i="1"/>
  <c r="K466" i="1"/>
  <c r="L466" i="1" s="1"/>
  <c r="M406" i="1"/>
  <c r="K406" i="1"/>
  <c r="L406" i="1" s="1"/>
  <c r="M382" i="1"/>
  <c r="K382" i="1"/>
  <c r="L382" i="1" s="1"/>
  <c r="M370" i="1"/>
  <c r="K370" i="1"/>
  <c r="L370" i="1" s="1"/>
  <c r="M346" i="1"/>
  <c r="K346" i="1"/>
  <c r="L346" i="1" s="1"/>
  <c r="M322" i="1"/>
  <c r="K322" i="1"/>
  <c r="L322" i="1" s="1"/>
  <c r="K310" i="1"/>
  <c r="L310" i="1" s="1"/>
  <c r="M310" i="1"/>
  <c r="M274" i="1"/>
  <c r="K274" i="1"/>
  <c r="L274" i="1" s="1"/>
  <c r="M250" i="1"/>
  <c r="K250" i="1"/>
  <c r="L250" i="1" s="1"/>
  <c r="M214" i="1"/>
  <c r="K214" i="1"/>
  <c r="L214" i="1" s="1"/>
  <c r="M190" i="1"/>
  <c r="K190" i="1"/>
  <c r="L190" i="1" s="1"/>
  <c r="M166" i="1"/>
  <c r="K166" i="1"/>
  <c r="L166" i="1" s="1"/>
  <c r="M154" i="1"/>
  <c r="K154" i="1"/>
  <c r="L154" i="1" s="1"/>
  <c r="M130" i="1"/>
  <c r="K130" i="1"/>
  <c r="L130" i="1" s="1"/>
  <c r="M118" i="1"/>
  <c r="K118" i="1"/>
  <c r="L118" i="1" s="1"/>
  <c r="M94" i="1"/>
  <c r="K94" i="1"/>
  <c r="L94" i="1" s="1"/>
  <c r="M58" i="1"/>
  <c r="K58" i="1"/>
  <c r="L58" i="1" s="1"/>
  <c r="M46" i="1"/>
  <c r="K46" i="1"/>
  <c r="L46" i="1" s="1"/>
  <c r="M34" i="1"/>
  <c r="K34" i="1"/>
  <c r="L34" i="1" s="1"/>
  <c r="M22" i="1"/>
  <c r="K22" i="1"/>
  <c r="L22" i="1" s="1"/>
  <c r="M2037" i="1"/>
  <c r="K2037" i="1"/>
  <c r="L2037" i="1" s="1"/>
  <c r="M1965" i="1"/>
  <c r="K1965" i="1"/>
  <c r="L1965" i="1" s="1"/>
  <c r="M1941" i="1"/>
  <c r="K1941" i="1"/>
  <c r="L1941" i="1" s="1"/>
  <c r="M1917" i="1"/>
  <c r="K1917" i="1"/>
  <c r="L1917" i="1" s="1"/>
  <c r="M1893" i="1"/>
  <c r="K1893" i="1"/>
  <c r="L1893" i="1" s="1"/>
  <c r="K1869" i="1"/>
  <c r="L1869" i="1" s="1"/>
  <c r="M1869" i="1"/>
  <c r="M1845" i="1"/>
  <c r="K1845" i="1"/>
  <c r="L1845" i="1" s="1"/>
  <c r="M1785" i="1"/>
  <c r="K1785" i="1"/>
  <c r="L1785" i="1" s="1"/>
  <c r="M1713" i="1"/>
  <c r="K1713" i="1"/>
  <c r="L1713" i="1" s="1"/>
  <c r="M1641" i="1"/>
  <c r="K1641" i="1"/>
  <c r="L1641" i="1" s="1"/>
  <c r="M1617" i="1"/>
  <c r="K1617" i="1"/>
  <c r="L1617" i="1" s="1"/>
  <c r="M1581" i="1"/>
  <c r="K1581" i="1"/>
  <c r="L1581" i="1" s="1"/>
  <c r="M1533" i="1"/>
  <c r="K1533" i="1"/>
  <c r="L1533" i="1" s="1"/>
  <c r="M1497" i="1"/>
  <c r="K1497" i="1"/>
  <c r="L1497" i="1" s="1"/>
  <c r="M1473" i="1"/>
  <c r="K1473" i="1"/>
  <c r="L1473" i="1" s="1"/>
  <c r="K1437" i="1"/>
  <c r="L1437" i="1" s="1"/>
  <c r="M1437" i="1"/>
  <c r="M1425" i="1"/>
  <c r="K1425" i="1"/>
  <c r="L1425" i="1" s="1"/>
  <c r="M1413" i="1"/>
  <c r="K1413" i="1"/>
  <c r="L1413" i="1" s="1"/>
  <c r="M1377" i="1"/>
  <c r="K1377" i="1"/>
  <c r="L1377" i="1" s="1"/>
  <c r="M1353" i="1"/>
  <c r="K1353" i="1"/>
  <c r="L1353" i="1" s="1"/>
  <c r="M1341" i="1"/>
  <c r="K1341" i="1"/>
  <c r="L1341" i="1" s="1"/>
  <c r="M1317" i="1"/>
  <c r="K1317" i="1"/>
  <c r="L1317" i="1" s="1"/>
  <c r="M1293" i="1"/>
  <c r="K1293" i="1"/>
  <c r="L1293" i="1" s="1"/>
  <c r="M1257" i="1"/>
  <c r="K1257" i="1"/>
  <c r="L1257" i="1" s="1"/>
  <c r="M1221" i="1"/>
  <c r="K1221" i="1"/>
  <c r="L1221" i="1" s="1"/>
  <c r="M1161" i="1"/>
  <c r="K1161" i="1"/>
  <c r="L1161" i="1" s="1"/>
  <c r="M1137" i="1"/>
  <c r="K1137" i="1"/>
  <c r="L1137" i="1" s="1"/>
  <c r="M1125" i="1"/>
  <c r="K1125" i="1"/>
  <c r="L1125" i="1" s="1"/>
  <c r="M1101" i="1"/>
  <c r="K1101" i="1"/>
  <c r="L1101" i="1" s="1"/>
  <c r="M1053" i="1"/>
  <c r="K1053" i="1"/>
  <c r="L1053" i="1" s="1"/>
  <c r="M1041" i="1"/>
  <c r="K1041" i="1"/>
  <c r="L1041" i="1" s="1"/>
  <c r="M1005" i="1"/>
  <c r="K1005" i="1"/>
  <c r="L1005" i="1" s="1"/>
  <c r="M969" i="1"/>
  <c r="K969" i="1"/>
  <c r="L969" i="1" s="1"/>
  <c r="M909" i="1"/>
  <c r="K909" i="1"/>
  <c r="L909" i="1" s="1"/>
  <c r="M885" i="1"/>
  <c r="K885" i="1"/>
  <c r="L885" i="1" s="1"/>
  <c r="M873" i="1"/>
  <c r="K873" i="1"/>
  <c r="L873" i="1" s="1"/>
  <c r="M849" i="1"/>
  <c r="K849" i="1"/>
  <c r="L849" i="1" s="1"/>
  <c r="M813" i="1"/>
  <c r="K813" i="1"/>
  <c r="L813" i="1" s="1"/>
  <c r="M765" i="1"/>
  <c r="K765" i="1"/>
  <c r="L765" i="1" s="1"/>
  <c r="M753" i="1"/>
  <c r="K753" i="1"/>
  <c r="L753" i="1" s="1"/>
  <c r="M717" i="1"/>
  <c r="K717" i="1"/>
  <c r="L717" i="1" s="1"/>
  <c r="M693" i="1"/>
  <c r="K693" i="1"/>
  <c r="L693" i="1" s="1"/>
  <c r="M657" i="1"/>
  <c r="K657" i="1"/>
  <c r="L657" i="1" s="1"/>
  <c r="M633" i="1"/>
  <c r="K633" i="1"/>
  <c r="L633" i="1" s="1"/>
  <c r="M621" i="1"/>
  <c r="K621" i="1"/>
  <c r="L621" i="1" s="1"/>
  <c r="M597" i="1"/>
  <c r="K597" i="1"/>
  <c r="L597" i="1" s="1"/>
  <c r="M585" i="1"/>
  <c r="K585" i="1"/>
  <c r="L585" i="1" s="1"/>
  <c r="M561" i="1"/>
  <c r="K561" i="1"/>
  <c r="L561" i="1" s="1"/>
  <c r="M537" i="1"/>
  <c r="K537" i="1"/>
  <c r="L537" i="1" s="1"/>
  <c r="M501" i="1"/>
  <c r="K501" i="1"/>
  <c r="L501" i="1" s="1"/>
  <c r="M441" i="1"/>
  <c r="K441" i="1"/>
  <c r="L441" i="1" s="1"/>
  <c r="M429" i="1"/>
  <c r="K429" i="1"/>
  <c r="L429" i="1" s="1"/>
  <c r="M405" i="1"/>
  <c r="K405" i="1"/>
  <c r="L405" i="1" s="1"/>
  <c r="M381" i="1"/>
  <c r="K381" i="1"/>
  <c r="L381" i="1" s="1"/>
  <c r="M369" i="1"/>
  <c r="K369" i="1"/>
  <c r="L369" i="1" s="1"/>
  <c r="M345" i="1"/>
  <c r="K345" i="1"/>
  <c r="L345" i="1" s="1"/>
  <c r="M297" i="1"/>
  <c r="K297" i="1"/>
  <c r="L297" i="1" s="1"/>
  <c r="M285" i="1"/>
  <c r="K285" i="1"/>
  <c r="L285" i="1" s="1"/>
  <c r="M273" i="1"/>
  <c r="K273" i="1"/>
  <c r="L273" i="1" s="1"/>
  <c r="M249" i="1"/>
  <c r="K249" i="1"/>
  <c r="L249" i="1" s="1"/>
  <c r="M213" i="1"/>
  <c r="K213" i="1"/>
  <c r="L213" i="1" s="1"/>
  <c r="M189" i="1"/>
  <c r="K189" i="1"/>
  <c r="L189" i="1" s="1"/>
  <c r="M153" i="1"/>
  <c r="K153" i="1"/>
  <c r="L153" i="1" s="1"/>
  <c r="M141" i="1"/>
  <c r="K141" i="1"/>
  <c r="L141" i="1" s="1"/>
  <c r="M129" i="1"/>
  <c r="K129" i="1"/>
  <c r="L129" i="1" s="1"/>
  <c r="M93" i="1"/>
  <c r="K93" i="1"/>
  <c r="L93" i="1" s="1"/>
  <c r="M33" i="1"/>
  <c r="K33" i="1"/>
  <c r="L33" i="1" s="1"/>
  <c r="M2036" i="1"/>
  <c r="K2036" i="1"/>
  <c r="L2036" i="1" s="1"/>
  <c r="M2012" i="1"/>
  <c r="K2012" i="1"/>
  <c r="L2012" i="1" s="1"/>
  <c r="M1964" i="1"/>
  <c r="K1964" i="1"/>
  <c r="L1964" i="1" s="1"/>
  <c r="M1940" i="1"/>
  <c r="K1940" i="1"/>
  <c r="L1940" i="1" s="1"/>
  <c r="M1916" i="1"/>
  <c r="K1916" i="1"/>
  <c r="L1916" i="1" s="1"/>
  <c r="M1844" i="1"/>
  <c r="K1844" i="1"/>
  <c r="L1844" i="1" s="1"/>
  <c r="M1784" i="1"/>
  <c r="K1784" i="1"/>
  <c r="L1784" i="1" s="1"/>
  <c r="M1760" i="1"/>
  <c r="K1760" i="1"/>
  <c r="L1760" i="1" s="1"/>
  <c r="M1712" i="1"/>
  <c r="K1712" i="1"/>
  <c r="L1712" i="1" s="1"/>
  <c r="M1688" i="1"/>
  <c r="K1688" i="1"/>
  <c r="L1688" i="1" s="1"/>
  <c r="M1640" i="1"/>
  <c r="K1640" i="1"/>
  <c r="L1640" i="1" s="1"/>
  <c r="M1616" i="1"/>
  <c r="K1616" i="1"/>
  <c r="L1616" i="1" s="1"/>
  <c r="M1580" i="1"/>
  <c r="K1580" i="1"/>
  <c r="L1580" i="1" s="1"/>
  <c r="M1568" i="1"/>
  <c r="K1568" i="1"/>
  <c r="L1568" i="1" s="1"/>
  <c r="M1556" i="1"/>
  <c r="K1556" i="1"/>
  <c r="L1556" i="1" s="1"/>
  <c r="M1544" i="1"/>
  <c r="K1544" i="1"/>
  <c r="L1544" i="1" s="1"/>
  <c r="M1532" i="1"/>
  <c r="K1532" i="1"/>
  <c r="L1532" i="1" s="1"/>
  <c r="M1496" i="1"/>
  <c r="K1496" i="1"/>
  <c r="L1496" i="1" s="1"/>
  <c r="M1472" i="1"/>
  <c r="K1472" i="1"/>
  <c r="L1472" i="1" s="1"/>
  <c r="M1424" i="1"/>
  <c r="K1424" i="1"/>
  <c r="L1424" i="1" s="1"/>
  <c r="M1412" i="1"/>
  <c r="K1412" i="1"/>
  <c r="L1412" i="1" s="1"/>
  <c r="M1400" i="1"/>
  <c r="K1400" i="1"/>
  <c r="L1400" i="1" s="1"/>
  <c r="M1388" i="1"/>
  <c r="K1388" i="1"/>
  <c r="L1388" i="1" s="1"/>
  <c r="M1352" i="1"/>
  <c r="K1352" i="1"/>
  <c r="L1352" i="1" s="1"/>
  <c r="M1316" i="1"/>
  <c r="K1316" i="1"/>
  <c r="L1316" i="1" s="1"/>
  <c r="M1292" i="1"/>
  <c r="K1292" i="1"/>
  <c r="L1292" i="1" s="1"/>
  <c r="M1280" i="1"/>
  <c r="K1280" i="1"/>
  <c r="L1280" i="1" s="1"/>
  <c r="M1256" i="1"/>
  <c r="K1256" i="1"/>
  <c r="L1256" i="1" s="1"/>
  <c r="M1244" i="1"/>
  <c r="K1244" i="1"/>
  <c r="L1244" i="1" s="1"/>
  <c r="M1208" i="1"/>
  <c r="K1208" i="1"/>
  <c r="L1208" i="1" s="1"/>
  <c r="M1196" i="1"/>
  <c r="K1196" i="1"/>
  <c r="L1196" i="1" s="1"/>
  <c r="M1160" i="1"/>
  <c r="K1160" i="1"/>
  <c r="L1160" i="1" s="1"/>
  <c r="M1136" i="1"/>
  <c r="K1136" i="1"/>
  <c r="L1136" i="1" s="1"/>
  <c r="M1124" i="1"/>
  <c r="K1124" i="1"/>
  <c r="L1124" i="1" s="1"/>
  <c r="M1112" i="1"/>
  <c r="K1112" i="1"/>
  <c r="L1112" i="1" s="1"/>
  <c r="M1100" i="1"/>
  <c r="K1100" i="1"/>
  <c r="L1100" i="1" s="1"/>
  <c r="M1064" i="1"/>
  <c r="K1064" i="1"/>
  <c r="L1064" i="1" s="1"/>
  <c r="M1040" i="1"/>
  <c r="K1040" i="1"/>
  <c r="L1040" i="1" s="1"/>
  <c r="M1004" i="1"/>
  <c r="K1004" i="1"/>
  <c r="L1004" i="1" s="1"/>
  <c r="M992" i="1"/>
  <c r="K992" i="1"/>
  <c r="L992" i="1" s="1"/>
  <c r="M956" i="1"/>
  <c r="K956" i="1"/>
  <c r="L956" i="1" s="1"/>
  <c r="M944" i="1"/>
  <c r="K944" i="1"/>
  <c r="L944" i="1" s="1"/>
  <c r="M920" i="1"/>
  <c r="K920" i="1"/>
  <c r="L920" i="1" s="1"/>
  <c r="M884" i="1"/>
  <c r="K884" i="1"/>
  <c r="L884" i="1" s="1"/>
  <c r="M872" i="1"/>
  <c r="K872" i="1"/>
  <c r="L872" i="1" s="1"/>
  <c r="M848" i="1"/>
  <c r="K848" i="1"/>
  <c r="L848" i="1" s="1"/>
  <c r="M788" i="1"/>
  <c r="K788" i="1"/>
  <c r="L788" i="1" s="1"/>
  <c r="M776" i="1"/>
  <c r="K776" i="1"/>
  <c r="L776" i="1" s="1"/>
  <c r="M752" i="1"/>
  <c r="K752" i="1"/>
  <c r="L752" i="1" s="1"/>
  <c r="M716" i="1"/>
  <c r="K716" i="1"/>
  <c r="L716" i="1" s="1"/>
  <c r="M704" i="1"/>
  <c r="K704" i="1"/>
  <c r="L704" i="1" s="1"/>
  <c r="M692" i="1"/>
  <c r="K692" i="1"/>
  <c r="L692" i="1" s="1"/>
  <c r="M668" i="1"/>
  <c r="K668" i="1"/>
  <c r="L668" i="1" s="1"/>
  <c r="M656" i="1"/>
  <c r="K656" i="1"/>
  <c r="L656" i="1" s="1"/>
  <c r="M632" i="1"/>
  <c r="K632" i="1"/>
  <c r="L632" i="1" s="1"/>
  <c r="M596" i="1"/>
  <c r="K596" i="1"/>
  <c r="L596" i="1" s="1"/>
  <c r="M560" i="1"/>
  <c r="K560" i="1"/>
  <c r="L560" i="1" s="1"/>
  <c r="M536" i="1"/>
  <c r="K536" i="1"/>
  <c r="L536" i="1" s="1"/>
  <c r="M500" i="1"/>
  <c r="K500" i="1"/>
  <c r="L500" i="1" s="1"/>
  <c r="M488" i="1"/>
  <c r="K488" i="1"/>
  <c r="L488" i="1" s="1"/>
  <c r="M440" i="1"/>
  <c r="K440" i="1"/>
  <c r="L440" i="1" s="1"/>
  <c r="M428" i="1"/>
  <c r="K428" i="1"/>
  <c r="L428" i="1" s="1"/>
  <c r="M416" i="1"/>
  <c r="K416" i="1"/>
  <c r="L416" i="1" s="1"/>
  <c r="M404" i="1"/>
  <c r="K404" i="1"/>
  <c r="L404" i="1" s="1"/>
  <c r="M380" i="1"/>
  <c r="K380" i="1"/>
  <c r="L380" i="1" s="1"/>
  <c r="M344" i="1"/>
  <c r="K344" i="1"/>
  <c r="L344" i="1" s="1"/>
  <c r="K296" i="1"/>
  <c r="L296" i="1" s="1"/>
  <c r="M296" i="1"/>
  <c r="M284" i="1"/>
  <c r="K284" i="1"/>
  <c r="L284" i="1" s="1"/>
  <c r="M272" i="1"/>
  <c r="K272" i="1"/>
  <c r="L272" i="1" s="1"/>
  <c r="M248" i="1"/>
  <c r="K248" i="1"/>
  <c r="L248" i="1" s="1"/>
  <c r="M224" i="1"/>
  <c r="K224" i="1"/>
  <c r="L224" i="1" s="1"/>
  <c r="M200" i="1"/>
  <c r="K200" i="1"/>
  <c r="L200" i="1" s="1"/>
  <c r="M188" i="1"/>
  <c r="K188" i="1"/>
  <c r="L188" i="1" s="1"/>
  <c r="M152" i="1"/>
  <c r="K152" i="1"/>
  <c r="L152" i="1" s="1"/>
  <c r="M140" i="1"/>
  <c r="K140" i="1"/>
  <c r="L140" i="1" s="1"/>
  <c r="M128" i="1"/>
  <c r="K128" i="1"/>
  <c r="L128" i="1" s="1"/>
  <c r="M92" i="1"/>
  <c r="K92" i="1"/>
  <c r="L92" i="1" s="1"/>
  <c r="M68" i="1"/>
  <c r="K68" i="1"/>
  <c r="L68" i="1" s="1"/>
  <c r="M56" i="1"/>
  <c r="K56" i="1"/>
  <c r="L56" i="1" s="1"/>
  <c r="M32" i="1"/>
  <c r="K32" i="1"/>
  <c r="L32" i="1" s="1"/>
  <c r="K2087" i="1"/>
  <c r="L2087" i="1" s="1"/>
  <c r="K2024" i="1"/>
  <c r="L2024" i="1" s="1"/>
  <c r="K1991" i="1"/>
  <c r="L1991" i="1" s="1"/>
  <c r="K1929" i="1"/>
  <c r="L1929" i="1" s="1"/>
  <c r="K1892" i="1"/>
  <c r="L1892" i="1" s="1"/>
  <c r="K1859" i="1"/>
  <c r="L1859" i="1" s="1"/>
  <c r="K1751" i="1"/>
  <c r="L1751" i="1" s="1"/>
  <c r="K1680" i="1"/>
  <c r="L1680" i="1" s="1"/>
  <c r="K1652" i="1"/>
  <c r="L1652" i="1" s="1"/>
  <c r="K1436" i="1"/>
  <c r="L1436" i="1" s="1"/>
  <c r="K1392" i="1"/>
  <c r="L1392" i="1" s="1"/>
  <c r="K1340" i="1"/>
  <c r="L1340" i="1" s="1"/>
  <c r="K1248" i="1"/>
  <c r="L1248" i="1" s="1"/>
  <c r="K1209" i="1"/>
  <c r="L1209" i="1" s="1"/>
  <c r="K1151" i="1"/>
  <c r="L1151" i="1" s="1"/>
  <c r="K1114" i="1"/>
  <c r="L1114" i="1" s="1"/>
  <c r="K1065" i="1"/>
  <c r="L1065" i="1" s="1"/>
  <c r="K1017" i="1"/>
  <c r="L1017" i="1" s="1"/>
  <c r="K968" i="1"/>
  <c r="L968" i="1" s="1"/>
  <c r="K923" i="1"/>
  <c r="L923" i="1" s="1"/>
  <c r="K828" i="1"/>
  <c r="L828" i="1" s="1"/>
  <c r="K779" i="1"/>
  <c r="L779" i="1" s="1"/>
  <c r="K731" i="1"/>
  <c r="L731" i="1" s="1"/>
  <c r="K682" i="1"/>
  <c r="L682" i="1" s="1"/>
  <c r="K644" i="1"/>
  <c r="L644" i="1" s="1"/>
  <c r="K587" i="1"/>
  <c r="L587" i="1" s="1"/>
  <c r="K493" i="1"/>
  <c r="L493" i="1" s="1"/>
  <c r="K453" i="1"/>
  <c r="L453" i="1" s="1"/>
  <c r="K396" i="1"/>
  <c r="L396" i="1" s="1"/>
  <c r="K358" i="1"/>
  <c r="L358" i="1" s="1"/>
  <c r="K309" i="1"/>
  <c r="L309" i="1" s="1"/>
  <c r="K261" i="1"/>
  <c r="L261" i="1" s="1"/>
  <c r="K212" i="1"/>
  <c r="L212" i="1" s="1"/>
  <c r="K169" i="1"/>
  <c r="L169" i="1" s="1"/>
  <c r="K117" i="1"/>
  <c r="L117" i="1" s="1"/>
  <c r="K72" i="1"/>
  <c r="L72" i="1" s="1"/>
  <c r="K21" i="1"/>
  <c r="L21" i="1" s="1"/>
  <c r="M2071" i="1"/>
  <c r="K2071" i="1"/>
  <c r="L2071" i="1" s="1"/>
  <c r="M1975" i="1"/>
  <c r="K1975" i="1"/>
  <c r="L1975" i="1" s="1"/>
  <c r="M1939" i="1"/>
  <c r="K1939" i="1"/>
  <c r="L1939" i="1" s="1"/>
  <c r="M1927" i="1"/>
  <c r="K1927" i="1"/>
  <c r="L1927" i="1" s="1"/>
  <c r="M1903" i="1"/>
  <c r="K1903" i="1"/>
  <c r="L1903" i="1" s="1"/>
  <c r="M1891" i="1"/>
  <c r="K1891" i="1"/>
  <c r="L1891" i="1" s="1"/>
  <c r="M1867" i="1"/>
  <c r="K1867" i="1"/>
  <c r="L1867" i="1" s="1"/>
  <c r="M1855" i="1"/>
  <c r="K1855" i="1"/>
  <c r="L1855" i="1" s="1"/>
  <c r="K1831" i="1"/>
  <c r="L1831" i="1" s="1"/>
  <c r="M1831" i="1"/>
  <c r="M1819" i="1"/>
  <c r="K1819" i="1"/>
  <c r="L1819" i="1" s="1"/>
  <c r="K1795" i="1"/>
  <c r="L1795" i="1" s="1"/>
  <c r="M1795" i="1"/>
  <c r="M1783" i="1"/>
  <c r="K1783" i="1"/>
  <c r="L1783" i="1" s="1"/>
  <c r="M1759" i="1"/>
  <c r="K1759" i="1"/>
  <c r="L1759" i="1" s="1"/>
  <c r="M1747" i="1"/>
  <c r="K1747" i="1"/>
  <c r="L1747" i="1" s="1"/>
  <c r="M1723" i="1"/>
  <c r="K1723" i="1"/>
  <c r="L1723" i="1" s="1"/>
  <c r="M1711" i="1"/>
  <c r="K1711" i="1"/>
  <c r="L1711" i="1" s="1"/>
  <c r="M1687" i="1"/>
  <c r="K1687" i="1"/>
  <c r="L1687" i="1" s="1"/>
  <c r="M1675" i="1"/>
  <c r="K1675" i="1"/>
  <c r="L1675" i="1" s="1"/>
  <c r="M1651" i="1"/>
  <c r="K1651" i="1"/>
  <c r="L1651" i="1" s="1"/>
  <c r="M1639" i="1"/>
  <c r="K1639" i="1"/>
  <c r="L1639" i="1" s="1"/>
  <c r="K1615" i="1"/>
  <c r="L1615" i="1" s="1"/>
  <c r="M1615" i="1"/>
  <c r="M1603" i="1"/>
  <c r="K1603" i="1"/>
  <c r="L1603" i="1" s="1"/>
  <c r="M1567" i="1"/>
  <c r="K1567" i="1"/>
  <c r="L1567" i="1" s="1"/>
  <c r="M1543" i="1"/>
  <c r="K1543" i="1"/>
  <c r="L1543" i="1" s="1"/>
  <c r="M1531" i="1"/>
  <c r="K1531" i="1"/>
  <c r="L1531" i="1" s="1"/>
  <c r="M1507" i="1"/>
  <c r="K1507" i="1"/>
  <c r="L1507" i="1" s="1"/>
  <c r="M1495" i="1"/>
  <c r="K1495" i="1"/>
  <c r="L1495" i="1" s="1"/>
  <c r="M1483" i="1"/>
  <c r="K1483" i="1"/>
  <c r="L1483" i="1" s="1"/>
  <c r="K1471" i="1"/>
  <c r="L1471" i="1" s="1"/>
  <c r="M1471" i="1"/>
  <c r="M1459" i="1"/>
  <c r="K1459" i="1"/>
  <c r="L1459" i="1" s="1"/>
  <c r="M1423" i="1"/>
  <c r="K1423" i="1"/>
  <c r="L1423" i="1" s="1"/>
  <c r="M1411" i="1"/>
  <c r="K1411" i="1"/>
  <c r="L1411" i="1" s="1"/>
  <c r="M1399" i="1"/>
  <c r="K1399" i="1"/>
  <c r="L1399" i="1" s="1"/>
  <c r="M1387" i="1"/>
  <c r="K1387" i="1"/>
  <c r="L1387" i="1" s="1"/>
  <c r="M1375" i="1"/>
  <c r="K1375" i="1"/>
  <c r="L1375" i="1" s="1"/>
  <c r="M1363" i="1"/>
  <c r="K1363" i="1"/>
  <c r="L1363" i="1" s="1"/>
  <c r="M1351" i="1"/>
  <c r="K1351" i="1"/>
  <c r="L1351" i="1" s="1"/>
  <c r="M1339" i="1"/>
  <c r="K1339" i="1"/>
  <c r="L1339" i="1" s="1"/>
  <c r="K1327" i="1"/>
  <c r="L1327" i="1" s="1"/>
  <c r="M1327" i="1"/>
  <c r="M1315" i="1"/>
  <c r="K1315" i="1"/>
  <c r="L1315" i="1" s="1"/>
  <c r="M1303" i="1"/>
  <c r="K1303" i="1"/>
  <c r="L1303" i="1" s="1"/>
  <c r="K1291" i="1"/>
  <c r="L1291" i="1" s="1"/>
  <c r="M1291" i="1"/>
  <c r="M1279" i="1"/>
  <c r="K1279" i="1"/>
  <c r="L1279" i="1" s="1"/>
  <c r="M1267" i="1"/>
  <c r="K1267" i="1"/>
  <c r="L1267" i="1" s="1"/>
  <c r="M1255" i="1"/>
  <c r="K1255" i="1"/>
  <c r="L1255" i="1" s="1"/>
  <c r="M1243" i="1"/>
  <c r="K1243" i="1"/>
  <c r="L1243" i="1" s="1"/>
  <c r="M1231" i="1"/>
  <c r="K1231" i="1"/>
  <c r="L1231" i="1" s="1"/>
  <c r="M1207" i="1"/>
  <c r="K1207" i="1"/>
  <c r="L1207" i="1" s="1"/>
  <c r="M1195" i="1"/>
  <c r="K1195" i="1"/>
  <c r="L1195" i="1" s="1"/>
  <c r="K1183" i="1"/>
  <c r="L1183" i="1" s="1"/>
  <c r="M1183" i="1"/>
  <c r="M1171" i="1"/>
  <c r="K1171" i="1"/>
  <c r="L1171" i="1" s="1"/>
  <c r="M1159" i="1"/>
  <c r="K1159" i="1"/>
  <c r="L1159" i="1" s="1"/>
  <c r="M1147" i="1"/>
  <c r="K1147" i="1"/>
  <c r="L1147" i="1" s="1"/>
  <c r="M1135" i="1"/>
  <c r="K1135" i="1"/>
  <c r="L1135" i="1" s="1"/>
  <c r="M1123" i="1"/>
  <c r="K1123" i="1"/>
  <c r="L1123" i="1" s="1"/>
  <c r="M1111" i="1"/>
  <c r="K1111" i="1"/>
  <c r="L1111" i="1" s="1"/>
  <c r="M1099" i="1"/>
  <c r="K1099" i="1"/>
  <c r="L1099" i="1" s="1"/>
  <c r="M1087" i="1"/>
  <c r="K1087" i="1"/>
  <c r="L1087" i="1" s="1"/>
  <c r="M1075" i="1"/>
  <c r="K1075" i="1"/>
  <c r="L1075" i="1" s="1"/>
  <c r="M1063" i="1"/>
  <c r="K1063" i="1"/>
  <c r="L1063" i="1" s="1"/>
  <c r="M1039" i="1"/>
  <c r="K1039" i="1"/>
  <c r="L1039" i="1" s="1"/>
  <c r="M1027" i="1"/>
  <c r="K1027" i="1"/>
  <c r="L1027" i="1" s="1"/>
  <c r="M1015" i="1"/>
  <c r="K1015" i="1"/>
  <c r="L1015" i="1" s="1"/>
  <c r="M1003" i="1"/>
  <c r="K1003" i="1"/>
  <c r="L1003" i="1" s="1"/>
  <c r="M991" i="1"/>
  <c r="K991" i="1"/>
  <c r="L991" i="1" s="1"/>
  <c r="M979" i="1"/>
  <c r="K979" i="1"/>
  <c r="L979" i="1" s="1"/>
  <c r="K967" i="1"/>
  <c r="L967" i="1" s="1"/>
  <c r="M967" i="1"/>
  <c r="M955" i="1"/>
  <c r="K955" i="1"/>
  <c r="L955" i="1" s="1"/>
  <c r="M943" i="1"/>
  <c r="K943" i="1"/>
  <c r="L943" i="1" s="1"/>
  <c r="M931" i="1"/>
  <c r="K931" i="1"/>
  <c r="L931" i="1" s="1"/>
  <c r="M919" i="1"/>
  <c r="K919" i="1"/>
  <c r="L919" i="1" s="1"/>
  <c r="M907" i="1"/>
  <c r="K907" i="1"/>
  <c r="L907" i="1" s="1"/>
  <c r="M895" i="1"/>
  <c r="K895" i="1"/>
  <c r="L895" i="1" s="1"/>
  <c r="M883" i="1"/>
  <c r="K883" i="1"/>
  <c r="L883" i="1" s="1"/>
  <c r="M871" i="1"/>
  <c r="K871" i="1"/>
  <c r="L871" i="1" s="1"/>
  <c r="K859" i="1"/>
  <c r="L859" i="1" s="1"/>
  <c r="M859" i="1"/>
  <c r="M847" i="1"/>
  <c r="K847" i="1"/>
  <c r="L847" i="1" s="1"/>
  <c r="M835" i="1"/>
  <c r="K835" i="1"/>
  <c r="L835" i="1" s="1"/>
  <c r="M823" i="1"/>
  <c r="K823" i="1"/>
  <c r="L823" i="1" s="1"/>
  <c r="M811" i="1"/>
  <c r="K811" i="1"/>
  <c r="L811" i="1" s="1"/>
  <c r="M799" i="1"/>
  <c r="K799" i="1"/>
  <c r="L799" i="1" s="1"/>
  <c r="M787" i="1"/>
  <c r="K787" i="1"/>
  <c r="L787" i="1" s="1"/>
  <c r="M775" i="1"/>
  <c r="K775" i="1"/>
  <c r="L775" i="1" s="1"/>
  <c r="M763" i="1"/>
  <c r="K763" i="1"/>
  <c r="L763" i="1" s="1"/>
  <c r="M751" i="1"/>
  <c r="K751" i="1"/>
  <c r="L751" i="1" s="1"/>
  <c r="M739" i="1"/>
  <c r="K739" i="1"/>
  <c r="L739" i="1" s="1"/>
  <c r="M727" i="1"/>
  <c r="K727" i="1"/>
  <c r="L727" i="1" s="1"/>
  <c r="K715" i="1"/>
  <c r="L715" i="1" s="1"/>
  <c r="M715" i="1"/>
  <c r="M703" i="1"/>
  <c r="K703" i="1"/>
  <c r="L703" i="1" s="1"/>
  <c r="M691" i="1"/>
  <c r="K691" i="1"/>
  <c r="L691" i="1" s="1"/>
  <c r="M679" i="1"/>
  <c r="K679" i="1"/>
  <c r="L679" i="1" s="1"/>
  <c r="M667" i="1"/>
  <c r="K667" i="1"/>
  <c r="L667" i="1" s="1"/>
  <c r="M655" i="1"/>
  <c r="K655" i="1"/>
  <c r="L655" i="1" s="1"/>
  <c r="M631" i="1"/>
  <c r="K631" i="1"/>
  <c r="L631" i="1" s="1"/>
  <c r="M619" i="1"/>
  <c r="K619" i="1"/>
  <c r="L619" i="1" s="1"/>
  <c r="M607" i="1"/>
  <c r="K607" i="1"/>
  <c r="L607" i="1" s="1"/>
  <c r="M595" i="1"/>
  <c r="K595" i="1"/>
  <c r="L595" i="1" s="1"/>
  <c r="M583" i="1"/>
  <c r="K583" i="1"/>
  <c r="L583" i="1" s="1"/>
  <c r="M571" i="1"/>
  <c r="K571" i="1"/>
  <c r="L571" i="1" s="1"/>
  <c r="M559" i="1"/>
  <c r="K559" i="1"/>
  <c r="L559" i="1" s="1"/>
  <c r="M547" i="1"/>
  <c r="K547" i="1"/>
  <c r="L547" i="1" s="1"/>
  <c r="M523" i="1"/>
  <c r="K523" i="1"/>
  <c r="L523" i="1" s="1"/>
  <c r="M511" i="1"/>
  <c r="K511" i="1"/>
  <c r="L511" i="1" s="1"/>
  <c r="M499" i="1"/>
  <c r="K499" i="1"/>
  <c r="L499" i="1" s="1"/>
  <c r="M487" i="1"/>
  <c r="K487" i="1"/>
  <c r="L487" i="1" s="1"/>
  <c r="M475" i="1"/>
  <c r="K475" i="1"/>
  <c r="L475" i="1" s="1"/>
  <c r="M463" i="1"/>
  <c r="K463" i="1"/>
  <c r="L463" i="1" s="1"/>
  <c r="M451" i="1"/>
  <c r="K451" i="1"/>
  <c r="L451" i="1" s="1"/>
  <c r="M439" i="1"/>
  <c r="K439" i="1"/>
  <c r="L439" i="1" s="1"/>
  <c r="M427" i="1"/>
  <c r="K427" i="1"/>
  <c r="L427" i="1" s="1"/>
  <c r="M415" i="1"/>
  <c r="K415" i="1"/>
  <c r="L415" i="1" s="1"/>
  <c r="M403" i="1"/>
  <c r="K403" i="1"/>
  <c r="L403" i="1" s="1"/>
  <c r="M391" i="1"/>
  <c r="K391" i="1"/>
  <c r="L391" i="1" s="1"/>
  <c r="M379" i="1"/>
  <c r="K379" i="1"/>
  <c r="L379" i="1" s="1"/>
  <c r="K367" i="1"/>
  <c r="L367" i="1" s="1"/>
  <c r="M367" i="1"/>
  <c r="M355" i="1"/>
  <c r="K355" i="1"/>
  <c r="L355" i="1" s="1"/>
  <c r="M343" i="1"/>
  <c r="K343" i="1"/>
  <c r="L343" i="1" s="1"/>
  <c r="M331" i="1"/>
  <c r="K331" i="1"/>
  <c r="L331" i="1" s="1"/>
  <c r="K319" i="1"/>
  <c r="L319" i="1" s="1"/>
  <c r="M319" i="1"/>
  <c r="M307" i="1"/>
  <c r="K307" i="1"/>
  <c r="L307" i="1" s="1"/>
  <c r="K295" i="1"/>
  <c r="L295" i="1" s="1"/>
  <c r="M295" i="1"/>
  <c r="M283" i="1"/>
  <c r="K283" i="1"/>
  <c r="L283" i="1" s="1"/>
  <c r="M271" i="1"/>
  <c r="K271" i="1"/>
  <c r="L271" i="1" s="1"/>
  <c r="M259" i="1"/>
  <c r="K259" i="1"/>
  <c r="L259" i="1" s="1"/>
  <c r="M247" i="1"/>
  <c r="K247" i="1"/>
  <c r="L247" i="1" s="1"/>
  <c r="M235" i="1"/>
  <c r="K235" i="1"/>
  <c r="L235" i="1" s="1"/>
  <c r="M223" i="1"/>
  <c r="K223" i="1"/>
  <c r="L223" i="1" s="1"/>
  <c r="K211" i="1"/>
  <c r="L211" i="1" s="1"/>
  <c r="M211" i="1"/>
  <c r="M199" i="1"/>
  <c r="K199" i="1"/>
  <c r="L199" i="1" s="1"/>
  <c r="M187" i="1"/>
  <c r="K187" i="1"/>
  <c r="L187" i="1" s="1"/>
  <c r="M175" i="1"/>
  <c r="K175" i="1"/>
  <c r="L175" i="1" s="1"/>
  <c r="M163" i="1"/>
  <c r="K163" i="1"/>
  <c r="L163" i="1" s="1"/>
  <c r="M151" i="1"/>
  <c r="K151" i="1"/>
  <c r="L151" i="1" s="1"/>
  <c r="M139" i="1"/>
  <c r="K139" i="1"/>
  <c r="L139" i="1" s="1"/>
  <c r="M127" i="1"/>
  <c r="K127" i="1"/>
  <c r="L127" i="1" s="1"/>
  <c r="M115" i="1"/>
  <c r="K115" i="1"/>
  <c r="L115" i="1" s="1"/>
  <c r="M103" i="1"/>
  <c r="K103" i="1"/>
  <c r="L103" i="1" s="1"/>
  <c r="M91" i="1"/>
  <c r="K91" i="1"/>
  <c r="L91" i="1" s="1"/>
  <c r="M79" i="1"/>
  <c r="K79" i="1"/>
  <c r="L79" i="1" s="1"/>
  <c r="K67" i="1"/>
  <c r="L67" i="1" s="1"/>
  <c r="M67" i="1"/>
  <c r="M55" i="1"/>
  <c r="K55" i="1"/>
  <c r="L55" i="1" s="1"/>
  <c r="M43" i="1"/>
  <c r="K43" i="1"/>
  <c r="L43" i="1" s="1"/>
  <c r="M31" i="1"/>
  <c r="K31" i="1"/>
  <c r="L31" i="1" s="1"/>
  <c r="M19" i="1"/>
  <c r="K19" i="1"/>
  <c r="L19" i="1" s="1"/>
  <c r="M7" i="1"/>
  <c r="K7" i="1"/>
  <c r="L7" i="1" s="1"/>
  <c r="K2023" i="1"/>
  <c r="L2023" i="1" s="1"/>
  <c r="K1591" i="1"/>
  <c r="L1591" i="1" s="1"/>
  <c r="M1051" i="1"/>
  <c r="M2083" i="1"/>
  <c r="K2083" i="1"/>
  <c r="L2083" i="1" s="1"/>
  <c r="K2047" i="1"/>
  <c r="L2047" i="1" s="1"/>
  <c r="M2047" i="1"/>
  <c r="M2035" i="1"/>
  <c r="K2035" i="1"/>
  <c r="L2035" i="1" s="1"/>
  <c r="M2011" i="1"/>
  <c r="K2011" i="1"/>
  <c r="L2011" i="1" s="1"/>
  <c r="M1999" i="1"/>
  <c r="K1999" i="1"/>
  <c r="L1999" i="1" s="1"/>
  <c r="M1963" i="1"/>
  <c r="K1963" i="1"/>
  <c r="L1963" i="1" s="1"/>
  <c r="M2094" i="1"/>
  <c r="K2094" i="1"/>
  <c r="L2094" i="1" s="1"/>
  <c r="M2082" i="1"/>
  <c r="K2082" i="1"/>
  <c r="L2082" i="1" s="1"/>
  <c r="M2070" i="1"/>
  <c r="K2070" i="1"/>
  <c r="L2070" i="1" s="1"/>
  <c r="M2058" i="1"/>
  <c r="K2058" i="1"/>
  <c r="L2058" i="1" s="1"/>
  <c r="M2046" i="1"/>
  <c r="K2046" i="1"/>
  <c r="L2046" i="1" s="1"/>
  <c r="M2034" i="1"/>
  <c r="K2034" i="1"/>
  <c r="L2034" i="1" s="1"/>
  <c r="M2022" i="1"/>
  <c r="K2022" i="1"/>
  <c r="L2022" i="1" s="1"/>
  <c r="M2010" i="1"/>
  <c r="K2010" i="1"/>
  <c r="L2010" i="1" s="1"/>
  <c r="M1998" i="1"/>
  <c r="K1998" i="1"/>
  <c r="L1998" i="1" s="1"/>
  <c r="M1986" i="1"/>
  <c r="K1986" i="1"/>
  <c r="L1986" i="1" s="1"/>
  <c r="M1974" i="1"/>
  <c r="K1974" i="1"/>
  <c r="L1974" i="1" s="1"/>
  <c r="M1962" i="1"/>
  <c r="K1962" i="1"/>
  <c r="L1962" i="1" s="1"/>
  <c r="M1950" i="1"/>
  <c r="K1950" i="1"/>
  <c r="L1950" i="1" s="1"/>
  <c r="M1938" i="1"/>
  <c r="K1938" i="1"/>
  <c r="L1938" i="1" s="1"/>
  <c r="M1926" i="1"/>
  <c r="K1926" i="1"/>
  <c r="L1926" i="1" s="1"/>
  <c r="M1914" i="1"/>
  <c r="K1914" i="1"/>
  <c r="L1914" i="1" s="1"/>
  <c r="M1902" i="1"/>
  <c r="K1902" i="1"/>
  <c r="L1902" i="1" s="1"/>
  <c r="M1890" i="1"/>
  <c r="K1890" i="1"/>
  <c r="L1890" i="1" s="1"/>
  <c r="M1878" i="1"/>
  <c r="K1878" i="1"/>
  <c r="L1878" i="1" s="1"/>
  <c r="M1866" i="1"/>
  <c r="K1866" i="1"/>
  <c r="L1866" i="1" s="1"/>
  <c r="M1854" i="1"/>
  <c r="K1854" i="1"/>
  <c r="L1854" i="1" s="1"/>
  <c r="M1842" i="1"/>
  <c r="K1842" i="1"/>
  <c r="L1842" i="1" s="1"/>
  <c r="M1830" i="1"/>
  <c r="K1830" i="1"/>
  <c r="L1830" i="1" s="1"/>
  <c r="M1818" i="1"/>
  <c r="K1818" i="1"/>
  <c r="L1818" i="1" s="1"/>
  <c r="M1806" i="1"/>
  <c r="K1806" i="1"/>
  <c r="L1806" i="1" s="1"/>
  <c r="M1794" i="1"/>
  <c r="K1794" i="1"/>
  <c r="L1794" i="1" s="1"/>
  <c r="M1782" i="1"/>
  <c r="K1782" i="1"/>
  <c r="L1782" i="1" s="1"/>
  <c r="M1770" i="1"/>
  <c r="K1770" i="1"/>
  <c r="L1770" i="1" s="1"/>
  <c r="M1758" i="1"/>
  <c r="K1758" i="1"/>
  <c r="L1758" i="1" s="1"/>
  <c r="M1746" i="1"/>
  <c r="K1746" i="1"/>
  <c r="L1746" i="1" s="1"/>
  <c r="M1734" i="1"/>
  <c r="K1734" i="1"/>
  <c r="L1734" i="1" s="1"/>
  <c r="M1722" i="1"/>
  <c r="K1722" i="1"/>
  <c r="L1722" i="1" s="1"/>
  <c r="M1710" i="1"/>
  <c r="K1710" i="1"/>
  <c r="L1710" i="1" s="1"/>
  <c r="M1698" i="1"/>
  <c r="K1698" i="1"/>
  <c r="L1698" i="1" s="1"/>
  <c r="M1686" i="1"/>
  <c r="K1686" i="1"/>
  <c r="L1686" i="1" s="1"/>
  <c r="M1674" i="1"/>
  <c r="K1674" i="1"/>
  <c r="L1674" i="1" s="1"/>
  <c r="M1662" i="1"/>
  <c r="K1662" i="1"/>
  <c r="L1662" i="1" s="1"/>
  <c r="M1650" i="1"/>
  <c r="K1650" i="1"/>
  <c r="L1650" i="1" s="1"/>
  <c r="M1638" i="1"/>
  <c r="K1638" i="1"/>
  <c r="L1638" i="1" s="1"/>
  <c r="M1626" i="1"/>
  <c r="K1626" i="1"/>
  <c r="L1626" i="1" s="1"/>
  <c r="M1614" i="1"/>
  <c r="K1614" i="1"/>
  <c r="L1614" i="1" s="1"/>
  <c r="M1602" i="1"/>
  <c r="K1602" i="1"/>
  <c r="L1602" i="1" s="1"/>
  <c r="M1590" i="1"/>
  <c r="K1590" i="1"/>
  <c r="L1590" i="1" s="1"/>
  <c r="M1578" i="1"/>
  <c r="K1578" i="1"/>
  <c r="L1578" i="1" s="1"/>
  <c r="M1566" i="1"/>
  <c r="K1566" i="1"/>
  <c r="L1566" i="1" s="1"/>
  <c r="M1554" i="1"/>
  <c r="K1554" i="1"/>
  <c r="L1554" i="1" s="1"/>
  <c r="M1542" i="1"/>
  <c r="K1542" i="1"/>
  <c r="L1542" i="1" s="1"/>
  <c r="M1530" i="1"/>
  <c r="K1530" i="1"/>
  <c r="L1530" i="1" s="1"/>
  <c r="M1518" i="1"/>
  <c r="K1518" i="1"/>
  <c r="L1518" i="1" s="1"/>
  <c r="M1506" i="1"/>
  <c r="K1506" i="1"/>
  <c r="L1506" i="1" s="1"/>
  <c r="M1494" i="1"/>
  <c r="K1494" i="1"/>
  <c r="L1494" i="1" s="1"/>
  <c r="M1482" i="1"/>
  <c r="K1482" i="1"/>
  <c r="L1482" i="1" s="1"/>
  <c r="M1470" i="1"/>
  <c r="K1470" i="1"/>
  <c r="L1470" i="1" s="1"/>
  <c r="M1458" i="1"/>
  <c r="K1458" i="1"/>
  <c r="L1458" i="1" s="1"/>
  <c r="M1446" i="1"/>
  <c r="K1446" i="1"/>
  <c r="L1446" i="1" s="1"/>
  <c r="M1434" i="1"/>
  <c r="K1434" i="1"/>
  <c r="L1434" i="1" s="1"/>
  <c r="M1422" i="1"/>
  <c r="K1422" i="1"/>
  <c r="L1422" i="1" s="1"/>
  <c r="M1410" i="1"/>
  <c r="K1410" i="1"/>
  <c r="L1410" i="1" s="1"/>
  <c r="M1398" i="1"/>
  <c r="K1398" i="1"/>
  <c r="L1398" i="1" s="1"/>
  <c r="M1386" i="1"/>
  <c r="K1386" i="1"/>
  <c r="L1386" i="1" s="1"/>
  <c r="M1374" i="1"/>
  <c r="K1374" i="1"/>
  <c r="L1374" i="1" s="1"/>
  <c r="M1362" i="1"/>
  <c r="K1362" i="1"/>
  <c r="L1362" i="1" s="1"/>
  <c r="M1350" i="1"/>
  <c r="K1350" i="1"/>
  <c r="L1350" i="1" s="1"/>
  <c r="M1338" i="1"/>
  <c r="K1338" i="1"/>
  <c r="L1338" i="1" s="1"/>
  <c r="M1326" i="1"/>
  <c r="K1326" i="1"/>
  <c r="L1326" i="1" s="1"/>
  <c r="M1314" i="1"/>
  <c r="K1314" i="1"/>
  <c r="L1314" i="1" s="1"/>
  <c r="M1302" i="1"/>
  <c r="K1302" i="1"/>
  <c r="L1302" i="1" s="1"/>
  <c r="M1290" i="1"/>
  <c r="K1290" i="1"/>
  <c r="L1290" i="1" s="1"/>
  <c r="M1278" i="1"/>
  <c r="K1278" i="1"/>
  <c r="L1278" i="1" s="1"/>
  <c r="M1266" i="1"/>
  <c r="K1266" i="1"/>
  <c r="L1266" i="1" s="1"/>
  <c r="M1254" i="1"/>
  <c r="K1254" i="1"/>
  <c r="L1254" i="1" s="1"/>
  <c r="M1242" i="1"/>
  <c r="K1242" i="1"/>
  <c r="L1242" i="1" s="1"/>
  <c r="M1230" i="1"/>
  <c r="K1230" i="1"/>
  <c r="L1230" i="1" s="1"/>
  <c r="M1218" i="1"/>
  <c r="K1218" i="1"/>
  <c r="L1218" i="1" s="1"/>
  <c r="M1206" i="1"/>
  <c r="K1206" i="1"/>
  <c r="L1206" i="1" s="1"/>
  <c r="M1194" i="1"/>
  <c r="K1194" i="1"/>
  <c r="L1194" i="1" s="1"/>
  <c r="M1182" i="1"/>
  <c r="K1182" i="1"/>
  <c r="L1182" i="1" s="1"/>
  <c r="M1170" i="1"/>
  <c r="K1170" i="1"/>
  <c r="L1170" i="1" s="1"/>
  <c r="M1158" i="1"/>
  <c r="K1158" i="1"/>
  <c r="L1158" i="1" s="1"/>
  <c r="M1146" i="1"/>
  <c r="K1146" i="1"/>
  <c r="L1146" i="1" s="1"/>
  <c r="M1134" i="1"/>
  <c r="K1134" i="1"/>
  <c r="L1134" i="1" s="1"/>
  <c r="M1122" i="1"/>
  <c r="K1122" i="1"/>
  <c r="L1122" i="1" s="1"/>
  <c r="M1110" i="1"/>
  <c r="K1110" i="1"/>
  <c r="L1110" i="1" s="1"/>
  <c r="M1098" i="1"/>
  <c r="K1098" i="1"/>
  <c r="L1098" i="1" s="1"/>
  <c r="M1086" i="1"/>
  <c r="K1086" i="1"/>
  <c r="L1086" i="1" s="1"/>
  <c r="M1074" i="1"/>
  <c r="K1074" i="1"/>
  <c r="L1074" i="1" s="1"/>
  <c r="M1062" i="1"/>
  <c r="K1062" i="1"/>
  <c r="L1062" i="1" s="1"/>
  <c r="M1050" i="1"/>
  <c r="K1050" i="1"/>
  <c r="L1050" i="1" s="1"/>
  <c r="M1038" i="1"/>
  <c r="K1038" i="1"/>
  <c r="L1038" i="1" s="1"/>
  <c r="M1026" i="1"/>
  <c r="K1026" i="1"/>
  <c r="L1026" i="1" s="1"/>
  <c r="M1014" i="1"/>
  <c r="K1014" i="1"/>
  <c r="L1014" i="1" s="1"/>
  <c r="M1002" i="1"/>
  <c r="K1002" i="1"/>
  <c r="L1002" i="1" s="1"/>
  <c r="M990" i="1"/>
  <c r="K990" i="1"/>
  <c r="L990" i="1" s="1"/>
  <c r="M978" i="1"/>
  <c r="K978" i="1"/>
  <c r="L978" i="1" s="1"/>
  <c r="K966" i="1"/>
  <c r="L966" i="1" s="1"/>
  <c r="M966" i="1"/>
  <c r="M954" i="1"/>
  <c r="K954" i="1"/>
  <c r="L954" i="1" s="1"/>
  <c r="M942" i="1"/>
  <c r="K942" i="1"/>
  <c r="L942" i="1" s="1"/>
  <c r="M930" i="1"/>
  <c r="K930" i="1"/>
  <c r="L930" i="1" s="1"/>
  <c r="M918" i="1"/>
  <c r="K918" i="1"/>
  <c r="L918" i="1" s="1"/>
  <c r="K906" i="1"/>
  <c r="L906" i="1" s="1"/>
  <c r="M906" i="1"/>
  <c r="M894" i="1"/>
  <c r="K894" i="1"/>
  <c r="L894" i="1" s="1"/>
  <c r="M882" i="1"/>
  <c r="K882" i="1"/>
  <c r="L882" i="1" s="1"/>
  <c r="M870" i="1"/>
  <c r="K870" i="1"/>
  <c r="L870" i="1" s="1"/>
  <c r="K858" i="1"/>
  <c r="L858" i="1" s="1"/>
  <c r="M858" i="1"/>
  <c r="M846" i="1"/>
  <c r="K846" i="1"/>
  <c r="L846" i="1" s="1"/>
  <c r="M834" i="1"/>
  <c r="K834" i="1"/>
  <c r="L834" i="1" s="1"/>
  <c r="M822" i="1"/>
  <c r="K822" i="1"/>
  <c r="L822" i="1" s="1"/>
  <c r="M810" i="1"/>
  <c r="K810" i="1"/>
  <c r="L810" i="1" s="1"/>
  <c r="M798" i="1"/>
  <c r="K798" i="1"/>
  <c r="L798" i="1" s="1"/>
  <c r="M786" i="1"/>
  <c r="K786" i="1"/>
  <c r="L786" i="1" s="1"/>
  <c r="M774" i="1"/>
  <c r="K774" i="1"/>
  <c r="L774" i="1" s="1"/>
  <c r="M762" i="1"/>
  <c r="K762" i="1"/>
  <c r="L762" i="1" s="1"/>
  <c r="M750" i="1"/>
  <c r="K750" i="1"/>
  <c r="L750" i="1" s="1"/>
  <c r="M738" i="1"/>
  <c r="K738" i="1"/>
  <c r="L738" i="1" s="1"/>
  <c r="K726" i="1"/>
  <c r="L726" i="1" s="1"/>
  <c r="M726" i="1"/>
  <c r="K714" i="1"/>
  <c r="L714" i="1" s="1"/>
  <c r="M714" i="1"/>
  <c r="M702" i="1"/>
  <c r="K702" i="1"/>
  <c r="L702" i="1" s="1"/>
  <c r="M690" i="1"/>
  <c r="K690" i="1"/>
  <c r="L690" i="1" s="1"/>
  <c r="M678" i="1"/>
  <c r="K678" i="1"/>
  <c r="L678" i="1" s="1"/>
  <c r="M666" i="1"/>
  <c r="K666" i="1"/>
  <c r="L666" i="1" s="1"/>
  <c r="M654" i="1"/>
  <c r="K654" i="1"/>
  <c r="L654" i="1" s="1"/>
  <c r="K642" i="1"/>
  <c r="L642" i="1" s="1"/>
  <c r="M642" i="1"/>
  <c r="M630" i="1"/>
  <c r="K630" i="1"/>
  <c r="L630" i="1" s="1"/>
  <c r="K618" i="1"/>
  <c r="L618" i="1" s="1"/>
  <c r="M618" i="1"/>
  <c r="M606" i="1"/>
  <c r="K606" i="1"/>
  <c r="L606" i="1" s="1"/>
  <c r="M594" i="1"/>
  <c r="K594" i="1"/>
  <c r="L594" i="1" s="1"/>
  <c r="M582" i="1"/>
  <c r="K582" i="1"/>
  <c r="L582" i="1" s="1"/>
  <c r="M570" i="1"/>
  <c r="K570" i="1"/>
  <c r="L570" i="1" s="1"/>
  <c r="M558" i="1"/>
  <c r="K558" i="1"/>
  <c r="L558" i="1" s="1"/>
  <c r="M546" i="1"/>
  <c r="K546" i="1"/>
  <c r="L546" i="1" s="1"/>
  <c r="M522" i="1"/>
  <c r="K522" i="1"/>
  <c r="L522" i="1" s="1"/>
  <c r="M510" i="1"/>
  <c r="K510" i="1"/>
  <c r="L510" i="1" s="1"/>
  <c r="M498" i="1"/>
  <c r="K498" i="1"/>
  <c r="L498" i="1" s="1"/>
  <c r="M486" i="1"/>
  <c r="K486" i="1"/>
  <c r="L486" i="1" s="1"/>
  <c r="M474" i="1"/>
  <c r="K474" i="1"/>
  <c r="L474" i="1" s="1"/>
  <c r="M462" i="1"/>
  <c r="K462" i="1"/>
  <c r="L462" i="1" s="1"/>
  <c r="M450" i="1"/>
  <c r="K450" i="1"/>
  <c r="L450" i="1" s="1"/>
  <c r="M438" i="1"/>
  <c r="K438" i="1"/>
  <c r="L438" i="1" s="1"/>
  <c r="M426" i="1"/>
  <c r="K426" i="1"/>
  <c r="L426" i="1" s="1"/>
  <c r="M414" i="1"/>
  <c r="K414" i="1"/>
  <c r="L414" i="1" s="1"/>
  <c r="M390" i="1"/>
  <c r="K390" i="1"/>
  <c r="L390" i="1" s="1"/>
  <c r="M378" i="1"/>
  <c r="K378" i="1"/>
  <c r="L378" i="1" s="1"/>
  <c r="K366" i="1"/>
  <c r="L366" i="1" s="1"/>
  <c r="M366" i="1"/>
  <c r="M354" i="1"/>
  <c r="K354" i="1"/>
  <c r="L354" i="1" s="1"/>
  <c r="M342" i="1"/>
  <c r="K342" i="1"/>
  <c r="L342" i="1" s="1"/>
  <c r="M330" i="1"/>
  <c r="K330" i="1"/>
  <c r="L330" i="1" s="1"/>
  <c r="M318" i="1"/>
  <c r="K318" i="1"/>
  <c r="L318" i="1" s="1"/>
  <c r="M306" i="1"/>
  <c r="K306" i="1"/>
  <c r="L306" i="1" s="1"/>
  <c r="K294" i="1"/>
  <c r="L294" i="1" s="1"/>
  <c r="M294" i="1"/>
  <c r="K282" i="1"/>
  <c r="L282" i="1" s="1"/>
  <c r="M282" i="1"/>
  <c r="M270" i="1"/>
  <c r="K270" i="1"/>
  <c r="L270" i="1" s="1"/>
  <c r="M258" i="1"/>
  <c r="K258" i="1"/>
  <c r="L258" i="1" s="1"/>
  <c r="M246" i="1"/>
  <c r="K246" i="1"/>
  <c r="L246" i="1" s="1"/>
  <c r="M234" i="1"/>
  <c r="K234" i="1"/>
  <c r="L234" i="1" s="1"/>
  <c r="M222" i="1"/>
  <c r="K222" i="1"/>
  <c r="L222" i="1" s="1"/>
  <c r="K210" i="1"/>
  <c r="L210" i="1" s="1"/>
  <c r="M210" i="1"/>
  <c r="M198" i="1"/>
  <c r="K198" i="1"/>
  <c r="L198" i="1" s="1"/>
  <c r="M186" i="1"/>
  <c r="K186" i="1"/>
  <c r="L186" i="1" s="1"/>
  <c r="M174" i="1"/>
  <c r="K174" i="1"/>
  <c r="L174" i="1" s="1"/>
  <c r="M162" i="1"/>
  <c r="K162" i="1"/>
  <c r="L162" i="1" s="1"/>
  <c r="M150" i="1"/>
  <c r="K150" i="1"/>
  <c r="L150" i="1" s="1"/>
  <c r="M138" i="1"/>
  <c r="K138" i="1"/>
  <c r="L138" i="1" s="1"/>
  <c r="M126" i="1"/>
  <c r="K126" i="1"/>
  <c r="L126" i="1" s="1"/>
  <c r="M114" i="1"/>
  <c r="K114" i="1"/>
  <c r="L114" i="1" s="1"/>
  <c r="M102" i="1"/>
  <c r="K102" i="1"/>
  <c r="L102" i="1" s="1"/>
  <c r="M90" i="1"/>
  <c r="K90" i="1"/>
  <c r="L90" i="1" s="1"/>
  <c r="M78" i="1"/>
  <c r="K78" i="1"/>
  <c r="L78" i="1" s="1"/>
  <c r="K66" i="1"/>
  <c r="L66" i="1" s="1"/>
  <c r="M66" i="1"/>
  <c r="M54" i="1"/>
  <c r="K54" i="1"/>
  <c r="L54" i="1" s="1"/>
  <c r="K42" i="1"/>
  <c r="L42" i="1" s="1"/>
  <c r="M42" i="1"/>
  <c r="M30" i="1"/>
  <c r="K30" i="1"/>
  <c r="L30" i="1" s="1"/>
  <c r="M18" i="1"/>
  <c r="K18" i="1"/>
  <c r="L18" i="1" s="1"/>
  <c r="M6" i="1"/>
  <c r="K6" i="1"/>
  <c r="L6" i="1" s="1"/>
  <c r="K1771" i="1"/>
  <c r="L1771" i="1" s="1"/>
  <c r="M2093" i="1"/>
  <c r="K2093" i="1"/>
  <c r="L2093" i="1" s="1"/>
  <c r="M2081" i="1"/>
  <c r="K2081" i="1"/>
  <c r="L2081" i="1" s="1"/>
  <c r="M2069" i="1"/>
  <c r="K2069" i="1"/>
  <c r="L2069" i="1" s="1"/>
  <c r="M2057" i="1"/>
  <c r="K2057" i="1"/>
  <c r="L2057" i="1" s="1"/>
  <c r="M2045" i="1"/>
  <c r="K2045" i="1"/>
  <c r="L2045" i="1" s="1"/>
  <c r="M2033" i="1"/>
  <c r="K2033" i="1"/>
  <c r="L2033" i="1" s="1"/>
  <c r="M2021" i="1"/>
  <c r="K2021" i="1"/>
  <c r="L2021" i="1" s="1"/>
  <c r="M2009" i="1"/>
  <c r="K2009" i="1"/>
  <c r="L2009" i="1" s="1"/>
  <c r="M1997" i="1"/>
  <c r="K1997" i="1"/>
  <c r="L1997" i="1" s="1"/>
  <c r="M1985" i="1"/>
  <c r="K1985" i="1"/>
  <c r="L1985" i="1" s="1"/>
  <c r="M1973" i="1"/>
  <c r="K1973" i="1"/>
  <c r="L1973" i="1" s="1"/>
  <c r="M1961" i="1"/>
  <c r="K1961" i="1"/>
  <c r="L1961" i="1" s="1"/>
  <c r="M1949" i="1"/>
  <c r="K1949" i="1"/>
  <c r="L1949" i="1" s="1"/>
  <c r="M1937" i="1"/>
  <c r="K1937" i="1"/>
  <c r="L1937" i="1" s="1"/>
  <c r="M1925" i="1"/>
  <c r="K1925" i="1"/>
  <c r="L1925" i="1" s="1"/>
  <c r="M1913" i="1"/>
  <c r="K1913" i="1"/>
  <c r="L1913" i="1" s="1"/>
  <c r="M1901" i="1"/>
  <c r="K1901" i="1"/>
  <c r="L1901" i="1" s="1"/>
  <c r="M1889" i="1"/>
  <c r="K1889" i="1"/>
  <c r="L1889" i="1" s="1"/>
  <c r="M1877" i="1"/>
  <c r="K1877" i="1"/>
  <c r="L1877" i="1" s="1"/>
  <c r="M1865" i="1"/>
  <c r="K1865" i="1"/>
  <c r="L1865" i="1" s="1"/>
  <c r="M1853" i="1"/>
  <c r="K1853" i="1"/>
  <c r="L1853" i="1" s="1"/>
  <c r="M1841" i="1"/>
  <c r="K1841" i="1"/>
  <c r="L1841" i="1" s="1"/>
  <c r="M1829" i="1"/>
  <c r="K1829" i="1"/>
  <c r="L1829" i="1" s="1"/>
  <c r="M1817" i="1"/>
  <c r="K1817" i="1"/>
  <c r="L1817" i="1" s="1"/>
  <c r="M1805" i="1"/>
  <c r="K1805" i="1"/>
  <c r="L1805" i="1" s="1"/>
  <c r="M1793" i="1"/>
  <c r="K1793" i="1"/>
  <c r="L1793" i="1" s="1"/>
  <c r="M1781" i="1"/>
  <c r="K1781" i="1"/>
  <c r="L1781" i="1" s="1"/>
  <c r="M1769" i="1"/>
  <c r="K1769" i="1"/>
  <c r="L1769" i="1" s="1"/>
  <c r="M1757" i="1"/>
  <c r="K1757" i="1"/>
  <c r="L1757" i="1" s="1"/>
  <c r="M1745" i="1"/>
  <c r="K1745" i="1"/>
  <c r="L1745" i="1" s="1"/>
  <c r="M1733" i="1"/>
  <c r="K1733" i="1"/>
  <c r="L1733" i="1" s="1"/>
  <c r="M1721" i="1"/>
  <c r="K1721" i="1"/>
  <c r="L1721" i="1" s="1"/>
  <c r="M1709" i="1"/>
  <c r="K1709" i="1"/>
  <c r="L1709" i="1" s="1"/>
  <c r="M1697" i="1"/>
  <c r="K1697" i="1"/>
  <c r="L1697" i="1" s="1"/>
  <c r="M1685" i="1"/>
  <c r="K1685" i="1"/>
  <c r="L1685" i="1" s="1"/>
  <c r="M1673" i="1"/>
  <c r="K1673" i="1"/>
  <c r="L1673" i="1" s="1"/>
  <c r="M1661" i="1"/>
  <c r="K1661" i="1"/>
  <c r="L1661" i="1" s="1"/>
  <c r="M1649" i="1"/>
  <c r="K1649" i="1"/>
  <c r="L1649" i="1" s="1"/>
  <c r="M1637" i="1"/>
  <c r="K1637" i="1"/>
  <c r="L1637" i="1" s="1"/>
  <c r="M1625" i="1"/>
  <c r="K1625" i="1"/>
  <c r="L1625" i="1" s="1"/>
  <c r="M1613" i="1"/>
  <c r="K1613" i="1"/>
  <c r="L1613" i="1" s="1"/>
  <c r="M1601" i="1"/>
  <c r="K1601" i="1"/>
  <c r="L1601" i="1" s="1"/>
  <c r="M1589" i="1"/>
  <c r="K1589" i="1"/>
  <c r="L1589" i="1" s="1"/>
  <c r="M1577" i="1"/>
  <c r="K1577" i="1"/>
  <c r="L1577" i="1" s="1"/>
  <c r="M1565" i="1"/>
  <c r="K1565" i="1"/>
  <c r="L1565" i="1" s="1"/>
  <c r="M1553" i="1"/>
  <c r="K1553" i="1"/>
  <c r="L1553" i="1" s="1"/>
  <c r="M1541" i="1"/>
  <c r="K1541" i="1"/>
  <c r="L1541" i="1" s="1"/>
  <c r="M1529" i="1"/>
  <c r="K1529" i="1"/>
  <c r="L1529" i="1" s="1"/>
  <c r="M1517" i="1"/>
  <c r="K1517" i="1"/>
  <c r="L1517" i="1" s="1"/>
  <c r="M1505" i="1"/>
  <c r="K1505" i="1"/>
  <c r="L1505" i="1" s="1"/>
  <c r="M1493" i="1"/>
  <c r="K1493" i="1"/>
  <c r="L1493" i="1" s="1"/>
  <c r="M1481" i="1"/>
  <c r="K1481" i="1"/>
  <c r="L1481" i="1" s="1"/>
  <c r="M1469" i="1"/>
  <c r="K1469" i="1"/>
  <c r="L1469" i="1" s="1"/>
  <c r="M1457" i="1"/>
  <c r="K1457" i="1"/>
  <c r="L1457" i="1" s="1"/>
  <c r="M1445" i="1"/>
  <c r="K1445" i="1"/>
  <c r="L1445" i="1" s="1"/>
  <c r="M1433" i="1"/>
  <c r="K1433" i="1"/>
  <c r="L1433" i="1" s="1"/>
  <c r="M1421" i="1"/>
  <c r="K1421" i="1"/>
  <c r="L1421" i="1" s="1"/>
  <c r="M1409" i="1"/>
  <c r="K1409" i="1"/>
  <c r="L1409" i="1" s="1"/>
  <c r="M1397" i="1"/>
  <c r="K1397" i="1"/>
  <c r="L1397" i="1" s="1"/>
  <c r="M1385" i="1"/>
  <c r="K1385" i="1"/>
  <c r="L1385" i="1" s="1"/>
  <c r="M1373" i="1"/>
  <c r="K1373" i="1"/>
  <c r="L1373" i="1" s="1"/>
  <c r="M1361" i="1"/>
  <c r="K1361" i="1"/>
  <c r="L1361" i="1" s="1"/>
  <c r="M1349" i="1"/>
  <c r="K1349" i="1"/>
  <c r="L1349" i="1" s="1"/>
  <c r="M1337" i="1"/>
  <c r="K1337" i="1"/>
  <c r="L1337" i="1" s="1"/>
  <c r="M1325" i="1"/>
  <c r="K1325" i="1"/>
  <c r="L1325" i="1" s="1"/>
  <c r="M1313" i="1"/>
  <c r="K1313" i="1"/>
  <c r="L1313" i="1" s="1"/>
  <c r="M1301" i="1"/>
  <c r="K1301" i="1"/>
  <c r="L1301" i="1" s="1"/>
  <c r="M1289" i="1"/>
  <c r="K1289" i="1"/>
  <c r="L1289" i="1" s="1"/>
  <c r="M1277" i="1"/>
  <c r="K1277" i="1"/>
  <c r="L1277" i="1" s="1"/>
  <c r="M1265" i="1"/>
  <c r="K1265" i="1"/>
  <c r="L1265" i="1" s="1"/>
  <c r="M1253" i="1"/>
  <c r="K1253" i="1"/>
  <c r="L1253" i="1" s="1"/>
  <c r="M1241" i="1"/>
  <c r="K1241" i="1"/>
  <c r="L1241" i="1" s="1"/>
  <c r="M1229" i="1"/>
  <c r="K1229" i="1"/>
  <c r="L1229" i="1" s="1"/>
  <c r="M1217" i="1"/>
  <c r="K1217" i="1"/>
  <c r="L1217" i="1" s="1"/>
  <c r="M1205" i="1"/>
  <c r="K1205" i="1"/>
  <c r="L1205" i="1" s="1"/>
  <c r="M1193" i="1"/>
  <c r="K1193" i="1"/>
  <c r="L1193" i="1" s="1"/>
  <c r="M1181" i="1"/>
  <c r="K1181" i="1"/>
  <c r="L1181" i="1" s="1"/>
  <c r="M1169" i="1"/>
  <c r="K1169" i="1"/>
  <c r="L1169" i="1" s="1"/>
  <c r="M1157" i="1"/>
  <c r="K1157" i="1"/>
  <c r="L1157" i="1" s="1"/>
  <c r="M1145" i="1"/>
  <c r="K1145" i="1"/>
  <c r="L1145" i="1" s="1"/>
  <c r="M1133" i="1"/>
  <c r="K1133" i="1"/>
  <c r="L1133" i="1" s="1"/>
  <c r="M1121" i="1"/>
  <c r="K1121" i="1"/>
  <c r="L1121" i="1" s="1"/>
  <c r="M1109" i="1"/>
  <c r="K1109" i="1"/>
  <c r="L1109" i="1" s="1"/>
  <c r="M1097" i="1"/>
  <c r="K1097" i="1"/>
  <c r="L1097" i="1" s="1"/>
  <c r="M1085" i="1"/>
  <c r="K1085" i="1"/>
  <c r="L1085" i="1" s="1"/>
  <c r="M1073" i="1"/>
  <c r="K1073" i="1"/>
  <c r="L1073" i="1" s="1"/>
  <c r="M1061" i="1"/>
  <c r="K1061" i="1"/>
  <c r="L1061" i="1" s="1"/>
  <c r="M1049" i="1"/>
  <c r="K1049" i="1"/>
  <c r="L1049" i="1" s="1"/>
  <c r="M1037" i="1"/>
  <c r="K1037" i="1"/>
  <c r="L1037" i="1" s="1"/>
  <c r="M1025" i="1"/>
  <c r="K1025" i="1"/>
  <c r="L1025" i="1" s="1"/>
  <c r="M1013" i="1"/>
  <c r="K1013" i="1"/>
  <c r="L1013" i="1" s="1"/>
  <c r="M1001" i="1"/>
  <c r="K1001" i="1"/>
  <c r="L1001" i="1" s="1"/>
  <c r="M989" i="1"/>
  <c r="K989" i="1"/>
  <c r="L989" i="1" s="1"/>
  <c r="M977" i="1"/>
  <c r="K977" i="1"/>
  <c r="L977" i="1" s="1"/>
  <c r="K965" i="1"/>
  <c r="L965" i="1" s="1"/>
  <c r="M965" i="1"/>
  <c r="M953" i="1"/>
  <c r="K953" i="1"/>
  <c r="L953" i="1" s="1"/>
  <c r="M941" i="1"/>
  <c r="K941" i="1"/>
  <c r="L941" i="1" s="1"/>
  <c r="M929" i="1"/>
  <c r="K929" i="1"/>
  <c r="L929" i="1" s="1"/>
  <c r="M917" i="1"/>
  <c r="K917" i="1"/>
  <c r="L917" i="1" s="1"/>
  <c r="M905" i="1"/>
  <c r="K905" i="1"/>
  <c r="L905" i="1" s="1"/>
  <c r="M893" i="1"/>
  <c r="K893" i="1"/>
  <c r="L893" i="1" s="1"/>
  <c r="M881" i="1"/>
  <c r="K881" i="1"/>
  <c r="L881" i="1" s="1"/>
  <c r="M869" i="1"/>
  <c r="K869" i="1"/>
  <c r="L869" i="1" s="1"/>
  <c r="K857" i="1"/>
  <c r="L857" i="1" s="1"/>
  <c r="M857" i="1"/>
  <c r="M845" i="1"/>
  <c r="K845" i="1"/>
  <c r="L845" i="1" s="1"/>
  <c r="M833" i="1"/>
  <c r="K833" i="1"/>
  <c r="L833" i="1" s="1"/>
  <c r="M821" i="1"/>
  <c r="K821" i="1"/>
  <c r="L821" i="1" s="1"/>
  <c r="M809" i="1"/>
  <c r="K809" i="1"/>
  <c r="L809" i="1" s="1"/>
  <c r="M797" i="1"/>
  <c r="K797" i="1"/>
  <c r="L797" i="1" s="1"/>
  <c r="M785" i="1"/>
  <c r="K785" i="1"/>
  <c r="L785" i="1" s="1"/>
  <c r="K773" i="1"/>
  <c r="L773" i="1" s="1"/>
  <c r="M773" i="1"/>
  <c r="M761" i="1"/>
  <c r="K761" i="1"/>
  <c r="L761" i="1" s="1"/>
  <c r="M749" i="1"/>
  <c r="K749" i="1"/>
  <c r="L749" i="1" s="1"/>
  <c r="M737" i="1"/>
  <c r="K737" i="1"/>
  <c r="L737" i="1" s="1"/>
  <c r="M725" i="1"/>
  <c r="K725" i="1"/>
  <c r="L725" i="1" s="1"/>
  <c r="M713" i="1"/>
  <c r="K713" i="1"/>
  <c r="L713" i="1" s="1"/>
  <c r="M701" i="1"/>
  <c r="K701" i="1"/>
  <c r="L701" i="1" s="1"/>
  <c r="M689" i="1"/>
  <c r="K689" i="1"/>
  <c r="L689" i="1" s="1"/>
  <c r="M677" i="1"/>
  <c r="K677" i="1"/>
  <c r="L677" i="1" s="1"/>
  <c r="M665" i="1"/>
  <c r="K665" i="1"/>
  <c r="L665" i="1" s="1"/>
  <c r="M653" i="1"/>
  <c r="K653" i="1"/>
  <c r="L653" i="1" s="1"/>
  <c r="K641" i="1"/>
  <c r="L641" i="1" s="1"/>
  <c r="M641" i="1"/>
  <c r="M629" i="1"/>
  <c r="K629" i="1"/>
  <c r="L629" i="1" s="1"/>
  <c r="M617" i="1"/>
  <c r="K617" i="1"/>
  <c r="L617" i="1" s="1"/>
  <c r="M605" i="1"/>
  <c r="K605" i="1"/>
  <c r="L605" i="1" s="1"/>
  <c r="M593" i="1"/>
  <c r="K593" i="1"/>
  <c r="L593" i="1" s="1"/>
  <c r="M581" i="1"/>
  <c r="K581" i="1"/>
  <c r="L581" i="1" s="1"/>
  <c r="M569" i="1"/>
  <c r="K569" i="1"/>
  <c r="L569" i="1" s="1"/>
  <c r="M557" i="1"/>
  <c r="K557" i="1"/>
  <c r="L557" i="1" s="1"/>
  <c r="M545" i="1"/>
  <c r="K545" i="1"/>
  <c r="L545" i="1" s="1"/>
  <c r="M533" i="1"/>
  <c r="K533" i="1"/>
  <c r="L533" i="1" s="1"/>
  <c r="M521" i="1"/>
  <c r="K521" i="1"/>
  <c r="L521" i="1" s="1"/>
  <c r="M509" i="1"/>
  <c r="K509" i="1"/>
  <c r="L509" i="1" s="1"/>
  <c r="M497" i="1"/>
  <c r="K497" i="1"/>
  <c r="L497" i="1" s="1"/>
  <c r="M485" i="1"/>
  <c r="K485" i="1"/>
  <c r="L485" i="1" s="1"/>
  <c r="M473" i="1"/>
  <c r="K473" i="1"/>
  <c r="L473" i="1" s="1"/>
  <c r="M461" i="1"/>
  <c r="K461" i="1"/>
  <c r="L461" i="1" s="1"/>
  <c r="M449" i="1"/>
  <c r="K449" i="1"/>
  <c r="L449" i="1" s="1"/>
  <c r="M437" i="1"/>
  <c r="K437" i="1"/>
  <c r="L437" i="1" s="1"/>
  <c r="M425" i="1"/>
  <c r="K425" i="1"/>
  <c r="L425" i="1" s="1"/>
  <c r="M413" i="1"/>
  <c r="K413" i="1"/>
  <c r="L413" i="1" s="1"/>
  <c r="M401" i="1"/>
  <c r="K401" i="1"/>
  <c r="L401" i="1" s="1"/>
  <c r="M389" i="1"/>
  <c r="K389" i="1"/>
  <c r="L389" i="1" s="1"/>
  <c r="M377" i="1"/>
  <c r="K377" i="1"/>
  <c r="L377" i="1" s="1"/>
  <c r="M365" i="1"/>
  <c r="K365" i="1"/>
  <c r="L365" i="1" s="1"/>
  <c r="M353" i="1"/>
  <c r="K353" i="1"/>
  <c r="L353" i="1" s="1"/>
  <c r="M341" i="1"/>
  <c r="K341" i="1"/>
  <c r="L341" i="1" s="1"/>
  <c r="M329" i="1"/>
  <c r="K329" i="1"/>
  <c r="L329" i="1" s="1"/>
  <c r="M317" i="1"/>
  <c r="K317" i="1"/>
  <c r="L317" i="1" s="1"/>
  <c r="M305" i="1"/>
  <c r="K305" i="1"/>
  <c r="L305" i="1" s="1"/>
  <c r="M293" i="1"/>
  <c r="K293" i="1"/>
  <c r="L293" i="1" s="1"/>
  <c r="M281" i="1"/>
  <c r="K281" i="1"/>
  <c r="L281" i="1" s="1"/>
  <c r="M269" i="1"/>
  <c r="K269" i="1"/>
  <c r="L269" i="1" s="1"/>
  <c r="M257" i="1"/>
  <c r="K257" i="1"/>
  <c r="L257" i="1" s="1"/>
  <c r="M245" i="1"/>
  <c r="K245" i="1"/>
  <c r="L245" i="1" s="1"/>
  <c r="M233" i="1"/>
  <c r="K233" i="1"/>
  <c r="L233" i="1" s="1"/>
  <c r="M221" i="1"/>
  <c r="K221" i="1"/>
  <c r="L221" i="1" s="1"/>
  <c r="M209" i="1"/>
  <c r="K209" i="1"/>
  <c r="L209" i="1" s="1"/>
  <c r="M197" i="1"/>
  <c r="K197" i="1"/>
  <c r="L197" i="1" s="1"/>
  <c r="M185" i="1"/>
  <c r="K185" i="1"/>
  <c r="L185" i="1" s="1"/>
  <c r="M173" i="1"/>
  <c r="K173" i="1"/>
  <c r="L173" i="1" s="1"/>
  <c r="M161" i="1"/>
  <c r="K161" i="1"/>
  <c r="L161" i="1" s="1"/>
  <c r="M149" i="1"/>
  <c r="K149" i="1"/>
  <c r="L149" i="1" s="1"/>
  <c r="M137" i="1"/>
  <c r="K137" i="1"/>
  <c r="L137" i="1" s="1"/>
  <c r="M125" i="1"/>
  <c r="K125" i="1"/>
  <c r="L125" i="1" s="1"/>
  <c r="M113" i="1"/>
  <c r="K113" i="1"/>
  <c r="L113" i="1" s="1"/>
  <c r="M101" i="1"/>
  <c r="K101" i="1"/>
  <c r="L101" i="1" s="1"/>
  <c r="M89" i="1"/>
  <c r="K89" i="1"/>
  <c r="L89" i="1" s="1"/>
  <c r="M77" i="1"/>
  <c r="K77" i="1"/>
  <c r="L77" i="1" s="1"/>
  <c r="M65" i="1"/>
  <c r="K65" i="1"/>
  <c r="L65" i="1" s="1"/>
  <c r="M53" i="1"/>
  <c r="K53" i="1"/>
  <c r="L53" i="1" s="1"/>
  <c r="M41" i="1"/>
  <c r="K41" i="1"/>
  <c r="L41" i="1" s="1"/>
  <c r="M29" i="1"/>
  <c r="K29" i="1"/>
  <c r="L29" i="1" s="1"/>
  <c r="M17" i="1"/>
  <c r="K17" i="1"/>
  <c r="L17" i="1" s="1"/>
  <c r="M5" i="1"/>
  <c r="K5" i="1"/>
  <c r="L5" i="1" s="1"/>
  <c r="K1951" i="1"/>
  <c r="L1951" i="1" s="1"/>
  <c r="K1519" i="1"/>
  <c r="L1519" i="1" s="1"/>
  <c r="M1579" i="1"/>
  <c r="M784" i="1"/>
  <c r="M535" i="1"/>
  <c r="M244" i="1"/>
  <c r="M2092" i="1"/>
  <c r="K2092" i="1"/>
  <c r="L2092" i="1" s="1"/>
  <c r="M2080" i="1"/>
  <c r="K2080" i="1"/>
  <c r="L2080" i="1" s="1"/>
  <c r="M2068" i="1"/>
  <c r="K2068" i="1"/>
  <c r="L2068" i="1" s="1"/>
  <c r="M2056" i="1"/>
  <c r="K2056" i="1"/>
  <c r="L2056" i="1" s="1"/>
  <c r="M2044" i="1"/>
  <c r="K2044" i="1"/>
  <c r="L2044" i="1" s="1"/>
  <c r="M2032" i="1"/>
  <c r="K2032" i="1"/>
  <c r="L2032" i="1" s="1"/>
  <c r="M2020" i="1"/>
  <c r="K2020" i="1"/>
  <c r="L2020" i="1" s="1"/>
  <c r="M2008" i="1"/>
  <c r="K2008" i="1"/>
  <c r="L2008" i="1" s="1"/>
  <c r="M1996" i="1"/>
  <c r="K1996" i="1"/>
  <c r="L1996" i="1" s="1"/>
  <c r="M1984" i="1"/>
  <c r="K1984" i="1"/>
  <c r="L1984" i="1" s="1"/>
  <c r="M1972" i="1"/>
  <c r="K1972" i="1"/>
  <c r="L1972" i="1" s="1"/>
  <c r="M1960" i="1"/>
  <c r="K1960" i="1"/>
  <c r="L1960" i="1" s="1"/>
  <c r="M1948" i="1"/>
  <c r="K1948" i="1"/>
  <c r="L1948" i="1" s="1"/>
  <c r="M1936" i="1"/>
  <c r="K1936" i="1"/>
  <c r="L1936" i="1" s="1"/>
  <c r="M1924" i="1"/>
  <c r="K1924" i="1"/>
  <c r="L1924" i="1" s="1"/>
  <c r="M1912" i="1"/>
  <c r="K1912" i="1"/>
  <c r="L1912" i="1" s="1"/>
  <c r="M1900" i="1"/>
  <c r="K1900" i="1"/>
  <c r="L1900" i="1" s="1"/>
  <c r="M1888" i="1"/>
  <c r="K1888" i="1"/>
  <c r="L1888" i="1" s="1"/>
  <c r="M1876" i="1"/>
  <c r="K1876" i="1"/>
  <c r="L1876" i="1" s="1"/>
  <c r="M1864" i="1"/>
  <c r="K1864" i="1"/>
  <c r="L1864" i="1" s="1"/>
  <c r="M1852" i="1"/>
  <c r="K1852" i="1"/>
  <c r="L1852" i="1" s="1"/>
  <c r="M1840" i="1"/>
  <c r="K1840" i="1"/>
  <c r="L1840" i="1" s="1"/>
  <c r="M1828" i="1"/>
  <c r="K1828" i="1"/>
  <c r="L1828" i="1" s="1"/>
  <c r="M1816" i="1"/>
  <c r="K1816" i="1"/>
  <c r="L1816" i="1" s="1"/>
  <c r="M1804" i="1"/>
  <c r="K1804" i="1"/>
  <c r="L1804" i="1" s="1"/>
  <c r="M1792" i="1"/>
  <c r="K1792" i="1"/>
  <c r="L1792" i="1" s="1"/>
  <c r="M1780" i="1"/>
  <c r="K1780" i="1"/>
  <c r="L1780" i="1" s="1"/>
  <c r="M1768" i="1"/>
  <c r="K1768" i="1"/>
  <c r="L1768" i="1" s="1"/>
  <c r="M1756" i="1"/>
  <c r="K1756" i="1"/>
  <c r="L1756" i="1" s="1"/>
  <c r="M1744" i="1"/>
  <c r="K1744" i="1"/>
  <c r="L1744" i="1" s="1"/>
  <c r="M1732" i="1"/>
  <c r="K1732" i="1"/>
  <c r="L1732" i="1" s="1"/>
  <c r="M1720" i="1"/>
  <c r="K1720" i="1"/>
  <c r="L1720" i="1" s="1"/>
  <c r="M1708" i="1"/>
  <c r="K1708" i="1"/>
  <c r="L1708" i="1" s="1"/>
  <c r="M1696" i="1"/>
  <c r="K1696" i="1"/>
  <c r="L1696" i="1" s="1"/>
  <c r="M1684" i="1"/>
  <c r="K1684" i="1"/>
  <c r="L1684" i="1" s="1"/>
  <c r="M1672" i="1"/>
  <c r="K1672" i="1"/>
  <c r="L1672" i="1" s="1"/>
  <c r="M1660" i="1"/>
  <c r="K1660" i="1"/>
  <c r="L1660" i="1" s="1"/>
  <c r="M1648" i="1"/>
  <c r="K1648" i="1"/>
  <c r="L1648" i="1" s="1"/>
  <c r="M1636" i="1"/>
  <c r="K1636" i="1"/>
  <c r="L1636" i="1" s="1"/>
  <c r="M1624" i="1"/>
  <c r="K1624" i="1"/>
  <c r="L1624" i="1" s="1"/>
  <c r="M1612" i="1"/>
  <c r="K1612" i="1"/>
  <c r="L1612" i="1" s="1"/>
  <c r="M1600" i="1"/>
  <c r="K1600" i="1"/>
  <c r="L1600" i="1" s="1"/>
  <c r="M1588" i="1"/>
  <c r="K1588" i="1"/>
  <c r="L1588" i="1" s="1"/>
  <c r="M1576" i="1"/>
  <c r="K1576" i="1"/>
  <c r="L1576" i="1" s="1"/>
  <c r="M1564" i="1"/>
  <c r="K1564" i="1"/>
  <c r="L1564" i="1" s="1"/>
  <c r="M1552" i="1"/>
  <c r="K1552" i="1"/>
  <c r="L1552" i="1" s="1"/>
  <c r="M1540" i="1"/>
  <c r="K1540" i="1"/>
  <c r="L1540" i="1" s="1"/>
  <c r="M1528" i="1"/>
  <c r="K1528" i="1"/>
  <c r="L1528" i="1" s="1"/>
  <c r="M1516" i="1"/>
  <c r="K1516" i="1"/>
  <c r="L1516" i="1" s="1"/>
  <c r="M1504" i="1"/>
  <c r="K1504" i="1"/>
  <c r="L1504" i="1" s="1"/>
  <c r="M1492" i="1"/>
  <c r="K1492" i="1"/>
  <c r="L1492" i="1" s="1"/>
  <c r="M1480" i="1"/>
  <c r="K1480" i="1"/>
  <c r="L1480" i="1" s="1"/>
  <c r="M1468" i="1"/>
  <c r="K1468" i="1"/>
  <c r="L1468" i="1" s="1"/>
  <c r="M1456" i="1"/>
  <c r="K1456" i="1"/>
  <c r="L1456" i="1" s="1"/>
  <c r="M1444" i="1"/>
  <c r="K1444" i="1"/>
  <c r="L1444" i="1" s="1"/>
  <c r="M1432" i="1"/>
  <c r="K1432" i="1"/>
  <c r="L1432" i="1" s="1"/>
  <c r="M1420" i="1"/>
  <c r="K1420" i="1"/>
  <c r="L1420" i="1" s="1"/>
  <c r="M1408" i="1"/>
  <c r="K1408" i="1"/>
  <c r="L1408" i="1" s="1"/>
  <c r="M1396" i="1"/>
  <c r="K1396" i="1"/>
  <c r="L1396" i="1" s="1"/>
  <c r="M1384" i="1"/>
  <c r="K1384" i="1"/>
  <c r="L1384" i="1" s="1"/>
  <c r="M1372" i="1"/>
  <c r="K1372" i="1"/>
  <c r="L1372" i="1" s="1"/>
  <c r="M1360" i="1"/>
  <c r="K1360" i="1"/>
  <c r="L1360" i="1" s="1"/>
  <c r="M1348" i="1"/>
  <c r="K1348" i="1"/>
  <c r="L1348" i="1" s="1"/>
  <c r="M1336" i="1"/>
  <c r="K1336" i="1"/>
  <c r="L1336" i="1" s="1"/>
  <c r="M1324" i="1"/>
  <c r="K1324" i="1"/>
  <c r="L1324" i="1" s="1"/>
  <c r="M1312" i="1"/>
  <c r="K1312" i="1"/>
  <c r="L1312" i="1" s="1"/>
  <c r="M1300" i="1"/>
  <c r="K1300" i="1"/>
  <c r="L1300" i="1" s="1"/>
  <c r="M1288" i="1"/>
  <c r="K1288" i="1"/>
  <c r="L1288" i="1" s="1"/>
  <c r="M1276" i="1"/>
  <c r="K1276" i="1"/>
  <c r="L1276" i="1" s="1"/>
  <c r="M1264" i="1"/>
  <c r="K1264" i="1"/>
  <c r="L1264" i="1" s="1"/>
  <c r="M1252" i="1"/>
  <c r="K1252" i="1"/>
  <c r="L1252" i="1" s="1"/>
  <c r="M1240" i="1"/>
  <c r="K1240" i="1"/>
  <c r="L1240" i="1" s="1"/>
  <c r="M1228" i="1"/>
  <c r="K1228" i="1"/>
  <c r="L1228" i="1" s="1"/>
  <c r="M1216" i="1"/>
  <c r="K1216" i="1"/>
  <c r="L1216" i="1" s="1"/>
  <c r="M1204" i="1"/>
  <c r="K1204" i="1"/>
  <c r="L1204" i="1" s="1"/>
  <c r="M1192" i="1"/>
  <c r="K1192" i="1"/>
  <c r="L1192" i="1" s="1"/>
  <c r="M1180" i="1"/>
  <c r="K1180" i="1"/>
  <c r="L1180" i="1" s="1"/>
  <c r="M1168" i="1"/>
  <c r="K1168" i="1"/>
  <c r="L1168" i="1" s="1"/>
  <c r="M1156" i="1"/>
  <c r="K1156" i="1"/>
  <c r="L1156" i="1" s="1"/>
  <c r="M1144" i="1"/>
  <c r="K1144" i="1"/>
  <c r="L1144" i="1" s="1"/>
  <c r="M1132" i="1"/>
  <c r="K1132" i="1"/>
  <c r="L1132" i="1" s="1"/>
  <c r="M1120" i="1"/>
  <c r="K1120" i="1"/>
  <c r="L1120" i="1" s="1"/>
  <c r="M1108" i="1"/>
  <c r="K1108" i="1"/>
  <c r="L1108" i="1" s="1"/>
  <c r="M1096" i="1"/>
  <c r="K1096" i="1"/>
  <c r="L1096" i="1" s="1"/>
  <c r="M1084" i="1"/>
  <c r="K1084" i="1"/>
  <c r="L1084" i="1" s="1"/>
  <c r="M1072" i="1"/>
  <c r="K1072" i="1"/>
  <c r="L1072" i="1" s="1"/>
  <c r="M1060" i="1"/>
  <c r="K1060" i="1"/>
  <c r="L1060" i="1" s="1"/>
  <c r="M1048" i="1"/>
  <c r="K1048" i="1"/>
  <c r="L1048" i="1" s="1"/>
  <c r="M1036" i="1"/>
  <c r="K1036" i="1"/>
  <c r="L1036" i="1" s="1"/>
  <c r="M1024" i="1"/>
  <c r="K1024" i="1"/>
  <c r="L1024" i="1" s="1"/>
  <c r="M1012" i="1"/>
  <c r="K1012" i="1"/>
  <c r="L1012" i="1" s="1"/>
  <c r="M1000" i="1"/>
  <c r="K1000" i="1"/>
  <c r="L1000" i="1" s="1"/>
  <c r="K988" i="1"/>
  <c r="L988" i="1" s="1"/>
  <c r="M988" i="1"/>
  <c r="M976" i="1"/>
  <c r="K976" i="1"/>
  <c r="L976" i="1" s="1"/>
  <c r="K964" i="1"/>
  <c r="L964" i="1" s="1"/>
  <c r="M964" i="1"/>
  <c r="M952" i="1"/>
  <c r="K952" i="1"/>
  <c r="L952" i="1" s="1"/>
  <c r="M940" i="1"/>
  <c r="K940" i="1"/>
  <c r="L940" i="1" s="1"/>
  <c r="M928" i="1"/>
  <c r="K928" i="1"/>
  <c r="L928" i="1" s="1"/>
  <c r="K916" i="1"/>
  <c r="L916" i="1" s="1"/>
  <c r="M916" i="1"/>
  <c r="M904" i="1"/>
  <c r="K904" i="1"/>
  <c r="L904" i="1" s="1"/>
  <c r="K892" i="1"/>
  <c r="L892" i="1" s="1"/>
  <c r="M892" i="1"/>
  <c r="K880" i="1"/>
  <c r="L880" i="1" s="1"/>
  <c r="M880" i="1"/>
  <c r="M868" i="1"/>
  <c r="K868" i="1"/>
  <c r="L868" i="1" s="1"/>
  <c r="K856" i="1"/>
  <c r="L856" i="1" s="1"/>
  <c r="M856" i="1"/>
  <c r="M844" i="1"/>
  <c r="K844" i="1"/>
  <c r="L844" i="1" s="1"/>
  <c r="M832" i="1"/>
  <c r="K832" i="1"/>
  <c r="L832" i="1" s="1"/>
  <c r="M820" i="1"/>
  <c r="K820" i="1"/>
  <c r="L820" i="1" s="1"/>
  <c r="M808" i="1"/>
  <c r="K808" i="1"/>
  <c r="L808" i="1" s="1"/>
  <c r="M796" i="1"/>
  <c r="K796" i="1"/>
  <c r="L796" i="1" s="1"/>
  <c r="K772" i="1"/>
  <c r="L772" i="1" s="1"/>
  <c r="M772" i="1"/>
  <c r="M760" i="1"/>
  <c r="K760" i="1"/>
  <c r="L760" i="1" s="1"/>
  <c r="M748" i="1"/>
  <c r="K748" i="1"/>
  <c r="L748" i="1" s="1"/>
  <c r="M736" i="1"/>
  <c r="K736" i="1"/>
  <c r="L736" i="1" s="1"/>
  <c r="M724" i="1"/>
  <c r="K724" i="1"/>
  <c r="L724" i="1" s="1"/>
  <c r="M712" i="1"/>
  <c r="K712" i="1"/>
  <c r="L712" i="1" s="1"/>
  <c r="M700" i="1"/>
  <c r="K700" i="1"/>
  <c r="L700" i="1" s="1"/>
  <c r="M688" i="1"/>
  <c r="K688" i="1"/>
  <c r="L688" i="1" s="1"/>
  <c r="K676" i="1"/>
  <c r="L676" i="1" s="1"/>
  <c r="M676" i="1"/>
  <c r="M652" i="1"/>
  <c r="K652" i="1"/>
  <c r="L652" i="1" s="1"/>
  <c r="K640" i="1"/>
  <c r="L640" i="1" s="1"/>
  <c r="M640" i="1"/>
  <c r="M628" i="1"/>
  <c r="K628" i="1"/>
  <c r="L628" i="1" s="1"/>
  <c r="M616" i="1"/>
  <c r="K616" i="1"/>
  <c r="L616" i="1" s="1"/>
  <c r="M604" i="1"/>
  <c r="K604" i="1"/>
  <c r="L604" i="1" s="1"/>
  <c r="K592" i="1"/>
  <c r="L592" i="1" s="1"/>
  <c r="M592" i="1"/>
  <c r="M580" i="1"/>
  <c r="K580" i="1"/>
  <c r="L580" i="1" s="1"/>
  <c r="M568" i="1"/>
  <c r="K568" i="1"/>
  <c r="L568" i="1" s="1"/>
  <c r="M556" i="1"/>
  <c r="K556" i="1"/>
  <c r="L556" i="1" s="1"/>
  <c r="M544" i="1"/>
  <c r="K544" i="1"/>
  <c r="L544" i="1" s="1"/>
  <c r="K532" i="1"/>
  <c r="L532" i="1" s="1"/>
  <c r="M532" i="1"/>
  <c r="M520" i="1"/>
  <c r="K520" i="1"/>
  <c r="L520" i="1" s="1"/>
  <c r="M508" i="1"/>
  <c r="K508" i="1"/>
  <c r="L508" i="1" s="1"/>
  <c r="M496" i="1"/>
  <c r="K496" i="1"/>
  <c r="L496" i="1" s="1"/>
  <c r="K484" i="1"/>
  <c r="L484" i="1" s="1"/>
  <c r="M484" i="1"/>
  <c r="M472" i="1"/>
  <c r="K472" i="1"/>
  <c r="L472" i="1" s="1"/>
  <c r="K460" i="1"/>
  <c r="L460" i="1" s="1"/>
  <c r="M460" i="1"/>
  <c r="M448" i="1"/>
  <c r="K448" i="1"/>
  <c r="L448" i="1" s="1"/>
  <c r="M436" i="1"/>
  <c r="K436" i="1"/>
  <c r="L436" i="1" s="1"/>
  <c r="M424" i="1"/>
  <c r="K424" i="1"/>
  <c r="L424" i="1" s="1"/>
  <c r="M412" i="1"/>
  <c r="K412" i="1"/>
  <c r="L412" i="1" s="1"/>
  <c r="M400" i="1"/>
  <c r="K400" i="1"/>
  <c r="L400" i="1" s="1"/>
  <c r="M388" i="1"/>
  <c r="K388" i="1"/>
  <c r="L388" i="1" s="1"/>
  <c r="M376" i="1"/>
  <c r="K376" i="1"/>
  <c r="L376" i="1" s="1"/>
  <c r="M364" i="1"/>
  <c r="K364" i="1"/>
  <c r="L364" i="1" s="1"/>
  <c r="K352" i="1"/>
  <c r="L352" i="1" s="1"/>
  <c r="M352" i="1"/>
  <c r="K340" i="1"/>
  <c r="L340" i="1" s="1"/>
  <c r="M340" i="1"/>
  <c r="M328" i="1"/>
  <c r="K328" i="1"/>
  <c r="L328" i="1" s="1"/>
  <c r="M316" i="1"/>
  <c r="K316" i="1"/>
  <c r="L316" i="1" s="1"/>
  <c r="M304" i="1"/>
  <c r="K304" i="1"/>
  <c r="L304" i="1" s="1"/>
  <c r="M292" i="1"/>
  <c r="K292" i="1"/>
  <c r="L292" i="1" s="1"/>
  <c r="M280" i="1"/>
  <c r="K280" i="1"/>
  <c r="L280" i="1" s="1"/>
  <c r="K268" i="1"/>
  <c r="L268" i="1" s="1"/>
  <c r="M268" i="1"/>
  <c r="M256" i="1"/>
  <c r="K256" i="1"/>
  <c r="L256" i="1" s="1"/>
  <c r="M220" i="1"/>
  <c r="K220" i="1"/>
  <c r="L220" i="1" s="1"/>
  <c r="M208" i="1"/>
  <c r="K208" i="1"/>
  <c r="L208" i="1" s="1"/>
  <c r="M196" i="1"/>
  <c r="K196" i="1"/>
  <c r="L196" i="1" s="1"/>
  <c r="M184" i="1"/>
  <c r="K184" i="1"/>
  <c r="L184" i="1" s="1"/>
  <c r="M172" i="1"/>
  <c r="K172" i="1"/>
  <c r="L172" i="1" s="1"/>
  <c r="K160" i="1"/>
  <c r="L160" i="1" s="1"/>
  <c r="M160" i="1"/>
  <c r="M148" i="1"/>
  <c r="K148" i="1"/>
  <c r="L148" i="1" s="1"/>
  <c r="K136" i="1"/>
  <c r="L136" i="1" s="1"/>
  <c r="M136" i="1"/>
  <c r="M112" i="1"/>
  <c r="K112" i="1"/>
  <c r="L112" i="1" s="1"/>
  <c r="M100" i="1"/>
  <c r="K100" i="1"/>
  <c r="L100" i="1" s="1"/>
  <c r="M88" i="1"/>
  <c r="K88" i="1"/>
  <c r="L88" i="1" s="1"/>
  <c r="M76" i="1"/>
  <c r="K76" i="1"/>
  <c r="L76" i="1" s="1"/>
  <c r="M64" i="1"/>
  <c r="K64" i="1"/>
  <c r="L64" i="1" s="1"/>
  <c r="M52" i="1"/>
  <c r="K52" i="1"/>
  <c r="L52" i="1" s="1"/>
  <c r="M40" i="1"/>
  <c r="K40" i="1"/>
  <c r="L40" i="1" s="1"/>
  <c r="K28" i="1"/>
  <c r="L28" i="1" s="1"/>
  <c r="M28" i="1"/>
  <c r="M16" i="1"/>
  <c r="K16" i="1"/>
  <c r="L16" i="1" s="1"/>
  <c r="M4" i="1"/>
  <c r="K4" i="1"/>
  <c r="L4" i="1" s="1"/>
  <c r="K1699" i="1"/>
  <c r="L1699" i="1" s="1"/>
  <c r="K1447" i="1"/>
  <c r="L1447" i="1" s="1"/>
  <c r="M534" i="1"/>
  <c r="M232" i="1"/>
  <c r="M2067" i="1"/>
  <c r="K2067" i="1"/>
  <c r="L2067" i="1" s="1"/>
  <c r="M2007" i="1"/>
  <c r="K2007" i="1"/>
  <c r="L2007" i="1" s="1"/>
  <c r="M1911" i="1"/>
  <c r="K1911" i="1"/>
  <c r="L1911" i="1" s="1"/>
  <c r="M1839" i="1"/>
  <c r="K1839" i="1"/>
  <c r="L1839" i="1" s="1"/>
  <c r="M1755" i="1"/>
  <c r="K1755" i="1"/>
  <c r="L1755" i="1" s="1"/>
  <c r="M1671" i="1"/>
  <c r="K1671" i="1"/>
  <c r="L1671" i="1" s="1"/>
  <c r="M1599" i="1"/>
  <c r="K1599" i="1"/>
  <c r="L1599" i="1" s="1"/>
  <c r="M1515" i="1"/>
  <c r="K1515" i="1"/>
  <c r="L1515" i="1" s="1"/>
  <c r="M1443" i="1"/>
  <c r="K1443" i="1"/>
  <c r="L1443" i="1" s="1"/>
  <c r="M1359" i="1"/>
  <c r="K1359" i="1"/>
  <c r="L1359" i="1" s="1"/>
  <c r="M1275" i="1"/>
  <c r="K1275" i="1"/>
  <c r="L1275" i="1" s="1"/>
  <c r="M1191" i="1"/>
  <c r="K1191" i="1"/>
  <c r="L1191" i="1" s="1"/>
  <c r="M1107" i="1"/>
  <c r="K1107" i="1"/>
  <c r="L1107" i="1" s="1"/>
  <c r="M1047" i="1"/>
  <c r="K1047" i="1"/>
  <c r="L1047" i="1" s="1"/>
  <c r="M987" i="1"/>
  <c r="K987" i="1"/>
  <c r="L987" i="1" s="1"/>
  <c r="K915" i="1"/>
  <c r="L915" i="1" s="1"/>
  <c r="M915" i="1"/>
  <c r="M819" i="1"/>
  <c r="K819" i="1"/>
  <c r="L819" i="1" s="1"/>
  <c r="M759" i="1"/>
  <c r="K759" i="1"/>
  <c r="L759" i="1" s="1"/>
  <c r="M687" i="1"/>
  <c r="K687" i="1"/>
  <c r="L687" i="1" s="1"/>
  <c r="M615" i="1"/>
  <c r="K615" i="1"/>
  <c r="L615" i="1" s="1"/>
  <c r="M543" i="1"/>
  <c r="K543" i="1"/>
  <c r="L543" i="1" s="1"/>
  <c r="M447" i="1"/>
  <c r="K447" i="1"/>
  <c r="L447" i="1" s="1"/>
  <c r="M243" i="1"/>
  <c r="K243" i="1"/>
  <c r="L243" i="1" s="1"/>
  <c r="M183" i="1"/>
  <c r="K183" i="1"/>
  <c r="L183" i="1" s="1"/>
  <c r="K99" i="1"/>
  <c r="L99" i="1" s="1"/>
  <c r="M99" i="1"/>
  <c r="M15" i="1"/>
  <c r="K15" i="1"/>
  <c r="L15" i="1" s="1"/>
  <c r="M483" i="1"/>
  <c r="M2043" i="1"/>
  <c r="K2043" i="1"/>
  <c r="L2043" i="1" s="1"/>
  <c r="M1995" i="1"/>
  <c r="K1995" i="1"/>
  <c r="L1995" i="1" s="1"/>
  <c r="M1947" i="1"/>
  <c r="K1947" i="1"/>
  <c r="L1947" i="1" s="1"/>
  <c r="M1887" i="1"/>
  <c r="K1887" i="1"/>
  <c r="L1887" i="1" s="1"/>
  <c r="M1827" i="1"/>
  <c r="K1827" i="1"/>
  <c r="L1827" i="1" s="1"/>
  <c r="M1779" i="1"/>
  <c r="K1779" i="1"/>
  <c r="L1779" i="1" s="1"/>
  <c r="M1731" i="1"/>
  <c r="K1731" i="1"/>
  <c r="L1731" i="1" s="1"/>
  <c r="M1695" i="1"/>
  <c r="K1695" i="1"/>
  <c r="L1695" i="1" s="1"/>
  <c r="M1635" i="1"/>
  <c r="K1635" i="1"/>
  <c r="L1635" i="1" s="1"/>
  <c r="M1587" i="1"/>
  <c r="K1587" i="1"/>
  <c r="L1587" i="1" s="1"/>
  <c r="M1539" i="1"/>
  <c r="K1539" i="1"/>
  <c r="L1539" i="1" s="1"/>
  <c r="M1491" i="1"/>
  <c r="K1491" i="1"/>
  <c r="L1491" i="1" s="1"/>
  <c r="M1431" i="1"/>
  <c r="K1431" i="1"/>
  <c r="L1431" i="1" s="1"/>
  <c r="M1383" i="1"/>
  <c r="K1383" i="1"/>
  <c r="L1383" i="1" s="1"/>
  <c r="M1335" i="1"/>
  <c r="K1335" i="1"/>
  <c r="L1335" i="1" s="1"/>
  <c r="M1287" i="1"/>
  <c r="K1287" i="1"/>
  <c r="L1287" i="1" s="1"/>
  <c r="M1227" i="1"/>
  <c r="K1227" i="1"/>
  <c r="L1227" i="1" s="1"/>
  <c r="M1179" i="1"/>
  <c r="K1179" i="1"/>
  <c r="L1179" i="1" s="1"/>
  <c r="M1131" i="1"/>
  <c r="K1131" i="1"/>
  <c r="L1131" i="1" s="1"/>
  <c r="M1071" i="1"/>
  <c r="K1071" i="1"/>
  <c r="L1071" i="1" s="1"/>
  <c r="M1011" i="1"/>
  <c r="K1011" i="1"/>
  <c r="L1011" i="1" s="1"/>
  <c r="M951" i="1"/>
  <c r="K951" i="1"/>
  <c r="L951" i="1" s="1"/>
  <c r="M891" i="1"/>
  <c r="K891" i="1"/>
  <c r="L891" i="1" s="1"/>
  <c r="M843" i="1"/>
  <c r="K843" i="1"/>
  <c r="L843" i="1" s="1"/>
  <c r="K771" i="1"/>
  <c r="L771" i="1" s="1"/>
  <c r="M771" i="1"/>
  <c r="M711" i="1"/>
  <c r="K711" i="1"/>
  <c r="L711" i="1" s="1"/>
  <c r="M639" i="1"/>
  <c r="K639" i="1"/>
  <c r="L639" i="1" s="1"/>
  <c r="M435" i="1"/>
  <c r="K435" i="1"/>
  <c r="L435" i="1" s="1"/>
  <c r="M387" i="1"/>
  <c r="K387" i="1"/>
  <c r="L387" i="1" s="1"/>
  <c r="K351" i="1"/>
  <c r="L351" i="1" s="1"/>
  <c r="M351" i="1"/>
  <c r="M291" i="1"/>
  <c r="K291" i="1"/>
  <c r="L291" i="1" s="1"/>
  <c r="K267" i="1"/>
  <c r="L267" i="1" s="1"/>
  <c r="M267" i="1"/>
  <c r="M219" i="1"/>
  <c r="K219" i="1"/>
  <c r="L219" i="1" s="1"/>
  <c r="M195" i="1"/>
  <c r="K195" i="1"/>
  <c r="L195" i="1" s="1"/>
  <c r="M147" i="1"/>
  <c r="K147" i="1"/>
  <c r="L147" i="1" s="1"/>
  <c r="M51" i="1"/>
  <c r="K51" i="1"/>
  <c r="L51" i="1" s="1"/>
  <c r="K3" i="1"/>
  <c r="L3" i="1" s="1"/>
  <c r="K2066" i="1"/>
  <c r="L2066" i="1" s="1"/>
  <c r="K2030" i="1"/>
  <c r="L2030" i="1" s="1"/>
  <c r="K1994" i="1"/>
  <c r="L1994" i="1" s="1"/>
  <c r="K1958" i="1"/>
  <c r="L1958" i="1" s="1"/>
  <c r="K1922" i="1"/>
  <c r="L1922" i="1" s="1"/>
  <c r="K1886" i="1"/>
  <c r="L1886" i="1" s="1"/>
  <c r="K1850" i="1"/>
  <c r="L1850" i="1" s="1"/>
  <c r="K1814" i="1"/>
  <c r="L1814" i="1" s="1"/>
  <c r="K1778" i="1"/>
  <c r="L1778" i="1" s="1"/>
  <c r="K1742" i="1"/>
  <c r="L1742" i="1" s="1"/>
  <c r="K1706" i="1"/>
  <c r="L1706" i="1" s="1"/>
  <c r="K1670" i="1"/>
  <c r="L1670" i="1" s="1"/>
  <c r="K1634" i="1"/>
  <c r="L1634" i="1" s="1"/>
  <c r="K1598" i="1"/>
  <c r="L1598" i="1" s="1"/>
  <c r="K1562" i="1"/>
  <c r="L1562" i="1" s="1"/>
  <c r="K1526" i="1"/>
  <c r="L1526" i="1" s="1"/>
  <c r="K1490" i="1"/>
  <c r="L1490" i="1" s="1"/>
  <c r="K1454" i="1"/>
  <c r="L1454" i="1" s="1"/>
  <c r="K1418" i="1"/>
  <c r="L1418" i="1" s="1"/>
  <c r="K1382" i="1"/>
  <c r="L1382" i="1" s="1"/>
  <c r="K1346" i="1"/>
  <c r="L1346" i="1" s="1"/>
  <c r="K1310" i="1"/>
  <c r="L1310" i="1" s="1"/>
  <c r="K1274" i="1"/>
  <c r="L1274" i="1" s="1"/>
  <c r="K1238" i="1"/>
  <c r="L1238" i="1" s="1"/>
  <c r="K1202" i="1"/>
  <c r="L1202" i="1" s="1"/>
  <c r="K1166" i="1"/>
  <c r="L1166" i="1" s="1"/>
  <c r="K1130" i="1"/>
  <c r="L1130" i="1" s="1"/>
  <c r="K1094" i="1"/>
  <c r="L1094" i="1" s="1"/>
  <c r="K1058" i="1"/>
  <c r="L1058" i="1" s="1"/>
  <c r="K1022" i="1"/>
  <c r="L1022" i="1" s="1"/>
  <c r="K986" i="1"/>
  <c r="L986" i="1" s="1"/>
  <c r="K950" i="1"/>
  <c r="L950" i="1" s="1"/>
  <c r="K914" i="1"/>
  <c r="L914" i="1" s="1"/>
  <c r="K878" i="1"/>
  <c r="L878" i="1" s="1"/>
  <c r="K842" i="1"/>
  <c r="L842" i="1" s="1"/>
  <c r="K806" i="1"/>
  <c r="L806" i="1" s="1"/>
  <c r="K770" i="1"/>
  <c r="L770" i="1" s="1"/>
  <c r="K734" i="1"/>
  <c r="L734" i="1" s="1"/>
  <c r="K698" i="1"/>
  <c r="L698" i="1" s="1"/>
  <c r="K662" i="1"/>
  <c r="L662" i="1" s="1"/>
  <c r="K626" i="1"/>
  <c r="L626" i="1" s="1"/>
  <c r="K590" i="1"/>
  <c r="L590" i="1" s="1"/>
  <c r="K554" i="1"/>
  <c r="L554" i="1" s="1"/>
  <c r="K518" i="1"/>
  <c r="L518" i="1" s="1"/>
  <c r="K482" i="1"/>
  <c r="L482" i="1" s="1"/>
  <c r="K446" i="1"/>
  <c r="L446" i="1" s="1"/>
  <c r="K410" i="1"/>
  <c r="L410" i="1" s="1"/>
  <c r="K374" i="1"/>
  <c r="L374" i="1" s="1"/>
  <c r="K338" i="1"/>
  <c r="L338" i="1" s="1"/>
  <c r="K302" i="1"/>
  <c r="L302" i="1" s="1"/>
  <c r="K266" i="1"/>
  <c r="L266" i="1" s="1"/>
  <c r="K230" i="1"/>
  <c r="L230" i="1" s="1"/>
  <c r="K194" i="1"/>
  <c r="L194" i="1" s="1"/>
  <c r="K158" i="1"/>
  <c r="L158" i="1" s="1"/>
  <c r="K122" i="1"/>
  <c r="L122" i="1" s="1"/>
  <c r="K86" i="1"/>
  <c r="L86" i="1" s="1"/>
  <c r="K50" i="1"/>
  <c r="L50" i="1" s="1"/>
  <c r="K14" i="1"/>
  <c r="L14" i="1" s="1"/>
  <c r="M1381" i="1"/>
  <c r="M1237" i="1"/>
  <c r="M459" i="1"/>
  <c r="M159" i="1"/>
  <c r="M2091" i="1"/>
  <c r="K2091" i="1"/>
  <c r="L2091" i="1" s="1"/>
  <c r="M2019" i="1"/>
  <c r="K2019" i="1"/>
  <c r="L2019" i="1" s="1"/>
  <c r="M1923" i="1"/>
  <c r="K1923" i="1"/>
  <c r="L1923" i="1" s="1"/>
  <c r="M1875" i="1"/>
  <c r="K1875" i="1"/>
  <c r="L1875" i="1" s="1"/>
  <c r="M1815" i="1"/>
  <c r="K1815" i="1"/>
  <c r="L1815" i="1" s="1"/>
  <c r="M1743" i="1"/>
  <c r="K1743" i="1"/>
  <c r="L1743" i="1" s="1"/>
  <c r="M1683" i="1"/>
  <c r="K1683" i="1"/>
  <c r="L1683" i="1" s="1"/>
  <c r="M1623" i="1"/>
  <c r="K1623" i="1"/>
  <c r="L1623" i="1" s="1"/>
  <c r="M1575" i="1"/>
  <c r="K1575" i="1"/>
  <c r="L1575" i="1" s="1"/>
  <c r="M1527" i="1"/>
  <c r="K1527" i="1"/>
  <c r="L1527" i="1" s="1"/>
  <c r="M1479" i="1"/>
  <c r="K1479" i="1"/>
  <c r="L1479" i="1" s="1"/>
  <c r="M1419" i="1"/>
  <c r="K1419" i="1"/>
  <c r="L1419" i="1" s="1"/>
  <c r="M1371" i="1"/>
  <c r="K1371" i="1"/>
  <c r="L1371" i="1" s="1"/>
  <c r="M1323" i="1"/>
  <c r="K1323" i="1"/>
  <c r="L1323" i="1" s="1"/>
  <c r="M1263" i="1"/>
  <c r="K1263" i="1"/>
  <c r="L1263" i="1" s="1"/>
  <c r="M1215" i="1"/>
  <c r="K1215" i="1"/>
  <c r="L1215" i="1" s="1"/>
  <c r="M1155" i="1"/>
  <c r="K1155" i="1"/>
  <c r="L1155" i="1" s="1"/>
  <c r="M1083" i="1"/>
  <c r="K1083" i="1"/>
  <c r="L1083" i="1" s="1"/>
  <c r="M1023" i="1"/>
  <c r="K1023" i="1"/>
  <c r="L1023" i="1" s="1"/>
  <c r="M975" i="1"/>
  <c r="K975" i="1"/>
  <c r="L975" i="1" s="1"/>
  <c r="M927" i="1"/>
  <c r="K927" i="1"/>
  <c r="L927" i="1" s="1"/>
  <c r="M879" i="1"/>
  <c r="K879" i="1"/>
  <c r="L879" i="1" s="1"/>
  <c r="M831" i="1"/>
  <c r="K831" i="1"/>
  <c r="L831" i="1" s="1"/>
  <c r="M795" i="1"/>
  <c r="K795" i="1"/>
  <c r="L795" i="1" s="1"/>
  <c r="M747" i="1"/>
  <c r="K747" i="1"/>
  <c r="L747" i="1" s="1"/>
  <c r="M699" i="1"/>
  <c r="K699" i="1"/>
  <c r="L699" i="1" s="1"/>
  <c r="M651" i="1"/>
  <c r="K651" i="1"/>
  <c r="L651" i="1" s="1"/>
  <c r="M603" i="1"/>
  <c r="K603" i="1"/>
  <c r="L603" i="1" s="1"/>
  <c r="M567" i="1"/>
  <c r="K567" i="1"/>
  <c r="L567" i="1" s="1"/>
  <c r="M507" i="1"/>
  <c r="K507" i="1"/>
  <c r="L507" i="1" s="1"/>
  <c r="M471" i="1"/>
  <c r="K471" i="1"/>
  <c r="L471" i="1" s="1"/>
  <c r="M411" i="1"/>
  <c r="K411" i="1"/>
  <c r="L411" i="1" s="1"/>
  <c r="M375" i="1"/>
  <c r="K375" i="1"/>
  <c r="L375" i="1" s="1"/>
  <c r="M327" i="1"/>
  <c r="K327" i="1"/>
  <c r="L327" i="1" s="1"/>
  <c r="M279" i="1"/>
  <c r="K279" i="1"/>
  <c r="L279" i="1" s="1"/>
  <c r="M207" i="1"/>
  <c r="K207" i="1"/>
  <c r="L207" i="1" s="1"/>
  <c r="M171" i="1"/>
  <c r="K171" i="1"/>
  <c r="L171" i="1" s="1"/>
  <c r="M135" i="1"/>
  <c r="K135" i="1"/>
  <c r="L135" i="1" s="1"/>
  <c r="M87" i="1"/>
  <c r="K87" i="1"/>
  <c r="L87" i="1" s="1"/>
  <c r="K27" i="1"/>
  <c r="L27" i="1" s="1"/>
  <c r="M27" i="1"/>
  <c r="K2" i="1"/>
  <c r="M1165" i="1"/>
  <c r="K2101" i="1"/>
  <c r="L2101" i="1" s="1"/>
  <c r="K2065" i="1"/>
  <c r="L2065" i="1" s="1"/>
  <c r="K2029" i="1"/>
  <c r="L2029" i="1" s="1"/>
  <c r="K1993" i="1"/>
  <c r="L1993" i="1" s="1"/>
  <c r="K1885" i="1"/>
  <c r="L1885" i="1" s="1"/>
  <c r="K1849" i="1"/>
  <c r="L1849" i="1" s="1"/>
  <c r="K1813" i="1"/>
  <c r="L1813" i="1" s="1"/>
  <c r="K1777" i="1"/>
  <c r="L1777" i="1" s="1"/>
  <c r="K1741" i="1"/>
  <c r="L1741" i="1" s="1"/>
  <c r="K1669" i="1"/>
  <c r="L1669" i="1" s="1"/>
  <c r="K1633" i="1"/>
  <c r="L1633" i="1" s="1"/>
  <c r="K1597" i="1"/>
  <c r="L1597" i="1" s="1"/>
  <c r="K1525" i="1"/>
  <c r="L1525" i="1" s="1"/>
  <c r="K1453" i="1"/>
  <c r="L1453" i="1" s="1"/>
  <c r="K1417" i="1"/>
  <c r="L1417" i="1" s="1"/>
  <c r="K1345" i="1"/>
  <c r="L1345" i="1" s="1"/>
  <c r="K1309" i="1"/>
  <c r="L1309" i="1" s="1"/>
  <c r="K1201" i="1"/>
  <c r="L1201" i="1" s="1"/>
  <c r="K1129" i="1"/>
  <c r="L1129" i="1" s="1"/>
  <c r="K1057" i="1"/>
  <c r="L1057" i="1" s="1"/>
  <c r="K985" i="1"/>
  <c r="L985" i="1" s="1"/>
  <c r="K949" i="1"/>
  <c r="L949" i="1" s="1"/>
  <c r="K913" i="1"/>
  <c r="L913" i="1" s="1"/>
  <c r="K877" i="1"/>
  <c r="L877" i="1" s="1"/>
  <c r="K841" i="1"/>
  <c r="L841" i="1" s="1"/>
  <c r="K805" i="1"/>
  <c r="L805" i="1" s="1"/>
  <c r="K769" i="1"/>
  <c r="L769" i="1" s="1"/>
  <c r="K733" i="1"/>
  <c r="L733" i="1" s="1"/>
  <c r="K697" i="1"/>
  <c r="L697" i="1" s="1"/>
  <c r="K661" i="1"/>
  <c r="L661" i="1" s="1"/>
  <c r="K625" i="1"/>
  <c r="L625" i="1" s="1"/>
  <c r="K589" i="1"/>
  <c r="L589" i="1" s="1"/>
  <c r="K553" i="1"/>
  <c r="L553" i="1" s="1"/>
  <c r="K517" i="1"/>
  <c r="L517" i="1" s="1"/>
  <c r="K481" i="1"/>
  <c r="L481" i="1" s="1"/>
  <c r="K445" i="1"/>
  <c r="L445" i="1" s="1"/>
  <c r="K409" i="1"/>
  <c r="L409" i="1" s="1"/>
  <c r="K373" i="1"/>
  <c r="L373" i="1" s="1"/>
  <c r="K337" i="1"/>
  <c r="L337" i="1" s="1"/>
  <c r="K301" i="1"/>
  <c r="L301" i="1" s="1"/>
  <c r="K265" i="1"/>
  <c r="L265" i="1" s="1"/>
  <c r="K229" i="1"/>
  <c r="L229" i="1" s="1"/>
  <c r="K193" i="1"/>
  <c r="L193" i="1" s="1"/>
  <c r="K157" i="1"/>
  <c r="L157" i="1" s="1"/>
  <c r="K121" i="1"/>
  <c r="L121" i="1" s="1"/>
  <c r="K85" i="1"/>
  <c r="L85" i="1" s="1"/>
  <c r="K49" i="1"/>
  <c r="L49" i="1" s="1"/>
  <c r="K13" i="1"/>
  <c r="L13" i="1" s="1"/>
  <c r="M1380" i="1"/>
  <c r="M2079" i="1"/>
  <c r="K2079" i="1"/>
  <c r="L2079" i="1" s="1"/>
  <c r="M2031" i="1"/>
  <c r="K2031" i="1"/>
  <c r="L2031" i="1" s="1"/>
  <c r="M1971" i="1"/>
  <c r="K1971" i="1"/>
  <c r="L1971" i="1" s="1"/>
  <c r="M1935" i="1"/>
  <c r="K1935" i="1"/>
  <c r="L1935" i="1" s="1"/>
  <c r="M1863" i="1"/>
  <c r="K1863" i="1"/>
  <c r="L1863" i="1" s="1"/>
  <c r="M1803" i="1"/>
  <c r="K1803" i="1"/>
  <c r="L1803" i="1" s="1"/>
  <c r="M1767" i="1"/>
  <c r="K1767" i="1"/>
  <c r="L1767" i="1" s="1"/>
  <c r="M1707" i="1"/>
  <c r="K1707" i="1"/>
  <c r="L1707" i="1" s="1"/>
  <c r="M1659" i="1"/>
  <c r="K1659" i="1"/>
  <c r="L1659" i="1" s="1"/>
  <c r="M1611" i="1"/>
  <c r="K1611" i="1"/>
  <c r="L1611" i="1" s="1"/>
  <c r="M1563" i="1"/>
  <c r="K1563" i="1"/>
  <c r="L1563" i="1" s="1"/>
  <c r="M1503" i="1"/>
  <c r="K1503" i="1"/>
  <c r="L1503" i="1" s="1"/>
  <c r="M1455" i="1"/>
  <c r="K1455" i="1"/>
  <c r="L1455" i="1" s="1"/>
  <c r="M1407" i="1"/>
  <c r="K1407" i="1"/>
  <c r="L1407" i="1" s="1"/>
  <c r="M1347" i="1"/>
  <c r="K1347" i="1"/>
  <c r="L1347" i="1" s="1"/>
  <c r="M1299" i="1"/>
  <c r="K1299" i="1"/>
  <c r="L1299" i="1" s="1"/>
  <c r="M1239" i="1"/>
  <c r="K1239" i="1"/>
  <c r="L1239" i="1" s="1"/>
  <c r="M1167" i="1"/>
  <c r="K1167" i="1"/>
  <c r="L1167" i="1" s="1"/>
  <c r="M1119" i="1"/>
  <c r="K1119" i="1"/>
  <c r="L1119" i="1" s="1"/>
  <c r="M1059" i="1"/>
  <c r="K1059" i="1"/>
  <c r="L1059" i="1" s="1"/>
  <c r="M903" i="1"/>
  <c r="K903" i="1"/>
  <c r="L903" i="1" s="1"/>
  <c r="K855" i="1"/>
  <c r="L855" i="1" s="1"/>
  <c r="M855" i="1"/>
  <c r="M807" i="1"/>
  <c r="K807" i="1"/>
  <c r="L807" i="1" s="1"/>
  <c r="M735" i="1"/>
  <c r="K735" i="1"/>
  <c r="L735" i="1" s="1"/>
  <c r="K675" i="1"/>
  <c r="L675" i="1" s="1"/>
  <c r="M675" i="1"/>
  <c r="M627" i="1"/>
  <c r="K627" i="1"/>
  <c r="L627" i="1" s="1"/>
  <c r="M579" i="1"/>
  <c r="K579" i="1"/>
  <c r="L579" i="1" s="1"/>
  <c r="M519" i="1"/>
  <c r="K519" i="1"/>
  <c r="L519" i="1" s="1"/>
  <c r="M495" i="1"/>
  <c r="K495" i="1"/>
  <c r="L495" i="1" s="1"/>
  <c r="K423" i="1"/>
  <c r="L423" i="1" s="1"/>
  <c r="M423" i="1"/>
  <c r="M363" i="1"/>
  <c r="K363" i="1"/>
  <c r="L363" i="1" s="1"/>
  <c r="M303" i="1"/>
  <c r="K303" i="1"/>
  <c r="L303" i="1" s="1"/>
  <c r="M255" i="1"/>
  <c r="K255" i="1"/>
  <c r="L255" i="1" s="1"/>
  <c r="M75" i="1"/>
  <c r="K75" i="1"/>
  <c r="L75" i="1" s="1"/>
  <c r="M39" i="1"/>
  <c r="K39" i="1"/>
  <c r="L39" i="1" s="1"/>
  <c r="M1740" i="1"/>
  <c r="M315" i="1"/>
  <c r="K2100" i="1"/>
  <c r="L2100" i="1" s="1"/>
  <c r="K2064" i="1"/>
  <c r="L2064" i="1" s="1"/>
  <c r="K2028" i="1"/>
  <c r="L2028" i="1" s="1"/>
  <c r="K1992" i="1"/>
  <c r="L1992" i="1" s="1"/>
  <c r="K1920" i="1"/>
  <c r="L1920" i="1" s="1"/>
  <c r="K1848" i="1"/>
  <c r="L1848" i="1" s="1"/>
  <c r="K1812" i="1"/>
  <c r="L1812" i="1" s="1"/>
  <c r="K1776" i="1"/>
  <c r="L1776" i="1" s="1"/>
  <c r="K1704" i="1"/>
  <c r="L1704" i="1" s="1"/>
  <c r="K1668" i="1"/>
  <c r="L1668" i="1" s="1"/>
  <c r="K1632" i="1"/>
  <c r="L1632" i="1" s="1"/>
  <c r="K1596" i="1"/>
  <c r="L1596" i="1" s="1"/>
  <c r="K1524" i="1"/>
  <c r="L1524" i="1" s="1"/>
  <c r="K1488" i="1"/>
  <c r="L1488" i="1" s="1"/>
  <c r="K1452" i="1"/>
  <c r="L1452" i="1" s="1"/>
  <c r="K1308" i="1"/>
  <c r="L1308" i="1" s="1"/>
  <c r="K1236" i="1"/>
  <c r="L1236" i="1" s="1"/>
  <c r="K1200" i="1"/>
  <c r="L1200" i="1" s="1"/>
  <c r="K1164" i="1"/>
  <c r="L1164" i="1" s="1"/>
  <c r="K1056" i="1"/>
  <c r="L1056" i="1" s="1"/>
  <c r="K1020" i="1"/>
  <c r="L1020" i="1" s="1"/>
  <c r="K984" i="1"/>
  <c r="L984" i="1" s="1"/>
  <c r="K948" i="1"/>
  <c r="L948" i="1" s="1"/>
  <c r="K912" i="1"/>
  <c r="L912" i="1" s="1"/>
  <c r="K876" i="1"/>
  <c r="L876" i="1" s="1"/>
  <c r="K840" i="1"/>
  <c r="L840" i="1" s="1"/>
  <c r="K804" i="1"/>
  <c r="L804" i="1" s="1"/>
  <c r="K768" i="1"/>
  <c r="L768" i="1" s="1"/>
  <c r="K732" i="1"/>
  <c r="L732" i="1" s="1"/>
  <c r="K696" i="1"/>
  <c r="L696" i="1" s="1"/>
  <c r="K660" i="1"/>
  <c r="L660" i="1" s="1"/>
  <c r="K624" i="1"/>
  <c r="L624" i="1" s="1"/>
  <c r="K588" i="1"/>
  <c r="L588" i="1" s="1"/>
  <c r="K552" i="1"/>
  <c r="L552" i="1" s="1"/>
  <c r="K516" i="1"/>
  <c r="L516" i="1" s="1"/>
  <c r="K480" i="1"/>
  <c r="L480" i="1" s="1"/>
  <c r="K444" i="1"/>
  <c r="L444" i="1" s="1"/>
  <c r="K408" i="1"/>
  <c r="L408" i="1" s="1"/>
  <c r="K372" i="1"/>
  <c r="L372" i="1" s="1"/>
  <c r="K336" i="1"/>
  <c r="L336" i="1" s="1"/>
  <c r="K300" i="1"/>
  <c r="L300" i="1" s="1"/>
  <c r="K264" i="1"/>
  <c r="L264" i="1" s="1"/>
  <c r="K228" i="1"/>
  <c r="L228" i="1" s="1"/>
  <c r="K192" i="1"/>
  <c r="L192" i="1" s="1"/>
  <c r="K156" i="1"/>
  <c r="L156" i="1" s="1"/>
  <c r="K120" i="1"/>
  <c r="L120" i="1" s="1"/>
  <c r="K84" i="1"/>
  <c r="L84" i="1" s="1"/>
  <c r="K48" i="1"/>
  <c r="L48" i="1" s="1"/>
  <c r="K12" i="1"/>
  <c r="L12" i="1" s="1"/>
  <c r="M555" i="1"/>
  <c r="M2055" i="1"/>
  <c r="K2055" i="1"/>
  <c r="L2055" i="1" s="1"/>
  <c r="M1983" i="1"/>
  <c r="K1983" i="1"/>
  <c r="L1983" i="1" s="1"/>
  <c r="M1959" i="1"/>
  <c r="K1959" i="1"/>
  <c r="L1959" i="1" s="1"/>
  <c r="M1899" i="1"/>
  <c r="K1899" i="1"/>
  <c r="L1899" i="1" s="1"/>
  <c r="M1851" i="1"/>
  <c r="K1851" i="1"/>
  <c r="L1851" i="1" s="1"/>
  <c r="M1791" i="1"/>
  <c r="K1791" i="1"/>
  <c r="L1791" i="1" s="1"/>
  <c r="M1719" i="1"/>
  <c r="K1719" i="1"/>
  <c r="L1719" i="1" s="1"/>
  <c r="M1647" i="1"/>
  <c r="K1647" i="1"/>
  <c r="L1647" i="1" s="1"/>
  <c r="M1551" i="1"/>
  <c r="K1551" i="1"/>
  <c r="L1551" i="1" s="1"/>
  <c r="M1467" i="1"/>
  <c r="K1467" i="1"/>
  <c r="L1467" i="1" s="1"/>
  <c r="M1395" i="1"/>
  <c r="K1395" i="1"/>
  <c r="L1395" i="1" s="1"/>
  <c r="M1311" i="1"/>
  <c r="K1311" i="1"/>
  <c r="L1311" i="1" s="1"/>
  <c r="M1251" i="1"/>
  <c r="K1251" i="1"/>
  <c r="L1251" i="1" s="1"/>
  <c r="M1203" i="1"/>
  <c r="K1203" i="1"/>
  <c r="L1203" i="1" s="1"/>
  <c r="M1143" i="1"/>
  <c r="K1143" i="1"/>
  <c r="L1143" i="1" s="1"/>
  <c r="M1095" i="1"/>
  <c r="K1095" i="1"/>
  <c r="L1095" i="1" s="1"/>
  <c r="M1035" i="1"/>
  <c r="K1035" i="1"/>
  <c r="L1035" i="1" s="1"/>
  <c r="M999" i="1"/>
  <c r="K999" i="1"/>
  <c r="L999" i="1" s="1"/>
  <c r="M939" i="1"/>
  <c r="K939" i="1"/>
  <c r="L939" i="1" s="1"/>
  <c r="M867" i="1"/>
  <c r="K867" i="1"/>
  <c r="L867" i="1" s="1"/>
  <c r="M723" i="1"/>
  <c r="K723" i="1"/>
  <c r="L723" i="1" s="1"/>
  <c r="M663" i="1"/>
  <c r="K663" i="1"/>
  <c r="L663" i="1" s="1"/>
  <c r="K591" i="1"/>
  <c r="L591" i="1" s="1"/>
  <c r="M591" i="1"/>
  <c r="K531" i="1"/>
  <c r="L531" i="1" s="1"/>
  <c r="M531" i="1"/>
  <c r="M399" i="1"/>
  <c r="K399" i="1"/>
  <c r="L399" i="1" s="1"/>
  <c r="M339" i="1"/>
  <c r="K339" i="1"/>
  <c r="L339" i="1" s="1"/>
  <c r="M111" i="1"/>
  <c r="K111" i="1"/>
  <c r="L111" i="1" s="1"/>
  <c r="M63" i="1"/>
  <c r="K63" i="1"/>
  <c r="L63" i="1" s="1"/>
  <c r="B16" i="1"/>
  <c r="B19" i="1" l="1"/>
  <c r="L2" i="1"/>
  <c r="B18" i="1" s="1"/>
  <c r="B17" i="1"/>
  <c r="B20" i="1"/>
</calcChain>
</file>

<file path=xl/sharedStrings.xml><?xml version="1.0" encoding="utf-8"?>
<sst xmlns="http://schemas.openxmlformats.org/spreadsheetml/2006/main" count="16941" uniqueCount="77">
  <si>
    <t>Order ID</t>
  </si>
  <si>
    <t>Order Date</t>
  </si>
  <si>
    <t>Order Priority</t>
  </si>
  <si>
    <t>Order Quantity</t>
  </si>
  <si>
    <t>Sales</t>
  </si>
  <si>
    <t>Ship Mode</t>
  </si>
  <si>
    <t>Shipping Cost</t>
  </si>
  <si>
    <t>Low</t>
  </si>
  <si>
    <t>Express Air</t>
  </si>
  <si>
    <t>High</t>
  </si>
  <si>
    <t>Regular Air</t>
  </si>
  <si>
    <t>Not Specified</t>
  </si>
  <si>
    <t>Critical</t>
  </si>
  <si>
    <t>Delivery Truck</t>
  </si>
  <si>
    <t>Medium</t>
  </si>
  <si>
    <t>Type</t>
  </si>
  <si>
    <t>Mini</t>
  </si>
  <si>
    <t>Extra Small</t>
  </si>
  <si>
    <t>Small</t>
  </si>
  <si>
    <t>Small-Medium</t>
  </si>
  <si>
    <t>Medium-Large</t>
  </si>
  <si>
    <t>Large</t>
  </si>
  <si>
    <t>Extra Large</t>
  </si>
  <si>
    <t>XX Large</t>
  </si>
  <si>
    <t>XXX Large</t>
  </si>
  <si>
    <t>Order Type</t>
  </si>
  <si>
    <t>Expanded Order Type</t>
  </si>
  <si>
    <t>Discount</t>
  </si>
  <si>
    <t>Sales with Discount</t>
  </si>
  <si>
    <t>Sales with Free Shipping</t>
  </si>
  <si>
    <t>Month Year</t>
  </si>
  <si>
    <t>Area</t>
  </si>
  <si>
    <t>KPI Metric</t>
  </si>
  <si>
    <t>Total Sales</t>
  </si>
  <si>
    <t>Average Order Value</t>
  </si>
  <si>
    <t>No. of Orders</t>
  </si>
  <si>
    <t>Total Shipping Cost</t>
  </si>
  <si>
    <t>Avg. Shipping Cost per Order</t>
  </si>
  <si>
    <t>Shipping % of Sales</t>
  </si>
  <si>
    <t>Total Discount Amount</t>
  </si>
  <si>
    <t>Sales by Order Priority</t>
  </si>
  <si>
    <t>Order Count by Priority</t>
  </si>
  <si>
    <t>Final Sales</t>
  </si>
  <si>
    <t>Discount Amount</t>
  </si>
  <si>
    <t>Average Discount per Order</t>
  </si>
  <si>
    <t xml:space="preserve">High </t>
  </si>
  <si>
    <r>
      <t xml:space="preserve">🛒 </t>
    </r>
    <r>
      <rPr>
        <b/>
        <sz val="14"/>
        <color theme="1"/>
        <rFont val="Times New Roman"/>
        <family val="1"/>
      </rPr>
      <t>Sales</t>
    </r>
  </si>
  <si>
    <r>
      <t xml:space="preserve">🚚 </t>
    </r>
    <r>
      <rPr>
        <b/>
        <sz val="14"/>
        <color theme="1"/>
        <rFont val="Times New Roman"/>
        <family val="1"/>
      </rPr>
      <t>Shipping</t>
    </r>
  </si>
  <si>
    <r>
      <t xml:space="preserve">🎯 </t>
    </r>
    <r>
      <rPr>
        <b/>
        <sz val="14"/>
        <color theme="1"/>
        <rFont val="Times New Roman"/>
        <family val="1"/>
      </rPr>
      <t>Discounts</t>
    </r>
  </si>
  <si>
    <r>
      <t xml:space="preserve">⏫ </t>
    </r>
    <r>
      <rPr>
        <b/>
        <sz val="14"/>
        <color theme="1"/>
        <rFont val="Times New Roman"/>
        <family val="1"/>
      </rPr>
      <t>Order Priority</t>
    </r>
  </si>
  <si>
    <t>Row Labels</t>
  </si>
  <si>
    <t>Grand Total</t>
  </si>
  <si>
    <t>Jan</t>
  </si>
  <si>
    <t>Feb</t>
  </si>
  <si>
    <t>Mar</t>
  </si>
  <si>
    <t>Apr</t>
  </si>
  <si>
    <t>May</t>
  </si>
  <si>
    <t>Jun</t>
  </si>
  <si>
    <t>Jul</t>
  </si>
  <si>
    <t>Aug</t>
  </si>
  <si>
    <t>Sep</t>
  </si>
  <si>
    <t>Oct</t>
  </si>
  <si>
    <t>Nov</t>
  </si>
  <si>
    <t>Dec</t>
  </si>
  <si>
    <t>Sum of Sales with Discount</t>
  </si>
  <si>
    <t>Sum of Sales with Free Shipping</t>
  </si>
  <si>
    <t>Sum of Final Sales</t>
  </si>
  <si>
    <t>Count of Order ID</t>
  </si>
  <si>
    <t>Sum of Sales</t>
  </si>
  <si>
    <t>Sum of Discount Amount</t>
  </si>
  <si>
    <t xml:space="preserve">% Free Shipping Sales </t>
  </si>
  <si>
    <t>KPI Value</t>
  </si>
  <si>
    <t>SALES AND SHIPPING ANALYSIS DASHBOARD</t>
  </si>
  <si>
    <t>SALES BY SHIP MODE</t>
  </si>
  <si>
    <t>SALES BY ORDER TYPE</t>
  </si>
  <si>
    <t>ORDER QUANTITY DISTRIBUTION</t>
  </si>
  <si>
    <t>Order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</si>
</sst>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quot;₹&quot;\ #,##0.00"/>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Times New Roman"/>
      <family val="1"/>
    </font>
    <font>
      <sz val="14"/>
      <color theme="1"/>
      <name val="Times New Roman"/>
      <family val="1"/>
    </font>
    <font>
      <b/>
      <sz val="12"/>
      <color theme="1"/>
      <name val="Times New Roman"/>
      <family val="1"/>
    </font>
    <font>
      <sz val="12"/>
      <color theme="1"/>
      <name val="Times New Roman"/>
      <family val="1"/>
    </font>
    <font>
      <b/>
      <u/>
      <sz val="14"/>
      <color theme="7" tint="0.79998168889431442"/>
      <name val="Times New Roman"/>
      <family val="1"/>
    </font>
    <font>
      <b/>
      <sz val="11"/>
      <color theme="7" tint="0.59999389629810485"/>
      <name val="Times New Roman"/>
      <family val="1"/>
    </font>
    <font>
      <b/>
      <sz val="12"/>
      <color theme="7" tint="-0.249977111117893"/>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ECFF"/>
        <bgColor indexed="64"/>
      </patternFill>
    </fill>
    <fill>
      <patternFill patternType="solid">
        <fgColor theme="1"/>
        <bgColor indexed="64"/>
      </patternFill>
    </fill>
    <fill>
      <patternFill patternType="solid">
        <fgColor theme="7"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10" xfId="0" applyBorder="1" applyAlignment="1">
      <alignment horizontal="center"/>
    </xf>
    <xf numFmtId="0" fontId="0" fillId="0" borderId="10" xfId="0" quotePrefix="1" applyBorder="1" applyAlignment="1">
      <alignment horizontal="center"/>
    </xf>
    <xf numFmtId="0" fontId="16" fillId="33" borderId="10" xfId="0" applyFont="1" applyFill="1" applyBorder="1" applyAlignment="1">
      <alignment horizontal="center"/>
    </xf>
    <xf numFmtId="0" fontId="18" fillId="0" borderId="0" xfId="0" applyFont="1" applyAlignment="1">
      <alignment horizontal="center"/>
    </xf>
    <xf numFmtId="0" fontId="18" fillId="0" borderId="0" xfId="0" applyFont="1"/>
    <xf numFmtId="0" fontId="14" fillId="0" borderId="0" xfId="0" applyFont="1" applyAlignment="1">
      <alignment horizontal="center"/>
    </xf>
    <xf numFmtId="0" fontId="22" fillId="0" borderId="0" xfId="0" applyFont="1" applyAlignment="1">
      <alignment horizontal="center" vertical="center"/>
    </xf>
    <xf numFmtId="0" fontId="0" fillId="0" borderId="0" xfId="0" pivotButton="1"/>
    <xf numFmtId="43" fontId="22" fillId="0" borderId="15" xfId="42" applyFont="1" applyBorder="1" applyAlignment="1">
      <alignment horizontal="center" vertical="center"/>
    </xf>
    <xf numFmtId="44" fontId="20" fillId="0" borderId="14" xfId="43" applyFont="1" applyBorder="1" applyAlignment="1">
      <alignment horizontal="center" vertical="center"/>
    </xf>
    <xf numFmtId="44" fontId="22" fillId="0" borderId="10" xfId="43" applyFont="1" applyBorder="1" applyAlignment="1">
      <alignment horizontal="center" vertical="center"/>
    </xf>
    <xf numFmtId="44" fontId="22" fillId="0" borderId="15" xfId="43" applyFont="1" applyBorder="1" applyAlignment="1">
      <alignment horizontal="center" vertical="center"/>
    </xf>
    <xf numFmtId="44" fontId="21" fillId="0" borderId="10" xfId="43" applyFont="1" applyBorder="1" applyAlignment="1">
      <alignment horizontal="center" vertical="center"/>
    </xf>
    <xf numFmtId="44" fontId="21" fillId="0" borderId="15" xfId="43" applyFont="1" applyBorder="1" applyAlignment="1">
      <alignment horizontal="center" vertical="center"/>
    </xf>
    <xf numFmtId="44" fontId="22" fillId="0" borderId="14" xfId="43" applyFont="1" applyBorder="1" applyAlignment="1">
      <alignment horizontal="center" vertical="center"/>
    </xf>
    <xf numFmtId="44" fontId="0" fillId="0" borderId="0" xfId="0" pivotButton="1" applyNumberFormat="1"/>
    <xf numFmtId="44" fontId="0" fillId="0" borderId="0" xfId="0" applyNumberFormat="1"/>
    <xf numFmtId="44" fontId="0" fillId="0" borderId="0" xfId="0" applyNumberFormat="1" applyAlignment="1">
      <alignment horizontal="left"/>
    </xf>
    <xf numFmtId="43" fontId="0" fillId="0" borderId="0" xfId="0" pivotButton="1" applyNumberFormat="1"/>
    <xf numFmtId="43" fontId="0" fillId="0" borderId="0" xfId="0" applyNumberFormat="1" applyAlignment="1">
      <alignment horizontal="left"/>
    </xf>
    <xf numFmtId="43" fontId="22" fillId="0" borderId="17" xfId="42" applyFont="1" applyBorder="1" applyAlignment="1">
      <alignment horizontal="center" vertical="center"/>
    </xf>
    <xf numFmtId="44" fontId="22" fillId="0" borderId="16" xfId="43" applyFont="1" applyBorder="1" applyAlignment="1">
      <alignment horizontal="center" vertical="center"/>
    </xf>
    <xf numFmtId="44" fontId="19" fillId="0" borderId="11" xfId="0" applyNumberFormat="1" applyFont="1" applyBorder="1" applyAlignment="1">
      <alignment horizontal="center" vertical="center"/>
    </xf>
    <xf numFmtId="44" fontId="19" fillId="0" borderId="12" xfId="0" applyNumberFormat="1" applyFont="1" applyBorder="1" applyAlignment="1">
      <alignment horizontal="center" vertical="center"/>
    </xf>
    <xf numFmtId="44" fontId="19" fillId="0" borderId="13" xfId="0" applyNumberFormat="1" applyFont="1" applyBorder="1" applyAlignment="1">
      <alignment horizontal="center" vertical="center"/>
    </xf>
    <xf numFmtId="0" fontId="0" fillId="34" borderId="0" xfId="0" applyFill="1"/>
    <xf numFmtId="10" fontId="22" fillId="0" borderId="15" xfId="44" applyNumberFormat="1" applyFont="1" applyBorder="1" applyAlignment="1">
      <alignment horizontal="right" vertical="center"/>
    </xf>
    <xf numFmtId="0" fontId="23" fillId="34" borderId="0" xfId="0" applyFont="1" applyFill="1" applyAlignment="1">
      <alignment horizontal="center" vertical="center" wrapText="1"/>
    </xf>
    <xf numFmtId="0" fontId="16" fillId="33" borderId="10" xfId="0" applyFont="1" applyFill="1" applyBorder="1" applyAlignment="1">
      <alignment horizontal="center"/>
    </xf>
    <xf numFmtId="0" fontId="24" fillId="34" borderId="0" xfId="0" applyFont="1" applyFill="1" applyAlignment="1">
      <alignment horizontal="left" vertical="center"/>
    </xf>
    <xf numFmtId="0" fontId="25" fillId="35" borderId="0" xfId="0" applyFont="1" applyFill="1" applyBorder="1" applyAlignment="1">
      <alignment horizontal="center" vertical="center" wrapText="1"/>
    </xf>
    <xf numFmtId="44" fontId="25" fillId="35" borderId="0" xfId="43" applyFont="1" applyFill="1" applyBorder="1" applyAlignment="1">
      <alignment horizontal="center" vertical="center" wrapText="1"/>
    </xf>
    <xf numFmtId="0" fontId="25" fillId="35" borderId="0" xfId="0" applyFont="1" applyFill="1" applyAlignment="1">
      <alignment horizontal="center" vertical="center" wrapText="1"/>
    </xf>
    <xf numFmtId="164" fontId="25" fillId="35" borderId="0" xfId="42" applyNumberFormat="1" applyFont="1" applyFill="1" applyAlignment="1">
      <alignment horizontal="center" vertical="center" wrapText="1"/>
    </xf>
    <xf numFmtId="44" fontId="25" fillId="35" borderId="0" xfId="43" applyFont="1" applyFill="1" applyAlignment="1">
      <alignment horizontal="center"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5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34" formatCode="_ &quot;₹&quot;\ * #,##0.00_ ;_ &quot;₹&quot;\ * \-#,##0.00_ ;_ &quot;₹&quot;\ * &quot;-&quot;??_ ;_ @_ "/>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4"/>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ECFF"/>
      <color rgb="FF99CC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Analysis.xlsx]Sales by Ship Mode!PivotTable2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19496391076114E-2"/>
          <c:y val="0.25133213611456462"/>
          <c:w val="0.81369031269886993"/>
          <c:h val="0.58505502601648474"/>
        </c:manualLayout>
      </c:layout>
      <c:barChart>
        <c:barDir val="bar"/>
        <c:grouping val="clustered"/>
        <c:varyColors val="0"/>
        <c:ser>
          <c:idx val="0"/>
          <c:order val="0"/>
          <c:tx>
            <c:strRef>
              <c:f>'Sales by Ship Mode'!$B$1</c:f>
              <c:strCache>
                <c:ptCount val="1"/>
                <c:pt idx="0">
                  <c:v>Sum of Sales with Free Shipping</c:v>
                </c:pt>
              </c:strCache>
            </c:strRef>
          </c:tx>
          <c:spPr>
            <a:solidFill>
              <a:schemeClr val="accent1"/>
            </a:solidFill>
            <a:ln>
              <a:noFill/>
            </a:ln>
            <a:effectLst/>
          </c:spPr>
          <c:invertIfNegative val="0"/>
          <c:cat>
            <c:strRef>
              <c:f>'Sales by Ship Mode'!$A$2:$A$5</c:f>
              <c:strCache>
                <c:ptCount val="3"/>
                <c:pt idx="0">
                  <c:v>Delivery Truck</c:v>
                </c:pt>
                <c:pt idx="1">
                  <c:v>Express Air</c:v>
                </c:pt>
                <c:pt idx="2">
                  <c:v>Regular Air</c:v>
                </c:pt>
              </c:strCache>
            </c:strRef>
          </c:cat>
          <c:val>
            <c:numRef>
              <c:f>'Sales by Ship Mode'!$B$2:$B$5</c:f>
              <c:numCache>
                <c:formatCode>General</c:formatCode>
                <c:ptCount val="3"/>
                <c:pt idx="0">
                  <c:v>1651492.0664000004</c:v>
                </c:pt>
                <c:pt idx="1">
                  <c:v>277063.06060000014</c:v>
                </c:pt>
                <c:pt idx="2">
                  <c:v>2040639.8366000014</c:v>
                </c:pt>
              </c:numCache>
            </c:numRef>
          </c:val>
          <c:extLst>
            <c:ext xmlns:c16="http://schemas.microsoft.com/office/drawing/2014/chart" uri="{C3380CC4-5D6E-409C-BE32-E72D297353CC}">
              <c16:uniqueId val="{00000000-7B5C-4389-8640-71FC60381D93}"/>
            </c:ext>
          </c:extLst>
        </c:ser>
        <c:ser>
          <c:idx val="1"/>
          <c:order val="1"/>
          <c:tx>
            <c:strRef>
              <c:f>'Sales by Ship Mode'!$C$1</c:f>
              <c:strCache>
                <c:ptCount val="1"/>
                <c:pt idx="0">
                  <c:v>Sum of Sales</c:v>
                </c:pt>
              </c:strCache>
            </c:strRef>
          </c:tx>
          <c:spPr>
            <a:solidFill>
              <a:schemeClr val="accent2"/>
            </a:solidFill>
            <a:ln>
              <a:noFill/>
            </a:ln>
            <a:effectLst/>
          </c:spPr>
          <c:invertIfNegative val="0"/>
          <c:cat>
            <c:strRef>
              <c:f>'Sales by Ship Mode'!$A$2:$A$5</c:f>
              <c:strCache>
                <c:ptCount val="3"/>
                <c:pt idx="0">
                  <c:v>Delivery Truck</c:v>
                </c:pt>
                <c:pt idx="1">
                  <c:v>Express Air</c:v>
                </c:pt>
                <c:pt idx="2">
                  <c:v>Regular Air</c:v>
                </c:pt>
              </c:strCache>
            </c:strRef>
          </c:cat>
          <c:val>
            <c:numRef>
              <c:f>'Sales by Ship Mode'!$C$2:$C$5</c:f>
              <c:numCache>
                <c:formatCode>General</c:formatCode>
                <c:ptCount val="3"/>
                <c:pt idx="0">
                  <c:v>1655415.3663999997</c:v>
                </c:pt>
                <c:pt idx="1">
                  <c:v>277701.86060000007</c:v>
                </c:pt>
                <c:pt idx="2">
                  <c:v>2044523.6366000001</c:v>
                </c:pt>
              </c:numCache>
            </c:numRef>
          </c:val>
          <c:extLst>
            <c:ext xmlns:c16="http://schemas.microsoft.com/office/drawing/2014/chart" uri="{C3380CC4-5D6E-409C-BE32-E72D297353CC}">
              <c16:uniqueId val="{00000001-7B5C-4389-8640-71FC60381D93}"/>
            </c:ext>
          </c:extLst>
        </c:ser>
        <c:dLbls>
          <c:showLegendKey val="0"/>
          <c:showVal val="0"/>
          <c:showCatName val="0"/>
          <c:showSerName val="0"/>
          <c:showPercent val="0"/>
          <c:showBubbleSize val="0"/>
        </c:dLbls>
        <c:gapWidth val="219"/>
        <c:axId val="525365807"/>
        <c:axId val="525372047"/>
      </c:barChart>
      <c:lineChart>
        <c:grouping val="standard"/>
        <c:varyColors val="0"/>
        <c:ser>
          <c:idx val="2"/>
          <c:order val="2"/>
          <c:tx>
            <c:strRef>
              <c:f>'Sales by Ship Mode'!$D$1</c:f>
              <c:strCache>
                <c:ptCount val="1"/>
                <c:pt idx="0">
                  <c:v>% Free Shipping Sales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by Ship Mode'!$A$2:$A$5</c:f>
              <c:strCache>
                <c:ptCount val="3"/>
                <c:pt idx="0">
                  <c:v>Delivery Truck</c:v>
                </c:pt>
                <c:pt idx="1">
                  <c:v>Express Air</c:v>
                </c:pt>
                <c:pt idx="2">
                  <c:v>Regular Air</c:v>
                </c:pt>
              </c:strCache>
            </c:strRef>
          </c:cat>
          <c:val>
            <c:numRef>
              <c:f>'Sales by Ship Mode'!$D$2:$D$5</c:f>
              <c:numCache>
                <c:formatCode>General</c:formatCode>
                <c:ptCount val="3"/>
                <c:pt idx="0">
                  <c:v>0.99763002079137919</c:v>
                </c:pt>
                <c:pt idx="1">
                  <c:v>0.99769969132140579</c:v>
                </c:pt>
                <c:pt idx="2">
                  <c:v>0.99810038879938934</c:v>
                </c:pt>
              </c:numCache>
            </c:numRef>
          </c:val>
          <c:smooth val="0"/>
          <c:extLst>
            <c:ext xmlns:c16="http://schemas.microsoft.com/office/drawing/2014/chart" uri="{C3380CC4-5D6E-409C-BE32-E72D297353CC}">
              <c16:uniqueId val="{00000002-7B5C-4389-8640-71FC60381D93}"/>
            </c:ext>
          </c:extLst>
        </c:ser>
        <c:dLbls>
          <c:showLegendKey val="0"/>
          <c:showVal val="0"/>
          <c:showCatName val="0"/>
          <c:showSerName val="0"/>
          <c:showPercent val="0"/>
          <c:showBubbleSize val="0"/>
        </c:dLbls>
        <c:marker val="1"/>
        <c:smooth val="0"/>
        <c:axId val="229865407"/>
        <c:axId val="229877407"/>
      </c:lineChart>
      <c:catAx>
        <c:axId val="22986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77407"/>
        <c:crosses val="autoZero"/>
        <c:auto val="1"/>
        <c:lblAlgn val="ctr"/>
        <c:lblOffset val="100"/>
        <c:noMultiLvlLbl val="0"/>
      </c:catAx>
      <c:valAx>
        <c:axId val="22987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65407"/>
        <c:crosses val="autoZero"/>
        <c:crossBetween val="between"/>
      </c:valAx>
      <c:valAx>
        <c:axId val="525372047"/>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65807"/>
        <c:crosses val="max"/>
        <c:crossBetween val="between"/>
        <c:majorUnit val="120000"/>
      </c:valAx>
      <c:catAx>
        <c:axId val="525365807"/>
        <c:scaling>
          <c:orientation val="minMax"/>
        </c:scaling>
        <c:delete val="1"/>
        <c:axPos val="l"/>
        <c:numFmt formatCode="General" sourceLinked="1"/>
        <c:majorTickMark val="out"/>
        <c:minorTickMark val="none"/>
        <c:tickLblPos val="nextTo"/>
        <c:crossAx val="525372047"/>
        <c:crosses val="autoZero"/>
        <c:auto val="1"/>
        <c:lblAlgn val="ctr"/>
        <c:lblOffset val="100"/>
        <c:noMultiLvlLbl val="0"/>
      </c:catAx>
      <c:spPr>
        <a:noFill/>
        <a:ln>
          <a:noFill/>
        </a:ln>
        <a:effectLst/>
      </c:spPr>
    </c:plotArea>
    <c:legend>
      <c:legendPos val="r"/>
      <c:layout>
        <c:manualLayout>
          <c:xMode val="edge"/>
          <c:yMode val="edge"/>
          <c:x val="0.88549288310115082"/>
          <c:y val="6.385271837735973E-2"/>
          <c:w val="0.10669459586782422"/>
          <c:h val="0.895246466709961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Analysis.xlsx]Discount Impact!PivotTable3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1961942257218"/>
          <c:y val="6.9793825010112401E-2"/>
          <c:w val="0.64092724737532814"/>
          <c:h val="0.66225062472802676"/>
        </c:manualLayout>
      </c:layout>
      <c:barChart>
        <c:barDir val="col"/>
        <c:grouping val="clustered"/>
        <c:varyColors val="0"/>
        <c:ser>
          <c:idx val="0"/>
          <c:order val="0"/>
          <c:tx>
            <c:strRef>
              <c:f>'Discount Impact'!$B$1</c:f>
              <c:strCache>
                <c:ptCount val="1"/>
                <c:pt idx="0">
                  <c:v>Sum of Sales with Discount</c:v>
                </c:pt>
              </c:strCache>
            </c:strRef>
          </c:tx>
          <c:spPr>
            <a:solidFill>
              <a:schemeClr val="accent1"/>
            </a:solidFill>
            <a:ln>
              <a:noFill/>
            </a:ln>
            <a:effectLst/>
          </c:spPr>
          <c:invertIfNegative val="0"/>
          <c:cat>
            <c:strRef>
              <c:f>'Discount Impact'!$A$2:$A$12</c:f>
              <c:strCache>
                <c:ptCount val="10"/>
                <c:pt idx="0">
                  <c:v>Extra Large</c:v>
                </c:pt>
                <c:pt idx="1">
                  <c:v>Extra Small</c:v>
                </c:pt>
                <c:pt idx="2">
                  <c:v>Large</c:v>
                </c:pt>
                <c:pt idx="3">
                  <c:v>Medium</c:v>
                </c:pt>
                <c:pt idx="4">
                  <c:v>Medium-Large</c:v>
                </c:pt>
                <c:pt idx="5">
                  <c:v>Mini</c:v>
                </c:pt>
                <c:pt idx="6">
                  <c:v>Small</c:v>
                </c:pt>
                <c:pt idx="7">
                  <c:v>Small-Medium</c:v>
                </c:pt>
                <c:pt idx="8">
                  <c:v>XX Large</c:v>
                </c:pt>
                <c:pt idx="9">
                  <c:v>XXX Large</c:v>
                </c:pt>
              </c:strCache>
            </c:strRef>
          </c:cat>
          <c:val>
            <c:numRef>
              <c:f>'Discount Impact'!$B$2:$B$12</c:f>
              <c:numCache>
                <c:formatCode>General</c:formatCode>
                <c:ptCount val="10"/>
                <c:pt idx="0">
                  <c:v>472996.8465749998</c:v>
                </c:pt>
                <c:pt idx="1">
                  <c:v>303685.67430000001</c:v>
                </c:pt>
                <c:pt idx="2">
                  <c:v>495139.8019000002</c:v>
                </c:pt>
                <c:pt idx="3">
                  <c:v>295191.88800000021</c:v>
                </c:pt>
                <c:pt idx="4">
                  <c:v>507952.12890000036</c:v>
                </c:pt>
                <c:pt idx="5">
                  <c:v>115722.36129999996</c:v>
                </c:pt>
                <c:pt idx="6">
                  <c:v>231737.09810000006</c:v>
                </c:pt>
                <c:pt idx="7">
                  <c:v>220045.28729999997</c:v>
                </c:pt>
                <c:pt idx="8">
                  <c:v>595709.84345400007</c:v>
                </c:pt>
                <c:pt idx="9">
                  <c:v>721378.26753300021</c:v>
                </c:pt>
              </c:numCache>
            </c:numRef>
          </c:val>
          <c:extLst>
            <c:ext xmlns:c16="http://schemas.microsoft.com/office/drawing/2014/chart" uri="{C3380CC4-5D6E-409C-BE32-E72D297353CC}">
              <c16:uniqueId val="{00000000-514B-40FB-9ACC-6797C85FF037}"/>
            </c:ext>
          </c:extLst>
        </c:ser>
        <c:ser>
          <c:idx val="1"/>
          <c:order val="1"/>
          <c:tx>
            <c:strRef>
              <c:f>'Discount Impact'!$C$1</c:f>
              <c:strCache>
                <c:ptCount val="1"/>
                <c:pt idx="0">
                  <c:v>Sum of Sales</c:v>
                </c:pt>
              </c:strCache>
            </c:strRef>
          </c:tx>
          <c:spPr>
            <a:solidFill>
              <a:schemeClr val="accent2"/>
            </a:solidFill>
            <a:ln>
              <a:noFill/>
            </a:ln>
            <a:effectLst/>
          </c:spPr>
          <c:invertIfNegative val="0"/>
          <c:cat>
            <c:strRef>
              <c:f>'Discount Impact'!$A$2:$A$12</c:f>
              <c:strCache>
                <c:ptCount val="10"/>
                <c:pt idx="0">
                  <c:v>Extra Large</c:v>
                </c:pt>
                <c:pt idx="1">
                  <c:v>Extra Small</c:v>
                </c:pt>
                <c:pt idx="2">
                  <c:v>Large</c:v>
                </c:pt>
                <c:pt idx="3">
                  <c:v>Medium</c:v>
                </c:pt>
                <c:pt idx="4">
                  <c:v>Medium-Large</c:v>
                </c:pt>
                <c:pt idx="5">
                  <c:v>Mini</c:v>
                </c:pt>
                <c:pt idx="6">
                  <c:v>Small</c:v>
                </c:pt>
                <c:pt idx="7">
                  <c:v>Small-Medium</c:v>
                </c:pt>
                <c:pt idx="8">
                  <c:v>XX Large</c:v>
                </c:pt>
                <c:pt idx="9">
                  <c:v>XXX Large</c:v>
                </c:pt>
              </c:strCache>
            </c:strRef>
          </c:cat>
          <c:val>
            <c:numRef>
              <c:f>'Discount Impact'!$C$2:$C$12</c:f>
              <c:numCache>
                <c:formatCode>General</c:formatCode>
                <c:ptCount val="10"/>
                <c:pt idx="0">
                  <c:v>477774.59249999985</c:v>
                </c:pt>
                <c:pt idx="1">
                  <c:v>303685.67430000001</c:v>
                </c:pt>
                <c:pt idx="2">
                  <c:v>495139.8019000002</c:v>
                </c:pt>
                <c:pt idx="3">
                  <c:v>295191.88800000021</c:v>
                </c:pt>
                <c:pt idx="4">
                  <c:v>507952.12890000036</c:v>
                </c:pt>
                <c:pt idx="5">
                  <c:v>115722.36129999996</c:v>
                </c:pt>
                <c:pt idx="6">
                  <c:v>231737.09810000006</c:v>
                </c:pt>
                <c:pt idx="7">
                  <c:v>220045.28729999997</c:v>
                </c:pt>
                <c:pt idx="8">
                  <c:v>601727.11459999997</c:v>
                </c:pt>
                <c:pt idx="9">
                  <c:v>728664.91670000018</c:v>
                </c:pt>
              </c:numCache>
            </c:numRef>
          </c:val>
          <c:extLst>
            <c:ext xmlns:c16="http://schemas.microsoft.com/office/drawing/2014/chart" uri="{C3380CC4-5D6E-409C-BE32-E72D297353CC}">
              <c16:uniqueId val="{00000001-514B-40FB-9ACC-6797C85FF037}"/>
            </c:ext>
          </c:extLst>
        </c:ser>
        <c:dLbls>
          <c:showLegendKey val="0"/>
          <c:showVal val="0"/>
          <c:showCatName val="0"/>
          <c:showSerName val="0"/>
          <c:showPercent val="0"/>
          <c:showBubbleSize val="0"/>
        </c:dLbls>
        <c:gapWidth val="219"/>
        <c:overlap val="-27"/>
        <c:axId val="190422079"/>
        <c:axId val="190417759"/>
      </c:barChart>
      <c:lineChart>
        <c:grouping val="stacked"/>
        <c:varyColors val="0"/>
        <c:ser>
          <c:idx val="2"/>
          <c:order val="2"/>
          <c:tx>
            <c:strRef>
              <c:f>'Discount Impact'!$D$1</c:f>
              <c:strCache>
                <c:ptCount val="1"/>
                <c:pt idx="0">
                  <c:v>Sum of Discount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'Discount Impact'!$A$2:$A$12</c:f>
              <c:strCache>
                <c:ptCount val="10"/>
                <c:pt idx="0">
                  <c:v>Extra Large</c:v>
                </c:pt>
                <c:pt idx="1">
                  <c:v>Extra Small</c:v>
                </c:pt>
                <c:pt idx="2">
                  <c:v>Large</c:v>
                </c:pt>
                <c:pt idx="3">
                  <c:v>Medium</c:v>
                </c:pt>
                <c:pt idx="4">
                  <c:v>Medium-Large</c:v>
                </c:pt>
                <c:pt idx="5">
                  <c:v>Mini</c:v>
                </c:pt>
                <c:pt idx="6">
                  <c:v>Small</c:v>
                </c:pt>
                <c:pt idx="7">
                  <c:v>Small-Medium</c:v>
                </c:pt>
                <c:pt idx="8">
                  <c:v>XX Large</c:v>
                </c:pt>
                <c:pt idx="9">
                  <c:v>XXX Large</c:v>
                </c:pt>
              </c:strCache>
            </c:strRef>
          </c:cat>
          <c:val>
            <c:numRef>
              <c:f>'Discount Impact'!$D$2:$D$12</c:f>
              <c:numCache>
                <c:formatCode>General</c:formatCode>
                <c:ptCount val="10"/>
                <c:pt idx="0">
                  <c:v>4777.745925000002</c:v>
                </c:pt>
                <c:pt idx="1">
                  <c:v>0</c:v>
                </c:pt>
                <c:pt idx="2">
                  <c:v>0</c:v>
                </c:pt>
                <c:pt idx="3">
                  <c:v>0</c:v>
                </c:pt>
                <c:pt idx="4">
                  <c:v>0</c:v>
                </c:pt>
                <c:pt idx="5">
                  <c:v>0</c:v>
                </c:pt>
                <c:pt idx="6">
                  <c:v>0</c:v>
                </c:pt>
                <c:pt idx="7">
                  <c:v>0</c:v>
                </c:pt>
                <c:pt idx="8">
                  <c:v>6017.2711459999991</c:v>
                </c:pt>
                <c:pt idx="9">
                  <c:v>7286.6491670000005</c:v>
                </c:pt>
              </c:numCache>
            </c:numRef>
          </c:val>
          <c:smooth val="0"/>
          <c:extLst>
            <c:ext xmlns:c16="http://schemas.microsoft.com/office/drawing/2014/chart" uri="{C3380CC4-5D6E-409C-BE32-E72D297353CC}">
              <c16:uniqueId val="{00000002-514B-40FB-9ACC-6797C85FF037}"/>
            </c:ext>
          </c:extLst>
        </c:ser>
        <c:dLbls>
          <c:showLegendKey val="0"/>
          <c:showVal val="0"/>
          <c:showCatName val="0"/>
          <c:showSerName val="0"/>
          <c:showPercent val="0"/>
          <c:showBubbleSize val="0"/>
        </c:dLbls>
        <c:marker val="1"/>
        <c:smooth val="0"/>
        <c:axId val="190060047"/>
        <c:axId val="219996191"/>
      </c:lineChart>
      <c:catAx>
        <c:axId val="19042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7759"/>
        <c:crosses val="autoZero"/>
        <c:auto val="1"/>
        <c:lblAlgn val="ctr"/>
        <c:lblOffset val="100"/>
        <c:noMultiLvlLbl val="0"/>
      </c:catAx>
      <c:valAx>
        <c:axId val="19041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2079"/>
        <c:crosses val="autoZero"/>
        <c:crossBetween val="between"/>
        <c:majorUnit val="50000"/>
      </c:valAx>
      <c:valAx>
        <c:axId val="2199961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0047"/>
        <c:crosses val="max"/>
        <c:crossBetween val="between"/>
      </c:valAx>
      <c:catAx>
        <c:axId val="190060047"/>
        <c:scaling>
          <c:orientation val="minMax"/>
        </c:scaling>
        <c:delete val="1"/>
        <c:axPos val="b"/>
        <c:numFmt formatCode="General" sourceLinked="1"/>
        <c:majorTickMark val="out"/>
        <c:minorTickMark val="none"/>
        <c:tickLblPos val="nextTo"/>
        <c:crossAx val="219996191"/>
        <c:crosses val="autoZero"/>
        <c:auto val="1"/>
        <c:lblAlgn val="ctr"/>
        <c:lblOffset val="100"/>
        <c:noMultiLvlLbl val="0"/>
      </c:catAx>
      <c:spPr>
        <a:noFill/>
        <a:ln>
          <a:noFill/>
        </a:ln>
        <a:effectLst/>
      </c:spPr>
    </c:plotArea>
    <c:legend>
      <c:legendPos val="r"/>
      <c:layout>
        <c:manualLayout>
          <c:xMode val="edge"/>
          <c:yMode val="edge"/>
          <c:x val="0.80914122304128955"/>
          <c:y val="0.11347838044123933"/>
          <c:w val="0.17586808549789296"/>
          <c:h val="0.68743538074446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Analysis.xlsx]Order Quantity Distribution!PivotTable4</c:name>
    <c:fmtId val="1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00130672641342E-2"/>
          <c:y val="6.97950042985062E-2"/>
          <c:w val="0.69013214494021591"/>
          <c:h val="0.8302300359250554"/>
        </c:manualLayout>
      </c:layout>
      <c:areaChart>
        <c:grouping val="stacked"/>
        <c:varyColors val="0"/>
        <c:ser>
          <c:idx val="1"/>
          <c:order val="1"/>
          <c:tx>
            <c:strRef>
              <c:f>'Order Quantity Distribution'!$C$1</c:f>
              <c:strCache>
                <c:ptCount val="1"/>
                <c:pt idx="0">
                  <c:v>Sum of Final Sales</c:v>
                </c:pt>
              </c:strCache>
            </c:strRef>
          </c:tx>
          <c:spPr>
            <a:solidFill>
              <a:schemeClr val="accent2"/>
            </a:solidFill>
            <a:ln>
              <a:noFill/>
            </a:ln>
            <a:effectLst/>
          </c:spPr>
          <c:cat>
            <c:strRef>
              <c:f>'Order Quantity Distribution'!$A$2:$A$52</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'Order Quantity Distribution'!$C$2:$C$52</c:f>
              <c:numCache>
                <c:formatCode>General</c:formatCode>
                <c:ptCount val="50"/>
                <c:pt idx="0">
                  <c:v>17227.606299999996</c:v>
                </c:pt>
                <c:pt idx="1">
                  <c:v>7951.7855999999983</c:v>
                </c:pt>
                <c:pt idx="2">
                  <c:v>27460.005399999998</c:v>
                </c:pt>
                <c:pt idx="3">
                  <c:v>45641.082000000017</c:v>
                </c:pt>
                <c:pt idx="4">
                  <c:v>17441.881999999998</c:v>
                </c:pt>
                <c:pt idx="5">
                  <c:v>42728.499900000003</c:v>
                </c:pt>
                <c:pt idx="6">
                  <c:v>55224.4041</c:v>
                </c:pt>
                <c:pt idx="7">
                  <c:v>59561.567300000017</c:v>
                </c:pt>
                <c:pt idx="8">
                  <c:v>116487.55879999997</c:v>
                </c:pt>
                <c:pt idx="9">
                  <c:v>29683.644199999999</c:v>
                </c:pt>
                <c:pt idx="10">
                  <c:v>62939.638300000006</c:v>
                </c:pt>
                <c:pt idx="11">
                  <c:v>45975.535000000003</c:v>
                </c:pt>
                <c:pt idx="12">
                  <c:v>38502.849000000002</c:v>
                </c:pt>
                <c:pt idx="13">
                  <c:v>42412.439099999996</c:v>
                </c:pt>
                <c:pt idx="14">
                  <c:v>41906.636700000003</c:v>
                </c:pt>
                <c:pt idx="15">
                  <c:v>57672.069800000005</c:v>
                </c:pt>
                <c:pt idx="16">
                  <c:v>43536.60679999998</c:v>
                </c:pt>
                <c:pt idx="17">
                  <c:v>38627.067999999992</c:v>
                </c:pt>
                <c:pt idx="18">
                  <c:v>36621.437100000003</c:v>
                </c:pt>
                <c:pt idx="19">
                  <c:v>43588.105599999995</c:v>
                </c:pt>
                <c:pt idx="20">
                  <c:v>55596.36529999999</c:v>
                </c:pt>
                <c:pt idx="21">
                  <c:v>51959.777200000004</c:v>
                </c:pt>
                <c:pt idx="22">
                  <c:v>63277.763000000006</c:v>
                </c:pt>
                <c:pt idx="23">
                  <c:v>67570.463199999998</c:v>
                </c:pt>
                <c:pt idx="24">
                  <c:v>56787.519300000022</c:v>
                </c:pt>
                <c:pt idx="25">
                  <c:v>97215.340100000001</c:v>
                </c:pt>
                <c:pt idx="26">
                  <c:v>133799.34890000001</c:v>
                </c:pt>
                <c:pt idx="27">
                  <c:v>68015.34639999998</c:v>
                </c:pt>
                <c:pt idx="28">
                  <c:v>82429.882000000012</c:v>
                </c:pt>
                <c:pt idx="29">
                  <c:v>126492.21149999999</c:v>
                </c:pt>
                <c:pt idx="30">
                  <c:v>106133.55759999999</c:v>
                </c:pt>
                <c:pt idx="31">
                  <c:v>146324.57249999995</c:v>
                </c:pt>
                <c:pt idx="32">
                  <c:v>78592.400199999989</c:v>
                </c:pt>
                <c:pt idx="33">
                  <c:v>75741.982000000004</c:v>
                </c:pt>
                <c:pt idx="34">
                  <c:v>88347.289600000004</c:v>
                </c:pt>
                <c:pt idx="35">
                  <c:v>132946.96902399999</c:v>
                </c:pt>
                <c:pt idx="36">
                  <c:v>84572.960999000003</c:v>
                </c:pt>
                <c:pt idx="37">
                  <c:v>99542.784503000017</c:v>
                </c:pt>
                <c:pt idx="38">
                  <c:v>89225.714782000025</c:v>
                </c:pt>
                <c:pt idx="39">
                  <c:v>66048.55404399999</c:v>
                </c:pt>
                <c:pt idx="40">
                  <c:v>71265.472957999998</c:v>
                </c:pt>
                <c:pt idx="41">
                  <c:v>153484.68881500003</c:v>
                </c:pt>
                <c:pt idx="42">
                  <c:v>154765.74833</c:v>
                </c:pt>
                <c:pt idx="43">
                  <c:v>87661.486002000005</c:v>
                </c:pt>
                <c:pt idx="44">
                  <c:v>128103.919417</c:v>
                </c:pt>
                <c:pt idx="45">
                  <c:v>155368.19356800008</c:v>
                </c:pt>
                <c:pt idx="46">
                  <c:v>213937.50054799995</c:v>
                </c:pt>
                <c:pt idx="47">
                  <c:v>109870.10475500001</c:v>
                </c:pt>
                <c:pt idx="48">
                  <c:v>114329.61301999999</c:v>
                </c:pt>
                <c:pt idx="49">
                  <c:v>127481.48742100003</c:v>
                </c:pt>
              </c:numCache>
            </c:numRef>
          </c:val>
          <c:extLst>
            <c:ext xmlns:c16="http://schemas.microsoft.com/office/drawing/2014/chart" uri="{C3380CC4-5D6E-409C-BE32-E72D297353CC}">
              <c16:uniqueId val="{00000000-B262-4C9A-A141-B669BC3B23FB}"/>
            </c:ext>
          </c:extLst>
        </c:ser>
        <c:ser>
          <c:idx val="2"/>
          <c:order val="2"/>
          <c:tx>
            <c:strRef>
              <c:f>'Order Quantity Distribution'!$D$1</c:f>
              <c:strCache>
                <c:ptCount val="1"/>
                <c:pt idx="0">
                  <c:v>Sum of Sales</c:v>
                </c:pt>
              </c:strCache>
            </c:strRef>
          </c:tx>
          <c:spPr>
            <a:solidFill>
              <a:schemeClr val="accent3"/>
            </a:solidFill>
            <a:ln>
              <a:noFill/>
            </a:ln>
            <a:effectLst/>
          </c:spPr>
          <c:cat>
            <c:strRef>
              <c:f>'Order Quantity Distribution'!$A$2:$A$52</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'Order Quantity Distribution'!$D$2:$D$52</c:f>
              <c:numCache>
                <c:formatCode>General</c:formatCode>
                <c:ptCount val="50"/>
                <c:pt idx="0">
                  <c:v>17227.606299999996</c:v>
                </c:pt>
                <c:pt idx="1">
                  <c:v>7951.7855999999983</c:v>
                </c:pt>
                <c:pt idx="2">
                  <c:v>27460.005399999998</c:v>
                </c:pt>
                <c:pt idx="3">
                  <c:v>45641.082000000017</c:v>
                </c:pt>
                <c:pt idx="4">
                  <c:v>17441.881999999998</c:v>
                </c:pt>
                <c:pt idx="5">
                  <c:v>42728.499900000003</c:v>
                </c:pt>
                <c:pt idx="6">
                  <c:v>55224.4041</c:v>
                </c:pt>
                <c:pt idx="7">
                  <c:v>59561.567300000017</c:v>
                </c:pt>
                <c:pt idx="8">
                  <c:v>116487.55879999997</c:v>
                </c:pt>
                <c:pt idx="9">
                  <c:v>29683.644199999999</c:v>
                </c:pt>
                <c:pt idx="10">
                  <c:v>62939.638300000006</c:v>
                </c:pt>
                <c:pt idx="11">
                  <c:v>45975.535000000003</c:v>
                </c:pt>
                <c:pt idx="12">
                  <c:v>38502.849000000002</c:v>
                </c:pt>
                <c:pt idx="13">
                  <c:v>42412.439099999996</c:v>
                </c:pt>
                <c:pt idx="14">
                  <c:v>41906.636700000003</c:v>
                </c:pt>
                <c:pt idx="15">
                  <c:v>57672.069800000005</c:v>
                </c:pt>
                <c:pt idx="16">
                  <c:v>43536.60679999998</c:v>
                </c:pt>
                <c:pt idx="17">
                  <c:v>38627.067999999992</c:v>
                </c:pt>
                <c:pt idx="18">
                  <c:v>36621.437100000003</c:v>
                </c:pt>
                <c:pt idx="19">
                  <c:v>43588.105599999995</c:v>
                </c:pt>
                <c:pt idx="20">
                  <c:v>55596.36529999999</c:v>
                </c:pt>
                <c:pt idx="21">
                  <c:v>51959.777200000004</c:v>
                </c:pt>
                <c:pt idx="22">
                  <c:v>63277.763000000006</c:v>
                </c:pt>
                <c:pt idx="23">
                  <c:v>67570.463199999998</c:v>
                </c:pt>
                <c:pt idx="24">
                  <c:v>56787.519300000022</c:v>
                </c:pt>
                <c:pt idx="25">
                  <c:v>97215.340100000001</c:v>
                </c:pt>
                <c:pt idx="26">
                  <c:v>133799.34890000001</c:v>
                </c:pt>
                <c:pt idx="27">
                  <c:v>68015.34639999998</c:v>
                </c:pt>
                <c:pt idx="28">
                  <c:v>82429.882000000012</c:v>
                </c:pt>
                <c:pt idx="29">
                  <c:v>126492.21149999999</c:v>
                </c:pt>
                <c:pt idx="30">
                  <c:v>106133.55759999999</c:v>
                </c:pt>
                <c:pt idx="31">
                  <c:v>146324.57249999995</c:v>
                </c:pt>
                <c:pt idx="32">
                  <c:v>78592.400199999989</c:v>
                </c:pt>
                <c:pt idx="33">
                  <c:v>75741.982000000004</c:v>
                </c:pt>
                <c:pt idx="34">
                  <c:v>88347.289600000004</c:v>
                </c:pt>
                <c:pt idx="35">
                  <c:v>134483.70219999997</c:v>
                </c:pt>
                <c:pt idx="36">
                  <c:v>85491.173000000024</c:v>
                </c:pt>
                <c:pt idx="37">
                  <c:v>100624.38429999999</c:v>
                </c:pt>
                <c:pt idx="38">
                  <c:v>90277.969999999987</c:v>
                </c:pt>
                <c:pt idx="39">
                  <c:v>66897.363000000012</c:v>
                </c:pt>
                <c:pt idx="40">
                  <c:v>72065.684500000003</c:v>
                </c:pt>
                <c:pt idx="41">
                  <c:v>155132.83259999999</c:v>
                </c:pt>
                <c:pt idx="42">
                  <c:v>156408.04939999999</c:v>
                </c:pt>
                <c:pt idx="43">
                  <c:v>88585.903900000005</c:v>
                </c:pt>
                <c:pt idx="44">
                  <c:v>129534.6442</c:v>
                </c:pt>
                <c:pt idx="45">
                  <c:v>157003.20190000001</c:v>
                </c:pt>
                <c:pt idx="46">
                  <c:v>216232.97520000002</c:v>
                </c:pt>
                <c:pt idx="47">
                  <c:v>111052.9271</c:v>
                </c:pt>
                <c:pt idx="48">
                  <c:v>115508.59799999997</c:v>
                </c:pt>
                <c:pt idx="49">
                  <c:v>128867.2145</c:v>
                </c:pt>
              </c:numCache>
            </c:numRef>
          </c:val>
          <c:extLst>
            <c:ext xmlns:c16="http://schemas.microsoft.com/office/drawing/2014/chart" uri="{C3380CC4-5D6E-409C-BE32-E72D297353CC}">
              <c16:uniqueId val="{00000001-B262-4C9A-A141-B669BC3B23FB}"/>
            </c:ext>
          </c:extLst>
        </c:ser>
        <c:dLbls>
          <c:showLegendKey val="0"/>
          <c:showVal val="0"/>
          <c:showCatName val="0"/>
          <c:showSerName val="0"/>
          <c:showPercent val="0"/>
          <c:showBubbleSize val="0"/>
        </c:dLbls>
        <c:axId val="1133707584"/>
        <c:axId val="1133708544"/>
      </c:areaChart>
      <c:lineChart>
        <c:grouping val="stacked"/>
        <c:varyColors val="0"/>
        <c:ser>
          <c:idx val="0"/>
          <c:order val="0"/>
          <c:tx>
            <c:strRef>
              <c:f>'Order Quantity Distribution'!$B$1</c:f>
              <c:strCache>
                <c:ptCount val="1"/>
                <c:pt idx="0">
                  <c:v>Count of Order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 Quantity Distribution'!$A$2:$A$52</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'Order Quantity Distribution'!$B$2:$B$52</c:f>
              <c:numCache>
                <c:formatCode>General</c:formatCode>
                <c:ptCount val="50"/>
                <c:pt idx="0">
                  <c:v>37</c:v>
                </c:pt>
                <c:pt idx="1">
                  <c:v>37</c:v>
                </c:pt>
                <c:pt idx="2">
                  <c:v>52</c:v>
                </c:pt>
                <c:pt idx="3">
                  <c:v>53</c:v>
                </c:pt>
                <c:pt idx="4">
                  <c:v>53</c:v>
                </c:pt>
                <c:pt idx="5">
                  <c:v>40</c:v>
                </c:pt>
                <c:pt idx="6">
                  <c:v>48</c:v>
                </c:pt>
                <c:pt idx="7">
                  <c:v>38</c:v>
                </c:pt>
                <c:pt idx="8">
                  <c:v>31</c:v>
                </c:pt>
                <c:pt idx="9">
                  <c:v>46</c:v>
                </c:pt>
                <c:pt idx="10">
                  <c:v>37</c:v>
                </c:pt>
                <c:pt idx="11">
                  <c:v>41</c:v>
                </c:pt>
                <c:pt idx="12">
                  <c:v>36</c:v>
                </c:pt>
                <c:pt idx="13">
                  <c:v>33</c:v>
                </c:pt>
                <c:pt idx="14">
                  <c:v>25</c:v>
                </c:pt>
                <c:pt idx="15">
                  <c:v>49</c:v>
                </c:pt>
                <c:pt idx="16">
                  <c:v>40</c:v>
                </c:pt>
                <c:pt idx="17">
                  <c:v>37</c:v>
                </c:pt>
                <c:pt idx="18">
                  <c:v>39</c:v>
                </c:pt>
                <c:pt idx="19">
                  <c:v>38</c:v>
                </c:pt>
                <c:pt idx="20">
                  <c:v>39</c:v>
                </c:pt>
                <c:pt idx="21">
                  <c:v>38</c:v>
                </c:pt>
                <c:pt idx="22">
                  <c:v>38</c:v>
                </c:pt>
                <c:pt idx="23">
                  <c:v>49</c:v>
                </c:pt>
                <c:pt idx="24">
                  <c:v>38</c:v>
                </c:pt>
                <c:pt idx="25">
                  <c:v>40</c:v>
                </c:pt>
                <c:pt idx="26">
                  <c:v>48</c:v>
                </c:pt>
                <c:pt idx="27">
                  <c:v>38</c:v>
                </c:pt>
                <c:pt idx="28">
                  <c:v>38</c:v>
                </c:pt>
                <c:pt idx="29">
                  <c:v>47</c:v>
                </c:pt>
                <c:pt idx="30">
                  <c:v>55</c:v>
                </c:pt>
                <c:pt idx="31">
                  <c:v>56</c:v>
                </c:pt>
                <c:pt idx="32">
                  <c:v>32</c:v>
                </c:pt>
                <c:pt idx="33">
                  <c:v>35</c:v>
                </c:pt>
                <c:pt idx="34">
                  <c:v>37</c:v>
                </c:pt>
                <c:pt idx="35">
                  <c:v>52</c:v>
                </c:pt>
                <c:pt idx="36">
                  <c:v>34</c:v>
                </c:pt>
                <c:pt idx="37">
                  <c:v>34</c:v>
                </c:pt>
                <c:pt idx="38">
                  <c:v>46</c:v>
                </c:pt>
                <c:pt idx="39">
                  <c:v>40</c:v>
                </c:pt>
                <c:pt idx="40">
                  <c:v>47</c:v>
                </c:pt>
                <c:pt idx="41">
                  <c:v>49</c:v>
                </c:pt>
                <c:pt idx="42">
                  <c:v>52</c:v>
                </c:pt>
                <c:pt idx="43">
                  <c:v>32</c:v>
                </c:pt>
                <c:pt idx="44">
                  <c:v>43</c:v>
                </c:pt>
                <c:pt idx="45">
                  <c:v>58</c:v>
                </c:pt>
                <c:pt idx="46">
                  <c:v>43</c:v>
                </c:pt>
                <c:pt idx="47">
                  <c:v>41</c:v>
                </c:pt>
                <c:pt idx="48">
                  <c:v>36</c:v>
                </c:pt>
                <c:pt idx="49">
                  <c:v>55</c:v>
                </c:pt>
              </c:numCache>
            </c:numRef>
          </c:val>
          <c:smooth val="0"/>
          <c:extLst>
            <c:ext xmlns:c16="http://schemas.microsoft.com/office/drawing/2014/chart" uri="{C3380CC4-5D6E-409C-BE32-E72D297353CC}">
              <c16:uniqueId val="{00000002-B262-4C9A-A141-B669BC3B23FB}"/>
            </c:ext>
          </c:extLst>
        </c:ser>
        <c:dLbls>
          <c:showLegendKey val="0"/>
          <c:showVal val="0"/>
          <c:showCatName val="0"/>
          <c:showSerName val="0"/>
          <c:showPercent val="0"/>
          <c:showBubbleSize val="0"/>
        </c:dLbls>
        <c:marker val="1"/>
        <c:smooth val="0"/>
        <c:axId val="1133751744"/>
        <c:axId val="1133751264"/>
      </c:lineChart>
      <c:catAx>
        <c:axId val="11337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08544"/>
        <c:crosses val="autoZero"/>
        <c:auto val="1"/>
        <c:lblAlgn val="ctr"/>
        <c:lblOffset val="100"/>
        <c:noMultiLvlLbl val="0"/>
      </c:catAx>
      <c:valAx>
        <c:axId val="113370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07584"/>
        <c:crosses val="autoZero"/>
        <c:crossBetween val="between"/>
      </c:valAx>
      <c:valAx>
        <c:axId val="11337512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1744"/>
        <c:crosses val="max"/>
        <c:crossBetween val="between"/>
      </c:valAx>
      <c:catAx>
        <c:axId val="1133751744"/>
        <c:scaling>
          <c:orientation val="minMax"/>
        </c:scaling>
        <c:delete val="1"/>
        <c:axPos val="b"/>
        <c:numFmt formatCode="General" sourceLinked="1"/>
        <c:majorTickMark val="out"/>
        <c:minorTickMark val="none"/>
        <c:tickLblPos val="nextTo"/>
        <c:crossAx val="1133751264"/>
        <c:crosses val="autoZero"/>
        <c:auto val="1"/>
        <c:lblAlgn val="ctr"/>
        <c:lblOffset val="100"/>
        <c:noMultiLvlLbl val="0"/>
      </c:catAx>
      <c:spPr>
        <a:noFill/>
        <a:ln>
          <a:noFill/>
        </a:ln>
        <a:effectLst/>
      </c:spPr>
    </c:plotArea>
    <c:legend>
      <c:legendPos val="r"/>
      <c:layout>
        <c:manualLayout>
          <c:xMode val="edge"/>
          <c:yMode val="edge"/>
          <c:x val="0.86173210119568389"/>
          <c:y val="7.3102663526575767E-2"/>
          <c:w val="0.13704359871682706"/>
          <c:h val="0.80107405380973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Analysis.xlsx]Sales Over Time!PivotTable1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Over Time'!$B$1</c:f>
              <c:strCache>
                <c:ptCount val="1"/>
                <c:pt idx="0">
                  <c:v>Sum of Final Sales</c:v>
                </c:pt>
              </c:strCache>
            </c:strRef>
          </c:tx>
          <c:spPr>
            <a:solidFill>
              <a:schemeClr val="accent1"/>
            </a:solidFill>
            <a:ln>
              <a:noFill/>
            </a:ln>
            <a:effectLst/>
          </c:spPr>
          <c:invertIfNegative val="0"/>
          <c:cat>
            <c:strRef>
              <c:f>'Sales Over Time'!$A$2:$A$14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Time'!$B$2:$B$14</c:f>
              <c:numCache>
                <c:formatCode>General</c:formatCode>
                <c:ptCount val="12"/>
                <c:pt idx="0">
                  <c:v>388031.70255500008</c:v>
                </c:pt>
                <c:pt idx="1">
                  <c:v>265090.86300199991</c:v>
                </c:pt>
                <c:pt idx="2">
                  <c:v>371191.80522899999</c:v>
                </c:pt>
                <c:pt idx="3">
                  <c:v>285255.99784500001</c:v>
                </c:pt>
                <c:pt idx="4">
                  <c:v>409644.36628299986</c:v>
                </c:pt>
                <c:pt idx="5">
                  <c:v>294263.47309600003</c:v>
                </c:pt>
                <c:pt idx="6">
                  <c:v>258447.76240499993</c:v>
                </c:pt>
                <c:pt idx="7">
                  <c:v>322435.11230000004</c:v>
                </c:pt>
                <c:pt idx="8">
                  <c:v>339092.96763299976</c:v>
                </c:pt>
                <c:pt idx="9">
                  <c:v>374107.30063100008</c:v>
                </c:pt>
                <c:pt idx="10">
                  <c:v>272696.60459</c:v>
                </c:pt>
                <c:pt idx="11">
                  <c:v>377821.48241700011</c:v>
                </c:pt>
              </c:numCache>
            </c:numRef>
          </c:val>
          <c:extLst>
            <c:ext xmlns:c16="http://schemas.microsoft.com/office/drawing/2014/chart" uri="{C3380CC4-5D6E-409C-BE32-E72D297353CC}">
              <c16:uniqueId val="{00000000-C7B4-48CE-A868-289DA89B944C}"/>
            </c:ext>
          </c:extLst>
        </c:ser>
        <c:ser>
          <c:idx val="1"/>
          <c:order val="1"/>
          <c:tx>
            <c:strRef>
              <c:f>'Sales Over Time'!$C$1</c:f>
              <c:strCache>
                <c:ptCount val="1"/>
                <c:pt idx="0">
                  <c:v>Sum of Sales</c:v>
                </c:pt>
              </c:strCache>
            </c:strRef>
          </c:tx>
          <c:spPr>
            <a:solidFill>
              <a:schemeClr val="accent2"/>
            </a:solidFill>
            <a:ln>
              <a:noFill/>
            </a:ln>
            <a:effectLst/>
          </c:spPr>
          <c:invertIfNegative val="0"/>
          <c:cat>
            <c:strRef>
              <c:f>'Sales Over Time'!$A$2:$A$14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Time'!$C$2:$C$14</c:f>
              <c:numCache>
                <c:formatCode>General</c:formatCode>
                <c:ptCount val="12"/>
                <c:pt idx="0">
                  <c:v>390366.05019999988</c:v>
                </c:pt>
                <c:pt idx="1">
                  <c:v>266845.40539999981</c:v>
                </c:pt>
                <c:pt idx="2">
                  <c:v>372582.92490000004</c:v>
                </c:pt>
                <c:pt idx="3">
                  <c:v>286786.70959999994</c:v>
                </c:pt>
                <c:pt idx="4">
                  <c:v>411509.22300000011</c:v>
                </c:pt>
                <c:pt idx="5">
                  <c:v>295941.64450000017</c:v>
                </c:pt>
                <c:pt idx="6">
                  <c:v>259806.40369999997</c:v>
                </c:pt>
                <c:pt idx="7">
                  <c:v>323937.31810000009</c:v>
                </c:pt>
                <c:pt idx="8">
                  <c:v>340550.66199999984</c:v>
                </c:pt>
                <c:pt idx="9">
                  <c:v>375834.00600000011</c:v>
                </c:pt>
                <c:pt idx="10">
                  <c:v>273941.5232</c:v>
                </c:pt>
                <c:pt idx="11">
                  <c:v>379538.99300000007</c:v>
                </c:pt>
              </c:numCache>
            </c:numRef>
          </c:val>
          <c:extLst>
            <c:ext xmlns:c16="http://schemas.microsoft.com/office/drawing/2014/chart" uri="{C3380CC4-5D6E-409C-BE32-E72D297353CC}">
              <c16:uniqueId val="{00000001-C7B4-48CE-A868-289DA89B944C}"/>
            </c:ext>
          </c:extLst>
        </c:ser>
        <c:dLbls>
          <c:showLegendKey val="0"/>
          <c:showVal val="0"/>
          <c:showCatName val="0"/>
          <c:showSerName val="0"/>
          <c:showPercent val="0"/>
          <c:showBubbleSize val="0"/>
        </c:dLbls>
        <c:gapWidth val="219"/>
        <c:overlap val="-27"/>
        <c:axId val="229867807"/>
        <c:axId val="229875967"/>
      </c:barChart>
      <c:catAx>
        <c:axId val="2298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75967"/>
        <c:crosses val="autoZero"/>
        <c:auto val="1"/>
        <c:lblAlgn val="ctr"/>
        <c:lblOffset val="100"/>
        <c:noMultiLvlLbl val="0"/>
      </c:catAx>
      <c:valAx>
        <c:axId val="22987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6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Analysis.xlsx]Sales by Ship Mode!PivotTable2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Ship Mode'!$B$1</c:f>
              <c:strCache>
                <c:ptCount val="1"/>
                <c:pt idx="0">
                  <c:v>Sum of Sales with Free Shipping</c:v>
                </c:pt>
              </c:strCache>
            </c:strRef>
          </c:tx>
          <c:spPr>
            <a:solidFill>
              <a:schemeClr val="accent1"/>
            </a:solidFill>
            <a:ln>
              <a:noFill/>
            </a:ln>
            <a:effectLst/>
          </c:spPr>
          <c:invertIfNegative val="0"/>
          <c:cat>
            <c:strRef>
              <c:f>'Sales by Ship Mode'!$A$2:$A$5</c:f>
              <c:strCache>
                <c:ptCount val="3"/>
                <c:pt idx="0">
                  <c:v>Delivery Truck</c:v>
                </c:pt>
                <c:pt idx="1">
                  <c:v>Express Air</c:v>
                </c:pt>
                <c:pt idx="2">
                  <c:v>Regular Air</c:v>
                </c:pt>
              </c:strCache>
            </c:strRef>
          </c:cat>
          <c:val>
            <c:numRef>
              <c:f>'Sales by Ship Mode'!$B$2:$B$5</c:f>
              <c:numCache>
                <c:formatCode>General</c:formatCode>
                <c:ptCount val="3"/>
                <c:pt idx="0">
                  <c:v>1651492.0664000004</c:v>
                </c:pt>
                <c:pt idx="1">
                  <c:v>277063.06060000014</c:v>
                </c:pt>
                <c:pt idx="2">
                  <c:v>2040639.8366000014</c:v>
                </c:pt>
              </c:numCache>
            </c:numRef>
          </c:val>
          <c:extLst>
            <c:ext xmlns:c16="http://schemas.microsoft.com/office/drawing/2014/chart" uri="{C3380CC4-5D6E-409C-BE32-E72D297353CC}">
              <c16:uniqueId val="{00000000-8E3A-43C6-996C-2901959CF086}"/>
            </c:ext>
          </c:extLst>
        </c:ser>
        <c:ser>
          <c:idx val="1"/>
          <c:order val="1"/>
          <c:tx>
            <c:strRef>
              <c:f>'Sales by Ship Mode'!$C$1</c:f>
              <c:strCache>
                <c:ptCount val="1"/>
                <c:pt idx="0">
                  <c:v>Sum of Sales</c:v>
                </c:pt>
              </c:strCache>
            </c:strRef>
          </c:tx>
          <c:spPr>
            <a:solidFill>
              <a:schemeClr val="accent2"/>
            </a:solidFill>
            <a:ln>
              <a:noFill/>
            </a:ln>
            <a:effectLst/>
          </c:spPr>
          <c:invertIfNegative val="0"/>
          <c:cat>
            <c:strRef>
              <c:f>'Sales by Ship Mode'!$A$2:$A$5</c:f>
              <c:strCache>
                <c:ptCount val="3"/>
                <c:pt idx="0">
                  <c:v>Delivery Truck</c:v>
                </c:pt>
                <c:pt idx="1">
                  <c:v>Express Air</c:v>
                </c:pt>
                <c:pt idx="2">
                  <c:v>Regular Air</c:v>
                </c:pt>
              </c:strCache>
            </c:strRef>
          </c:cat>
          <c:val>
            <c:numRef>
              <c:f>'Sales by Ship Mode'!$C$2:$C$5</c:f>
              <c:numCache>
                <c:formatCode>General</c:formatCode>
                <c:ptCount val="3"/>
                <c:pt idx="0">
                  <c:v>1655415.3663999997</c:v>
                </c:pt>
                <c:pt idx="1">
                  <c:v>277701.86060000007</c:v>
                </c:pt>
                <c:pt idx="2">
                  <c:v>2044523.6366000001</c:v>
                </c:pt>
              </c:numCache>
            </c:numRef>
          </c:val>
          <c:extLst>
            <c:ext xmlns:c16="http://schemas.microsoft.com/office/drawing/2014/chart" uri="{C3380CC4-5D6E-409C-BE32-E72D297353CC}">
              <c16:uniqueId val="{00000001-8E3A-43C6-996C-2901959CF086}"/>
            </c:ext>
          </c:extLst>
        </c:ser>
        <c:dLbls>
          <c:showLegendKey val="0"/>
          <c:showVal val="0"/>
          <c:showCatName val="0"/>
          <c:showSerName val="0"/>
          <c:showPercent val="0"/>
          <c:showBubbleSize val="0"/>
        </c:dLbls>
        <c:gapWidth val="219"/>
        <c:axId val="525365807"/>
        <c:axId val="525372047"/>
      </c:barChart>
      <c:lineChart>
        <c:grouping val="standard"/>
        <c:varyColors val="0"/>
        <c:ser>
          <c:idx val="2"/>
          <c:order val="2"/>
          <c:tx>
            <c:strRef>
              <c:f>'Sales by Ship Mode'!$D$1</c:f>
              <c:strCache>
                <c:ptCount val="1"/>
                <c:pt idx="0">
                  <c:v>% Free Shipping Sales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by Ship Mode'!$A$2:$A$5</c:f>
              <c:strCache>
                <c:ptCount val="3"/>
                <c:pt idx="0">
                  <c:v>Delivery Truck</c:v>
                </c:pt>
                <c:pt idx="1">
                  <c:v>Express Air</c:v>
                </c:pt>
                <c:pt idx="2">
                  <c:v>Regular Air</c:v>
                </c:pt>
              </c:strCache>
            </c:strRef>
          </c:cat>
          <c:val>
            <c:numRef>
              <c:f>'Sales by Ship Mode'!$D$2:$D$5</c:f>
              <c:numCache>
                <c:formatCode>General</c:formatCode>
                <c:ptCount val="3"/>
                <c:pt idx="0">
                  <c:v>0.99763002079137919</c:v>
                </c:pt>
                <c:pt idx="1">
                  <c:v>0.99769969132140579</c:v>
                </c:pt>
                <c:pt idx="2">
                  <c:v>0.99810038879938934</c:v>
                </c:pt>
              </c:numCache>
            </c:numRef>
          </c:val>
          <c:smooth val="0"/>
          <c:extLst>
            <c:ext xmlns:c16="http://schemas.microsoft.com/office/drawing/2014/chart" uri="{C3380CC4-5D6E-409C-BE32-E72D297353CC}">
              <c16:uniqueId val="{00000002-8E3A-43C6-996C-2901959CF086}"/>
            </c:ext>
          </c:extLst>
        </c:ser>
        <c:dLbls>
          <c:showLegendKey val="0"/>
          <c:showVal val="0"/>
          <c:showCatName val="0"/>
          <c:showSerName val="0"/>
          <c:showPercent val="0"/>
          <c:showBubbleSize val="0"/>
        </c:dLbls>
        <c:marker val="1"/>
        <c:smooth val="0"/>
        <c:axId val="229865407"/>
        <c:axId val="229877407"/>
      </c:lineChart>
      <c:catAx>
        <c:axId val="22986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77407"/>
        <c:crosses val="autoZero"/>
        <c:auto val="1"/>
        <c:lblAlgn val="ctr"/>
        <c:lblOffset val="100"/>
        <c:noMultiLvlLbl val="0"/>
      </c:catAx>
      <c:valAx>
        <c:axId val="22987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65407"/>
        <c:crosses val="autoZero"/>
        <c:crossBetween val="between"/>
      </c:valAx>
      <c:valAx>
        <c:axId val="525372047"/>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65807"/>
        <c:crosses val="max"/>
        <c:crossBetween val="between"/>
        <c:majorUnit val="120000"/>
      </c:valAx>
      <c:catAx>
        <c:axId val="525365807"/>
        <c:scaling>
          <c:orientation val="minMax"/>
        </c:scaling>
        <c:delete val="1"/>
        <c:axPos val="l"/>
        <c:numFmt formatCode="General" sourceLinked="1"/>
        <c:majorTickMark val="out"/>
        <c:minorTickMark val="none"/>
        <c:tickLblPos val="nextTo"/>
        <c:crossAx val="5253720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Analysis.xlsx]Discount Impact!PivotTable3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Impact'!$B$1</c:f>
              <c:strCache>
                <c:ptCount val="1"/>
                <c:pt idx="0">
                  <c:v>Sum of Sales with Discount</c:v>
                </c:pt>
              </c:strCache>
            </c:strRef>
          </c:tx>
          <c:spPr>
            <a:solidFill>
              <a:schemeClr val="accent1"/>
            </a:solidFill>
            <a:ln>
              <a:noFill/>
            </a:ln>
            <a:effectLst/>
          </c:spPr>
          <c:invertIfNegative val="0"/>
          <c:cat>
            <c:strRef>
              <c:f>'Discount Impact'!$A$2:$A$12</c:f>
              <c:strCache>
                <c:ptCount val="10"/>
                <c:pt idx="0">
                  <c:v>Extra Large</c:v>
                </c:pt>
                <c:pt idx="1">
                  <c:v>Extra Small</c:v>
                </c:pt>
                <c:pt idx="2">
                  <c:v>Large</c:v>
                </c:pt>
                <c:pt idx="3">
                  <c:v>Medium</c:v>
                </c:pt>
                <c:pt idx="4">
                  <c:v>Medium-Large</c:v>
                </c:pt>
                <c:pt idx="5">
                  <c:v>Mini</c:v>
                </c:pt>
                <c:pt idx="6">
                  <c:v>Small</c:v>
                </c:pt>
                <c:pt idx="7">
                  <c:v>Small-Medium</c:v>
                </c:pt>
                <c:pt idx="8">
                  <c:v>XX Large</c:v>
                </c:pt>
                <c:pt idx="9">
                  <c:v>XXX Large</c:v>
                </c:pt>
              </c:strCache>
            </c:strRef>
          </c:cat>
          <c:val>
            <c:numRef>
              <c:f>'Discount Impact'!$B$2:$B$12</c:f>
              <c:numCache>
                <c:formatCode>General</c:formatCode>
                <c:ptCount val="10"/>
                <c:pt idx="0">
                  <c:v>472996.8465749998</c:v>
                </c:pt>
                <c:pt idx="1">
                  <c:v>303685.67430000001</c:v>
                </c:pt>
                <c:pt idx="2">
                  <c:v>495139.8019000002</c:v>
                </c:pt>
                <c:pt idx="3">
                  <c:v>295191.88800000021</c:v>
                </c:pt>
                <c:pt idx="4">
                  <c:v>507952.12890000036</c:v>
                </c:pt>
                <c:pt idx="5">
                  <c:v>115722.36129999996</c:v>
                </c:pt>
                <c:pt idx="6">
                  <c:v>231737.09810000006</c:v>
                </c:pt>
                <c:pt idx="7">
                  <c:v>220045.28729999997</c:v>
                </c:pt>
                <c:pt idx="8">
                  <c:v>595709.84345400007</c:v>
                </c:pt>
                <c:pt idx="9">
                  <c:v>721378.26753300021</c:v>
                </c:pt>
              </c:numCache>
            </c:numRef>
          </c:val>
          <c:extLst>
            <c:ext xmlns:c16="http://schemas.microsoft.com/office/drawing/2014/chart" uri="{C3380CC4-5D6E-409C-BE32-E72D297353CC}">
              <c16:uniqueId val="{00000000-715B-43FF-8207-98E6DAE16087}"/>
            </c:ext>
          </c:extLst>
        </c:ser>
        <c:ser>
          <c:idx val="1"/>
          <c:order val="1"/>
          <c:tx>
            <c:strRef>
              <c:f>'Discount Impact'!$C$1</c:f>
              <c:strCache>
                <c:ptCount val="1"/>
                <c:pt idx="0">
                  <c:v>Sum of Sales</c:v>
                </c:pt>
              </c:strCache>
            </c:strRef>
          </c:tx>
          <c:spPr>
            <a:solidFill>
              <a:schemeClr val="accent2"/>
            </a:solidFill>
            <a:ln>
              <a:noFill/>
            </a:ln>
            <a:effectLst/>
          </c:spPr>
          <c:invertIfNegative val="0"/>
          <c:cat>
            <c:strRef>
              <c:f>'Discount Impact'!$A$2:$A$12</c:f>
              <c:strCache>
                <c:ptCount val="10"/>
                <c:pt idx="0">
                  <c:v>Extra Large</c:v>
                </c:pt>
                <c:pt idx="1">
                  <c:v>Extra Small</c:v>
                </c:pt>
                <c:pt idx="2">
                  <c:v>Large</c:v>
                </c:pt>
                <c:pt idx="3">
                  <c:v>Medium</c:v>
                </c:pt>
                <c:pt idx="4">
                  <c:v>Medium-Large</c:v>
                </c:pt>
                <c:pt idx="5">
                  <c:v>Mini</c:v>
                </c:pt>
                <c:pt idx="6">
                  <c:v>Small</c:v>
                </c:pt>
                <c:pt idx="7">
                  <c:v>Small-Medium</c:v>
                </c:pt>
                <c:pt idx="8">
                  <c:v>XX Large</c:v>
                </c:pt>
                <c:pt idx="9">
                  <c:v>XXX Large</c:v>
                </c:pt>
              </c:strCache>
            </c:strRef>
          </c:cat>
          <c:val>
            <c:numRef>
              <c:f>'Discount Impact'!$C$2:$C$12</c:f>
              <c:numCache>
                <c:formatCode>General</c:formatCode>
                <c:ptCount val="10"/>
                <c:pt idx="0">
                  <c:v>477774.59249999985</c:v>
                </c:pt>
                <c:pt idx="1">
                  <c:v>303685.67430000001</c:v>
                </c:pt>
                <c:pt idx="2">
                  <c:v>495139.8019000002</c:v>
                </c:pt>
                <c:pt idx="3">
                  <c:v>295191.88800000021</c:v>
                </c:pt>
                <c:pt idx="4">
                  <c:v>507952.12890000036</c:v>
                </c:pt>
                <c:pt idx="5">
                  <c:v>115722.36129999996</c:v>
                </c:pt>
                <c:pt idx="6">
                  <c:v>231737.09810000006</c:v>
                </c:pt>
                <c:pt idx="7">
                  <c:v>220045.28729999997</c:v>
                </c:pt>
                <c:pt idx="8">
                  <c:v>601727.11459999997</c:v>
                </c:pt>
                <c:pt idx="9">
                  <c:v>728664.91670000018</c:v>
                </c:pt>
              </c:numCache>
            </c:numRef>
          </c:val>
          <c:extLst>
            <c:ext xmlns:c16="http://schemas.microsoft.com/office/drawing/2014/chart" uri="{C3380CC4-5D6E-409C-BE32-E72D297353CC}">
              <c16:uniqueId val="{00000001-715B-43FF-8207-98E6DAE16087}"/>
            </c:ext>
          </c:extLst>
        </c:ser>
        <c:dLbls>
          <c:showLegendKey val="0"/>
          <c:showVal val="0"/>
          <c:showCatName val="0"/>
          <c:showSerName val="0"/>
          <c:showPercent val="0"/>
          <c:showBubbleSize val="0"/>
        </c:dLbls>
        <c:gapWidth val="219"/>
        <c:overlap val="-27"/>
        <c:axId val="190422079"/>
        <c:axId val="190417759"/>
      </c:barChart>
      <c:lineChart>
        <c:grouping val="stacked"/>
        <c:varyColors val="0"/>
        <c:ser>
          <c:idx val="2"/>
          <c:order val="2"/>
          <c:tx>
            <c:strRef>
              <c:f>'Discount Impact'!$D$1</c:f>
              <c:strCache>
                <c:ptCount val="1"/>
                <c:pt idx="0">
                  <c:v>Sum of Discount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'Discount Impact'!$A$2:$A$12</c:f>
              <c:strCache>
                <c:ptCount val="10"/>
                <c:pt idx="0">
                  <c:v>Extra Large</c:v>
                </c:pt>
                <c:pt idx="1">
                  <c:v>Extra Small</c:v>
                </c:pt>
                <c:pt idx="2">
                  <c:v>Large</c:v>
                </c:pt>
                <c:pt idx="3">
                  <c:v>Medium</c:v>
                </c:pt>
                <c:pt idx="4">
                  <c:v>Medium-Large</c:v>
                </c:pt>
                <c:pt idx="5">
                  <c:v>Mini</c:v>
                </c:pt>
                <c:pt idx="6">
                  <c:v>Small</c:v>
                </c:pt>
                <c:pt idx="7">
                  <c:v>Small-Medium</c:v>
                </c:pt>
                <c:pt idx="8">
                  <c:v>XX Large</c:v>
                </c:pt>
                <c:pt idx="9">
                  <c:v>XXX Large</c:v>
                </c:pt>
              </c:strCache>
            </c:strRef>
          </c:cat>
          <c:val>
            <c:numRef>
              <c:f>'Discount Impact'!$D$2:$D$12</c:f>
              <c:numCache>
                <c:formatCode>General</c:formatCode>
                <c:ptCount val="10"/>
                <c:pt idx="0">
                  <c:v>4777.745925000002</c:v>
                </c:pt>
                <c:pt idx="1">
                  <c:v>0</c:v>
                </c:pt>
                <c:pt idx="2">
                  <c:v>0</c:v>
                </c:pt>
                <c:pt idx="3">
                  <c:v>0</c:v>
                </c:pt>
                <c:pt idx="4">
                  <c:v>0</c:v>
                </c:pt>
                <c:pt idx="5">
                  <c:v>0</c:v>
                </c:pt>
                <c:pt idx="6">
                  <c:v>0</c:v>
                </c:pt>
                <c:pt idx="7">
                  <c:v>0</c:v>
                </c:pt>
                <c:pt idx="8">
                  <c:v>6017.2711459999991</c:v>
                </c:pt>
                <c:pt idx="9">
                  <c:v>7286.6491670000005</c:v>
                </c:pt>
              </c:numCache>
            </c:numRef>
          </c:val>
          <c:smooth val="0"/>
          <c:extLst>
            <c:ext xmlns:c16="http://schemas.microsoft.com/office/drawing/2014/chart" uri="{C3380CC4-5D6E-409C-BE32-E72D297353CC}">
              <c16:uniqueId val="{00000002-715B-43FF-8207-98E6DAE16087}"/>
            </c:ext>
          </c:extLst>
        </c:ser>
        <c:dLbls>
          <c:showLegendKey val="0"/>
          <c:showVal val="0"/>
          <c:showCatName val="0"/>
          <c:showSerName val="0"/>
          <c:showPercent val="0"/>
          <c:showBubbleSize val="0"/>
        </c:dLbls>
        <c:marker val="1"/>
        <c:smooth val="0"/>
        <c:axId val="190060047"/>
        <c:axId val="219996191"/>
      </c:lineChart>
      <c:catAx>
        <c:axId val="19042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7759"/>
        <c:crosses val="autoZero"/>
        <c:auto val="1"/>
        <c:lblAlgn val="ctr"/>
        <c:lblOffset val="100"/>
        <c:noMultiLvlLbl val="0"/>
      </c:catAx>
      <c:valAx>
        <c:axId val="19041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2079"/>
        <c:crosses val="autoZero"/>
        <c:crossBetween val="between"/>
        <c:majorUnit val="50000"/>
      </c:valAx>
      <c:valAx>
        <c:axId val="2199961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0047"/>
        <c:crosses val="max"/>
        <c:crossBetween val="between"/>
      </c:valAx>
      <c:catAx>
        <c:axId val="190060047"/>
        <c:scaling>
          <c:orientation val="minMax"/>
        </c:scaling>
        <c:delete val="1"/>
        <c:axPos val="b"/>
        <c:numFmt formatCode="General" sourceLinked="1"/>
        <c:majorTickMark val="out"/>
        <c:minorTickMark val="none"/>
        <c:tickLblPos val="nextTo"/>
        <c:crossAx val="2199961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Shipping Analysis.xlsx]Order Quantity Distribution!PivotTable4</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'Order Quantity Distribution'!$C$1</c:f>
              <c:strCache>
                <c:ptCount val="1"/>
                <c:pt idx="0">
                  <c:v>Sum of Final Sales</c:v>
                </c:pt>
              </c:strCache>
            </c:strRef>
          </c:tx>
          <c:spPr>
            <a:solidFill>
              <a:schemeClr val="accent2"/>
            </a:solidFill>
            <a:ln>
              <a:noFill/>
            </a:ln>
            <a:effectLst/>
          </c:spPr>
          <c:cat>
            <c:strRef>
              <c:f>'Order Quantity Distribution'!$A$2:$A$52</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'Order Quantity Distribution'!$C$2:$C$52</c:f>
              <c:numCache>
                <c:formatCode>General</c:formatCode>
                <c:ptCount val="50"/>
                <c:pt idx="0">
                  <c:v>17227.606299999996</c:v>
                </c:pt>
                <c:pt idx="1">
                  <c:v>7951.7855999999983</c:v>
                </c:pt>
                <c:pt idx="2">
                  <c:v>27460.005399999998</c:v>
                </c:pt>
                <c:pt idx="3">
                  <c:v>45641.082000000017</c:v>
                </c:pt>
                <c:pt idx="4">
                  <c:v>17441.881999999998</c:v>
                </c:pt>
                <c:pt idx="5">
                  <c:v>42728.499900000003</c:v>
                </c:pt>
                <c:pt idx="6">
                  <c:v>55224.4041</c:v>
                </c:pt>
                <c:pt idx="7">
                  <c:v>59561.567300000017</c:v>
                </c:pt>
                <c:pt idx="8">
                  <c:v>116487.55879999997</c:v>
                </c:pt>
                <c:pt idx="9">
                  <c:v>29683.644199999999</c:v>
                </c:pt>
                <c:pt idx="10">
                  <c:v>62939.638300000006</c:v>
                </c:pt>
                <c:pt idx="11">
                  <c:v>45975.535000000003</c:v>
                </c:pt>
                <c:pt idx="12">
                  <c:v>38502.849000000002</c:v>
                </c:pt>
                <c:pt idx="13">
                  <c:v>42412.439099999996</c:v>
                </c:pt>
                <c:pt idx="14">
                  <c:v>41906.636700000003</c:v>
                </c:pt>
                <c:pt idx="15">
                  <c:v>57672.069800000005</c:v>
                </c:pt>
                <c:pt idx="16">
                  <c:v>43536.60679999998</c:v>
                </c:pt>
                <c:pt idx="17">
                  <c:v>38627.067999999992</c:v>
                </c:pt>
                <c:pt idx="18">
                  <c:v>36621.437100000003</c:v>
                </c:pt>
                <c:pt idx="19">
                  <c:v>43588.105599999995</c:v>
                </c:pt>
                <c:pt idx="20">
                  <c:v>55596.36529999999</c:v>
                </c:pt>
                <c:pt idx="21">
                  <c:v>51959.777200000004</c:v>
                </c:pt>
                <c:pt idx="22">
                  <c:v>63277.763000000006</c:v>
                </c:pt>
                <c:pt idx="23">
                  <c:v>67570.463199999998</c:v>
                </c:pt>
                <c:pt idx="24">
                  <c:v>56787.519300000022</c:v>
                </c:pt>
                <c:pt idx="25">
                  <c:v>97215.340100000001</c:v>
                </c:pt>
                <c:pt idx="26">
                  <c:v>133799.34890000001</c:v>
                </c:pt>
                <c:pt idx="27">
                  <c:v>68015.34639999998</c:v>
                </c:pt>
                <c:pt idx="28">
                  <c:v>82429.882000000012</c:v>
                </c:pt>
                <c:pt idx="29">
                  <c:v>126492.21149999999</c:v>
                </c:pt>
                <c:pt idx="30">
                  <c:v>106133.55759999999</c:v>
                </c:pt>
                <c:pt idx="31">
                  <c:v>146324.57249999995</c:v>
                </c:pt>
                <c:pt idx="32">
                  <c:v>78592.400199999989</c:v>
                </c:pt>
                <c:pt idx="33">
                  <c:v>75741.982000000004</c:v>
                </c:pt>
                <c:pt idx="34">
                  <c:v>88347.289600000004</c:v>
                </c:pt>
                <c:pt idx="35">
                  <c:v>132946.96902399999</c:v>
                </c:pt>
                <c:pt idx="36">
                  <c:v>84572.960999000003</c:v>
                </c:pt>
                <c:pt idx="37">
                  <c:v>99542.784503000017</c:v>
                </c:pt>
                <c:pt idx="38">
                  <c:v>89225.714782000025</c:v>
                </c:pt>
                <c:pt idx="39">
                  <c:v>66048.55404399999</c:v>
                </c:pt>
                <c:pt idx="40">
                  <c:v>71265.472957999998</c:v>
                </c:pt>
                <c:pt idx="41">
                  <c:v>153484.68881500003</c:v>
                </c:pt>
                <c:pt idx="42">
                  <c:v>154765.74833</c:v>
                </c:pt>
                <c:pt idx="43">
                  <c:v>87661.486002000005</c:v>
                </c:pt>
                <c:pt idx="44">
                  <c:v>128103.919417</c:v>
                </c:pt>
                <c:pt idx="45">
                  <c:v>155368.19356800008</c:v>
                </c:pt>
                <c:pt idx="46">
                  <c:v>213937.50054799995</c:v>
                </c:pt>
                <c:pt idx="47">
                  <c:v>109870.10475500001</c:v>
                </c:pt>
                <c:pt idx="48">
                  <c:v>114329.61301999999</c:v>
                </c:pt>
                <c:pt idx="49">
                  <c:v>127481.48742100003</c:v>
                </c:pt>
              </c:numCache>
            </c:numRef>
          </c:val>
          <c:extLst>
            <c:ext xmlns:c16="http://schemas.microsoft.com/office/drawing/2014/chart" uri="{C3380CC4-5D6E-409C-BE32-E72D297353CC}">
              <c16:uniqueId val="{00000001-67D5-4BC7-90C3-E1C050CC3F22}"/>
            </c:ext>
          </c:extLst>
        </c:ser>
        <c:ser>
          <c:idx val="2"/>
          <c:order val="2"/>
          <c:tx>
            <c:strRef>
              <c:f>'Order Quantity Distribution'!$D$1</c:f>
              <c:strCache>
                <c:ptCount val="1"/>
                <c:pt idx="0">
                  <c:v>Sum of Sales</c:v>
                </c:pt>
              </c:strCache>
            </c:strRef>
          </c:tx>
          <c:spPr>
            <a:solidFill>
              <a:schemeClr val="accent3"/>
            </a:solidFill>
            <a:ln>
              <a:noFill/>
            </a:ln>
            <a:effectLst/>
          </c:spPr>
          <c:cat>
            <c:strRef>
              <c:f>'Order Quantity Distribution'!$A$2:$A$52</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'Order Quantity Distribution'!$D$2:$D$52</c:f>
              <c:numCache>
                <c:formatCode>General</c:formatCode>
                <c:ptCount val="50"/>
                <c:pt idx="0">
                  <c:v>17227.606299999996</c:v>
                </c:pt>
                <c:pt idx="1">
                  <c:v>7951.7855999999983</c:v>
                </c:pt>
                <c:pt idx="2">
                  <c:v>27460.005399999998</c:v>
                </c:pt>
                <c:pt idx="3">
                  <c:v>45641.082000000017</c:v>
                </c:pt>
                <c:pt idx="4">
                  <c:v>17441.881999999998</c:v>
                </c:pt>
                <c:pt idx="5">
                  <c:v>42728.499900000003</c:v>
                </c:pt>
                <c:pt idx="6">
                  <c:v>55224.4041</c:v>
                </c:pt>
                <c:pt idx="7">
                  <c:v>59561.567300000017</c:v>
                </c:pt>
                <c:pt idx="8">
                  <c:v>116487.55879999997</c:v>
                </c:pt>
                <c:pt idx="9">
                  <c:v>29683.644199999999</c:v>
                </c:pt>
                <c:pt idx="10">
                  <c:v>62939.638300000006</c:v>
                </c:pt>
                <c:pt idx="11">
                  <c:v>45975.535000000003</c:v>
                </c:pt>
                <c:pt idx="12">
                  <c:v>38502.849000000002</c:v>
                </c:pt>
                <c:pt idx="13">
                  <c:v>42412.439099999996</c:v>
                </c:pt>
                <c:pt idx="14">
                  <c:v>41906.636700000003</c:v>
                </c:pt>
                <c:pt idx="15">
                  <c:v>57672.069800000005</c:v>
                </c:pt>
                <c:pt idx="16">
                  <c:v>43536.60679999998</c:v>
                </c:pt>
                <c:pt idx="17">
                  <c:v>38627.067999999992</c:v>
                </c:pt>
                <c:pt idx="18">
                  <c:v>36621.437100000003</c:v>
                </c:pt>
                <c:pt idx="19">
                  <c:v>43588.105599999995</c:v>
                </c:pt>
                <c:pt idx="20">
                  <c:v>55596.36529999999</c:v>
                </c:pt>
                <c:pt idx="21">
                  <c:v>51959.777200000004</c:v>
                </c:pt>
                <c:pt idx="22">
                  <c:v>63277.763000000006</c:v>
                </c:pt>
                <c:pt idx="23">
                  <c:v>67570.463199999998</c:v>
                </c:pt>
                <c:pt idx="24">
                  <c:v>56787.519300000022</c:v>
                </c:pt>
                <c:pt idx="25">
                  <c:v>97215.340100000001</c:v>
                </c:pt>
                <c:pt idx="26">
                  <c:v>133799.34890000001</c:v>
                </c:pt>
                <c:pt idx="27">
                  <c:v>68015.34639999998</c:v>
                </c:pt>
                <c:pt idx="28">
                  <c:v>82429.882000000012</c:v>
                </c:pt>
                <c:pt idx="29">
                  <c:v>126492.21149999999</c:v>
                </c:pt>
                <c:pt idx="30">
                  <c:v>106133.55759999999</c:v>
                </c:pt>
                <c:pt idx="31">
                  <c:v>146324.57249999995</c:v>
                </c:pt>
                <c:pt idx="32">
                  <c:v>78592.400199999989</c:v>
                </c:pt>
                <c:pt idx="33">
                  <c:v>75741.982000000004</c:v>
                </c:pt>
                <c:pt idx="34">
                  <c:v>88347.289600000004</c:v>
                </c:pt>
                <c:pt idx="35">
                  <c:v>134483.70219999997</c:v>
                </c:pt>
                <c:pt idx="36">
                  <c:v>85491.173000000024</c:v>
                </c:pt>
                <c:pt idx="37">
                  <c:v>100624.38429999999</c:v>
                </c:pt>
                <c:pt idx="38">
                  <c:v>90277.969999999987</c:v>
                </c:pt>
                <c:pt idx="39">
                  <c:v>66897.363000000012</c:v>
                </c:pt>
                <c:pt idx="40">
                  <c:v>72065.684500000003</c:v>
                </c:pt>
                <c:pt idx="41">
                  <c:v>155132.83259999999</c:v>
                </c:pt>
                <c:pt idx="42">
                  <c:v>156408.04939999999</c:v>
                </c:pt>
                <c:pt idx="43">
                  <c:v>88585.903900000005</c:v>
                </c:pt>
                <c:pt idx="44">
                  <c:v>129534.6442</c:v>
                </c:pt>
                <c:pt idx="45">
                  <c:v>157003.20190000001</c:v>
                </c:pt>
                <c:pt idx="46">
                  <c:v>216232.97520000002</c:v>
                </c:pt>
                <c:pt idx="47">
                  <c:v>111052.9271</c:v>
                </c:pt>
                <c:pt idx="48">
                  <c:v>115508.59799999997</c:v>
                </c:pt>
                <c:pt idx="49">
                  <c:v>128867.2145</c:v>
                </c:pt>
              </c:numCache>
            </c:numRef>
          </c:val>
          <c:extLst>
            <c:ext xmlns:c16="http://schemas.microsoft.com/office/drawing/2014/chart" uri="{C3380CC4-5D6E-409C-BE32-E72D297353CC}">
              <c16:uniqueId val="{00000002-67D5-4BC7-90C3-E1C050CC3F22}"/>
            </c:ext>
          </c:extLst>
        </c:ser>
        <c:dLbls>
          <c:showLegendKey val="0"/>
          <c:showVal val="0"/>
          <c:showCatName val="0"/>
          <c:showSerName val="0"/>
          <c:showPercent val="0"/>
          <c:showBubbleSize val="0"/>
        </c:dLbls>
        <c:axId val="1133707584"/>
        <c:axId val="1133708544"/>
      </c:areaChart>
      <c:lineChart>
        <c:grouping val="stacked"/>
        <c:varyColors val="0"/>
        <c:ser>
          <c:idx val="0"/>
          <c:order val="0"/>
          <c:tx>
            <c:strRef>
              <c:f>'Order Quantity Distribution'!$B$1</c:f>
              <c:strCache>
                <c:ptCount val="1"/>
                <c:pt idx="0">
                  <c:v>Count of Order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 Quantity Distribution'!$A$2:$A$52</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'Order Quantity Distribution'!$B$2:$B$52</c:f>
              <c:numCache>
                <c:formatCode>General</c:formatCode>
                <c:ptCount val="50"/>
                <c:pt idx="0">
                  <c:v>37</c:v>
                </c:pt>
                <c:pt idx="1">
                  <c:v>37</c:v>
                </c:pt>
                <c:pt idx="2">
                  <c:v>52</c:v>
                </c:pt>
                <c:pt idx="3">
                  <c:v>53</c:v>
                </c:pt>
                <c:pt idx="4">
                  <c:v>53</c:v>
                </c:pt>
                <c:pt idx="5">
                  <c:v>40</c:v>
                </c:pt>
                <c:pt idx="6">
                  <c:v>48</c:v>
                </c:pt>
                <c:pt idx="7">
                  <c:v>38</c:v>
                </c:pt>
                <c:pt idx="8">
                  <c:v>31</c:v>
                </c:pt>
                <c:pt idx="9">
                  <c:v>46</c:v>
                </c:pt>
                <c:pt idx="10">
                  <c:v>37</c:v>
                </c:pt>
                <c:pt idx="11">
                  <c:v>41</c:v>
                </c:pt>
                <c:pt idx="12">
                  <c:v>36</c:v>
                </c:pt>
                <c:pt idx="13">
                  <c:v>33</c:v>
                </c:pt>
                <c:pt idx="14">
                  <c:v>25</c:v>
                </c:pt>
                <c:pt idx="15">
                  <c:v>49</c:v>
                </c:pt>
                <c:pt idx="16">
                  <c:v>40</c:v>
                </c:pt>
                <c:pt idx="17">
                  <c:v>37</c:v>
                </c:pt>
                <c:pt idx="18">
                  <c:v>39</c:v>
                </c:pt>
                <c:pt idx="19">
                  <c:v>38</c:v>
                </c:pt>
                <c:pt idx="20">
                  <c:v>39</c:v>
                </c:pt>
                <c:pt idx="21">
                  <c:v>38</c:v>
                </c:pt>
                <c:pt idx="22">
                  <c:v>38</c:v>
                </c:pt>
                <c:pt idx="23">
                  <c:v>49</c:v>
                </c:pt>
                <c:pt idx="24">
                  <c:v>38</c:v>
                </c:pt>
                <c:pt idx="25">
                  <c:v>40</c:v>
                </c:pt>
                <c:pt idx="26">
                  <c:v>48</c:v>
                </c:pt>
                <c:pt idx="27">
                  <c:v>38</c:v>
                </c:pt>
                <c:pt idx="28">
                  <c:v>38</c:v>
                </c:pt>
                <c:pt idx="29">
                  <c:v>47</c:v>
                </c:pt>
                <c:pt idx="30">
                  <c:v>55</c:v>
                </c:pt>
                <c:pt idx="31">
                  <c:v>56</c:v>
                </c:pt>
                <c:pt idx="32">
                  <c:v>32</c:v>
                </c:pt>
                <c:pt idx="33">
                  <c:v>35</c:v>
                </c:pt>
                <c:pt idx="34">
                  <c:v>37</c:v>
                </c:pt>
                <c:pt idx="35">
                  <c:v>52</c:v>
                </c:pt>
                <c:pt idx="36">
                  <c:v>34</c:v>
                </c:pt>
                <c:pt idx="37">
                  <c:v>34</c:v>
                </c:pt>
                <c:pt idx="38">
                  <c:v>46</c:v>
                </c:pt>
                <c:pt idx="39">
                  <c:v>40</c:v>
                </c:pt>
                <c:pt idx="40">
                  <c:v>47</c:v>
                </c:pt>
                <c:pt idx="41">
                  <c:v>49</c:v>
                </c:pt>
                <c:pt idx="42">
                  <c:v>52</c:v>
                </c:pt>
                <c:pt idx="43">
                  <c:v>32</c:v>
                </c:pt>
                <c:pt idx="44">
                  <c:v>43</c:v>
                </c:pt>
                <c:pt idx="45">
                  <c:v>58</c:v>
                </c:pt>
                <c:pt idx="46">
                  <c:v>43</c:v>
                </c:pt>
                <c:pt idx="47">
                  <c:v>41</c:v>
                </c:pt>
                <c:pt idx="48">
                  <c:v>36</c:v>
                </c:pt>
                <c:pt idx="49">
                  <c:v>55</c:v>
                </c:pt>
              </c:numCache>
            </c:numRef>
          </c:val>
          <c:smooth val="0"/>
          <c:extLst>
            <c:ext xmlns:c16="http://schemas.microsoft.com/office/drawing/2014/chart" uri="{C3380CC4-5D6E-409C-BE32-E72D297353CC}">
              <c16:uniqueId val="{00000000-67D5-4BC7-90C3-E1C050CC3F22}"/>
            </c:ext>
          </c:extLst>
        </c:ser>
        <c:dLbls>
          <c:showLegendKey val="0"/>
          <c:showVal val="0"/>
          <c:showCatName val="0"/>
          <c:showSerName val="0"/>
          <c:showPercent val="0"/>
          <c:showBubbleSize val="0"/>
        </c:dLbls>
        <c:marker val="1"/>
        <c:smooth val="0"/>
        <c:axId val="1133751744"/>
        <c:axId val="1133751264"/>
      </c:lineChart>
      <c:catAx>
        <c:axId val="11337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08544"/>
        <c:crosses val="autoZero"/>
        <c:auto val="1"/>
        <c:lblAlgn val="ctr"/>
        <c:lblOffset val="100"/>
        <c:noMultiLvlLbl val="0"/>
      </c:catAx>
      <c:valAx>
        <c:axId val="113370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07584"/>
        <c:crosses val="autoZero"/>
        <c:crossBetween val="between"/>
      </c:valAx>
      <c:valAx>
        <c:axId val="11337512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1744"/>
        <c:crosses val="max"/>
        <c:crossBetween val="between"/>
      </c:valAx>
      <c:catAx>
        <c:axId val="1133751744"/>
        <c:scaling>
          <c:orientation val="minMax"/>
        </c:scaling>
        <c:delete val="1"/>
        <c:axPos val="b"/>
        <c:numFmt formatCode="General" sourceLinked="1"/>
        <c:majorTickMark val="out"/>
        <c:minorTickMark val="none"/>
        <c:tickLblPos val="nextTo"/>
        <c:crossAx val="11337512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30480</xdr:colOff>
      <xdr:row>19</xdr:row>
      <xdr:rowOff>0</xdr:rowOff>
    </xdr:from>
    <xdr:to>
      <xdr:col>23</xdr:col>
      <xdr:colOff>647700</xdr:colOff>
      <xdr:row>26</xdr:row>
      <xdr:rowOff>91440</xdr:rowOff>
    </xdr:to>
    <xdr:graphicFrame macro="">
      <xdr:nvGraphicFramePr>
        <xdr:cNvPr id="3" name="Chart 2">
          <a:extLst>
            <a:ext uri="{FF2B5EF4-FFF2-40B4-BE49-F238E27FC236}">
              <a16:creationId xmlns:a16="http://schemas.microsoft.com/office/drawing/2014/main" id="{3DCBE3A7-8746-4A47-B735-4CB6FC825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0</xdr:rowOff>
    </xdr:from>
    <xdr:to>
      <xdr:col>12</xdr:col>
      <xdr:colOff>0</xdr:colOff>
      <xdr:row>18</xdr:row>
      <xdr:rowOff>0</xdr:rowOff>
    </xdr:to>
    <xdr:graphicFrame macro="">
      <xdr:nvGraphicFramePr>
        <xdr:cNvPr id="4" name="Chart 3">
          <a:extLst>
            <a:ext uri="{FF2B5EF4-FFF2-40B4-BE49-F238E27FC236}">
              <a16:creationId xmlns:a16="http://schemas.microsoft.com/office/drawing/2014/main" id="{E58721F7-72F4-43FC-A1C3-0A50D153C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7620</xdr:colOff>
      <xdr:row>20</xdr:row>
      <xdr:rowOff>137160</xdr:rowOff>
    </xdr:from>
    <xdr:to>
      <xdr:col>4</xdr:col>
      <xdr:colOff>38100</xdr:colOff>
      <xdr:row>26</xdr:row>
      <xdr:rowOff>53340</xdr:rowOff>
    </xdr:to>
    <mc:AlternateContent xmlns:mc="http://schemas.openxmlformats.org/markup-compatibility/2006">
      <mc:Choice xmlns:a14="http://schemas.microsoft.com/office/drawing/2010/main" Requires="a14">
        <xdr:graphicFrame macro="">
          <xdr:nvGraphicFramePr>
            <xdr:cNvPr id="8" name="Order Type">
              <a:extLst>
                <a:ext uri="{FF2B5EF4-FFF2-40B4-BE49-F238E27FC236}">
                  <a16:creationId xmlns:a16="http://schemas.microsoft.com/office/drawing/2014/main" id="{8FED7468-8465-BEFD-E197-93C9B7F06E59}"/>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dr:sp macro="" textlink="">
          <xdr:nvSpPr>
            <xdr:cNvPr id="0" name=""/>
            <xdr:cNvSpPr>
              <a:spLocks noTextEdit="1"/>
            </xdr:cNvSpPr>
          </xdr:nvSpPr>
          <xdr:spPr>
            <a:xfrm>
              <a:off x="175260" y="3832860"/>
              <a:ext cx="185928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7</xdr:row>
      <xdr:rowOff>99060</xdr:rowOff>
    </xdr:from>
    <xdr:to>
      <xdr:col>4</xdr:col>
      <xdr:colOff>53340</xdr:colOff>
      <xdr:row>13</xdr:row>
      <xdr:rowOff>99060</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7149C69E-2061-5EA9-EC7F-C5030A45E67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98120" y="1455420"/>
              <a:ext cx="185166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14</xdr:row>
      <xdr:rowOff>7620</xdr:rowOff>
    </xdr:from>
    <xdr:to>
      <xdr:col>4</xdr:col>
      <xdr:colOff>53340</xdr:colOff>
      <xdr:row>20</xdr:row>
      <xdr:rowOff>32722</xdr:rowOff>
    </xdr:to>
    <mc:AlternateContent xmlns:mc="http://schemas.openxmlformats.org/markup-compatibility/2006">
      <mc:Choice xmlns:a14="http://schemas.microsoft.com/office/drawing/2010/main" Requires="a14">
        <xdr:graphicFrame macro="">
          <xdr:nvGraphicFramePr>
            <xdr:cNvPr id="10" name="Months (Order Date)">
              <a:extLst>
                <a:ext uri="{FF2B5EF4-FFF2-40B4-BE49-F238E27FC236}">
                  <a16:creationId xmlns:a16="http://schemas.microsoft.com/office/drawing/2014/main" id="{9F68DC9E-49BC-063A-FF79-863731F7FE5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82880" y="2644140"/>
              <a:ext cx="1866900" cy="1084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xdr:row>
      <xdr:rowOff>1</xdr:rowOff>
    </xdr:from>
    <xdr:to>
      <xdr:col>4</xdr:col>
      <xdr:colOff>45720</xdr:colOff>
      <xdr:row>6</xdr:row>
      <xdr:rowOff>175261</xdr:rowOff>
    </xdr:to>
    <mc:AlternateContent xmlns:mc="http://schemas.openxmlformats.org/markup-compatibility/2006">
      <mc:Choice xmlns:a14="http://schemas.microsoft.com/office/drawing/2010/main" Requires="a14">
        <xdr:graphicFrame macro="">
          <xdr:nvGraphicFramePr>
            <xdr:cNvPr id="6" name="Order Quantity">
              <a:extLst>
                <a:ext uri="{FF2B5EF4-FFF2-40B4-BE49-F238E27FC236}">
                  <a16:creationId xmlns:a16="http://schemas.microsoft.com/office/drawing/2014/main" id="{595B1350-E9B7-6EC5-DADE-C69EFAC3B7BF}"/>
                </a:ext>
              </a:extLst>
            </xdr:cNvPr>
            <xdr:cNvGraphicFramePr/>
          </xdr:nvGraphicFramePr>
          <xdr:xfrm>
            <a:off x="0" y="0"/>
            <a:ext cx="0" cy="0"/>
          </xdr:xfrm>
          <a:graphic>
            <a:graphicData uri="http://schemas.microsoft.com/office/drawing/2010/slicer">
              <sle:slicer xmlns:sle="http://schemas.microsoft.com/office/drawing/2010/slicer" name="Order Quantity"/>
            </a:graphicData>
          </a:graphic>
        </xdr:graphicFrame>
      </mc:Choice>
      <mc:Fallback>
        <xdr:sp macro="" textlink="">
          <xdr:nvSpPr>
            <xdr:cNvPr id="0" name=""/>
            <xdr:cNvSpPr>
              <a:spLocks noTextEdit="1"/>
            </xdr:cNvSpPr>
          </xdr:nvSpPr>
          <xdr:spPr>
            <a:xfrm>
              <a:off x="205740" y="259081"/>
              <a:ext cx="183642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4</xdr:row>
      <xdr:rowOff>0</xdr:rowOff>
    </xdr:from>
    <xdr:to>
      <xdr:col>23</xdr:col>
      <xdr:colOff>632460</xdr:colOff>
      <xdr:row>18</xdr:row>
      <xdr:rowOff>0</xdr:rowOff>
    </xdr:to>
    <xdr:graphicFrame macro="">
      <xdr:nvGraphicFramePr>
        <xdr:cNvPr id="11" name="Chart 10">
          <a:extLst>
            <a:ext uri="{FF2B5EF4-FFF2-40B4-BE49-F238E27FC236}">
              <a16:creationId xmlns:a16="http://schemas.microsoft.com/office/drawing/2014/main" id="{522C7BFE-E378-44EC-BF3B-210AB5084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16</xdr:col>
      <xdr:colOff>38100</xdr:colOff>
      <xdr:row>27</xdr:row>
      <xdr:rowOff>15240</xdr:rowOff>
    </xdr:to>
    <xdr:graphicFrame macro="">
      <xdr:nvGraphicFramePr>
        <xdr:cNvPr id="2" name="Chart 1">
          <a:extLst>
            <a:ext uri="{FF2B5EF4-FFF2-40B4-BE49-F238E27FC236}">
              <a16:creationId xmlns:a16="http://schemas.microsoft.com/office/drawing/2014/main" id="{66AFA749-FEDC-BDB6-D0E5-1BE7F4981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7</xdr:row>
      <xdr:rowOff>0</xdr:rowOff>
    </xdr:from>
    <xdr:to>
      <xdr:col>17</xdr:col>
      <xdr:colOff>586740</xdr:colOff>
      <xdr:row>27</xdr:row>
      <xdr:rowOff>0</xdr:rowOff>
    </xdr:to>
    <xdr:graphicFrame macro="">
      <xdr:nvGraphicFramePr>
        <xdr:cNvPr id="7" name="Chart 6">
          <a:extLst>
            <a:ext uri="{FF2B5EF4-FFF2-40B4-BE49-F238E27FC236}">
              <a16:creationId xmlns:a16="http://schemas.microsoft.com/office/drawing/2014/main" id="{B15372FB-8840-A7B8-5C2E-722A50ABD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0</xdr:row>
      <xdr:rowOff>0</xdr:rowOff>
    </xdr:from>
    <xdr:to>
      <xdr:col>13</xdr:col>
      <xdr:colOff>7620</xdr:colOff>
      <xdr:row>27</xdr:row>
      <xdr:rowOff>0</xdr:rowOff>
    </xdr:to>
    <xdr:graphicFrame macro="">
      <xdr:nvGraphicFramePr>
        <xdr:cNvPr id="2" name="Chart 1">
          <a:extLst>
            <a:ext uri="{FF2B5EF4-FFF2-40B4-BE49-F238E27FC236}">
              <a16:creationId xmlns:a16="http://schemas.microsoft.com/office/drawing/2014/main" id="{8DCDEDB9-F326-1402-846D-54D7946C2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0</xdr:row>
      <xdr:rowOff>0</xdr:rowOff>
    </xdr:from>
    <xdr:to>
      <xdr:col>17</xdr:col>
      <xdr:colOff>0</xdr:colOff>
      <xdr:row>26</xdr:row>
      <xdr:rowOff>167640</xdr:rowOff>
    </xdr:to>
    <xdr:graphicFrame macro="">
      <xdr:nvGraphicFramePr>
        <xdr:cNvPr id="4" name="Chart 3">
          <a:extLst>
            <a:ext uri="{FF2B5EF4-FFF2-40B4-BE49-F238E27FC236}">
              <a16:creationId xmlns:a16="http://schemas.microsoft.com/office/drawing/2014/main" id="{FE725BDE-7DF0-7482-E1BC-ED45BA040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58.802660185182" createdVersion="8" refreshedVersion="8" minRefreshableVersion="3" recordCount="2100" xr:uid="{79C227A3-271D-40B5-9A48-D616A74ED4CD}">
  <cacheSource type="worksheet">
    <worksheetSource name="Sales_Data"/>
  </cacheSource>
  <cacheFields count="18">
    <cacheField name="Order ID" numFmtId="0">
      <sharedItems containsSemiMixedTypes="0" containsString="0" containsNumber="1" containsInteger="1" minValue="6" maxValue="59969"/>
    </cacheField>
    <cacheField name="Order Date" numFmtId="14">
      <sharedItems containsSemiMixedTypes="0" containsNonDate="0" containsDate="1" containsString="0" minDate="2019-01-01T00:00:00" maxDate="2019-12-31T00:00:00" count="353">
        <d v="2019-07-18T00:00:00"/>
        <d v="2019-05-25T00:00:00"/>
        <d v="2019-03-19T00:00:00"/>
        <d v="2019-04-27T00:00:00"/>
        <d v="2019-11-15T00:00:00"/>
        <d v="2019-09-30T00:00:00"/>
        <d v="2019-05-10T00:00:00"/>
        <d v="2019-08-13T00:00:00"/>
        <d v="2019-07-28T00:00:00"/>
        <d v="2019-04-14T00:00:00"/>
        <d v="2019-02-15T00:00:00"/>
        <d v="2019-04-21T00:00:00"/>
        <d v="2019-11-19T00:00:00"/>
        <d v="2019-10-05T00:00:00"/>
        <d v="2019-04-24T00:00:00"/>
        <d v="2019-06-14T00:00:00"/>
        <d v="2019-05-21T00:00:00"/>
        <d v="2019-03-04T00:00:00"/>
        <d v="2019-10-12T00:00:00"/>
        <d v="2019-08-19T00:00:00"/>
        <d v="2019-04-29T00:00:00"/>
        <d v="2019-03-05T00:00:00"/>
        <d v="2019-06-12T00:00:00"/>
        <d v="2019-08-22T00:00:00"/>
        <d v="2019-05-20T00:00:00"/>
        <d v="2019-08-10T00:00:00"/>
        <d v="2019-09-23T00:00:00"/>
        <d v="2019-04-13T00:00:00"/>
        <d v="2019-08-28T00:00:00"/>
        <d v="2019-03-28T00:00:00"/>
        <d v="2019-09-22T00:00:00"/>
        <d v="2019-12-15T00:00:00"/>
        <d v="2019-01-29T00:00:00"/>
        <d v="2019-01-07T00:00:00"/>
        <d v="2019-10-30T00:00:00"/>
        <d v="2019-11-08T00:00:00"/>
        <d v="2019-08-05T00:00:00"/>
        <d v="2019-08-20T00:00:00"/>
        <d v="2019-01-04T00:00:00"/>
        <d v="2019-01-03T00:00:00"/>
        <d v="2019-10-09T00:00:00"/>
        <d v="2019-03-20T00:00:00"/>
        <d v="2019-09-02T00:00:00"/>
        <d v="2019-07-31T00:00:00"/>
        <d v="2019-12-24T00:00:00"/>
        <d v="2019-07-10T00:00:00"/>
        <d v="2019-11-06T00:00:00"/>
        <d v="2019-07-16T00:00:00"/>
        <d v="2019-08-11T00:00:00"/>
        <d v="2019-08-17T00:00:00"/>
        <d v="2019-08-14T00:00:00"/>
        <d v="2019-06-07T00:00:00"/>
        <d v="2019-02-09T00:00:00"/>
        <d v="2019-09-10T00:00:00"/>
        <d v="2019-04-01T00:00:00"/>
        <d v="2019-02-13T00:00:00"/>
        <d v="2019-07-11T00:00:00"/>
        <d v="2019-09-15T00:00:00"/>
        <d v="2019-10-28T00:00:00"/>
        <d v="2019-05-06T00:00:00"/>
        <d v="2019-07-02T00:00:00"/>
        <d v="2019-01-11T00:00:00"/>
        <d v="2019-07-08T00:00:00"/>
        <d v="2019-05-14T00:00:00"/>
        <d v="2019-02-07T00:00:00"/>
        <d v="2019-10-27T00:00:00"/>
        <d v="2019-02-23T00:00:00"/>
        <d v="2019-02-28T00:00:00"/>
        <d v="2019-06-11T00:00:00"/>
        <d v="2019-10-16T00:00:00"/>
        <d v="2019-02-25T00:00:00"/>
        <d v="2019-07-05T00:00:00"/>
        <d v="2019-11-28T00:00:00"/>
        <d v="2019-12-10T00:00:00"/>
        <d v="2019-06-10T00:00:00"/>
        <d v="2019-06-02T00:00:00"/>
        <d v="2019-07-29T00:00:00"/>
        <d v="2019-08-26T00:00:00"/>
        <d v="2019-07-03T00:00:00"/>
        <d v="2019-12-16T00:00:00"/>
        <d v="2019-05-02T00:00:00"/>
        <d v="2019-01-18T00:00:00"/>
        <d v="2019-10-23T00:00:00"/>
        <d v="2019-08-12T00:00:00"/>
        <d v="2019-03-11T00:00:00"/>
        <d v="2019-03-07T00:00:00"/>
        <d v="2019-09-27T00:00:00"/>
        <d v="2019-09-09T00:00:00"/>
        <d v="2019-12-04T00:00:00"/>
        <d v="2019-11-10T00:00:00"/>
        <d v="2019-06-27T00:00:00"/>
        <d v="2019-05-12T00:00:00"/>
        <d v="2019-03-29T00:00:00"/>
        <d v="2019-10-18T00:00:00"/>
        <d v="2019-05-19T00:00:00"/>
        <d v="2019-05-18T00:00:00"/>
        <d v="2019-08-01T00:00:00"/>
        <d v="2019-08-21T00:00:00"/>
        <d v="2019-05-28T00:00:00"/>
        <d v="2019-12-14T00:00:00"/>
        <d v="2019-09-13T00:00:00"/>
        <d v="2019-03-03T00:00:00"/>
        <d v="2019-10-19T00:00:00"/>
        <d v="2019-10-04T00:00:00"/>
        <d v="2019-04-09T00:00:00"/>
        <d v="2019-05-07T00:00:00"/>
        <d v="2019-10-25T00:00:00"/>
        <d v="2019-03-17T00:00:00"/>
        <d v="2019-03-15T00:00:00"/>
        <d v="2019-09-18T00:00:00"/>
        <d v="2019-09-16T00:00:00"/>
        <d v="2019-01-21T00:00:00"/>
        <d v="2019-10-07T00:00:00"/>
        <d v="2019-08-04T00:00:00"/>
        <d v="2019-07-14T00:00:00"/>
        <d v="2019-10-29T00:00:00"/>
        <d v="2019-12-02T00:00:00"/>
        <d v="2019-08-07T00:00:00"/>
        <d v="2019-06-28T00:00:00"/>
        <d v="2019-12-29T00:00:00"/>
        <d v="2019-03-30T00:00:00"/>
        <d v="2019-07-17T00:00:00"/>
        <d v="2019-09-08T00:00:00"/>
        <d v="2019-02-01T00:00:00"/>
        <d v="2019-11-09T00:00:00"/>
        <d v="2019-10-15T00:00:00"/>
        <d v="2019-11-01T00:00:00"/>
        <d v="2019-06-26T00:00:00"/>
        <d v="2019-07-19T00:00:00"/>
        <d v="2019-03-23T00:00:00"/>
        <d v="2019-08-15T00:00:00"/>
        <d v="2019-08-24T00:00:00"/>
        <d v="2019-03-22T00:00:00"/>
        <d v="2019-11-30T00:00:00"/>
        <d v="2019-12-27T00:00:00"/>
        <d v="2019-01-31T00:00:00"/>
        <d v="2019-09-19T00:00:00"/>
        <d v="2019-08-09T00:00:00"/>
        <d v="2019-09-01T00:00:00"/>
        <d v="2019-08-30T00:00:00"/>
        <d v="2019-09-20T00:00:00"/>
        <d v="2019-05-17T00:00:00"/>
        <d v="2019-02-14T00:00:00"/>
        <d v="2019-01-05T00:00:00"/>
        <d v="2019-12-11T00:00:00"/>
        <d v="2019-09-29T00:00:00"/>
        <d v="2019-07-15T00:00:00"/>
        <d v="2019-01-10T00:00:00"/>
        <d v="2019-07-22T00:00:00"/>
        <d v="2019-06-01T00:00:00"/>
        <d v="2019-04-15T00:00:00"/>
        <d v="2019-07-30T00:00:00"/>
        <d v="2019-05-13T00:00:00"/>
        <d v="2019-06-08T00:00:00"/>
        <d v="2019-01-09T00:00:00"/>
        <d v="2019-05-26T00:00:00"/>
        <d v="2019-07-09T00:00:00"/>
        <d v="2019-10-02T00:00:00"/>
        <d v="2019-05-08T00:00:00"/>
        <d v="2019-04-10T00:00:00"/>
        <d v="2019-12-09T00:00:00"/>
        <d v="2019-03-14T00:00:00"/>
        <d v="2019-10-06T00:00:00"/>
        <d v="2019-06-24T00:00:00"/>
        <d v="2019-01-17T00:00:00"/>
        <d v="2019-04-23T00:00:00"/>
        <d v="2019-01-22T00:00:00"/>
        <d v="2019-07-21T00:00:00"/>
        <d v="2019-03-12T00:00:00"/>
        <d v="2019-05-11T00:00:00"/>
        <d v="2019-09-14T00:00:00"/>
        <d v="2019-11-16T00:00:00"/>
        <d v="2019-04-18T00:00:00"/>
        <d v="2019-09-12T00:00:00"/>
        <d v="2019-07-24T00:00:00"/>
        <d v="2019-09-06T00:00:00"/>
        <d v="2019-08-02T00:00:00"/>
        <d v="2019-05-22T00:00:00"/>
        <d v="2019-02-12T00:00:00"/>
        <d v="2019-06-22T00:00:00"/>
        <d v="2019-05-24T00:00:00"/>
        <d v="2019-04-11T00:00:00"/>
        <d v="2019-12-21T00:00:00"/>
        <d v="2019-09-05T00:00:00"/>
        <d v="2019-05-05T00:00:00"/>
        <d v="2019-11-23T00:00:00"/>
        <d v="2019-09-11T00:00:00"/>
        <d v="2019-10-01T00:00:00"/>
        <d v="2019-10-24T00:00:00"/>
        <d v="2019-05-31T00:00:00"/>
        <d v="2019-11-22T00:00:00"/>
        <d v="2019-02-08T00:00:00"/>
        <d v="2019-06-19T00:00:00"/>
        <d v="2019-12-20T00:00:00"/>
        <d v="2019-01-12T00:00:00"/>
        <d v="2019-12-25T00:00:00"/>
        <d v="2019-05-30T00:00:00"/>
        <d v="2019-02-06T00:00:00"/>
        <d v="2019-11-07T00:00:00"/>
        <d v="2019-07-13T00:00:00"/>
        <d v="2019-12-03T00:00:00"/>
        <d v="2019-05-04T00:00:00"/>
        <d v="2019-05-03T00:00:00"/>
        <d v="2019-08-16T00:00:00"/>
        <d v="2019-03-10T00:00:00"/>
        <d v="2019-06-16T00:00:00"/>
        <d v="2019-04-28T00:00:00"/>
        <d v="2019-02-22T00:00:00"/>
        <d v="2019-11-20T00:00:00"/>
        <d v="2019-08-06T00:00:00"/>
        <d v="2019-12-08T00:00:00"/>
        <d v="2019-04-12T00:00:00"/>
        <d v="2019-08-08T00:00:00"/>
        <d v="2019-07-12T00:00:00"/>
        <d v="2019-06-17T00:00:00"/>
        <d v="2019-05-16T00:00:00"/>
        <d v="2019-12-13T00:00:00"/>
        <d v="2019-04-26T00:00:00"/>
        <d v="2019-02-11T00:00:00"/>
        <d v="2019-11-24T00:00:00"/>
        <d v="2019-12-26T00:00:00"/>
        <d v="2019-06-30T00:00:00"/>
        <d v="2019-11-29T00:00:00"/>
        <d v="2019-05-09T00:00:00"/>
        <d v="2019-02-26T00:00:00"/>
        <d v="2019-07-25T00:00:00"/>
        <d v="2019-01-25T00:00:00"/>
        <d v="2019-09-25T00:00:00"/>
        <d v="2019-07-26T00:00:00"/>
        <d v="2019-01-01T00:00:00"/>
        <d v="2019-04-25T00:00:00"/>
        <d v="2019-11-05T00:00:00"/>
        <d v="2019-05-23T00:00:00"/>
        <d v="2019-07-27T00:00:00"/>
        <d v="2019-11-11T00:00:00"/>
        <d v="2019-01-27T00:00:00"/>
        <d v="2019-12-30T00:00:00"/>
        <d v="2019-10-11T00:00:00"/>
        <d v="2019-12-22T00:00:00"/>
        <d v="2019-05-27T00:00:00"/>
        <d v="2019-11-17T00:00:00"/>
        <d v="2019-02-18T00:00:00"/>
        <d v="2019-01-14T00:00:00"/>
        <d v="2019-06-06T00:00:00"/>
        <d v="2019-08-18T00:00:00"/>
        <d v="2019-02-10T00:00:00"/>
        <d v="2019-10-26T00:00:00"/>
        <d v="2019-01-23T00:00:00"/>
        <d v="2019-02-17T00:00:00"/>
        <d v="2019-12-05T00:00:00"/>
        <d v="2019-06-15T00:00:00"/>
        <d v="2019-03-02T00:00:00"/>
        <d v="2019-02-04T00:00:00"/>
        <d v="2019-02-05T00:00:00"/>
        <d v="2019-09-04T00:00:00"/>
        <d v="2019-07-07T00:00:00"/>
        <d v="2019-11-25T00:00:00"/>
        <d v="2019-01-30T00:00:00"/>
        <d v="2019-12-19T00:00:00"/>
        <d v="2019-10-31T00:00:00"/>
        <d v="2019-10-20T00:00:00"/>
        <d v="2019-04-17T00:00:00"/>
        <d v="2019-10-14T00:00:00"/>
        <d v="2019-03-09T00:00:00"/>
        <d v="2019-03-24T00:00:00"/>
        <d v="2019-08-23T00:00:00"/>
        <d v="2019-09-24T00:00:00"/>
        <d v="2019-11-04T00:00:00"/>
        <d v="2019-12-12T00:00:00"/>
        <d v="2019-03-26T00:00:00"/>
        <d v="2019-10-10T00:00:00"/>
        <d v="2019-03-08T00:00:00"/>
        <d v="2019-03-21T00:00:00"/>
        <d v="2019-06-18T00:00:00"/>
        <d v="2019-03-18T00:00:00"/>
        <d v="2019-04-06T00:00:00"/>
        <d v="2019-03-13T00:00:00"/>
        <d v="2019-03-16T00:00:00"/>
        <d v="2019-03-27T00:00:00"/>
        <d v="2019-08-27T00:00:00"/>
        <d v="2019-01-15T00:00:00"/>
        <d v="2019-04-07T00:00:00"/>
        <d v="2019-01-02T00:00:00"/>
        <d v="2019-09-17T00:00:00"/>
        <d v="2019-11-13T00:00:00"/>
        <d v="2019-03-25T00:00:00"/>
        <d v="2019-06-29T00:00:00"/>
        <d v="2019-10-08T00:00:00"/>
        <d v="2019-06-20T00:00:00"/>
        <d v="2019-04-08T00:00:00"/>
        <d v="2019-01-08T00:00:00"/>
        <d v="2019-04-22T00:00:00"/>
        <d v="2019-12-01T00:00:00"/>
        <d v="2019-07-20T00:00:00"/>
        <d v="2019-02-16T00:00:00"/>
        <d v="2019-12-28T00:00:00"/>
        <d v="2019-06-13T00:00:00"/>
        <d v="2019-01-26T00:00:00"/>
        <d v="2019-08-29T00:00:00"/>
        <d v="2019-06-04T00:00:00"/>
        <d v="2019-01-06T00:00:00"/>
        <d v="2019-06-05T00:00:00"/>
        <d v="2019-04-04T00:00:00"/>
        <d v="2019-04-05T00:00:00"/>
        <d v="2019-08-03T00:00:00"/>
        <d v="2019-03-01T00:00:00"/>
        <d v="2019-12-06T00:00:00"/>
        <d v="2019-04-20T00:00:00"/>
        <d v="2019-03-06T00:00:00"/>
        <d v="2019-05-29T00:00:00"/>
        <d v="2019-01-19T00:00:00"/>
        <d v="2019-07-06T00:00:00"/>
        <d v="2019-06-25T00:00:00"/>
        <d v="2019-04-16T00:00:00"/>
        <d v="2019-12-18T00:00:00"/>
        <d v="2019-11-26T00:00:00"/>
        <d v="2019-10-22T00:00:00"/>
        <d v="2019-02-03T00:00:00"/>
        <d v="2019-04-30T00:00:00"/>
        <d v="2019-07-23T00:00:00"/>
        <d v="2019-05-01T00:00:00"/>
        <d v="2019-03-31T00:00:00"/>
        <d v="2019-01-24T00:00:00"/>
        <d v="2019-09-21T00:00:00"/>
        <d v="2019-02-19T00:00:00"/>
        <d v="2019-10-21T00:00:00"/>
        <d v="2019-10-17T00:00:00"/>
        <d v="2019-11-18T00:00:00"/>
        <d v="2019-09-07T00:00:00"/>
        <d v="2019-10-13T00:00:00"/>
        <d v="2019-09-03T00:00:00"/>
        <d v="2019-01-20T00:00:00"/>
        <d v="2019-12-23T00:00:00"/>
        <d v="2019-09-28T00:00:00"/>
        <d v="2019-01-28T00:00:00"/>
        <d v="2019-06-09T00:00:00"/>
        <d v="2019-11-03T00:00:00"/>
        <d v="2019-07-01T00:00:00"/>
        <d v="2019-11-27T00:00:00"/>
        <d v="2019-11-21T00:00:00"/>
        <d v="2019-11-12T00:00:00"/>
        <d v="2019-11-02T00:00:00"/>
        <d v="2019-04-03T00:00:00"/>
        <d v="2019-06-23T00:00:00"/>
        <d v="2019-02-24T00:00:00"/>
        <d v="2019-12-07T00:00:00"/>
        <d v="2019-10-03T00:00:00"/>
        <d v="2019-06-03T00:00:00"/>
        <d v="2019-11-14T00:00:00"/>
        <d v="2019-12-17T00:00:00"/>
        <d v="2019-02-20T00:00:00"/>
        <d v="2019-04-02T00:00:00"/>
        <d v="2019-01-13T00:00:00"/>
      </sharedItems>
      <fieldGroup par="16"/>
    </cacheField>
    <cacheField name="Order Priority" numFmtId="0">
      <sharedItems/>
    </cacheField>
    <cacheField name="Order Quantity" numFmtId="0">
      <sharedItems containsSemiMixedTypes="0" containsString="0" containsNumber="1" containsInteger="1" minValue="1" maxValue="50" count="50">
        <n v="33"/>
        <n v="34"/>
        <n v="44"/>
        <n v="50"/>
        <n v="3"/>
        <n v="21"/>
        <n v="22"/>
        <n v="31"/>
        <n v="38"/>
        <n v="45"/>
        <n v="24"/>
        <n v="26"/>
        <n v="47"/>
        <n v="13"/>
        <n v="12"/>
        <n v="42"/>
        <n v="35"/>
        <n v="30"/>
        <n v="5"/>
        <n v="41"/>
        <n v="43"/>
        <n v="49"/>
        <n v="11"/>
        <n v="28"/>
        <n v="19"/>
        <n v="32"/>
        <n v="14"/>
        <n v="46"/>
        <n v="40"/>
        <n v="7"/>
        <n v="8"/>
        <n v="25"/>
        <n v="20"/>
        <n v="2"/>
        <n v="36"/>
        <n v="9"/>
        <n v="16"/>
        <n v="37"/>
        <n v="18"/>
        <n v="4"/>
        <n v="27"/>
        <n v="39"/>
        <n v="23"/>
        <n v="1"/>
        <n v="6"/>
        <n v="17"/>
        <n v="10"/>
        <n v="15"/>
        <n v="29"/>
        <n v="48"/>
      </sharedItems>
    </cacheField>
    <cacheField name="Order Type" numFmtId="0">
      <sharedItems count="10">
        <s v="Large"/>
        <s v="XX Large"/>
        <s v="XXX Large"/>
        <s v="Mini"/>
        <s v="Medium"/>
        <s v="Extra Large"/>
        <s v="Medium-Large"/>
        <s v="Small"/>
        <s v="Small-Medium"/>
        <s v="Extra Small"/>
      </sharedItems>
    </cacheField>
    <cacheField name="Expanded Order Type" numFmtId="0">
      <sharedItems count="10">
        <s v="Large"/>
        <s v="XX Large"/>
        <s v="XXX Large"/>
        <s v="Mini"/>
        <s v="Medium"/>
        <s v="Extra Large"/>
        <s v="Medium-Large"/>
        <s v="Small"/>
        <s v="Small-Medium"/>
        <s v="Extra Small"/>
      </sharedItems>
    </cacheField>
    <cacheField name="Sales" numFmtId="0">
      <sharedItems containsSemiMixedTypes="0" containsString="0" containsNumber="1" minValue="3.8841000000000001" maxValue="44237.23"/>
    </cacheField>
    <cacheField name="Discount" numFmtId="0">
      <sharedItems containsSemiMixedTypes="0" containsString="0" containsNumber="1" minValue="0" maxValue="0.01" count="2">
        <n v="0"/>
        <n v="0.01"/>
      </sharedItems>
    </cacheField>
    <cacheField name="Discount Amount" numFmtId="0">
      <sharedItems containsSemiMixedTypes="0" containsString="0" containsNumber="1" minValue="0" maxValue="264.30200000000002"/>
    </cacheField>
    <cacheField name="Sales with Discount" numFmtId="0">
      <sharedItems containsSemiMixedTypes="0" containsString="0" containsNumber="1" minValue="3.8841000000000001" maxValue="44237.23"/>
    </cacheField>
    <cacheField name="Shipping Cost" numFmtId="0">
      <sharedItems containsSemiMixedTypes="0" containsString="0" containsNumber="1" minValue="0.5" maxValue="157.4"/>
    </cacheField>
    <cacheField name="Sales with Free Shipping" numFmtId="0">
      <sharedItems containsSemiMixedTypes="0" containsString="0" containsNumber="1" minValue="3.8841000000000001" maxValue="44237.23"/>
    </cacheField>
    <cacheField name="Ship Mode" numFmtId="0">
      <sharedItems count="3">
        <s v="Regular Air"/>
        <s v="Express Air"/>
        <s v="Delivery Truck"/>
      </sharedItems>
    </cacheField>
    <cacheField name="Final Sales" numFmtId="0">
      <sharedItems containsSemiMixedTypes="0" containsString="0" containsNumber="1" minValue="3.8841000000000001" maxValue="44237.23"/>
    </cacheField>
    <cacheField name="Month Year" numFmtId="0">
      <sharedItems/>
    </cacheField>
    <cacheField name="Days (Order Date)" numFmtId="0" databaseField="0">
      <fieldGroup base="1">
        <rangePr groupBy="days" startDate="2019-01-01T00:00:00" endDate="2019-12-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19"/>
        </groupItems>
      </fieldGroup>
    </cacheField>
    <cacheField name="Months (Order Date)" numFmtId="0" databaseField="0">
      <fieldGroup base="1">
        <rangePr groupBy="months" startDate="2019-01-01T00:00:00" endDate="2019-12-31T00:00:00"/>
        <groupItems count="14">
          <s v="&lt;01-01-2019"/>
          <s v="Jan"/>
          <s v="Feb"/>
          <s v="Mar"/>
          <s v="Apr"/>
          <s v="May"/>
          <s v="Jun"/>
          <s v="Jul"/>
          <s v="Aug"/>
          <s v="Sep"/>
          <s v="Oct"/>
          <s v="Nov"/>
          <s v="Dec"/>
          <s v="&gt;31-12-2019"/>
        </groupItems>
      </fieldGroup>
    </cacheField>
    <cacheField name="% Free Shipping Sales" numFmtId="0" formula="'Sales with Free Shipping'/Sales" databaseField="0"/>
  </cacheFields>
  <extLst>
    <ext xmlns:x14="http://schemas.microsoft.com/office/spreadsheetml/2009/9/main" uri="{725AE2AE-9491-48be-B2B4-4EB974FC3084}">
      <x14:pivotCacheDefinition pivotCacheId="1995809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0">
  <r>
    <n v="53635"/>
    <x v="0"/>
    <s v="Not Specified"/>
    <x v="0"/>
    <x v="0"/>
    <x v="0"/>
    <n v="111.1944"/>
    <x v="0"/>
    <n v="0"/>
    <n v="111.1944"/>
    <n v="2.1"/>
    <n v="111.1944"/>
    <x v="0"/>
    <n v="111.1944"/>
    <s v="07-2019"/>
  </r>
  <r>
    <n v="12804"/>
    <x v="1"/>
    <s v="Medium"/>
    <x v="1"/>
    <x v="0"/>
    <x v="0"/>
    <n v="634.41999999999996"/>
    <x v="0"/>
    <n v="0"/>
    <n v="634.41999999999996"/>
    <n v="8.9"/>
    <n v="634.41999999999996"/>
    <x v="1"/>
    <n v="634.41999999999996"/>
    <s v="05-2019"/>
  </r>
  <r>
    <n v="1856"/>
    <x v="2"/>
    <s v="Not Specified"/>
    <x v="2"/>
    <x v="1"/>
    <x v="1"/>
    <n v="4583.0600000000004"/>
    <x v="1"/>
    <n v="45.830600000000004"/>
    <n v="4537.2294000000002"/>
    <n v="9.4"/>
    <n v="4573.6600000000008"/>
    <x v="0"/>
    <n v="4537.2294000000002"/>
    <s v="03-2019"/>
  </r>
  <r>
    <n v="33670"/>
    <x v="3"/>
    <s v="High"/>
    <x v="3"/>
    <x v="2"/>
    <x v="2"/>
    <n v="222.06780000000001"/>
    <x v="1"/>
    <n v="2.2206779999999999"/>
    <n v="219.84712200000001"/>
    <n v="1.3"/>
    <n v="220.76779999999999"/>
    <x v="0"/>
    <n v="219.84712200000001"/>
    <s v="04-2019"/>
  </r>
  <r>
    <n v="24801"/>
    <x v="4"/>
    <s v="High"/>
    <x v="4"/>
    <x v="3"/>
    <x v="3"/>
    <n v="20.23"/>
    <x v="0"/>
    <n v="0"/>
    <n v="20.23"/>
    <n v="7.5"/>
    <n v="20.23"/>
    <x v="0"/>
    <n v="20.23"/>
    <s v="11-2019"/>
  </r>
  <r>
    <n v="18374"/>
    <x v="5"/>
    <s v="Low"/>
    <x v="5"/>
    <x v="4"/>
    <x v="4"/>
    <n v="160.66999999999999"/>
    <x v="0"/>
    <n v="0"/>
    <n v="160.66999999999999"/>
    <n v="5.9"/>
    <n v="160.66999999999999"/>
    <x v="0"/>
    <n v="160.66999999999999"/>
    <s v="09-2019"/>
  </r>
  <r>
    <n v="43493"/>
    <x v="6"/>
    <s v="High"/>
    <x v="6"/>
    <x v="4"/>
    <x v="4"/>
    <n v="163.19999999999999"/>
    <x v="0"/>
    <n v="0"/>
    <n v="163.19999999999999"/>
    <n v="6.4"/>
    <n v="163.19999999999999"/>
    <x v="0"/>
    <n v="163.19999999999999"/>
    <s v="05-2019"/>
  </r>
  <r>
    <n v="10948"/>
    <x v="7"/>
    <s v="Medium"/>
    <x v="3"/>
    <x v="2"/>
    <x v="2"/>
    <n v="206.63"/>
    <x v="1"/>
    <n v="2.0663"/>
    <n v="204.56369999999998"/>
    <n v="7.5"/>
    <n v="199.13"/>
    <x v="0"/>
    <n v="199.13"/>
    <s v="08-2019"/>
  </r>
  <r>
    <n v="49153"/>
    <x v="8"/>
    <s v="Medium"/>
    <x v="7"/>
    <x v="0"/>
    <x v="0"/>
    <n v="2402.98"/>
    <x v="0"/>
    <n v="0"/>
    <n v="2402.98"/>
    <n v="32.1"/>
    <n v="2402.98"/>
    <x v="2"/>
    <n v="2402.98"/>
    <s v="07-2019"/>
  </r>
  <r>
    <n v="56161"/>
    <x v="9"/>
    <s v="High"/>
    <x v="8"/>
    <x v="5"/>
    <x v="5"/>
    <n v="1609.52"/>
    <x v="1"/>
    <n v="16.095199999999998"/>
    <n v="1593.4248"/>
    <n v="11"/>
    <n v="1598.52"/>
    <x v="1"/>
    <n v="1593.4248"/>
    <s v="04-2019"/>
  </r>
  <r>
    <n v="31106"/>
    <x v="10"/>
    <s v="Low"/>
    <x v="9"/>
    <x v="1"/>
    <x v="1"/>
    <n v="277.31"/>
    <x v="1"/>
    <n v="2.7730999999999999"/>
    <n v="274.5369"/>
    <n v="3.9"/>
    <n v="273.41000000000003"/>
    <x v="0"/>
    <n v="273.41000000000003"/>
    <s v="02-2019"/>
  </r>
  <r>
    <n v="8390"/>
    <x v="11"/>
    <s v="Medium"/>
    <x v="10"/>
    <x v="4"/>
    <x v="4"/>
    <n v="765.48"/>
    <x v="0"/>
    <n v="0"/>
    <n v="765.48"/>
    <n v="4.3"/>
    <n v="765.48"/>
    <x v="0"/>
    <n v="765.48"/>
    <s v="04-2019"/>
  </r>
  <r>
    <n v="31042"/>
    <x v="12"/>
    <s v="Medium"/>
    <x v="11"/>
    <x v="6"/>
    <x v="6"/>
    <n v="3453.3"/>
    <x v="0"/>
    <n v="0"/>
    <n v="3453.3"/>
    <n v="32.1"/>
    <n v="3453.3"/>
    <x v="2"/>
    <n v="3453.3"/>
    <s v="11-2019"/>
  </r>
  <r>
    <n v="55623"/>
    <x v="13"/>
    <s v="Critical"/>
    <x v="12"/>
    <x v="2"/>
    <x v="2"/>
    <n v="11073.14"/>
    <x v="1"/>
    <n v="110.73139999999999"/>
    <n v="10962.408599999999"/>
    <n v="34.799999999999997"/>
    <n v="11038.34"/>
    <x v="2"/>
    <n v="10962.408599999999"/>
    <s v="10-2019"/>
  </r>
  <r>
    <n v="23172"/>
    <x v="14"/>
    <s v="Low"/>
    <x v="13"/>
    <x v="7"/>
    <x v="7"/>
    <n v="1275.1500000000001"/>
    <x v="0"/>
    <n v="0"/>
    <n v="1275.1500000000001"/>
    <n v="15"/>
    <n v="1275.1500000000001"/>
    <x v="0"/>
    <n v="1275.1500000000001"/>
    <s v="04-2019"/>
  </r>
  <r>
    <n v="43045"/>
    <x v="15"/>
    <s v="Medium"/>
    <x v="12"/>
    <x v="2"/>
    <x v="2"/>
    <n v="5672.28"/>
    <x v="1"/>
    <n v="56.722799999999999"/>
    <n v="5615.5571999999993"/>
    <n v="10.8"/>
    <n v="5661.48"/>
    <x v="0"/>
    <n v="5615.5571999999993"/>
    <s v="06-2019"/>
  </r>
  <r>
    <n v="17701"/>
    <x v="16"/>
    <s v="Critical"/>
    <x v="5"/>
    <x v="4"/>
    <x v="4"/>
    <n v="86.08"/>
    <x v="0"/>
    <n v="0"/>
    <n v="86.08"/>
    <n v="5"/>
    <n v="86.08"/>
    <x v="0"/>
    <n v="86.08"/>
    <s v="05-2019"/>
  </r>
  <r>
    <n v="44199"/>
    <x v="17"/>
    <s v="Low"/>
    <x v="14"/>
    <x v="7"/>
    <x v="7"/>
    <n v="54.24"/>
    <x v="0"/>
    <n v="0"/>
    <n v="54.24"/>
    <n v="2.1"/>
    <n v="54.24"/>
    <x v="0"/>
    <n v="54.24"/>
    <s v="03-2019"/>
  </r>
  <r>
    <n v="43907"/>
    <x v="0"/>
    <s v="Critical"/>
    <x v="15"/>
    <x v="1"/>
    <x v="1"/>
    <n v="1490.26"/>
    <x v="1"/>
    <n v="14.9026"/>
    <n v="1475.3573999999999"/>
    <n v="48.7"/>
    <n v="1441.56"/>
    <x v="2"/>
    <n v="1441.56"/>
    <s v="07-2019"/>
  </r>
  <r>
    <n v="36390"/>
    <x v="18"/>
    <s v="High"/>
    <x v="4"/>
    <x v="3"/>
    <x v="3"/>
    <n v="352.7"/>
    <x v="0"/>
    <n v="0"/>
    <n v="352.7"/>
    <n v="9.6"/>
    <n v="352.7"/>
    <x v="0"/>
    <n v="352.7"/>
    <s v="10-2019"/>
  </r>
  <r>
    <n v="20096"/>
    <x v="19"/>
    <s v="Low"/>
    <x v="16"/>
    <x v="0"/>
    <x v="0"/>
    <n v="6544.24"/>
    <x v="0"/>
    <n v="0"/>
    <n v="6544.24"/>
    <n v="31.3"/>
    <n v="6544.24"/>
    <x v="2"/>
    <n v="6544.24"/>
    <s v="08-2019"/>
  </r>
  <r>
    <n v="46337"/>
    <x v="3"/>
    <s v="Low"/>
    <x v="1"/>
    <x v="0"/>
    <x v="0"/>
    <n v="65.75"/>
    <x v="0"/>
    <n v="0"/>
    <n v="65.75"/>
    <n v="0.7"/>
    <n v="65.75"/>
    <x v="0"/>
    <n v="65.75"/>
    <s v="04-2019"/>
  </r>
  <r>
    <n v="24643"/>
    <x v="20"/>
    <s v="Medium"/>
    <x v="17"/>
    <x v="6"/>
    <x v="6"/>
    <n v="2533.94"/>
    <x v="0"/>
    <n v="0"/>
    <n v="2533.94"/>
    <n v="1.3"/>
    <n v="2533.94"/>
    <x v="0"/>
    <n v="2533.94"/>
    <s v="04-2019"/>
  </r>
  <r>
    <n v="2240"/>
    <x v="21"/>
    <s v="Not Specified"/>
    <x v="18"/>
    <x v="3"/>
    <x v="3"/>
    <n v="152.41"/>
    <x v="0"/>
    <n v="0"/>
    <n v="152.41"/>
    <n v="6.6"/>
    <n v="152.41"/>
    <x v="0"/>
    <n v="152.41"/>
    <s v="03-2019"/>
  </r>
  <r>
    <n v="26274"/>
    <x v="22"/>
    <s v="Not Specified"/>
    <x v="19"/>
    <x v="1"/>
    <x v="1"/>
    <n v="404.28"/>
    <x v="1"/>
    <n v="4.0427999999999997"/>
    <n v="400.23719999999997"/>
    <n v="2.2999999999999998"/>
    <n v="401.97999999999996"/>
    <x v="0"/>
    <n v="400.23719999999997"/>
    <s v="06-2019"/>
  </r>
  <r>
    <n v="44869"/>
    <x v="23"/>
    <s v="Medium"/>
    <x v="20"/>
    <x v="1"/>
    <x v="1"/>
    <n v="303"/>
    <x v="1"/>
    <n v="3.0300000000000002"/>
    <n v="299.96999999999997"/>
    <n v="8"/>
    <n v="295"/>
    <x v="0"/>
    <n v="295"/>
    <s v="08-2019"/>
  </r>
  <r>
    <n v="49029"/>
    <x v="24"/>
    <s v="High"/>
    <x v="21"/>
    <x v="2"/>
    <x v="2"/>
    <n v="8798.68"/>
    <x v="1"/>
    <n v="87.986800000000002"/>
    <n v="8710.6931999999997"/>
    <n v="4.3"/>
    <n v="8794.380000000001"/>
    <x v="1"/>
    <n v="8710.6931999999997"/>
    <s v="05-2019"/>
  </r>
  <r>
    <n v="38656"/>
    <x v="25"/>
    <s v="Low"/>
    <x v="13"/>
    <x v="7"/>
    <x v="7"/>
    <n v="68.97"/>
    <x v="0"/>
    <n v="0"/>
    <n v="68.97"/>
    <n v="0.5"/>
    <n v="68.97"/>
    <x v="0"/>
    <n v="68.97"/>
    <s v="08-2019"/>
  </r>
  <r>
    <n v="45571"/>
    <x v="26"/>
    <s v="Medium"/>
    <x v="12"/>
    <x v="2"/>
    <x v="2"/>
    <n v="6393.3"/>
    <x v="1"/>
    <n v="63.933"/>
    <n v="6329.3670000000002"/>
    <n v="9.6"/>
    <n v="6383.7"/>
    <x v="0"/>
    <n v="6329.3670000000002"/>
    <s v="09-2019"/>
  </r>
  <r>
    <n v="44422"/>
    <x v="27"/>
    <s v="Medium"/>
    <x v="22"/>
    <x v="7"/>
    <x v="7"/>
    <n v="215.71"/>
    <x v="0"/>
    <n v="0"/>
    <n v="215.71"/>
    <n v="1.1000000000000001"/>
    <n v="215.71"/>
    <x v="0"/>
    <n v="215.71"/>
    <s v="04-2019"/>
  </r>
  <r>
    <n v="33186"/>
    <x v="28"/>
    <s v="Low"/>
    <x v="10"/>
    <x v="4"/>
    <x v="4"/>
    <n v="1445.07"/>
    <x v="0"/>
    <n v="0"/>
    <n v="1445.07"/>
    <n v="5.6"/>
    <n v="1445.07"/>
    <x v="0"/>
    <n v="1445.07"/>
    <s v="08-2019"/>
  </r>
  <r>
    <n v="10439"/>
    <x v="29"/>
    <s v="Not Specified"/>
    <x v="17"/>
    <x v="6"/>
    <x v="6"/>
    <n v="609.48270000000002"/>
    <x v="0"/>
    <n v="0"/>
    <n v="609.48270000000002"/>
    <n v="4.3"/>
    <n v="609.48270000000002"/>
    <x v="0"/>
    <n v="609.48270000000002"/>
    <s v="03-2019"/>
  </r>
  <r>
    <n v="30913"/>
    <x v="30"/>
    <s v="Medium"/>
    <x v="10"/>
    <x v="4"/>
    <x v="4"/>
    <n v="531.38"/>
    <x v="0"/>
    <n v="0"/>
    <n v="531.38"/>
    <n v="11.2"/>
    <n v="531.38"/>
    <x v="1"/>
    <n v="531.38"/>
    <s v="09-2019"/>
  </r>
  <r>
    <n v="7427"/>
    <x v="31"/>
    <s v="Not Specified"/>
    <x v="12"/>
    <x v="2"/>
    <x v="2"/>
    <n v="17122.45"/>
    <x v="1"/>
    <n v="171.22450000000001"/>
    <n v="16951.2255"/>
    <n v="21.4"/>
    <n v="17101.05"/>
    <x v="0"/>
    <n v="16951.2255"/>
    <s v="12-2019"/>
  </r>
  <r>
    <n v="53795"/>
    <x v="32"/>
    <s v="High"/>
    <x v="5"/>
    <x v="4"/>
    <x v="4"/>
    <n v="3591.7064999999998"/>
    <x v="0"/>
    <n v="0"/>
    <n v="3591.7064999999998"/>
    <n v="4.5"/>
    <n v="3591.7064999999998"/>
    <x v="0"/>
    <n v="3591.7064999999998"/>
    <s v="01-2019"/>
  </r>
  <r>
    <n v="42886"/>
    <x v="33"/>
    <s v="Medium"/>
    <x v="15"/>
    <x v="1"/>
    <x v="1"/>
    <n v="173.94990000000001"/>
    <x v="1"/>
    <n v="1.7394990000000001"/>
    <n v="172.21040100000002"/>
    <n v="0.5"/>
    <n v="173.44990000000001"/>
    <x v="0"/>
    <n v="172.21040100000002"/>
    <s v="01-2019"/>
  </r>
  <r>
    <n v="48706"/>
    <x v="34"/>
    <s v="Low"/>
    <x v="23"/>
    <x v="6"/>
    <x v="6"/>
    <n v="33.380000000000003"/>
    <x v="0"/>
    <n v="0"/>
    <n v="33.380000000000003"/>
    <n v="0.7"/>
    <n v="33.380000000000003"/>
    <x v="0"/>
    <n v="33.380000000000003"/>
    <s v="10-2019"/>
  </r>
  <r>
    <n v="20292"/>
    <x v="35"/>
    <s v="Medium"/>
    <x v="11"/>
    <x v="6"/>
    <x v="6"/>
    <n v="484.06"/>
    <x v="0"/>
    <n v="0"/>
    <n v="484.06"/>
    <n v="8.6999999999999993"/>
    <n v="484.06"/>
    <x v="0"/>
    <n v="484.06"/>
    <s v="11-2019"/>
  </r>
  <r>
    <n v="59909"/>
    <x v="36"/>
    <s v="Low"/>
    <x v="22"/>
    <x v="7"/>
    <x v="7"/>
    <n v="1343.36"/>
    <x v="0"/>
    <n v="0"/>
    <n v="1343.36"/>
    <n v="60.1"/>
    <n v="1343.36"/>
    <x v="2"/>
    <n v="1343.36"/>
    <s v="08-2019"/>
  </r>
  <r>
    <n v="11875"/>
    <x v="37"/>
    <s v="Medium"/>
    <x v="24"/>
    <x v="8"/>
    <x v="8"/>
    <n v="259.61"/>
    <x v="0"/>
    <n v="0"/>
    <n v="259.61"/>
    <n v="6.7"/>
    <n v="259.61"/>
    <x v="0"/>
    <n v="259.61"/>
    <s v="08-2019"/>
  </r>
  <r>
    <n v="25442"/>
    <x v="38"/>
    <s v="High"/>
    <x v="25"/>
    <x v="0"/>
    <x v="0"/>
    <n v="1782.62"/>
    <x v="0"/>
    <n v="0"/>
    <n v="1782.62"/>
    <n v="5.2"/>
    <n v="1782.62"/>
    <x v="0"/>
    <n v="1782.62"/>
    <s v="01-2019"/>
  </r>
  <r>
    <n v="48322"/>
    <x v="17"/>
    <s v="Medium"/>
    <x v="26"/>
    <x v="7"/>
    <x v="7"/>
    <n v="44.27"/>
    <x v="0"/>
    <n v="0"/>
    <n v="44.27"/>
    <n v="0.7"/>
    <n v="44.27"/>
    <x v="0"/>
    <n v="44.27"/>
    <s v="03-2019"/>
  </r>
  <r>
    <n v="7107"/>
    <x v="39"/>
    <s v="Not Specified"/>
    <x v="4"/>
    <x v="3"/>
    <x v="3"/>
    <n v="184.08"/>
    <x v="0"/>
    <n v="0"/>
    <n v="184.08"/>
    <n v="11.9"/>
    <n v="184.08"/>
    <x v="0"/>
    <n v="184.08"/>
    <s v="01-2019"/>
  </r>
  <r>
    <n v="28929"/>
    <x v="40"/>
    <s v="Medium"/>
    <x v="27"/>
    <x v="2"/>
    <x v="2"/>
    <n v="773.79"/>
    <x v="1"/>
    <n v="7.7378999999999998"/>
    <n v="766.0521"/>
    <n v="13.3"/>
    <n v="760.49"/>
    <x v="0"/>
    <n v="760.49"/>
    <s v="10-2019"/>
  </r>
  <r>
    <n v="55073"/>
    <x v="41"/>
    <s v="Low"/>
    <x v="28"/>
    <x v="5"/>
    <x v="5"/>
    <n v="2543.0801999999999"/>
    <x v="1"/>
    <n v="25.430802"/>
    <n v="2517.649398"/>
    <n v="4.3"/>
    <n v="2538.7801999999997"/>
    <x v="0"/>
    <n v="2517.649398"/>
    <s v="03-2019"/>
  </r>
  <r>
    <n v="40193"/>
    <x v="42"/>
    <s v="High"/>
    <x v="1"/>
    <x v="0"/>
    <x v="0"/>
    <n v="3349.32"/>
    <x v="0"/>
    <n v="0"/>
    <n v="3349.32"/>
    <n v="2.7"/>
    <n v="3349.32"/>
    <x v="1"/>
    <n v="3349.32"/>
    <s v="09-2019"/>
  </r>
  <r>
    <n v="56384"/>
    <x v="43"/>
    <s v="Critical"/>
    <x v="12"/>
    <x v="2"/>
    <x v="2"/>
    <n v="275.2"/>
    <x v="1"/>
    <n v="2.7519999999999998"/>
    <n v="272.44799999999998"/>
    <n v="52.4"/>
    <n v="222.79999999999998"/>
    <x v="0"/>
    <n v="222.79999999999998"/>
    <s v="07-2019"/>
  </r>
  <r>
    <n v="16005"/>
    <x v="44"/>
    <s v="Not Specified"/>
    <x v="29"/>
    <x v="9"/>
    <x v="9"/>
    <n v="54.6"/>
    <x v="0"/>
    <n v="0"/>
    <n v="54.6"/>
    <n v="5.9"/>
    <n v="54.6"/>
    <x v="0"/>
    <n v="54.6"/>
    <s v="12-2019"/>
  </r>
  <r>
    <n v="53600"/>
    <x v="45"/>
    <s v="Medium"/>
    <x v="30"/>
    <x v="9"/>
    <x v="9"/>
    <n v="59.48"/>
    <x v="0"/>
    <n v="0"/>
    <n v="59.48"/>
    <n v="6.1"/>
    <n v="59.48"/>
    <x v="1"/>
    <n v="59.48"/>
    <s v="07-2019"/>
  </r>
  <r>
    <n v="50370"/>
    <x v="46"/>
    <s v="Critical"/>
    <x v="31"/>
    <x v="4"/>
    <x v="4"/>
    <n v="130.59"/>
    <x v="0"/>
    <n v="0"/>
    <n v="130.59"/>
    <n v="5.8"/>
    <n v="130.59"/>
    <x v="1"/>
    <n v="130.59"/>
    <s v="11-2019"/>
  </r>
  <r>
    <n v="46979"/>
    <x v="47"/>
    <s v="Low"/>
    <x v="11"/>
    <x v="6"/>
    <x v="6"/>
    <n v="145.38999999999999"/>
    <x v="0"/>
    <n v="0"/>
    <n v="145.38999999999999"/>
    <n v="5.9"/>
    <n v="145.38999999999999"/>
    <x v="0"/>
    <n v="145.38999999999999"/>
    <s v="07-2019"/>
  </r>
  <r>
    <n v="29376"/>
    <x v="48"/>
    <s v="Critical"/>
    <x v="32"/>
    <x v="8"/>
    <x v="8"/>
    <n v="3049.83"/>
    <x v="0"/>
    <n v="0"/>
    <n v="3049.83"/>
    <n v="7.6"/>
    <n v="3049.83"/>
    <x v="0"/>
    <n v="3049.83"/>
    <s v="08-2019"/>
  </r>
  <r>
    <n v="56930"/>
    <x v="49"/>
    <s v="Low"/>
    <x v="12"/>
    <x v="2"/>
    <x v="2"/>
    <n v="244.29"/>
    <x v="1"/>
    <n v="2.4428999999999998"/>
    <n v="241.84709999999998"/>
    <n v="0.7"/>
    <n v="243.59"/>
    <x v="0"/>
    <n v="241.84709999999998"/>
    <s v="08-2019"/>
  </r>
  <r>
    <n v="50532"/>
    <x v="50"/>
    <s v="Medium"/>
    <x v="6"/>
    <x v="4"/>
    <x v="4"/>
    <n v="88.79"/>
    <x v="0"/>
    <n v="0"/>
    <n v="88.79"/>
    <n v="1.4"/>
    <n v="88.79"/>
    <x v="0"/>
    <n v="88.79"/>
    <s v="08-2019"/>
  </r>
  <r>
    <n v="9505"/>
    <x v="51"/>
    <s v="High"/>
    <x v="33"/>
    <x v="3"/>
    <x v="3"/>
    <n v="338.68"/>
    <x v="0"/>
    <n v="0"/>
    <n v="338.68"/>
    <n v="4.3"/>
    <n v="338.68"/>
    <x v="0"/>
    <n v="338.68"/>
    <s v="06-2019"/>
  </r>
  <r>
    <n v="35492"/>
    <x v="52"/>
    <s v="Medium"/>
    <x v="34"/>
    <x v="5"/>
    <x v="5"/>
    <n v="487.85"/>
    <x v="1"/>
    <n v="4.8785000000000007"/>
    <n v="482.97149999999999"/>
    <n v="5.3"/>
    <n v="482.55"/>
    <x v="1"/>
    <n v="482.55"/>
    <s v="02-2019"/>
  </r>
  <r>
    <n v="7267"/>
    <x v="28"/>
    <s v="High"/>
    <x v="24"/>
    <x v="8"/>
    <x v="8"/>
    <n v="280.68"/>
    <x v="0"/>
    <n v="0"/>
    <n v="280.68"/>
    <n v="6.9"/>
    <n v="280.68"/>
    <x v="0"/>
    <n v="280.68"/>
    <s v="08-2019"/>
  </r>
  <r>
    <n v="11362"/>
    <x v="53"/>
    <s v="Low"/>
    <x v="35"/>
    <x v="9"/>
    <x v="9"/>
    <n v="6870.3308999999999"/>
    <x v="0"/>
    <n v="0"/>
    <n v="6870.3308999999999"/>
    <n v="26.2"/>
    <n v="6870.3308999999999"/>
    <x v="0"/>
    <n v="6870.3308999999999"/>
    <s v="09-2019"/>
  </r>
  <r>
    <n v="47041"/>
    <x v="54"/>
    <s v="Not Specified"/>
    <x v="16"/>
    <x v="0"/>
    <x v="0"/>
    <n v="164.78"/>
    <x v="0"/>
    <n v="0"/>
    <n v="164.78"/>
    <n v="2.1"/>
    <n v="164.78"/>
    <x v="0"/>
    <n v="164.78"/>
    <s v="04-2019"/>
  </r>
  <r>
    <n v="1154"/>
    <x v="55"/>
    <s v="Critical"/>
    <x v="22"/>
    <x v="7"/>
    <x v="7"/>
    <n v="710.25"/>
    <x v="0"/>
    <n v="0"/>
    <n v="710.25"/>
    <n v="73.8"/>
    <n v="710.25"/>
    <x v="0"/>
    <n v="710.25"/>
    <s v="02-2019"/>
  </r>
  <r>
    <n v="29985"/>
    <x v="56"/>
    <s v="Critical"/>
    <x v="33"/>
    <x v="3"/>
    <x v="3"/>
    <n v="26.23"/>
    <x v="0"/>
    <n v="0"/>
    <n v="26.23"/>
    <n v="9.6"/>
    <n v="26.23"/>
    <x v="0"/>
    <n v="26.23"/>
    <s v="07-2019"/>
  </r>
  <r>
    <n v="24263"/>
    <x v="57"/>
    <s v="Low"/>
    <x v="36"/>
    <x v="8"/>
    <x v="8"/>
    <n v="548.71"/>
    <x v="0"/>
    <n v="0"/>
    <n v="548.71"/>
    <n v="20.5"/>
    <n v="548.71"/>
    <x v="2"/>
    <n v="548.71"/>
    <s v="09-2019"/>
  </r>
  <r>
    <n v="23428"/>
    <x v="58"/>
    <s v="High"/>
    <x v="19"/>
    <x v="1"/>
    <x v="1"/>
    <n v="1049.6199999999999"/>
    <x v="1"/>
    <n v="10.4962"/>
    <n v="1039.1237999999998"/>
    <n v="8.8000000000000007"/>
    <n v="1040.82"/>
    <x v="0"/>
    <n v="1039.1237999999998"/>
    <s v="10-2019"/>
  </r>
  <r>
    <n v="22272"/>
    <x v="59"/>
    <s v="High"/>
    <x v="17"/>
    <x v="6"/>
    <x v="6"/>
    <n v="1108.47"/>
    <x v="0"/>
    <n v="0"/>
    <n v="1108.47"/>
    <n v="2.1"/>
    <n v="1108.47"/>
    <x v="0"/>
    <n v="1108.47"/>
    <s v="05-2019"/>
  </r>
  <r>
    <n v="18464"/>
    <x v="29"/>
    <s v="High"/>
    <x v="37"/>
    <x v="5"/>
    <x v="5"/>
    <n v="6461.84"/>
    <x v="1"/>
    <n v="64.618400000000008"/>
    <n v="6397.2215999999999"/>
    <n v="70.900000000000006"/>
    <n v="6390.9400000000005"/>
    <x v="2"/>
    <n v="6390.9400000000005"/>
    <s v="03-2019"/>
  </r>
  <r>
    <n v="55938"/>
    <x v="60"/>
    <s v="Not Specified"/>
    <x v="38"/>
    <x v="8"/>
    <x v="8"/>
    <n v="1893.79"/>
    <x v="0"/>
    <n v="0"/>
    <n v="1893.79"/>
    <n v="37.5"/>
    <n v="1893.79"/>
    <x v="1"/>
    <n v="1893.79"/>
    <s v="07-2019"/>
  </r>
  <r>
    <n v="28485"/>
    <x v="61"/>
    <s v="High"/>
    <x v="14"/>
    <x v="7"/>
    <x v="7"/>
    <n v="52.622599999999998"/>
    <x v="0"/>
    <n v="0"/>
    <n v="52.622599999999998"/>
    <n v="1"/>
    <n v="52.622599999999998"/>
    <x v="0"/>
    <n v="52.622599999999998"/>
    <s v="01-2019"/>
  </r>
  <r>
    <n v="17187"/>
    <x v="26"/>
    <s v="High"/>
    <x v="39"/>
    <x v="3"/>
    <x v="3"/>
    <n v="3158.61"/>
    <x v="0"/>
    <n v="0"/>
    <n v="3158.61"/>
    <n v="17.2"/>
    <n v="3158.61"/>
    <x v="2"/>
    <n v="3158.61"/>
    <s v="09-2019"/>
  </r>
  <r>
    <n v="13923"/>
    <x v="62"/>
    <s v="High"/>
    <x v="40"/>
    <x v="6"/>
    <x v="6"/>
    <n v="6583.5"/>
    <x v="0"/>
    <n v="0"/>
    <n v="6583.5"/>
    <n v="30.7"/>
    <n v="6583.5"/>
    <x v="2"/>
    <n v="6583.5"/>
    <s v="07-2019"/>
  </r>
  <r>
    <n v="16359"/>
    <x v="63"/>
    <s v="Critical"/>
    <x v="41"/>
    <x v="5"/>
    <x v="5"/>
    <n v="1437.65"/>
    <x v="1"/>
    <n v="14.376500000000002"/>
    <n v="1423.2735"/>
    <n v="15.8"/>
    <n v="1421.8500000000001"/>
    <x v="0"/>
    <n v="1421.8500000000001"/>
    <s v="05-2019"/>
  </r>
  <r>
    <n v="43906"/>
    <x v="64"/>
    <s v="High"/>
    <x v="3"/>
    <x v="2"/>
    <x v="2"/>
    <n v="3853.1448999999998"/>
    <x v="1"/>
    <n v="38.531449000000002"/>
    <n v="3814.6134509999997"/>
    <n v="15.5"/>
    <n v="3837.6448999999998"/>
    <x v="0"/>
    <n v="3814.6134509999997"/>
    <s v="02-2019"/>
  </r>
  <r>
    <n v="1345"/>
    <x v="65"/>
    <s v="Low"/>
    <x v="10"/>
    <x v="4"/>
    <x v="4"/>
    <n v="2614.92"/>
    <x v="0"/>
    <n v="0"/>
    <n v="2614.92"/>
    <n v="38.299999999999997"/>
    <n v="2614.92"/>
    <x v="2"/>
    <n v="2614.92"/>
    <s v="10-2019"/>
  </r>
  <r>
    <n v="11776"/>
    <x v="66"/>
    <s v="Low"/>
    <x v="28"/>
    <x v="5"/>
    <x v="5"/>
    <n v="61.25"/>
    <x v="1"/>
    <n v="0.61250000000000004"/>
    <n v="60.637500000000003"/>
    <n v="0.7"/>
    <n v="60.55"/>
    <x v="1"/>
    <n v="60.55"/>
    <s v="02-2019"/>
  </r>
  <r>
    <n v="17953"/>
    <x v="37"/>
    <s v="High"/>
    <x v="17"/>
    <x v="6"/>
    <x v="6"/>
    <n v="1043.3800000000001"/>
    <x v="0"/>
    <n v="0"/>
    <n v="1043.3800000000001"/>
    <n v="20.9"/>
    <n v="1043.3800000000001"/>
    <x v="0"/>
    <n v="1043.3800000000001"/>
    <s v="08-2019"/>
  </r>
  <r>
    <n v="59204"/>
    <x v="67"/>
    <s v="Medium"/>
    <x v="29"/>
    <x v="9"/>
    <x v="9"/>
    <n v="269.2"/>
    <x v="0"/>
    <n v="0"/>
    <n v="269.2"/>
    <n v="5.4"/>
    <n v="269.2"/>
    <x v="0"/>
    <n v="269.2"/>
    <s v="02-2019"/>
  </r>
  <r>
    <n v="58658"/>
    <x v="68"/>
    <s v="Medium"/>
    <x v="19"/>
    <x v="1"/>
    <x v="1"/>
    <n v="981.46"/>
    <x v="1"/>
    <n v="9.8146000000000004"/>
    <n v="971.6454"/>
    <n v="7"/>
    <n v="974.46"/>
    <x v="0"/>
    <n v="971.6454"/>
    <s v="06-2019"/>
  </r>
  <r>
    <n v="26084"/>
    <x v="69"/>
    <s v="Low"/>
    <x v="0"/>
    <x v="0"/>
    <x v="0"/>
    <n v="244.84"/>
    <x v="0"/>
    <n v="0"/>
    <n v="244.84"/>
    <n v="7.8"/>
    <n v="244.84"/>
    <x v="1"/>
    <n v="244.84"/>
    <s v="10-2019"/>
  </r>
  <r>
    <n v="57157"/>
    <x v="70"/>
    <s v="Critical"/>
    <x v="38"/>
    <x v="8"/>
    <x v="8"/>
    <n v="217.82"/>
    <x v="0"/>
    <n v="0"/>
    <n v="217.82"/>
    <n v="4.3"/>
    <n v="217.82"/>
    <x v="0"/>
    <n v="217.82"/>
    <s v="02-2019"/>
  </r>
  <r>
    <n v="51747"/>
    <x v="71"/>
    <s v="Medium"/>
    <x v="4"/>
    <x v="3"/>
    <x v="3"/>
    <n v="12.96"/>
    <x v="0"/>
    <n v="0"/>
    <n v="12.96"/>
    <n v="0.5"/>
    <n v="12.96"/>
    <x v="0"/>
    <n v="12.96"/>
    <s v="07-2019"/>
  </r>
  <r>
    <n v="56644"/>
    <x v="72"/>
    <s v="Not Specified"/>
    <x v="34"/>
    <x v="5"/>
    <x v="5"/>
    <n v="87.84"/>
    <x v="1"/>
    <n v="0.87840000000000007"/>
    <n v="86.961600000000004"/>
    <n v="1.1000000000000001"/>
    <n v="86.740000000000009"/>
    <x v="0"/>
    <n v="86.740000000000009"/>
    <s v="11-2019"/>
  </r>
  <r>
    <n v="10982"/>
    <x v="73"/>
    <s v="Not Specified"/>
    <x v="26"/>
    <x v="7"/>
    <x v="7"/>
    <n v="22.416499999999999"/>
    <x v="0"/>
    <n v="0"/>
    <n v="22.416499999999999"/>
    <n v="0.7"/>
    <n v="22.416499999999999"/>
    <x v="1"/>
    <n v="22.416499999999999"/>
    <s v="12-2019"/>
  </r>
  <r>
    <n v="42887"/>
    <x v="74"/>
    <s v="Medium"/>
    <x v="22"/>
    <x v="7"/>
    <x v="7"/>
    <n v="251.19"/>
    <x v="0"/>
    <n v="0"/>
    <n v="251.19"/>
    <n v="9.6"/>
    <n v="251.19"/>
    <x v="0"/>
    <n v="251.19"/>
    <s v="06-2019"/>
  </r>
  <r>
    <n v="51175"/>
    <x v="50"/>
    <s v="High"/>
    <x v="23"/>
    <x v="6"/>
    <x v="6"/>
    <n v="1214.71"/>
    <x v="0"/>
    <n v="0"/>
    <n v="1214.71"/>
    <n v="4.8"/>
    <n v="1214.71"/>
    <x v="0"/>
    <n v="1214.71"/>
    <s v="08-2019"/>
  </r>
  <r>
    <n v="9024"/>
    <x v="75"/>
    <s v="Medium"/>
    <x v="17"/>
    <x v="6"/>
    <x v="6"/>
    <n v="1215.9908"/>
    <x v="0"/>
    <n v="0"/>
    <n v="1215.9908"/>
    <n v="7"/>
    <n v="1215.9908"/>
    <x v="0"/>
    <n v="1215.9908"/>
    <s v="06-2019"/>
  </r>
  <r>
    <n v="26756"/>
    <x v="6"/>
    <s v="Medium"/>
    <x v="28"/>
    <x v="5"/>
    <x v="5"/>
    <n v="271.66000000000003"/>
    <x v="1"/>
    <n v="2.7166000000000001"/>
    <n v="268.9434"/>
    <n v="6.7"/>
    <n v="264.96000000000004"/>
    <x v="0"/>
    <n v="264.96000000000004"/>
    <s v="05-2019"/>
  </r>
  <r>
    <n v="25478"/>
    <x v="14"/>
    <s v="Critical"/>
    <x v="12"/>
    <x v="2"/>
    <x v="2"/>
    <n v="5055.8500000000004"/>
    <x v="1"/>
    <n v="50.558500000000002"/>
    <n v="5005.2915000000003"/>
    <n v="2.7"/>
    <n v="5053.1500000000005"/>
    <x v="0"/>
    <n v="5005.2915000000003"/>
    <s v="04-2019"/>
  </r>
  <r>
    <n v="26310"/>
    <x v="76"/>
    <s v="Not Specified"/>
    <x v="18"/>
    <x v="3"/>
    <x v="3"/>
    <n v="82.83"/>
    <x v="0"/>
    <n v="0"/>
    <n v="82.83"/>
    <n v="1.5"/>
    <n v="82.83"/>
    <x v="0"/>
    <n v="82.83"/>
    <s v="07-2019"/>
  </r>
  <r>
    <n v="20933"/>
    <x v="77"/>
    <s v="High"/>
    <x v="9"/>
    <x v="1"/>
    <x v="1"/>
    <n v="2225.04"/>
    <x v="1"/>
    <n v="22.250399999999999"/>
    <n v="2202.7896000000001"/>
    <n v="5.4"/>
    <n v="2219.64"/>
    <x v="0"/>
    <n v="2202.7896000000001"/>
    <s v="08-2019"/>
  </r>
  <r>
    <n v="29761"/>
    <x v="78"/>
    <s v="Medium"/>
    <x v="15"/>
    <x v="1"/>
    <x v="1"/>
    <n v="1161.3800000000001"/>
    <x v="1"/>
    <n v="11.613800000000001"/>
    <n v="1149.7662"/>
    <n v="5.7"/>
    <n v="1155.68"/>
    <x v="0"/>
    <n v="1149.7662"/>
    <s v="07-2019"/>
  </r>
  <r>
    <n v="33570"/>
    <x v="79"/>
    <s v="Not Specified"/>
    <x v="27"/>
    <x v="2"/>
    <x v="2"/>
    <n v="284.49"/>
    <x v="1"/>
    <n v="2.8449"/>
    <n v="281.64510000000001"/>
    <n v="5.4"/>
    <n v="279.09000000000003"/>
    <x v="0"/>
    <n v="279.09000000000003"/>
    <s v="12-2019"/>
  </r>
  <r>
    <n v="34822"/>
    <x v="45"/>
    <s v="Not Specified"/>
    <x v="42"/>
    <x v="4"/>
    <x v="4"/>
    <n v="1059.8399999999999"/>
    <x v="0"/>
    <n v="0"/>
    <n v="1059.8399999999999"/>
    <n v="2.1"/>
    <n v="1059.8399999999999"/>
    <x v="0"/>
    <n v="1059.8399999999999"/>
    <s v="07-2019"/>
  </r>
  <r>
    <n v="9505"/>
    <x v="51"/>
    <s v="High"/>
    <x v="18"/>
    <x v="3"/>
    <x v="3"/>
    <n v="166.27"/>
    <x v="0"/>
    <n v="0"/>
    <n v="166.27"/>
    <n v="5.9"/>
    <n v="166.27"/>
    <x v="0"/>
    <n v="166.27"/>
    <s v="06-2019"/>
  </r>
  <r>
    <n v="54339"/>
    <x v="80"/>
    <s v="Low"/>
    <x v="19"/>
    <x v="1"/>
    <x v="1"/>
    <n v="2364.1815999999999"/>
    <x v="1"/>
    <n v="23.641815999999999"/>
    <n v="2340.5397840000001"/>
    <n v="5.7"/>
    <n v="2358.4816000000001"/>
    <x v="0"/>
    <n v="2340.5397840000001"/>
    <s v="05-2019"/>
  </r>
  <r>
    <n v="50433"/>
    <x v="81"/>
    <s v="Critical"/>
    <x v="3"/>
    <x v="2"/>
    <x v="2"/>
    <n v="7092.55"/>
    <x v="1"/>
    <n v="70.9255"/>
    <n v="7021.6244999999999"/>
    <n v="19.100000000000001"/>
    <n v="7073.45"/>
    <x v="2"/>
    <n v="7021.6244999999999"/>
    <s v="01-2019"/>
  </r>
  <r>
    <n v="48902"/>
    <x v="82"/>
    <s v="Medium"/>
    <x v="29"/>
    <x v="9"/>
    <x v="9"/>
    <n v="57.02"/>
    <x v="0"/>
    <n v="0"/>
    <n v="57.02"/>
    <n v="8"/>
    <n v="57.02"/>
    <x v="0"/>
    <n v="57.02"/>
    <s v="10-2019"/>
  </r>
  <r>
    <n v="13284"/>
    <x v="83"/>
    <s v="High"/>
    <x v="21"/>
    <x v="2"/>
    <x v="2"/>
    <n v="1778.95"/>
    <x v="1"/>
    <n v="17.7895"/>
    <n v="1761.1605"/>
    <n v="3.2"/>
    <n v="1775.75"/>
    <x v="0"/>
    <n v="1761.1605"/>
    <s v="08-2019"/>
  </r>
  <r>
    <n v="42243"/>
    <x v="84"/>
    <s v="Medium"/>
    <x v="15"/>
    <x v="1"/>
    <x v="1"/>
    <n v="2007.42"/>
    <x v="1"/>
    <n v="20.074200000000001"/>
    <n v="1987.3458000000001"/>
    <n v="3.2"/>
    <n v="2004.22"/>
    <x v="0"/>
    <n v="1987.3458000000001"/>
    <s v="03-2019"/>
  </r>
  <r>
    <n v="44839"/>
    <x v="68"/>
    <s v="Critical"/>
    <x v="40"/>
    <x v="6"/>
    <x v="6"/>
    <n v="962.97"/>
    <x v="0"/>
    <n v="0"/>
    <n v="962.97"/>
    <n v="21.4"/>
    <n v="962.97"/>
    <x v="1"/>
    <n v="962.97"/>
    <s v="06-2019"/>
  </r>
  <r>
    <n v="59586"/>
    <x v="85"/>
    <s v="Low"/>
    <x v="31"/>
    <x v="4"/>
    <x v="4"/>
    <n v="178.94"/>
    <x v="0"/>
    <n v="0"/>
    <n v="178.94"/>
    <n v="5.8"/>
    <n v="178.94"/>
    <x v="0"/>
    <n v="178.94"/>
    <s v="03-2019"/>
  </r>
  <r>
    <n v="30720"/>
    <x v="86"/>
    <s v="Low"/>
    <x v="37"/>
    <x v="5"/>
    <x v="5"/>
    <n v="1820.64"/>
    <x v="1"/>
    <n v="18.206400000000002"/>
    <n v="1802.4336000000001"/>
    <n v="2.1"/>
    <n v="1818.5400000000002"/>
    <x v="1"/>
    <n v="1802.4336000000001"/>
    <s v="09-2019"/>
  </r>
  <r>
    <n v="32804"/>
    <x v="87"/>
    <s v="Medium"/>
    <x v="32"/>
    <x v="8"/>
    <x v="8"/>
    <n v="95.78"/>
    <x v="0"/>
    <n v="0"/>
    <n v="95.78"/>
    <n v="5.6"/>
    <n v="95.78"/>
    <x v="0"/>
    <n v="95.78"/>
    <s v="09-2019"/>
  </r>
  <r>
    <n v="53216"/>
    <x v="88"/>
    <s v="High"/>
    <x v="34"/>
    <x v="5"/>
    <x v="5"/>
    <n v="243.97069999999999"/>
    <x v="1"/>
    <n v="2.4397069999999998"/>
    <n v="241.530993"/>
    <n v="9.3000000000000007"/>
    <n v="234.67069999999998"/>
    <x v="0"/>
    <n v="234.67069999999998"/>
    <s v="12-2019"/>
  </r>
  <r>
    <n v="55777"/>
    <x v="89"/>
    <s v="Not Specified"/>
    <x v="43"/>
    <x v="3"/>
    <x v="3"/>
    <n v="70.349999999999994"/>
    <x v="0"/>
    <n v="0"/>
    <n v="70.349999999999994"/>
    <n v="4.3"/>
    <n v="70.349999999999994"/>
    <x v="1"/>
    <n v="70.349999999999994"/>
    <s v="11-2019"/>
  </r>
  <r>
    <n v="35011"/>
    <x v="73"/>
    <s v="Not Specified"/>
    <x v="26"/>
    <x v="7"/>
    <x v="7"/>
    <n v="165.26"/>
    <x v="0"/>
    <n v="0"/>
    <n v="165.26"/>
    <n v="3.6"/>
    <n v="165.26"/>
    <x v="0"/>
    <n v="165.26"/>
    <s v="12-2019"/>
  </r>
  <r>
    <n v="16706"/>
    <x v="90"/>
    <s v="High"/>
    <x v="44"/>
    <x v="9"/>
    <x v="9"/>
    <n v="19.655899999999999"/>
    <x v="0"/>
    <n v="0"/>
    <n v="19.655899999999999"/>
    <n v="1.3"/>
    <n v="19.655899999999999"/>
    <x v="0"/>
    <n v="19.655899999999999"/>
    <s v="06-2019"/>
  </r>
  <r>
    <n v="4069"/>
    <x v="91"/>
    <s v="Medium"/>
    <x v="12"/>
    <x v="2"/>
    <x v="2"/>
    <n v="133.69"/>
    <x v="1"/>
    <n v="1.3369"/>
    <n v="132.35309999999998"/>
    <n v="1.4"/>
    <n v="132.29"/>
    <x v="1"/>
    <n v="132.29"/>
    <s v="05-2019"/>
  </r>
  <r>
    <n v="22272"/>
    <x v="59"/>
    <s v="High"/>
    <x v="37"/>
    <x v="5"/>
    <x v="5"/>
    <n v="5759"/>
    <x v="1"/>
    <n v="57.59"/>
    <n v="5701.41"/>
    <n v="4.3"/>
    <n v="5754.7"/>
    <x v="0"/>
    <n v="5701.41"/>
    <s v="05-2019"/>
  </r>
  <r>
    <n v="27300"/>
    <x v="5"/>
    <s v="Not Specified"/>
    <x v="40"/>
    <x v="6"/>
    <x v="6"/>
    <n v="59.58"/>
    <x v="0"/>
    <n v="0"/>
    <n v="59.58"/>
    <n v="0.7"/>
    <n v="59.58"/>
    <x v="0"/>
    <n v="59.58"/>
    <s v="09-2019"/>
  </r>
  <r>
    <n v="46787"/>
    <x v="92"/>
    <s v="Medium"/>
    <x v="23"/>
    <x v="6"/>
    <x v="6"/>
    <n v="186.29"/>
    <x v="0"/>
    <n v="0"/>
    <n v="186.29"/>
    <n v="9.8000000000000007"/>
    <n v="186.29"/>
    <x v="0"/>
    <n v="186.29"/>
    <s v="03-2019"/>
  </r>
  <r>
    <n v="26912"/>
    <x v="3"/>
    <s v="Low"/>
    <x v="5"/>
    <x v="4"/>
    <x v="4"/>
    <n v="1166.42"/>
    <x v="0"/>
    <n v="0"/>
    <n v="1166.42"/>
    <n v="5.9"/>
    <n v="1166.42"/>
    <x v="0"/>
    <n v="1166.42"/>
    <s v="04-2019"/>
  </r>
  <r>
    <n v="50055"/>
    <x v="93"/>
    <s v="Medium"/>
    <x v="43"/>
    <x v="3"/>
    <x v="3"/>
    <n v="14.39"/>
    <x v="0"/>
    <n v="0"/>
    <n v="14.39"/>
    <n v="8.3000000000000007"/>
    <n v="14.39"/>
    <x v="0"/>
    <n v="14.39"/>
    <s v="10-2019"/>
  </r>
  <r>
    <n v="59329"/>
    <x v="88"/>
    <s v="Critical"/>
    <x v="31"/>
    <x v="4"/>
    <x v="4"/>
    <n v="177.21"/>
    <x v="0"/>
    <n v="0"/>
    <n v="177.21"/>
    <n v="5.6"/>
    <n v="177.21"/>
    <x v="0"/>
    <n v="177.21"/>
    <s v="12-2019"/>
  </r>
  <r>
    <n v="23681"/>
    <x v="94"/>
    <s v="High"/>
    <x v="15"/>
    <x v="1"/>
    <x v="1"/>
    <n v="4475.3"/>
    <x v="1"/>
    <n v="44.753"/>
    <n v="4430.5470000000005"/>
    <n v="37.5"/>
    <n v="4437.8"/>
    <x v="1"/>
    <n v="4430.5470000000005"/>
    <s v="05-2019"/>
  </r>
  <r>
    <n v="54181"/>
    <x v="95"/>
    <s v="High"/>
    <x v="14"/>
    <x v="7"/>
    <x v="7"/>
    <n v="2791.41"/>
    <x v="0"/>
    <n v="0"/>
    <n v="2791.41"/>
    <n v="15.7"/>
    <n v="2791.41"/>
    <x v="2"/>
    <n v="2791.41"/>
    <s v="05-2019"/>
  </r>
  <r>
    <n v="13988"/>
    <x v="96"/>
    <s v="Not Specified"/>
    <x v="1"/>
    <x v="0"/>
    <x v="0"/>
    <n v="192.89"/>
    <x v="0"/>
    <n v="0"/>
    <n v="192.89"/>
    <n v="5.7"/>
    <n v="192.89"/>
    <x v="0"/>
    <n v="192.89"/>
    <s v="08-2019"/>
  </r>
  <r>
    <n v="27265"/>
    <x v="59"/>
    <s v="Critical"/>
    <x v="21"/>
    <x v="2"/>
    <x v="2"/>
    <n v="429.49"/>
    <x v="1"/>
    <n v="4.2949000000000002"/>
    <n v="425.19510000000002"/>
    <n v="1"/>
    <n v="428.49"/>
    <x v="1"/>
    <n v="425.19510000000002"/>
    <s v="05-2019"/>
  </r>
  <r>
    <n v="56672"/>
    <x v="91"/>
    <s v="High"/>
    <x v="9"/>
    <x v="1"/>
    <x v="1"/>
    <n v="2609.06"/>
    <x v="1"/>
    <n v="26.090599999999998"/>
    <n v="2582.9694"/>
    <n v="9.6"/>
    <n v="2599.46"/>
    <x v="0"/>
    <n v="2582.9694"/>
    <s v="05-2019"/>
  </r>
  <r>
    <n v="4896"/>
    <x v="97"/>
    <s v="Critical"/>
    <x v="31"/>
    <x v="4"/>
    <x v="4"/>
    <n v="889.72640000000001"/>
    <x v="0"/>
    <n v="0"/>
    <n v="889.72640000000001"/>
    <n v="2.1"/>
    <n v="889.72640000000001"/>
    <x v="0"/>
    <n v="889.72640000000001"/>
    <s v="08-2019"/>
  </r>
  <r>
    <n v="21763"/>
    <x v="98"/>
    <s v="Low"/>
    <x v="6"/>
    <x v="4"/>
    <x v="4"/>
    <n v="1326.21"/>
    <x v="0"/>
    <n v="0"/>
    <n v="1326.21"/>
    <n v="4.3"/>
    <n v="1326.21"/>
    <x v="0"/>
    <n v="1326.21"/>
    <s v="05-2019"/>
  </r>
  <r>
    <n v="32102"/>
    <x v="99"/>
    <s v="Medium"/>
    <x v="33"/>
    <x v="3"/>
    <x v="3"/>
    <n v="21.2"/>
    <x v="0"/>
    <n v="0"/>
    <n v="21.2"/>
    <n v="6.7"/>
    <n v="21.2"/>
    <x v="0"/>
    <n v="21.2"/>
    <s v="12-2019"/>
  </r>
  <r>
    <n v="15937"/>
    <x v="46"/>
    <s v="Low"/>
    <x v="45"/>
    <x v="8"/>
    <x v="8"/>
    <n v="230.75"/>
    <x v="0"/>
    <n v="0"/>
    <n v="230.75"/>
    <n v="3"/>
    <n v="230.75"/>
    <x v="1"/>
    <n v="230.75"/>
    <s v="11-2019"/>
  </r>
  <r>
    <n v="32000"/>
    <x v="100"/>
    <s v="Low"/>
    <x v="21"/>
    <x v="2"/>
    <x v="2"/>
    <n v="173.51"/>
    <x v="1"/>
    <n v="1.7350999999999999"/>
    <n v="171.7749"/>
    <n v="1.4"/>
    <n v="172.10999999999999"/>
    <x v="0"/>
    <n v="171.7749"/>
    <s v="09-2019"/>
  </r>
  <r>
    <n v="43296"/>
    <x v="101"/>
    <s v="Medium"/>
    <x v="19"/>
    <x v="1"/>
    <x v="1"/>
    <n v="1782.4167"/>
    <x v="1"/>
    <n v="17.824166999999999"/>
    <n v="1764.592533"/>
    <n v="8"/>
    <n v="1774.4167"/>
    <x v="0"/>
    <n v="1764.592533"/>
    <s v="03-2019"/>
  </r>
  <r>
    <n v="27750"/>
    <x v="102"/>
    <s v="Low"/>
    <x v="14"/>
    <x v="7"/>
    <x v="7"/>
    <n v="823.01"/>
    <x v="0"/>
    <n v="0"/>
    <n v="823.01"/>
    <n v="39.200000000000003"/>
    <n v="823.01"/>
    <x v="2"/>
    <n v="823.01"/>
    <s v="10-2019"/>
  </r>
  <r>
    <n v="51333"/>
    <x v="103"/>
    <s v="Not Specified"/>
    <x v="17"/>
    <x v="6"/>
    <x v="6"/>
    <n v="2375.1799999999998"/>
    <x v="0"/>
    <n v="0"/>
    <n v="2375.1799999999998"/>
    <n v="36"/>
    <n v="2375.1799999999998"/>
    <x v="2"/>
    <n v="2375.1799999999998"/>
    <s v="10-2019"/>
  </r>
  <r>
    <n v="16193"/>
    <x v="104"/>
    <s v="Not Specified"/>
    <x v="30"/>
    <x v="9"/>
    <x v="9"/>
    <n v="321.20999999999998"/>
    <x v="0"/>
    <n v="0"/>
    <n v="321.20999999999998"/>
    <n v="8.8000000000000007"/>
    <n v="321.20999999999998"/>
    <x v="0"/>
    <n v="321.20999999999998"/>
    <s v="04-2019"/>
  </r>
  <r>
    <n v="46977"/>
    <x v="105"/>
    <s v="Medium"/>
    <x v="46"/>
    <x v="9"/>
    <x v="9"/>
    <n v="53.95"/>
    <x v="0"/>
    <n v="0"/>
    <n v="53.95"/>
    <n v="1.6"/>
    <n v="53.95"/>
    <x v="0"/>
    <n v="53.95"/>
    <s v="05-2019"/>
  </r>
  <r>
    <n v="57861"/>
    <x v="106"/>
    <s v="Medium"/>
    <x v="28"/>
    <x v="5"/>
    <x v="5"/>
    <n v="128.56"/>
    <x v="1"/>
    <n v="1.2856000000000001"/>
    <n v="127.2744"/>
    <n v="1.6"/>
    <n v="126.96000000000001"/>
    <x v="0"/>
    <n v="126.96000000000001"/>
    <s v="10-2019"/>
  </r>
  <r>
    <n v="11202"/>
    <x v="107"/>
    <s v="Medium"/>
    <x v="30"/>
    <x v="9"/>
    <x v="9"/>
    <n v="363.6"/>
    <x v="0"/>
    <n v="0"/>
    <n v="363.6"/>
    <n v="3.2"/>
    <n v="363.6"/>
    <x v="0"/>
    <n v="363.6"/>
    <s v="03-2019"/>
  </r>
  <r>
    <n v="34279"/>
    <x v="29"/>
    <s v="Not Specified"/>
    <x v="4"/>
    <x v="3"/>
    <x v="3"/>
    <n v="899.39"/>
    <x v="0"/>
    <n v="0"/>
    <n v="899.39"/>
    <n v="64.2"/>
    <n v="899.39"/>
    <x v="2"/>
    <n v="899.39"/>
    <s v="03-2019"/>
  </r>
  <r>
    <n v="19207"/>
    <x v="108"/>
    <s v="Not Specified"/>
    <x v="22"/>
    <x v="7"/>
    <x v="7"/>
    <n v="16.62"/>
    <x v="0"/>
    <n v="0"/>
    <n v="16.62"/>
    <n v="0.7"/>
    <n v="16.62"/>
    <x v="0"/>
    <n v="16.62"/>
    <s v="03-2019"/>
  </r>
  <r>
    <n v="52419"/>
    <x v="109"/>
    <s v="High"/>
    <x v="25"/>
    <x v="0"/>
    <x v="0"/>
    <n v="3745.5243"/>
    <x v="0"/>
    <n v="0"/>
    <n v="3745.5243"/>
    <n v="9.1999999999999993"/>
    <n v="3745.5243"/>
    <x v="0"/>
    <n v="3745.5243"/>
    <s v="09-2019"/>
  </r>
  <r>
    <n v="31684"/>
    <x v="110"/>
    <s v="Critical"/>
    <x v="47"/>
    <x v="7"/>
    <x v="7"/>
    <n v="96.27"/>
    <x v="0"/>
    <n v="0"/>
    <n v="96.27"/>
    <n v="1.6"/>
    <n v="96.27"/>
    <x v="0"/>
    <n v="96.27"/>
    <s v="09-2019"/>
  </r>
  <r>
    <n v="35299"/>
    <x v="25"/>
    <s v="Not Specified"/>
    <x v="19"/>
    <x v="1"/>
    <x v="1"/>
    <n v="4664.13"/>
    <x v="1"/>
    <n v="46.641300000000001"/>
    <n v="4617.4886999999999"/>
    <n v="21.4"/>
    <n v="4642.7300000000005"/>
    <x v="0"/>
    <n v="4617.4886999999999"/>
    <s v="08-2019"/>
  </r>
  <r>
    <n v="9761"/>
    <x v="111"/>
    <s v="Not Specified"/>
    <x v="42"/>
    <x v="4"/>
    <x v="4"/>
    <n v="143.05000000000001"/>
    <x v="0"/>
    <n v="0"/>
    <n v="143.05000000000001"/>
    <n v="7.7"/>
    <n v="143.05000000000001"/>
    <x v="0"/>
    <n v="143.05000000000001"/>
    <s v="01-2019"/>
  </r>
  <r>
    <n v="9509"/>
    <x v="112"/>
    <s v="Not Specified"/>
    <x v="25"/>
    <x v="0"/>
    <x v="0"/>
    <n v="1696.63"/>
    <x v="0"/>
    <n v="0"/>
    <n v="1696.63"/>
    <n v="6.2"/>
    <n v="1696.63"/>
    <x v="0"/>
    <n v="1696.63"/>
    <s v="10-2019"/>
  </r>
  <r>
    <n v="1540"/>
    <x v="113"/>
    <s v="High"/>
    <x v="17"/>
    <x v="6"/>
    <x v="6"/>
    <n v="86.563000000000002"/>
    <x v="0"/>
    <n v="0"/>
    <n v="86.563000000000002"/>
    <n v="0.7"/>
    <n v="86.563000000000002"/>
    <x v="0"/>
    <n v="86.563000000000002"/>
    <s v="08-2019"/>
  </r>
  <r>
    <n v="14980"/>
    <x v="114"/>
    <s v="Critical"/>
    <x v="40"/>
    <x v="6"/>
    <x v="6"/>
    <n v="961.82"/>
    <x v="0"/>
    <n v="0"/>
    <n v="961.82"/>
    <n v="2.1"/>
    <n v="961.82"/>
    <x v="0"/>
    <n v="961.82"/>
    <s v="07-2019"/>
  </r>
  <r>
    <n v="18531"/>
    <x v="115"/>
    <s v="Critical"/>
    <x v="3"/>
    <x v="2"/>
    <x v="2"/>
    <n v="1389.73"/>
    <x v="1"/>
    <n v="13.897300000000001"/>
    <n v="1375.8326999999999"/>
    <n v="15.4"/>
    <n v="1374.33"/>
    <x v="2"/>
    <n v="1374.33"/>
    <s v="10-2019"/>
  </r>
  <r>
    <n v="13570"/>
    <x v="116"/>
    <s v="Not Specified"/>
    <x v="33"/>
    <x v="3"/>
    <x v="3"/>
    <n v="18.16"/>
    <x v="0"/>
    <n v="0"/>
    <n v="18.16"/>
    <n v="1"/>
    <n v="18.16"/>
    <x v="0"/>
    <n v="18.16"/>
    <s v="12-2019"/>
  </r>
  <r>
    <n v="51365"/>
    <x v="117"/>
    <s v="High"/>
    <x v="16"/>
    <x v="0"/>
    <x v="0"/>
    <n v="4335.43"/>
    <x v="0"/>
    <n v="0"/>
    <n v="4335.43"/>
    <n v="55.6"/>
    <n v="4335.43"/>
    <x v="2"/>
    <n v="4335.43"/>
    <s v="08-2019"/>
  </r>
  <r>
    <n v="32640"/>
    <x v="57"/>
    <s v="High"/>
    <x v="38"/>
    <x v="8"/>
    <x v="8"/>
    <n v="135.56"/>
    <x v="0"/>
    <n v="0"/>
    <n v="135.56"/>
    <n v="5.9"/>
    <n v="135.56"/>
    <x v="0"/>
    <n v="135.56"/>
    <s v="09-2019"/>
  </r>
  <r>
    <n v="29191"/>
    <x v="118"/>
    <s v="Medium"/>
    <x v="11"/>
    <x v="6"/>
    <x v="6"/>
    <n v="7706.02"/>
    <x v="0"/>
    <n v="0"/>
    <n v="7706.02"/>
    <n v="57.9"/>
    <n v="7706.02"/>
    <x v="2"/>
    <n v="7706.02"/>
    <s v="06-2019"/>
  </r>
  <r>
    <n v="29220"/>
    <x v="119"/>
    <s v="Medium"/>
    <x v="34"/>
    <x v="5"/>
    <x v="5"/>
    <n v="13578.65"/>
    <x v="1"/>
    <n v="135.78649999999999"/>
    <n v="13442.863499999999"/>
    <n v="21.4"/>
    <n v="13557.25"/>
    <x v="1"/>
    <n v="13442.863499999999"/>
    <s v="12-2019"/>
  </r>
  <r>
    <n v="57056"/>
    <x v="35"/>
    <s v="Low"/>
    <x v="48"/>
    <x v="6"/>
    <x v="6"/>
    <n v="2338.6"/>
    <x v="0"/>
    <n v="0"/>
    <n v="2338.6"/>
    <n v="95.6"/>
    <n v="2338.6"/>
    <x v="2"/>
    <n v="2338.6"/>
    <s v="11-2019"/>
  </r>
  <r>
    <n v="37124"/>
    <x v="120"/>
    <s v="Low"/>
    <x v="0"/>
    <x v="0"/>
    <x v="0"/>
    <n v="22689.884999999998"/>
    <x v="0"/>
    <n v="0"/>
    <n v="22689.884999999998"/>
    <n v="26.2"/>
    <n v="22689.884999999998"/>
    <x v="0"/>
    <n v="22689.884999999998"/>
    <s v="03-2019"/>
  </r>
  <r>
    <n v="40608"/>
    <x v="19"/>
    <s v="Not Specified"/>
    <x v="48"/>
    <x v="6"/>
    <x v="6"/>
    <n v="614.15"/>
    <x v="0"/>
    <n v="0"/>
    <n v="614.15"/>
    <n v="10.199999999999999"/>
    <n v="614.15"/>
    <x v="0"/>
    <n v="614.15"/>
    <s v="08-2019"/>
  </r>
  <r>
    <n v="45734"/>
    <x v="121"/>
    <s v="Critical"/>
    <x v="12"/>
    <x v="2"/>
    <x v="2"/>
    <n v="596.54999999999995"/>
    <x v="1"/>
    <n v="5.9654999999999996"/>
    <n v="590.58449999999993"/>
    <n v="8.5"/>
    <n v="588.04999999999995"/>
    <x v="1"/>
    <n v="588.04999999999995"/>
    <s v="07-2019"/>
  </r>
  <r>
    <n v="36743"/>
    <x v="122"/>
    <s v="Critical"/>
    <x v="4"/>
    <x v="3"/>
    <x v="3"/>
    <n v="27.96"/>
    <x v="0"/>
    <n v="0"/>
    <n v="27.96"/>
    <n v="4.3"/>
    <n v="27.96"/>
    <x v="0"/>
    <n v="27.96"/>
    <s v="09-2019"/>
  </r>
  <r>
    <n v="32513"/>
    <x v="123"/>
    <s v="Low"/>
    <x v="28"/>
    <x v="5"/>
    <x v="5"/>
    <n v="71.209999999999994"/>
    <x v="1"/>
    <n v="0.71209999999999996"/>
    <n v="70.497899999999987"/>
    <n v="1.4"/>
    <n v="69.809999999999988"/>
    <x v="0"/>
    <n v="69.809999999999988"/>
    <s v="02-2019"/>
  </r>
  <r>
    <n v="23847"/>
    <x v="124"/>
    <s v="Not Specified"/>
    <x v="29"/>
    <x v="9"/>
    <x v="9"/>
    <n v="1368.15"/>
    <x v="0"/>
    <n v="0"/>
    <n v="1368.15"/>
    <n v="4.5"/>
    <n v="1368.15"/>
    <x v="0"/>
    <n v="1368.15"/>
    <s v="11-2019"/>
  </r>
  <r>
    <n v="25152"/>
    <x v="125"/>
    <s v="Critical"/>
    <x v="48"/>
    <x v="6"/>
    <x v="6"/>
    <n v="208.87"/>
    <x v="0"/>
    <n v="0"/>
    <n v="208.87"/>
    <n v="2.5"/>
    <n v="208.87"/>
    <x v="0"/>
    <n v="208.87"/>
    <s v="10-2019"/>
  </r>
  <r>
    <n v="14497"/>
    <x v="24"/>
    <s v="Medium"/>
    <x v="1"/>
    <x v="0"/>
    <x v="0"/>
    <n v="229.01"/>
    <x v="0"/>
    <n v="0"/>
    <n v="229.01"/>
    <n v="8.5"/>
    <n v="229.01"/>
    <x v="0"/>
    <n v="229.01"/>
    <s v="05-2019"/>
  </r>
  <r>
    <n v="38498"/>
    <x v="3"/>
    <s v="Critical"/>
    <x v="43"/>
    <x v="3"/>
    <x v="3"/>
    <n v="46.972999999999999"/>
    <x v="0"/>
    <n v="0"/>
    <n v="46.972999999999999"/>
    <n v="4.5999999999999996"/>
    <n v="46.972999999999999"/>
    <x v="0"/>
    <n v="46.972999999999999"/>
    <s v="04-2019"/>
  </r>
  <r>
    <n v="37287"/>
    <x v="126"/>
    <s v="Low"/>
    <x v="6"/>
    <x v="4"/>
    <x v="4"/>
    <n v="2195.92"/>
    <x v="0"/>
    <n v="0"/>
    <n v="2195.92"/>
    <n v="2.7"/>
    <n v="2195.92"/>
    <x v="0"/>
    <n v="2195.92"/>
    <s v="11-2019"/>
  </r>
  <r>
    <n v="49350"/>
    <x v="23"/>
    <s v="High"/>
    <x v="3"/>
    <x v="2"/>
    <x v="2"/>
    <n v="401.37"/>
    <x v="1"/>
    <n v="4.0137"/>
    <n v="397.35629999999998"/>
    <n v="11.9"/>
    <n v="389.47"/>
    <x v="0"/>
    <n v="389.47"/>
    <s v="08-2019"/>
  </r>
  <r>
    <n v="23713"/>
    <x v="72"/>
    <s v="Not Specified"/>
    <x v="8"/>
    <x v="5"/>
    <x v="5"/>
    <n v="3960.63"/>
    <x v="1"/>
    <n v="39.606300000000005"/>
    <n v="3921.0237000000002"/>
    <n v="6.3"/>
    <n v="3954.33"/>
    <x v="0"/>
    <n v="3921.0237000000002"/>
    <s v="11-2019"/>
  </r>
  <r>
    <n v="4294"/>
    <x v="50"/>
    <s v="Medium"/>
    <x v="30"/>
    <x v="9"/>
    <x v="9"/>
    <n v="18.96"/>
    <x v="0"/>
    <n v="0"/>
    <n v="18.96"/>
    <n v="4.4000000000000004"/>
    <n v="18.96"/>
    <x v="0"/>
    <n v="18.96"/>
    <s v="08-2019"/>
  </r>
  <r>
    <n v="24386"/>
    <x v="127"/>
    <s v="High"/>
    <x v="14"/>
    <x v="7"/>
    <x v="7"/>
    <n v="538.29999999999995"/>
    <x v="0"/>
    <n v="0"/>
    <n v="538.29999999999995"/>
    <n v="7"/>
    <n v="538.29999999999995"/>
    <x v="0"/>
    <n v="538.29999999999995"/>
    <s v="06-2019"/>
  </r>
  <r>
    <n v="34595"/>
    <x v="128"/>
    <s v="Medium"/>
    <x v="14"/>
    <x v="7"/>
    <x v="7"/>
    <n v="522.86"/>
    <x v="0"/>
    <n v="0"/>
    <n v="522.86"/>
    <n v="18.7"/>
    <n v="522.86"/>
    <x v="0"/>
    <n v="522.86"/>
    <s v="07-2019"/>
  </r>
  <r>
    <n v="43010"/>
    <x v="40"/>
    <s v="Critical"/>
    <x v="28"/>
    <x v="5"/>
    <x v="5"/>
    <n v="249.524"/>
    <x v="1"/>
    <n v="2.4952399999999999"/>
    <n v="247.02876000000001"/>
    <n v="1.6"/>
    <n v="247.92400000000001"/>
    <x v="0"/>
    <n v="247.02876000000001"/>
    <s v="10-2019"/>
  </r>
  <r>
    <n v="2912"/>
    <x v="84"/>
    <s v="Low"/>
    <x v="35"/>
    <x v="9"/>
    <x v="9"/>
    <n v="543.54"/>
    <x v="0"/>
    <n v="0"/>
    <n v="543.54"/>
    <n v="5.2"/>
    <n v="543.54"/>
    <x v="1"/>
    <n v="543.54"/>
    <s v="03-2019"/>
  </r>
  <r>
    <n v="38853"/>
    <x v="129"/>
    <s v="Low"/>
    <x v="13"/>
    <x v="7"/>
    <x v="7"/>
    <n v="778.99"/>
    <x v="0"/>
    <n v="0"/>
    <n v="778.99"/>
    <n v="2.7"/>
    <n v="778.99"/>
    <x v="0"/>
    <n v="778.99"/>
    <s v="03-2019"/>
  </r>
  <r>
    <n v="1187"/>
    <x v="12"/>
    <s v="Medium"/>
    <x v="26"/>
    <x v="7"/>
    <x v="7"/>
    <n v="238.51"/>
    <x v="0"/>
    <n v="0"/>
    <n v="238.51"/>
    <n v="4.3"/>
    <n v="238.51"/>
    <x v="0"/>
    <n v="238.51"/>
    <s v="11-2019"/>
  </r>
  <r>
    <n v="54656"/>
    <x v="12"/>
    <s v="High"/>
    <x v="6"/>
    <x v="4"/>
    <x v="4"/>
    <n v="117.19"/>
    <x v="0"/>
    <n v="0"/>
    <n v="117.19"/>
    <n v="6.2"/>
    <n v="117.19"/>
    <x v="1"/>
    <n v="117.19"/>
    <s v="11-2019"/>
  </r>
  <r>
    <n v="25767"/>
    <x v="101"/>
    <s v="High"/>
    <x v="29"/>
    <x v="9"/>
    <x v="9"/>
    <n v="280.21159999999998"/>
    <x v="0"/>
    <n v="0"/>
    <n v="280.21159999999998"/>
    <n v="2.1"/>
    <n v="280.21159999999998"/>
    <x v="0"/>
    <n v="280.21159999999998"/>
    <s v="03-2019"/>
  </r>
  <r>
    <n v="5635"/>
    <x v="130"/>
    <s v="Medium"/>
    <x v="3"/>
    <x v="2"/>
    <x v="2"/>
    <n v="301.29000000000002"/>
    <x v="1"/>
    <n v="3.0129000000000001"/>
    <n v="298.27710000000002"/>
    <n v="6.3"/>
    <n v="294.99"/>
    <x v="0"/>
    <n v="294.99"/>
    <s v="08-2019"/>
  </r>
  <r>
    <n v="33031"/>
    <x v="131"/>
    <s v="High"/>
    <x v="38"/>
    <x v="8"/>
    <x v="8"/>
    <n v="129.43"/>
    <x v="0"/>
    <n v="0"/>
    <n v="129.43"/>
    <n v="7.1"/>
    <n v="129.43"/>
    <x v="0"/>
    <n v="129.43"/>
    <s v="08-2019"/>
  </r>
  <r>
    <n v="21604"/>
    <x v="54"/>
    <s v="Medium"/>
    <x v="44"/>
    <x v="9"/>
    <x v="9"/>
    <n v="2652.4"/>
    <x v="0"/>
    <n v="0"/>
    <n v="2652.4"/>
    <n v="21.4"/>
    <n v="2652.4"/>
    <x v="1"/>
    <n v="2652.4"/>
    <s v="04-2019"/>
  </r>
  <r>
    <n v="11301"/>
    <x v="132"/>
    <s v="Medium"/>
    <x v="48"/>
    <x v="6"/>
    <x v="6"/>
    <n v="1278.6099999999999"/>
    <x v="0"/>
    <n v="0"/>
    <n v="1278.6099999999999"/>
    <n v="4.3"/>
    <n v="1278.6099999999999"/>
    <x v="0"/>
    <n v="1278.6099999999999"/>
    <s v="03-2019"/>
  </r>
  <r>
    <n v="18466"/>
    <x v="16"/>
    <s v="Low"/>
    <x v="10"/>
    <x v="4"/>
    <x v="4"/>
    <n v="2882.59"/>
    <x v="0"/>
    <n v="0"/>
    <n v="2882.59"/>
    <n v="7.6"/>
    <n v="2882.59"/>
    <x v="1"/>
    <n v="2882.59"/>
    <s v="05-2019"/>
  </r>
  <r>
    <n v="18368"/>
    <x v="133"/>
    <s v="Not Specified"/>
    <x v="4"/>
    <x v="3"/>
    <x v="3"/>
    <n v="227.81"/>
    <x v="0"/>
    <n v="0"/>
    <n v="227.81"/>
    <n v="3.7"/>
    <n v="227.81"/>
    <x v="0"/>
    <n v="227.81"/>
    <s v="11-2019"/>
  </r>
  <r>
    <n v="55268"/>
    <x v="107"/>
    <s v="High"/>
    <x v="22"/>
    <x v="7"/>
    <x v="7"/>
    <n v="65.760000000000005"/>
    <x v="0"/>
    <n v="0"/>
    <n v="65.760000000000005"/>
    <n v="5.3"/>
    <n v="65.760000000000005"/>
    <x v="1"/>
    <n v="65.760000000000005"/>
    <s v="03-2019"/>
  </r>
  <r>
    <n v="26726"/>
    <x v="134"/>
    <s v="High"/>
    <x v="19"/>
    <x v="1"/>
    <x v="1"/>
    <n v="891.86"/>
    <x v="1"/>
    <n v="8.9185999999999996"/>
    <n v="882.94140000000004"/>
    <n v="1.6"/>
    <n v="890.26"/>
    <x v="0"/>
    <n v="882.94140000000004"/>
    <s v="12-2019"/>
  </r>
  <r>
    <n v="34470"/>
    <x v="135"/>
    <s v="Critical"/>
    <x v="7"/>
    <x v="0"/>
    <x v="0"/>
    <n v="3173.7591000000002"/>
    <x v="0"/>
    <n v="0"/>
    <n v="3173.7591000000002"/>
    <n v="61.4"/>
    <n v="3173.7591000000002"/>
    <x v="2"/>
    <n v="3173.7591000000002"/>
    <s v="01-2019"/>
  </r>
  <r>
    <n v="29537"/>
    <x v="136"/>
    <s v="Low"/>
    <x v="17"/>
    <x v="6"/>
    <x v="6"/>
    <n v="340.85919999999999"/>
    <x v="0"/>
    <n v="0"/>
    <n v="340.85919999999999"/>
    <n v="4.8"/>
    <n v="340.85919999999999"/>
    <x v="1"/>
    <n v="340.85919999999999"/>
    <s v="09-2019"/>
  </r>
  <r>
    <n v="42436"/>
    <x v="137"/>
    <s v="Critical"/>
    <x v="17"/>
    <x v="6"/>
    <x v="6"/>
    <n v="11764.37"/>
    <x v="0"/>
    <n v="0"/>
    <n v="11764.37"/>
    <n v="51.6"/>
    <n v="11764.37"/>
    <x v="2"/>
    <n v="11764.37"/>
    <s v="08-2019"/>
  </r>
  <r>
    <n v="14212"/>
    <x v="10"/>
    <s v="Critical"/>
    <x v="30"/>
    <x v="9"/>
    <x v="9"/>
    <n v="23.53"/>
    <x v="0"/>
    <n v="0"/>
    <n v="23.53"/>
    <n v="0.5"/>
    <n v="23.53"/>
    <x v="0"/>
    <n v="23.53"/>
    <s v="02-2019"/>
  </r>
  <r>
    <n v="8454"/>
    <x v="130"/>
    <s v="Medium"/>
    <x v="8"/>
    <x v="5"/>
    <x v="5"/>
    <n v="234.08"/>
    <x v="1"/>
    <n v="2.3408000000000002"/>
    <n v="231.73920000000001"/>
    <n v="8.3000000000000007"/>
    <n v="225.78"/>
    <x v="0"/>
    <n v="225.78"/>
    <s v="08-2019"/>
  </r>
  <r>
    <n v="56672"/>
    <x v="91"/>
    <s v="High"/>
    <x v="1"/>
    <x v="0"/>
    <x v="0"/>
    <n v="1211.58"/>
    <x v="0"/>
    <n v="0"/>
    <n v="1211.58"/>
    <n v="14.9"/>
    <n v="1211.58"/>
    <x v="0"/>
    <n v="1211.58"/>
    <s v="05-2019"/>
  </r>
  <r>
    <n v="43588"/>
    <x v="138"/>
    <s v="Medium"/>
    <x v="36"/>
    <x v="8"/>
    <x v="8"/>
    <n v="3291.05"/>
    <x v="0"/>
    <n v="0"/>
    <n v="3291.05"/>
    <n v="63.4"/>
    <n v="3291.05"/>
    <x v="2"/>
    <n v="3291.05"/>
    <s v="09-2019"/>
  </r>
  <r>
    <n v="50565"/>
    <x v="139"/>
    <s v="High"/>
    <x v="20"/>
    <x v="1"/>
    <x v="1"/>
    <n v="731.30219999999997"/>
    <x v="1"/>
    <n v="7.3130220000000001"/>
    <n v="723.98917799999992"/>
    <n v="13.3"/>
    <n v="718.00220000000002"/>
    <x v="0"/>
    <n v="718.00220000000002"/>
    <s v="08-2019"/>
  </r>
  <r>
    <n v="39783"/>
    <x v="140"/>
    <s v="Not Specified"/>
    <x v="48"/>
    <x v="6"/>
    <x v="6"/>
    <n v="101.12"/>
    <x v="0"/>
    <n v="0"/>
    <n v="101.12"/>
    <n v="0.5"/>
    <n v="101.12"/>
    <x v="0"/>
    <n v="101.12"/>
    <s v="09-2019"/>
  </r>
  <r>
    <n v="37350"/>
    <x v="24"/>
    <s v="Critical"/>
    <x v="29"/>
    <x v="9"/>
    <x v="9"/>
    <n v="174.56"/>
    <x v="0"/>
    <n v="0"/>
    <n v="174.56"/>
    <n v="9.6"/>
    <n v="174.56"/>
    <x v="0"/>
    <n v="174.56"/>
    <s v="05-2019"/>
  </r>
  <r>
    <n v="53667"/>
    <x v="141"/>
    <s v="Medium"/>
    <x v="36"/>
    <x v="8"/>
    <x v="8"/>
    <n v="514.72239999999999"/>
    <x v="0"/>
    <n v="0"/>
    <n v="514.72239999999999"/>
    <n v="1.2"/>
    <n v="514.72239999999999"/>
    <x v="0"/>
    <n v="514.72239999999999"/>
    <s v="05-2019"/>
  </r>
  <r>
    <n v="26818"/>
    <x v="33"/>
    <s v="Not Specified"/>
    <x v="42"/>
    <x v="4"/>
    <x v="4"/>
    <n v="217.04"/>
    <x v="0"/>
    <n v="0"/>
    <n v="217.04"/>
    <n v="6"/>
    <n v="217.04"/>
    <x v="0"/>
    <n v="217.04"/>
    <s v="01-2019"/>
  </r>
  <r>
    <n v="42400"/>
    <x v="137"/>
    <s v="Low"/>
    <x v="2"/>
    <x v="1"/>
    <x v="1"/>
    <n v="925.84"/>
    <x v="1"/>
    <n v="9.2584"/>
    <n v="916.58159999999998"/>
    <n v="4.3"/>
    <n v="921.54000000000008"/>
    <x v="0"/>
    <n v="916.58159999999998"/>
    <s v="08-2019"/>
  </r>
  <r>
    <n v="9925"/>
    <x v="32"/>
    <s v="Critical"/>
    <x v="20"/>
    <x v="1"/>
    <x v="1"/>
    <n v="1874.3"/>
    <x v="1"/>
    <n v="18.742999999999999"/>
    <n v="1855.557"/>
    <n v="3.2"/>
    <n v="1871.1"/>
    <x v="1"/>
    <n v="1855.557"/>
    <s v="01-2019"/>
  </r>
  <r>
    <n v="32292"/>
    <x v="142"/>
    <s v="Low"/>
    <x v="43"/>
    <x v="3"/>
    <x v="3"/>
    <n v="14.48"/>
    <x v="0"/>
    <n v="0"/>
    <n v="14.48"/>
    <n v="2.5"/>
    <n v="14.48"/>
    <x v="0"/>
    <n v="14.48"/>
    <s v="02-2019"/>
  </r>
  <r>
    <n v="56645"/>
    <x v="143"/>
    <s v="Low"/>
    <x v="27"/>
    <x v="2"/>
    <x v="2"/>
    <n v="1587.33"/>
    <x v="1"/>
    <n v="15.8733"/>
    <n v="1571.4567"/>
    <n v="18.3"/>
    <n v="1569.03"/>
    <x v="0"/>
    <n v="1569.03"/>
    <s v="01-2019"/>
  </r>
  <r>
    <n v="34532"/>
    <x v="144"/>
    <s v="Low"/>
    <x v="19"/>
    <x v="1"/>
    <x v="1"/>
    <n v="1320.77"/>
    <x v="1"/>
    <n v="13.207700000000001"/>
    <n v="1307.5623000000001"/>
    <n v="20.9"/>
    <n v="1299.8699999999999"/>
    <x v="1"/>
    <n v="1299.8699999999999"/>
    <s v="12-2019"/>
  </r>
  <r>
    <n v="36998"/>
    <x v="145"/>
    <s v="Low"/>
    <x v="3"/>
    <x v="2"/>
    <x v="2"/>
    <n v="514.91999999999996"/>
    <x v="1"/>
    <n v="5.1491999999999996"/>
    <n v="509.77079999999995"/>
    <n v="13.4"/>
    <n v="501.52"/>
    <x v="0"/>
    <n v="501.52"/>
    <s v="09-2019"/>
  </r>
  <r>
    <n v="42887"/>
    <x v="74"/>
    <s v="Medium"/>
    <x v="4"/>
    <x v="3"/>
    <x v="3"/>
    <n v="533.38"/>
    <x v="0"/>
    <n v="0"/>
    <n v="533.38"/>
    <n v="55.6"/>
    <n v="533.38"/>
    <x v="2"/>
    <n v="533.38"/>
    <s v="06-2019"/>
  </r>
  <r>
    <n v="1027"/>
    <x v="75"/>
    <s v="Medium"/>
    <x v="24"/>
    <x v="8"/>
    <x v="8"/>
    <n v="1504.58"/>
    <x v="0"/>
    <n v="0"/>
    <n v="1504.58"/>
    <n v="50"/>
    <n v="1504.58"/>
    <x v="2"/>
    <n v="1504.58"/>
    <s v="06-2019"/>
  </r>
  <r>
    <n v="53730"/>
    <x v="119"/>
    <s v="High"/>
    <x v="28"/>
    <x v="5"/>
    <x v="5"/>
    <n v="194.53"/>
    <x v="1"/>
    <n v="1.9453"/>
    <n v="192.5847"/>
    <n v="6.2"/>
    <n v="188.33"/>
    <x v="0"/>
    <n v="188.33"/>
    <s v="12-2019"/>
  </r>
  <r>
    <n v="55683"/>
    <x v="146"/>
    <s v="High"/>
    <x v="3"/>
    <x v="2"/>
    <x v="2"/>
    <n v="184.29"/>
    <x v="1"/>
    <n v="1.8429"/>
    <n v="182.44709999999998"/>
    <n v="1.4"/>
    <n v="182.89"/>
    <x v="0"/>
    <n v="182.44709999999998"/>
    <s v="07-2019"/>
  </r>
  <r>
    <n v="54786"/>
    <x v="147"/>
    <s v="Not Specified"/>
    <x v="17"/>
    <x v="6"/>
    <x v="6"/>
    <n v="406.9"/>
    <x v="0"/>
    <n v="0"/>
    <n v="406.9"/>
    <n v="4.8"/>
    <n v="406.9"/>
    <x v="0"/>
    <n v="406.9"/>
    <s v="01-2019"/>
  </r>
  <r>
    <n v="29764"/>
    <x v="148"/>
    <s v="Critical"/>
    <x v="46"/>
    <x v="9"/>
    <x v="9"/>
    <n v="176.65"/>
    <x v="0"/>
    <n v="0"/>
    <n v="176.65"/>
    <n v="9"/>
    <n v="176.65"/>
    <x v="1"/>
    <n v="176.65"/>
    <s v="07-2019"/>
  </r>
  <r>
    <n v="38884"/>
    <x v="49"/>
    <s v="High"/>
    <x v="32"/>
    <x v="8"/>
    <x v="8"/>
    <n v="6492.5"/>
    <x v="0"/>
    <n v="0"/>
    <n v="6492.5"/>
    <n v="57.9"/>
    <n v="6492.5"/>
    <x v="2"/>
    <n v="6492.5"/>
    <s v="08-2019"/>
  </r>
  <r>
    <n v="23911"/>
    <x v="149"/>
    <s v="Critical"/>
    <x v="5"/>
    <x v="4"/>
    <x v="4"/>
    <n v="2761.32"/>
    <x v="0"/>
    <n v="0"/>
    <n v="2761.32"/>
    <n v="75.099999999999994"/>
    <n v="2761.32"/>
    <x v="2"/>
    <n v="2761.32"/>
    <s v="06-2019"/>
  </r>
  <r>
    <n v="54183"/>
    <x v="150"/>
    <s v="Critical"/>
    <x v="35"/>
    <x v="9"/>
    <x v="9"/>
    <n v="121.86"/>
    <x v="0"/>
    <n v="0"/>
    <n v="121.86"/>
    <n v="9.6"/>
    <n v="121.86"/>
    <x v="0"/>
    <n v="121.86"/>
    <s v="04-2019"/>
  </r>
  <r>
    <n v="28228"/>
    <x v="56"/>
    <s v="Not Specified"/>
    <x v="18"/>
    <x v="3"/>
    <x v="3"/>
    <n v="370.47"/>
    <x v="0"/>
    <n v="0"/>
    <n v="370.47"/>
    <n v="21.4"/>
    <n v="370.47"/>
    <x v="0"/>
    <n v="370.47"/>
    <s v="07-2019"/>
  </r>
  <r>
    <n v="16352"/>
    <x v="151"/>
    <s v="Medium"/>
    <x v="36"/>
    <x v="8"/>
    <x v="8"/>
    <n v="121.17749999999999"/>
    <x v="0"/>
    <n v="0"/>
    <n v="121.17749999999999"/>
    <n v="7.1"/>
    <n v="121.17749999999999"/>
    <x v="0"/>
    <n v="121.17749999999999"/>
    <s v="07-2019"/>
  </r>
  <r>
    <n v="11011"/>
    <x v="152"/>
    <s v="High"/>
    <x v="0"/>
    <x v="0"/>
    <x v="0"/>
    <n v="8886.5499999999993"/>
    <x v="0"/>
    <n v="0"/>
    <n v="8886.5499999999993"/>
    <n v="64.400000000000006"/>
    <n v="8886.5499999999993"/>
    <x v="2"/>
    <n v="8886.5499999999993"/>
    <s v="05-2019"/>
  </r>
  <r>
    <n v="10439"/>
    <x v="29"/>
    <s v="Not Specified"/>
    <x v="40"/>
    <x v="6"/>
    <x v="6"/>
    <n v="80.31"/>
    <x v="0"/>
    <n v="0"/>
    <n v="80.31"/>
    <n v="0.5"/>
    <n v="80.31"/>
    <x v="0"/>
    <n v="80.31"/>
    <s v="03-2019"/>
  </r>
  <r>
    <n v="868"/>
    <x v="153"/>
    <s v="Not Specified"/>
    <x v="25"/>
    <x v="0"/>
    <x v="0"/>
    <n v="767.02"/>
    <x v="0"/>
    <n v="0"/>
    <n v="767.02"/>
    <n v="6.4"/>
    <n v="767.02"/>
    <x v="0"/>
    <n v="767.02"/>
    <s v="06-2019"/>
  </r>
  <r>
    <n v="44033"/>
    <x v="154"/>
    <s v="Critical"/>
    <x v="9"/>
    <x v="1"/>
    <x v="1"/>
    <n v="6218.81"/>
    <x v="1"/>
    <n v="62.188100000000006"/>
    <n v="6156.6219000000001"/>
    <n v="55.6"/>
    <n v="6163.21"/>
    <x v="2"/>
    <n v="6156.6219000000001"/>
    <s v="01-2019"/>
  </r>
  <r>
    <n v="26336"/>
    <x v="155"/>
    <s v="High"/>
    <x v="41"/>
    <x v="5"/>
    <x v="5"/>
    <n v="1623"/>
    <x v="1"/>
    <n v="16.23"/>
    <n v="1606.77"/>
    <n v="7"/>
    <n v="1616"/>
    <x v="0"/>
    <n v="1606.77"/>
    <s v="05-2019"/>
  </r>
  <r>
    <n v="11011"/>
    <x v="152"/>
    <s v="High"/>
    <x v="34"/>
    <x v="5"/>
    <x v="5"/>
    <n v="268.62"/>
    <x v="1"/>
    <n v="2.6861999999999999"/>
    <n v="265.93380000000002"/>
    <n v="0.5"/>
    <n v="268.12"/>
    <x v="0"/>
    <n v="265.93380000000002"/>
    <s v="05-2019"/>
  </r>
  <r>
    <n v="36803"/>
    <x v="113"/>
    <s v="Not Specified"/>
    <x v="15"/>
    <x v="1"/>
    <x v="1"/>
    <n v="130.16999999999999"/>
    <x v="1"/>
    <n v="1.3016999999999999"/>
    <n v="128.86829999999998"/>
    <n v="1.1000000000000001"/>
    <n v="129.07"/>
    <x v="0"/>
    <n v="128.86829999999998"/>
    <s v="08-2019"/>
  </r>
  <r>
    <n v="23911"/>
    <x v="149"/>
    <s v="Critical"/>
    <x v="24"/>
    <x v="8"/>
    <x v="8"/>
    <n v="1022.34"/>
    <x v="0"/>
    <n v="0"/>
    <n v="1022.34"/>
    <n v="7"/>
    <n v="1022.34"/>
    <x v="0"/>
    <n v="1022.34"/>
    <s v="06-2019"/>
  </r>
  <r>
    <n v="21382"/>
    <x v="61"/>
    <s v="Critical"/>
    <x v="5"/>
    <x v="4"/>
    <x v="4"/>
    <n v="6886.38"/>
    <x v="0"/>
    <n v="0"/>
    <n v="6886.38"/>
    <n v="69.3"/>
    <n v="6886.38"/>
    <x v="2"/>
    <n v="6886.38"/>
    <s v="01-2019"/>
  </r>
  <r>
    <n v="55651"/>
    <x v="85"/>
    <s v="Medium"/>
    <x v="22"/>
    <x v="7"/>
    <x v="7"/>
    <n v="1065.42"/>
    <x v="0"/>
    <n v="0"/>
    <n v="1065.42"/>
    <n v="2.7"/>
    <n v="1065.42"/>
    <x v="0"/>
    <n v="1065.42"/>
    <s v="03-2019"/>
  </r>
  <r>
    <n v="2209"/>
    <x v="156"/>
    <s v="High"/>
    <x v="43"/>
    <x v="3"/>
    <x v="3"/>
    <n v="6.08"/>
    <x v="0"/>
    <n v="0"/>
    <n v="6.08"/>
    <n v="0.9"/>
    <n v="6.08"/>
    <x v="0"/>
    <n v="6.08"/>
    <s v="07-2019"/>
  </r>
  <r>
    <n v="53571"/>
    <x v="108"/>
    <s v="Not Specified"/>
    <x v="5"/>
    <x v="4"/>
    <x v="4"/>
    <n v="254.72"/>
    <x v="0"/>
    <n v="0"/>
    <n v="254.72"/>
    <n v="3.2"/>
    <n v="254.72"/>
    <x v="0"/>
    <n v="254.72"/>
    <s v="03-2019"/>
  </r>
  <r>
    <n v="25476"/>
    <x v="157"/>
    <s v="Not Specified"/>
    <x v="5"/>
    <x v="4"/>
    <x v="4"/>
    <n v="724.06"/>
    <x v="0"/>
    <n v="0"/>
    <n v="724.06"/>
    <n v="2.1"/>
    <n v="724.06"/>
    <x v="0"/>
    <n v="724.06"/>
    <s v="10-2019"/>
  </r>
  <r>
    <n v="38437"/>
    <x v="158"/>
    <s v="Critical"/>
    <x v="24"/>
    <x v="8"/>
    <x v="8"/>
    <n v="4495.57"/>
    <x v="0"/>
    <n v="0"/>
    <n v="4495.57"/>
    <n v="55.9"/>
    <n v="4495.57"/>
    <x v="2"/>
    <n v="4495.57"/>
    <s v="05-2019"/>
  </r>
  <r>
    <n v="29761"/>
    <x v="78"/>
    <s v="Medium"/>
    <x v="24"/>
    <x v="8"/>
    <x v="8"/>
    <n v="132.33000000000001"/>
    <x v="0"/>
    <n v="0"/>
    <n v="132.33000000000001"/>
    <n v="5.6"/>
    <n v="132.33000000000001"/>
    <x v="0"/>
    <n v="132.33000000000001"/>
    <s v="07-2019"/>
  </r>
  <r>
    <n v="33477"/>
    <x v="102"/>
    <s v="High"/>
    <x v="23"/>
    <x v="6"/>
    <x v="6"/>
    <n v="288.13"/>
    <x v="0"/>
    <n v="0"/>
    <n v="288.13"/>
    <n v="1.1000000000000001"/>
    <n v="288.13"/>
    <x v="0"/>
    <n v="288.13"/>
    <s v="10-2019"/>
  </r>
  <r>
    <n v="29347"/>
    <x v="83"/>
    <s v="Medium"/>
    <x v="3"/>
    <x v="2"/>
    <x v="2"/>
    <n v="2183.2199999999998"/>
    <x v="1"/>
    <n v="21.832199999999997"/>
    <n v="2161.3878"/>
    <n v="21.4"/>
    <n v="2161.8199999999997"/>
    <x v="0"/>
    <n v="2161.3878"/>
    <s v="08-2019"/>
  </r>
  <r>
    <n v="38851"/>
    <x v="74"/>
    <s v="Critical"/>
    <x v="43"/>
    <x v="3"/>
    <x v="3"/>
    <n v="9.08"/>
    <x v="0"/>
    <n v="0"/>
    <n v="9.08"/>
    <n v="5"/>
    <n v="9.08"/>
    <x v="0"/>
    <n v="9.08"/>
    <s v="06-2019"/>
  </r>
  <r>
    <n v="3205"/>
    <x v="159"/>
    <s v="Low"/>
    <x v="15"/>
    <x v="1"/>
    <x v="1"/>
    <n v="3111.1641"/>
    <x v="1"/>
    <n v="31.111640999999999"/>
    <n v="3080.052459"/>
    <n v="73.8"/>
    <n v="3037.3640999999998"/>
    <x v="1"/>
    <n v="3037.3640999999998"/>
    <s v="04-2019"/>
  </r>
  <r>
    <n v="26726"/>
    <x v="134"/>
    <s v="High"/>
    <x v="22"/>
    <x v="7"/>
    <x v="7"/>
    <n v="92.75"/>
    <x v="0"/>
    <n v="0"/>
    <n v="92.75"/>
    <n v="52.4"/>
    <n v="92.75"/>
    <x v="0"/>
    <n v="92.75"/>
    <s v="12-2019"/>
  </r>
  <r>
    <n v="3680"/>
    <x v="160"/>
    <s v="Not Specified"/>
    <x v="10"/>
    <x v="4"/>
    <x v="4"/>
    <n v="106.5"/>
    <x v="0"/>
    <n v="0"/>
    <n v="106.5"/>
    <n v="1.6"/>
    <n v="106.5"/>
    <x v="1"/>
    <n v="106.5"/>
    <s v="12-2019"/>
  </r>
  <r>
    <n v="14784"/>
    <x v="161"/>
    <s v="Medium"/>
    <x v="20"/>
    <x v="1"/>
    <x v="1"/>
    <n v="2149.6799999999998"/>
    <x v="1"/>
    <n v="21.4968"/>
    <n v="2128.1831999999999"/>
    <n v="49.9"/>
    <n v="2099.7799999999997"/>
    <x v="2"/>
    <n v="2099.7799999999997"/>
    <s v="03-2019"/>
  </r>
  <r>
    <n v="17799"/>
    <x v="140"/>
    <s v="Medium"/>
    <x v="30"/>
    <x v="9"/>
    <x v="9"/>
    <n v="159.97999999999999"/>
    <x v="0"/>
    <n v="0"/>
    <n v="159.97999999999999"/>
    <n v="13.3"/>
    <n v="159.97999999999999"/>
    <x v="0"/>
    <n v="159.97999999999999"/>
    <s v="09-2019"/>
  </r>
  <r>
    <n v="16709"/>
    <x v="162"/>
    <s v="High"/>
    <x v="4"/>
    <x v="3"/>
    <x v="3"/>
    <n v="26.07"/>
    <x v="0"/>
    <n v="0"/>
    <n v="26.07"/>
    <n v="6.1"/>
    <n v="26.07"/>
    <x v="0"/>
    <n v="26.07"/>
    <s v="10-2019"/>
  </r>
  <r>
    <n v="46691"/>
    <x v="163"/>
    <s v="Critical"/>
    <x v="12"/>
    <x v="2"/>
    <x v="2"/>
    <n v="1793.59"/>
    <x v="1"/>
    <n v="17.9359"/>
    <n v="1775.6541"/>
    <n v="24.2"/>
    <n v="1769.3899999999999"/>
    <x v="0"/>
    <n v="1769.3899999999999"/>
    <s v="06-2019"/>
  </r>
  <r>
    <n v="51044"/>
    <x v="164"/>
    <s v="Low"/>
    <x v="11"/>
    <x v="6"/>
    <x v="6"/>
    <n v="1426.5"/>
    <x v="0"/>
    <n v="0"/>
    <n v="1426.5"/>
    <n v="15.2"/>
    <n v="1426.5"/>
    <x v="2"/>
    <n v="1426.5"/>
    <s v="01-2019"/>
  </r>
  <r>
    <n v="22183"/>
    <x v="165"/>
    <s v="Medium"/>
    <x v="17"/>
    <x v="6"/>
    <x v="6"/>
    <n v="189.63"/>
    <x v="0"/>
    <n v="0"/>
    <n v="189.63"/>
    <n v="1.1000000000000001"/>
    <n v="189.63"/>
    <x v="0"/>
    <n v="189.63"/>
    <s v="04-2019"/>
  </r>
  <r>
    <n v="13892"/>
    <x v="3"/>
    <s v="High"/>
    <x v="12"/>
    <x v="2"/>
    <x v="2"/>
    <n v="1548.26"/>
    <x v="1"/>
    <n v="15.4826"/>
    <n v="1532.7773999999999"/>
    <n v="2.1"/>
    <n v="1546.16"/>
    <x v="0"/>
    <n v="1532.7773999999999"/>
    <s v="04-2019"/>
  </r>
  <r>
    <n v="13988"/>
    <x v="96"/>
    <s v="Not Specified"/>
    <x v="41"/>
    <x v="5"/>
    <x v="5"/>
    <n v="670.85"/>
    <x v="1"/>
    <n v="6.7085000000000008"/>
    <n v="664.14150000000006"/>
    <n v="8.1999999999999993"/>
    <n v="662.65"/>
    <x v="0"/>
    <n v="662.65"/>
    <s v="08-2019"/>
  </r>
  <r>
    <n v="53024"/>
    <x v="91"/>
    <s v="Not Specified"/>
    <x v="27"/>
    <x v="2"/>
    <x v="2"/>
    <n v="2413.06"/>
    <x v="1"/>
    <n v="24.130600000000001"/>
    <n v="2388.9294"/>
    <n v="5.4"/>
    <n v="2407.66"/>
    <x v="0"/>
    <n v="2388.9294"/>
    <s v="05-2019"/>
  </r>
  <r>
    <n v="39938"/>
    <x v="74"/>
    <s v="High"/>
    <x v="18"/>
    <x v="3"/>
    <x v="3"/>
    <n v="181.12"/>
    <x v="0"/>
    <n v="0"/>
    <n v="181.12"/>
    <n v="9.6"/>
    <n v="181.12"/>
    <x v="0"/>
    <n v="181.12"/>
    <s v="06-2019"/>
  </r>
  <r>
    <n v="6373"/>
    <x v="166"/>
    <s v="Not Specified"/>
    <x v="43"/>
    <x v="3"/>
    <x v="3"/>
    <n v="67.16"/>
    <x v="0"/>
    <n v="0"/>
    <n v="67.16"/>
    <n v="4.8"/>
    <n v="67.16"/>
    <x v="0"/>
    <n v="67.16"/>
    <s v="01-2019"/>
  </r>
  <r>
    <n v="6182"/>
    <x v="167"/>
    <s v="Low"/>
    <x v="28"/>
    <x v="5"/>
    <x v="5"/>
    <n v="273.36"/>
    <x v="1"/>
    <n v="2.7336"/>
    <n v="270.62639999999999"/>
    <n v="7.1"/>
    <n v="266.26"/>
    <x v="0"/>
    <n v="266.26"/>
    <s v="07-2019"/>
  </r>
  <r>
    <n v="17953"/>
    <x v="37"/>
    <s v="High"/>
    <x v="5"/>
    <x v="4"/>
    <x v="4"/>
    <n v="1594.9"/>
    <x v="0"/>
    <n v="0"/>
    <n v="1594.9"/>
    <n v="64.2"/>
    <n v="1594.9"/>
    <x v="2"/>
    <n v="1594.9"/>
    <s v="08-2019"/>
  </r>
  <r>
    <n v="23584"/>
    <x v="168"/>
    <s v="Critical"/>
    <x v="26"/>
    <x v="7"/>
    <x v="7"/>
    <n v="2858.19"/>
    <x v="0"/>
    <n v="0"/>
    <n v="2858.19"/>
    <n v="16.7"/>
    <n v="2858.19"/>
    <x v="2"/>
    <n v="2858.19"/>
    <s v="03-2019"/>
  </r>
  <r>
    <n v="31393"/>
    <x v="169"/>
    <s v="Critical"/>
    <x v="7"/>
    <x v="0"/>
    <x v="0"/>
    <n v="118.04"/>
    <x v="0"/>
    <n v="0"/>
    <n v="118.04"/>
    <n v="1.4"/>
    <n v="118.04"/>
    <x v="0"/>
    <n v="118.04"/>
    <s v="05-2019"/>
  </r>
  <r>
    <n v="42054"/>
    <x v="170"/>
    <s v="Medium"/>
    <x v="25"/>
    <x v="0"/>
    <x v="0"/>
    <n v="101.17"/>
    <x v="0"/>
    <n v="0"/>
    <n v="101.17"/>
    <n v="1.6"/>
    <n v="101.17"/>
    <x v="0"/>
    <n v="101.17"/>
    <s v="09-2019"/>
  </r>
  <r>
    <n v="26912"/>
    <x v="3"/>
    <s v="Low"/>
    <x v="38"/>
    <x v="8"/>
    <x v="8"/>
    <n v="3355.74"/>
    <x v="0"/>
    <n v="0"/>
    <n v="3355.74"/>
    <n v="5.6"/>
    <n v="3355.74"/>
    <x v="0"/>
    <n v="3355.74"/>
    <s v="04-2019"/>
  </r>
  <r>
    <n v="9925"/>
    <x v="32"/>
    <s v="Critical"/>
    <x v="7"/>
    <x v="0"/>
    <x v="0"/>
    <n v="732.42"/>
    <x v="0"/>
    <n v="0"/>
    <n v="732.42"/>
    <n v="9.6"/>
    <n v="732.42"/>
    <x v="0"/>
    <n v="732.42"/>
    <s v="01-2019"/>
  </r>
  <r>
    <n v="48448"/>
    <x v="171"/>
    <s v="Low"/>
    <x v="32"/>
    <x v="8"/>
    <x v="8"/>
    <n v="364.82"/>
    <x v="0"/>
    <n v="0"/>
    <n v="364.82"/>
    <n v="1.1000000000000001"/>
    <n v="364.82"/>
    <x v="0"/>
    <n v="364.82"/>
    <s v="11-2019"/>
  </r>
  <r>
    <n v="32386"/>
    <x v="172"/>
    <s v="Critical"/>
    <x v="43"/>
    <x v="3"/>
    <x v="3"/>
    <n v="2135.89"/>
    <x v="0"/>
    <n v="0"/>
    <n v="2135.89"/>
    <n v="15"/>
    <n v="2135.89"/>
    <x v="0"/>
    <n v="2135.89"/>
    <s v="04-2019"/>
  </r>
  <r>
    <n v="7427"/>
    <x v="31"/>
    <s v="Not Specified"/>
    <x v="35"/>
    <x v="9"/>
    <x v="9"/>
    <n v="195.02"/>
    <x v="0"/>
    <n v="0"/>
    <n v="195.02"/>
    <n v="1.6"/>
    <n v="195.02"/>
    <x v="0"/>
    <n v="195.02"/>
    <s v="12-2019"/>
  </r>
  <r>
    <n v="27302"/>
    <x v="173"/>
    <s v="Low"/>
    <x v="36"/>
    <x v="8"/>
    <x v="8"/>
    <n v="254.17"/>
    <x v="0"/>
    <n v="0"/>
    <n v="254.17"/>
    <n v="9.4"/>
    <n v="254.17"/>
    <x v="0"/>
    <n v="254.17"/>
    <s v="09-2019"/>
  </r>
  <r>
    <n v="52837"/>
    <x v="164"/>
    <s v="Critical"/>
    <x v="25"/>
    <x v="0"/>
    <x v="0"/>
    <n v="6349.8"/>
    <x v="0"/>
    <n v="0"/>
    <n v="6349.8"/>
    <n v="21.4"/>
    <n v="6349.8"/>
    <x v="0"/>
    <n v="6349.8"/>
    <s v="01-2019"/>
  </r>
  <r>
    <n v="40388"/>
    <x v="174"/>
    <s v="Critical"/>
    <x v="45"/>
    <x v="8"/>
    <x v="8"/>
    <n v="72.47"/>
    <x v="0"/>
    <n v="0"/>
    <n v="72.47"/>
    <n v="1"/>
    <n v="72.47"/>
    <x v="0"/>
    <n v="72.47"/>
    <s v="07-2019"/>
  </r>
  <r>
    <n v="1991"/>
    <x v="175"/>
    <s v="Not Specified"/>
    <x v="40"/>
    <x v="6"/>
    <x v="6"/>
    <n v="3735.43"/>
    <x v="0"/>
    <n v="0"/>
    <n v="3735.43"/>
    <n v="26.2"/>
    <n v="3735.43"/>
    <x v="0"/>
    <n v="3735.43"/>
    <s v="09-2019"/>
  </r>
  <r>
    <n v="33445"/>
    <x v="176"/>
    <s v="Low"/>
    <x v="21"/>
    <x v="2"/>
    <x v="2"/>
    <n v="3897.09"/>
    <x v="1"/>
    <n v="38.9709"/>
    <n v="3858.1190999999999"/>
    <n v="28.6"/>
    <n v="3868.4900000000002"/>
    <x v="2"/>
    <n v="3858.1190999999999"/>
    <s v="08-2019"/>
  </r>
  <r>
    <n v="28294"/>
    <x v="177"/>
    <s v="High"/>
    <x v="12"/>
    <x v="2"/>
    <x v="2"/>
    <n v="67.91"/>
    <x v="1"/>
    <n v="0.67909999999999993"/>
    <n v="67.230899999999991"/>
    <n v="0.7"/>
    <n v="67.209999999999994"/>
    <x v="0"/>
    <n v="67.209999999999994"/>
    <s v="05-2019"/>
  </r>
  <r>
    <n v="33184"/>
    <x v="178"/>
    <s v="Not Specified"/>
    <x v="25"/>
    <x v="0"/>
    <x v="0"/>
    <n v="430.66"/>
    <x v="0"/>
    <n v="0"/>
    <n v="430.66"/>
    <n v="6"/>
    <n v="430.66"/>
    <x v="0"/>
    <n v="430.66"/>
    <s v="02-2019"/>
  </r>
  <r>
    <n v="59878"/>
    <x v="98"/>
    <s v="High"/>
    <x v="42"/>
    <x v="4"/>
    <x v="4"/>
    <n v="267.11"/>
    <x v="0"/>
    <n v="0"/>
    <n v="267.11"/>
    <n v="8"/>
    <n v="267.11"/>
    <x v="0"/>
    <n v="267.11"/>
    <s v="05-2019"/>
  </r>
  <r>
    <n v="31555"/>
    <x v="39"/>
    <s v="Critical"/>
    <x v="8"/>
    <x v="5"/>
    <x v="5"/>
    <n v="3778.97"/>
    <x v="1"/>
    <n v="37.789699999999996"/>
    <n v="3741.1803"/>
    <n v="22.2"/>
    <n v="3756.77"/>
    <x v="0"/>
    <n v="3741.1803"/>
    <s v="01-2019"/>
  </r>
  <r>
    <n v="25986"/>
    <x v="179"/>
    <s v="Medium"/>
    <x v="49"/>
    <x v="2"/>
    <x v="2"/>
    <n v="297.52999999999997"/>
    <x v="1"/>
    <n v="2.9752999999999998"/>
    <n v="294.55469999999997"/>
    <n v="5.3"/>
    <n v="292.22999999999996"/>
    <x v="0"/>
    <n v="292.22999999999996"/>
    <s v="06-2019"/>
  </r>
  <r>
    <n v="40672"/>
    <x v="115"/>
    <s v="Low"/>
    <x v="36"/>
    <x v="8"/>
    <x v="8"/>
    <n v="1731.16"/>
    <x v="0"/>
    <n v="0"/>
    <n v="1731.16"/>
    <n v="38.299999999999997"/>
    <n v="1731.16"/>
    <x v="2"/>
    <n v="1731.16"/>
    <s v="10-2019"/>
  </r>
  <r>
    <n v="2562"/>
    <x v="43"/>
    <s v="Critical"/>
    <x v="45"/>
    <x v="8"/>
    <x v="8"/>
    <n v="878.66"/>
    <x v="0"/>
    <n v="0"/>
    <n v="878.66"/>
    <n v="6.2"/>
    <n v="878.66"/>
    <x v="1"/>
    <n v="878.66"/>
    <s v="07-2019"/>
  </r>
  <r>
    <n v="16706"/>
    <x v="90"/>
    <s v="High"/>
    <x v="12"/>
    <x v="2"/>
    <x v="2"/>
    <n v="2079.7800000000002"/>
    <x v="1"/>
    <n v="20.797800000000002"/>
    <n v="2058.9822000000004"/>
    <n v="36.6"/>
    <n v="2043.1800000000003"/>
    <x v="0"/>
    <n v="2043.1800000000003"/>
    <s v="06-2019"/>
  </r>
  <r>
    <n v="53285"/>
    <x v="180"/>
    <s v="Critical"/>
    <x v="44"/>
    <x v="9"/>
    <x v="9"/>
    <n v="1115.97"/>
    <x v="0"/>
    <n v="0"/>
    <n v="1115.97"/>
    <n v="21.4"/>
    <n v="1115.97"/>
    <x v="0"/>
    <n v="1115.97"/>
    <s v="05-2019"/>
  </r>
  <r>
    <n v="19044"/>
    <x v="181"/>
    <s v="Low"/>
    <x v="25"/>
    <x v="0"/>
    <x v="0"/>
    <n v="5136.47"/>
    <x v="0"/>
    <n v="0"/>
    <n v="5136.47"/>
    <n v="15"/>
    <n v="5136.47"/>
    <x v="0"/>
    <n v="5136.47"/>
    <s v="04-2019"/>
  </r>
  <r>
    <n v="6117"/>
    <x v="182"/>
    <s v="Critical"/>
    <x v="29"/>
    <x v="9"/>
    <x v="9"/>
    <n v="168.02"/>
    <x v="0"/>
    <n v="0"/>
    <n v="168.02"/>
    <n v="5.4"/>
    <n v="168.02"/>
    <x v="0"/>
    <n v="168.02"/>
    <s v="12-2019"/>
  </r>
  <r>
    <n v="49255"/>
    <x v="179"/>
    <s v="High"/>
    <x v="32"/>
    <x v="8"/>
    <x v="8"/>
    <n v="1452.46"/>
    <x v="0"/>
    <n v="0"/>
    <n v="1452.46"/>
    <n v="28.7"/>
    <n v="1452.46"/>
    <x v="2"/>
    <n v="1452.46"/>
    <s v="06-2019"/>
  </r>
  <r>
    <n v="48706"/>
    <x v="34"/>
    <s v="Low"/>
    <x v="38"/>
    <x v="8"/>
    <x v="8"/>
    <n v="142.07"/>
    <x v="0"/>
    <n v="0"/>
    <n v="142.07"/>
    <n v="11.9"/>
    <n v="142.07"/>
    <x v="0"/>
    <n v="142.07"/>
    <s v="10-2019"/>
  </r>
  <r>
    <n v="25666"/>
    <x v="42"/>
    <s v="Critical"/>
    <x v="34"/>
    <x v="5"/>
    <x v="5"/>
    <n v="5427.4"/>
    <x v="1"/>
    <n v="54.274000000000001"/>
    <n v="5373.1259999999993"/>
    <n v="21.4"/>
    <n v="5406"/>
    <x v="0"/>
    <n v="5373.1259999999993"/>
    <s v="09-2019"/>
  </r>
  <r>
    <n v="22182"/>
    <x v="183"/>
    <s v="Medium"/>
    <x v="39"/>
    <x v="3"/>
    <x v="3"/>
    <n v="59.89"/>
    <x v="0"/>
    <n v="0"/>
    <n v="59.89"/>
    <n v="7.7"/>
    <n v="59.89"/>
    <x v="0"/>
    <n v="59.89"/>
    <s v="09-2019"/>
  </r>
  <r>
    <n v="38052"/>
    <x v="142"/>
    <s v="Low"/>
    <x v="13"/>
    <x v="7"/>
    <x v="7"/>
    <n v="580.58000000000004"/>
    <x v="0"/>
    <n v="0"/>
    <n v="580.58000000000004"/>
    <n v="2.1"/>
    <n v="580.58000000000004"/>
    <x v="0"/>
    <n v="580.58000000000004"/>
    <s v="02-2019"/>
  </r>
  <r>
    <n v="53477"/>
    <x v="184"/>
    <s v="High"/>
    <x v="34"/>
    <x v="5"/>
    <x v="5"/>
    <n v="1406.68"/>
    <x v="1"/>
    <n v="14.066800000000001"/>
    <n v="1392.6132"/>
    <n v="5.4"/>
    <n v="1401.28"/>
    <x v="0"/>
    <n v="1392.6132"/>
    <s v="05-2019"/>
  </r>
  <r>
    <n v="31270"/>
    <x v="185"/>
    <s v="Medium"/>
    <x v="4"/>
    <x v="3"/>
    <x v="3"/>
    <n v="954.02"/>
    <x v="0"/>
    <n v="0"/>
    <n v="954.02"/>
    <n v="52.2"/>
    <n v="954.02"/>
    <x v="2"/>
    <n v="954.02"/>
    <s v="11-2019"/>
  </r>
  <r>
    <n v="51202"/>
    <x v="27"/>
    <s v="High"/>
    <x v="1"/>
    <x v="0"/>
    <x v="0"/>
    <n v="182.39"/>
    <x v="0"/>
    <n v="0"/>
    <n v="182.39"/>
    <n v="6.1"/>
    <n v="182.39"/>
    <x v="0"/>
    <n v="182.39"/>
    <s v="04-2019"/>
  </r>
  <r>
    <n v="16036"/>
    <x v="38"/>
    <s v="Medium"/>
    <x v="46"/>
    <x v="9"/>
    <x v="9"/>
    <n v="1411.78"/>
    <x v="0"/>
    <n v="0"/>
    <n v="1411.78"/>
    <n v="8.6"/>
    <n v="1411.78"/>
    <x v="0"/>
    <n v="1411.78"/>
    <s v="01-2019"/>
  </r>
  <r>
    <n v="17510"/>
    <x v="34"/>
    <s v="Critical"/>
    <x v="23"/>
    <x v="6"/>
    <x v="6"/>
    <n v="494.47"/>
    <x v="0"/>
    <n v="0"/>
    <n v="494.47"/>
    <n v="1.5"/>
    <n v="494.47"/>
    <x v="0"/>
    <n v="494.47"/>
    <s v="10-2019"/>
  </r>
  <r>
    <n v="10439"/>
    <x v="29"/>
    <s v="Not Specified"/>
    <x v="19"/>
    <x v="1"/>
    <x v="1"/>
    <n v="880.7491"/>
    <x v="1"/>
    <n v="8.8074910000000006"/>
    <n v="871.94160899999997"/>
    <n v="1.6"/>
    <n v="879.14909999999998"/>
    <x v="0"/>
    <n v="871.94160899999997"/>
    <s v="03-2019"/>
  </r>
  <r>
    <n v="15399"/>
    <x v="152"/>
    <s v="Critical"/>
    <x v="8"/>
    <x v="5"/>
    <x v="5"/>
    <n v="4267.26"/>
    <x v="1"/>
    <n v="42.672600000000003"/>
    <n v="4224.5874000000003"/>
    <n v="4.5"/>
    <n v="4262.76"/>
    <x v="0"/>
    <n v="4224.5874000000003"/>
    <s v="05-2019"/>
  </r>
  <r>
    <n v="48293"/>
    <x v="104"/>
    <s v="Critical"/>
    <x v="12"/>
    <x v="2"/>
    <x v="2"/>
    <n v="396.54"/>
    <x v="1"/>
    <n v="3.9654000000000003"/>
    <n v="392.57460000000003"/>
    <n v="1.5"/>
    <n v="395.04"/>
    <x v="0"/>
    <n v="392.57460000000003"/>
    <s v="04-2019"/>
  </r>
  <r>
    <n v="15296"/>
    <x v="117"/>
    <s v="Not Specified"/>
    <x v="8"/>
    <x v="5"/>
    <x v="5"/>
    <n v="6651.76"/>
    <x v="1"/>
    <n v="66.517600000000002"/>
    <n v="6585.2424000000001"/>
    <n v="21.4"/>
    <n v="6630.3600000000006"/>
    <x v="0"/>
    <n v="6585.2424000000001"/>
    <s v="08-2019"/>
  </r>
  <r>
    <n v="50818"/>
    <x v="162"/>
    <s v="Medium"/>
    <x v="1"/>
    <x v="0"/>
    <x v="0"/>
    <n v="5904.83"/>
    <x v="0"/>
    <n v="0"/>
    <n v="5904.83"/>
    <n v="9.6"/>
    <n v="5904.83"/>
    <x v="0"/>
    <n v="5904.83"/>
    <s v="10-2019"/>
  </r>
  <r>
    <n v="41766"/>
    <x v="186"/>
    <s v="Critical"/>
    <x v="46"/>
    <x v="9"/>
    <x v="9"/>
    <n v="5519.16"/>
    <x v="0"/>
    <n v="0"/>
    <n v="5519.16"/>
    <n v="30.1"/>
    <n v="5519.16"/>
    <x v="2"/>
    <n v="5519.16"/>
    <s v="09-2019"/>
  </r>
  <r>
    <n v="22980"/>
    <x v="187"/>
    <s v="Not Specified"/>
    <x v="46"/>
    <x v="9"/>
    <x v="9"/>
    <n v="59.97"/>
    <x v="0"/>
    <n v="0"/>
    <n v="59.97"/>
    <n v="5.9"/>
    <n v="59.97"/>
    <x v="0"/>
    <n v="59.97"/>
    <s v="10-2019"/>
  </r>
  <r>
    <n v="30976"/>
    <x v="188"/>
    <s v="High"/>
    <x v="46"/>
    <x v="9"/>
    <x v="9"/>
    <n v="432.15159999999997"/>
    <x v="0"/>
    <n v="0"/>
    <n v="432.15159999999997"/>
    <n v="2.1"/>
    <n v="432.15159999999997"/>
    <x v="0"/>
    <n v="432.15159999999997"/>
    <s v="10-2019"/>
  </r>
  <r>
    <n v="32449"/>
    <x v="160"/>
    <s v="Critical"/>
    <x v="14"/>
    <x v="7"/>
    <x v="7"/>
    <n v="5229.24"/>
    <x v="0"/>
    <n v="0"/>
    <n v="5229.24"/>
    <n v="117.9"/>
    <n v="5229.24"/>
    <x v="2"/>
    <n v="5229.24"/>
    <s v="12-2019"/>
  </r>
  <r>
    <n v="48614"/>
    <x v="189"/>
    <s v="Critical"/>
    <x v="27"/>
    <x v="2"/>
    <x v="2"/>
    <n v="8523.52"/>
    <x v="1"/>
    <n v="85.235200000000006"/>
    <n v="8438.2847999999994"/>
    <n v="9.6"/>
    <n v="8513.92"/>
    <x v="0"/>
    <n v="8438.2847999999994"/>
    <s v="05-2019"/>
  </r>
  <r>
    <n v="43653"/>
    <x v="34"/>
    <s v="High"/>
    <x v="46"/>
    <x v="9"/>
    <x v="9"/>
    <n v="375.89"/>
    <x v="0"/>
    <n v="0"/>
    <n v="375.89"/>
    <n v="8.8000000000000007"/>
    <n v="375.89"/>
    <x v="0"/>
    <n v="375.89"/>
    <s v="10-2019"/>
  </r>
  <r>
    <n v="32449"/>
    <x v="160"/>
    <s v="Critical"/>
    <x v="2"/>
    <x v="1"/>
    <x v="1"/>
    <n v="7698.93"/>
    <x v="1"/>
    <n v="76.9893"/>
    <n v="7621.9407000000001"/>
    <n v="8.6"/>
    <n v="7690.33"/>
    <x v="1"/>
    <n v="7621.9407000000001"/>
    <s v="12-2019"/>
  </r>
  <r>
    <n v="28198"/>
    <x v="64"/>
    <s v="Medium"/>
    <x v="3"/>
    <x v="2"/>
    <x v="2"/>
    <n v="8243.24"/>
    <x v="1"/>
    <n v="82.432400000000001"/>
    <n v="8160.8076000000001"/>
    <n v="9.6"/>
    <n v="8233.64"/>
    <x v="0"/>
    <n v="8160.8076000000001"/>
    <s v="02-2019"/>
  </r>
  <r>
    <n v="20676"/>
    <x v="190"/>
    <s v="Low"/>
    <x v="6"/>
    <x v="4"/>
    <x v="4"/>
    <n v="47.05"/>
    <x v="0"/>
    <n v="0"/>
    <n v="47.05"/>
    <n v="1.6"/>
    <n v="47.05"/>
    <x v="0"/>
    <n v="47.05"/>
    <s v="11-2019"/>
  </r>
  <r>
    <n v="51111"/>
    <x v="191"/>
    <s v="Not Specified"/>
    <x v="43"/>
    <x v="3"/>
    <x v="3"/>
    <n v="65.37"/>
    <x v="0"/>
    <n v="0"/>
    <n v="65.37"/>
    <n v="6.3"/>
    <n v="65.37"/>
    <x v="0"/>
    <n v="65.37"/>
    <s v="02-2019"/>
  </r>
  <r>
    <n v="53477"/>
    <x v="184"/>
    <s v="High"/>
    <x v="25"/>
    <x v="0"/>
    <x v="0"/>
    <n v="3332.03"/>
    <x v="0"/>
    <n v="0"/>
    <n v="3332.03"/>
    <n v="79.599999999999994"/>
    <n v="3332.03"/>
    <x v="2"/>
    <n v="3332.03"/>
    <s v="05-2019"/>
  </r>
  <r>
    <n v="6885"/>
    <x v="192"/>
    <s v="Low"/>
    <x v="39"/>
    <x v="3"/>
    <x v="3"/>
    <n v="514.96"/>
    <x v="0"/>
    <n v="0"/>
    <n v="514.96"/>
    <n v="32.1"/>
    <n v="514.96"/>
    <x v="2"/>
    <n v="514.96"/>
    <s v="06-2019"/>
  </r>
  <r>
    <n v="1537"/>
    <x v="55"/>
    <s v="Not Specified"/>
    <x v="18"/>
    <x v="3"/>
    <x v="3"/>
    <n v="17.760000000000002"/>
    <x v="0"/>
    <n v="0"/>
    <n v="17.760000000000002"/>
    <n v="6.5"/>
    <n v="17.760000000000002"/>
    <x v="0"/>
    <n v="17.760000000000002"/>
    <s v="02-2019"/>
  </r>
  <r>
    <n v="11362"/>
    <x v="53"/>
    <s v="Low"/>
    <x v="25"/>
    <x v="0"/>
    <x v="0"/>
    <n v="3472.93"/>
    <x v="0"/>
    <n v="0"/>
    <n v="3472.93"/>
    <n v="15"/>
    <n v="3472.93"/>
    <x v="0"/>
    <n v="3472.93"/>
    <s v="09-2019"/>
  </r>
  <r>
    <n v="54791"/>
    <x v="193"/>
    <s v="High"/>
    <x v="40"/>
    <x v="6"/>
    <x v="6"/>
    <n v="1163.71"/>
    <x v="0"/>
    <n v="0"/>
    <n v="1163.71"/>
    <n v="3.3"/>
    <n v="1163.71"/>
    <x v="0"/>
    <n v="1163.71"/>
    <s v="12-2019"/>
  </r>
  <r>
    <n v="36512"/>
    <x v="29"/>
    <s v="Not Specified"/>
    <x v="4"/>
    <x v="3"/>
    <x v="3"/>
    <n v="76.489999999999995"/>
    <x v="0"/>
    <n v="0"/>
    <n v="76.489999999999995"/>
    <n v="12"/>
    <n v="76.489999999999995"/>
    <x v="0"/>
    <n v="76.489999999999995"/>
    <s v="03-2019"/>
  </r>
  <r>
    <n v="22914"/>
    <x v="194"/>
    <s v="Critical"/>
    <x v="17"/>
    <x v="6"/>
    <x v="6"/>
    <n v="360.21550000000002"/>
    <x v="0"/>
    <n v="0"/>
    <n v="360.21550000000002"/>
    <n v="7.4"/>
    <n v="360.21550000000002"/>
    <x v="0"/>
    <n v="360.21550000000002"/>
    <s v="01-2019"/>
  </r>
  <r>
    <n v="56224"/>
    <x v="106"/>
    <s v="Medium"/>
    <x v="16"/>
    <x v="0"/>
    <x v="0"/>
    <n v="154.13999999999999"/>
    <x v="0"/>
    <n v="0"/>
    <n v="154.13999999999999"/>
    <n v="5.8"/>
    <n v="154.13999999999999"/>
    <x v="0"/>
    <n v="154.13999999999999"/>
    <s v="10-2019"/>
  </r>
  <r>
    <n v="15872"/>
    <x v="34"/>
    <s v="Not Specified"/>
    <x v="24"/>
    <x v="8"/>
    <x v="8"/>
    <n v="768.7"/>
    <x v="0"/>
    <n v="0"/>
    <n v="768.7"/>
    <n v="18.7"/>
    <n v="768.7"/>
    <x v="0"/>
    <n v="768.7"/>
    <s v="10-2019"/>
  </r>
  <r>
    <n v="57537"/>
    <x v="109"/>
    <s v="Medium"/>
    <x v="13"/>
    <x v="7"/>
    <x v="7"/>
    <n v="81.73"/>
    <x v="0"/>
    <n v="0"/>
    <n v="81.73"/>
    <n v="5.6"/>
    <n v="81.73"/>
    <x v="1"/>
    <n v="81.73"/>
    <s v="09-2019"/>
  </r>
  <r>
    <n v="130"/>
    <x v="105"/>
    <s v="High"/>
    <x v="48"/>
    <x v="6"/>
    <x v="6"/>
    <n v="615.37"/>
    <x v="0"/>
    <n v="0"/>
    <n v="615.37"/>
    <n v="9.6999999999999993"/>
    <n v="615.37"/>
    <x v="0"/>
    <n v="615.37"/>
    <s v="05-2019"/>
  </r>
  <r>
    <n v="56708"/>
    <x v="116"/>
    <s v="Not Specified"/>
    <x v="34"/>
    <x v="5"/>
    <x v="5"/>
    <n v="435.67"/>
    <x v="1"/>
    <n v="4.3567"/>
    <n v="431.31330000000003"/>
    <n v="7.5"/>
    <n v="428.17"/>
    <x v="0"/>
    <n v="428.17"/>
    <s v="12-2019"/>
  </r>
  <r>
    <n v="3810"/>
    <x v="110"/>
    <s v="Critical"/>
    <x v="31"/>
    <x v="4"/>
    <x v="4"/>
    <n v="83.74"/>
    <x v="0"/>
    <n v="0"/>
    <n v="83.74"/>
    <n v="0.5"/>
    <n v="83.74"/>
    <x v="1"/>
    <n v="83.74"/>
    <s v="09-2019"/>
  </r>
  <r>
    <n v="1154"/>
    <x v="55"/>
    <s v="Critical"/>
    <x v="2"/>
    <x v="1"/>
    <x v="1"/>
    <n v="4774.59"/>
    <x v="1"/>
    <n v="47.745900000000006"/>
    <n v="4726.8441000000003"/>
    <n v="28.1"/>
    <n v="4746.49"/>
    <x v="2"/>
    <n v="4726.8441000000003"/>
    <s v="02-2019"/>
  </r>
  <r>
    <n v="52932"/>
    <x v="91"/>
    <s v="Low"/>
    <x v="4"/>
    <x v="3"/>
    <x v="3"/>
    <n v="28.07"/>
    <x v="0"/>
    <n v="0"/>
    <n v="28.07"/>
    <n v="7.1"/>
    <n v="28.07"/>
    <x v="0"/>
    <n v="28.07"/>
    <s v="05-2019"/>
  </r>
  <r>
    <n v="10466"/>
    <x v="195"/>
    <s v="High"/>
    <x v="40"/>
    <x v="6"/>
    <x v="6"/>
    <n v="122.9"/>
    <x v="0"/>
    <n v="0"/>
    <n v="122.9"/>
    <n v="1"/>
    <n v="122.9"/>
    <x v="0"/>
    <n v="122.9"/>
    <s v="12-2019"/>
  </r>
  <r>
    <n v="27138"/>
    <x v="196"/>
    <s v="High"/>
    <x v="7"/>
    <x v="0"/>
    <x v="0"/>
    <n v="3184.54"/>
    <x v="0"/>
    <n v="0"/>
    <n v="3184.54"/>
    <n v="38.299999999999997"/>
    <n v="3184.54"/>
    <x v="2"/>
    <n v="3184.54"/>
    <s v="05-2019"/>
  </r>
  <r>
    <n v="22819"/>
    <x v="89"/>
    <s v="High"/>
    <x v="43"/>
    <x v="3"/>
    <x v="3"/>
    <n v="7.24"/>
    <x v="0"/>
    <n v="0"/>
    <n v="7.24"/>
    <n v="4.5999999999999996"/>
    <n v="7.24"/>
    <x v="0"/>
    <n v="7.24"/>
    <s v="11-2019"/>
  </r>
  <r>
    <n v="10982"/>
    <x v="73"/>
    <s v="Not Specified"/>
    <x v="17"/>
    <x v="6"/>
    <x v="6"/>
    <n v="3921.99"/>
    <x v="0"/>
    <n v="0"/>
    <n v="3921.99"/>
    <n v="21.4"/>
    <n v="3921.99"/>
    <x v="0"/>
    <n v="3921.99"/>
    <s v="12-2019"/>
  </r>
  <r>
    <n v="59585"/>
    <x v="30"/>
    <s v="High"/>
    <x v="9"/>
    <x v="1"/>
    <x v="1"/>
    <n v="761.88"/>
    <x v="1"/>
    <n v="7.6188000000000002"/>
    <n v="754.26120000000003"/>
    <n v="10.1"/>
    <n v="751.78"/>
    <x v="0"/>
    <n v="751.78"/>
    <s v="09-2019"/>
  </r>
  <r>
    <n v="45440"/>
    <x v="137"/>
    <s v="Critical"/>
    <x v="18"/>
    <x v="3"/>
    <x v="3"/>
    <n v="800.67"/>
    <x v="0"/>
    <n v="0"/>
    <n v="800.67"/>
    <n v="30.6"/>
    <n v="800.67"/>
    <x v="2"/>
    <n v="800.67"/>
    <s v="08-2019"/>
  </r>
  <r>
    <n v="51872"/>
    <x v="165"/>
    <s v="Medium"/>
    <x v="46"/>
    <x v="9"/>
    <x v="9"/>
    <n v="2347.5100000000002"/>
    <x v="0"/>
    <n v="0"/>
    <n v="2347.5100000000002"/>
    <n v="26.2"/>
    <n v="2347.5100000000002"/>
    <x v="0"/>
    <n v="2347.5100000000002"/>
    <s v="04-2019"/>
  </r>
  <r>
    <n v="8224"/>
    <x v="197"/>
    <s v="Not Specified"/>
    <x v="19"/>
    <x v="1"/>
    <x v="1"/>
    <n v="96.05"/>
    <x v="1"/>
    <n v="0.96050000000000002"/>
    <n v="95.089500000000001"/>
    <n v="1.1000000000000001"/>
    <n v="94.95"/>
    <x v="0"/>
    <n v="94.95"/>
    <s v="02-2019"/>
  </r>
  <r>
    <n v="42848"/>
    <x v="162"/>
    <s v="Not Specified"/>
    <x v="3"/>
    <x v="2"/>
    <x v="2"/>
    <n v="414.94"/>
    <x v="1"/>
    <n v="4.1494"/>
    <n v="410.79059999999998"/>
    <n v="6.2"/>
    <n v="408.74"/>
    <x v="0"/>
    <n v="408.74"/>
    <s v="10-2019"/>
  </r>
  <r>
    <n v="43010"/>
    <x v="40"/>
    <s v="Critical"/>
    <x v="10"/>
    <x v="4"/>
    <x v="4"/>
    <n v="262.72000000000003"/>
    <x v="0"/>
    <n v="0"/>
    <n v="262.72000000000003"/>
    <n v="2.4"/>
    <n v="262.72000000000003"/>
    <x v="0"/>
    <n v="262.72000000000003"/>
    <s v="10-2019"/>
  </r>
  <r>
    <n v="2562"/>
    <x v="43"/>
    <s v="Critical"/>
    <x v="23"/>
    <x v="6"/>
    <x v="6"/>
    <n v="69.36"/>
    <x v="0"/>
    <n v="0"/>
    <n v="69.36"/>
    <n v="2.1"/>
    <n v="69.36"/>
    <x v="0"/>
    <n v="69.36"/>
    <s v="07-2019"/>
  </r>
  <r>
    <n v="57671"/>
    <x v="198"/>
    <s v="Not Specified"/>
    <x v="44"/>
    <x v="9"/>
    <x v="9"/>
    <n v="24.37"/>
    <x v="0"/>
    <n v="0"/>
    <n v="24.37"/>
    <n v="0.5"/>
    <n v="24.37"/>
    <x v="0"/>
    <n v="24.37"/>
    <s v="11-2019"/>
  </r>
  <r>
    <n v="33924"/>
    <x v="93"/>
    <s v="Not Specified"/>
    <x v="14"/>
    <x v="7"/>
    <x v="7"/>
    <n v="6599.83"/>
    <x v="0"/>
    <n v="0"/>
    <n v="6599.83"/>
    <n v="30.1"/>
    <n v="6599.83"/>
    <x v="2"/>
    <n v="6599.83"/>
    <s v="10-2019"/>
  </r>
  <r>
    <n v="24066"/>
    <x v="27"/>
    <s v="High"/>
    <x v="17"/>
    <x v="6"/>
    <x v="6"/>
    <n v="4578.1126999999997"/>
    <x v="0"/>
    <n v="0"/>
    <n v="4578.1126999999997"/>
    <n v="70.900000000000006"/>
    <n v="4578.1126999999997"/>
    <x v="2"/>
    <n v="4578.1126999999997"/>
    <s v="04-2019"/>
  </r>
  <r>
    <n v="53024"/>
    <x v="91"/>
    <s v="Not Specified"/>
    <x v="35"/>
    <x v="9"/>
    <x v="9"/>
    <n v="200.23"/>
    <x v="0"/>
    <n v="0"/>
    <n v="200.23"/>
    <n v="15.4"/>
    <n v="200.23"/>
    <x v="0"/>
    <n v="200.23"/>
    <s v="05-2019"/>
  </r>
  <r>
    <n v="53378"/>
    <x v="199"/>
    <s v="Medium"/>
    <x v="21"/>
    <x v="2"/>
    <x v="2"/>
    <n v="2543.69"/>
    <x v="1"/>
    <n v="25.436900000000001"/>
    <n v="2518.2530999999999"/>
    <n v="5.4"/>
    <n v="2538.29"/>
    <x v="0"/>
    <n v="2518.2530999999999"/>
    <s v="07-2019"/>
  </r>
  <r>
    <n v="21505"/>
    <x v="200"/>
    <s v="Low"/>
    <x v="4"/>
    <x v="3"/>
    <x v="3"/>
    <n v="976.21"/>
    <x v="0"/>
    <n v="0"/>
    <n v="976.21"/>
    <n v="74.400000000000006"/>
    <n v="976.21"/>
    <x v="2"/>
    <n v="976.21"/>
    <s v="12-2019"/>
  </r>
  <r>
    <n v="42306"/>
    <x v="170"/>
    <s v="High"/>
    <x v="39"/>
    <x v="3"/>
    <x v="3"/>
    <n v="39.01"/>
    <x v="0"/>
    <n v="0"/>
    <n v="39.01"/>
    <n v="3.2"/>
    <n v="39.01"/>
    <x v="0"/>
    <n v="39.01"/>
    <s v="09-2019"/>
  </r>
  <r>
    <n v="8833"/>
    <x v="201"/>
    <s v="Low"/>
    <x v="28"/>
    <x v="5"/>
    <x v="5"/>
    <n v="3572.7085999999999"/>
    <x v="1"/>
    <n v="35.727086"/>
    <n v="3536.9815140000001"/>
    <n v="37.5"/>
    <n v="3535.2085999999999"/>
    <x v="0"/>
    <n v="3535.2085999999999"/>
    <s v="05-2019"/>
  </r>
  <r>
    <n v="56224"/>
    <x v="106"/>
    <s v="Medium"/>
    <x v="25"/>
    <x v="0"/>
    <x v="0"/>
    <n v="3429.61"/>
    <x v="0"/>
    <n v="0"/>
    <n v="3429.61"/>
    <n v="79.599999999999994"/>
    <n v="3429.61"/>
    <x v="2"/>
    <n v="3429.61"/>
    <s v="10-2019"/>
  </r>
  <r>
    <n v="8678"/>
    <x v="5"/>
    <s v="Low"/>
    <x v="7"/>
    <x v="0"/>
    <x v="0"/>
    <n v="1003.45"/>
    <x v="0"/>
    <n v="0"/>
    <n v="1003.45"/>
    <n v="7.1"/>
    <n v="1003.45"/>
    <x v="0"/>
    <n v="1003.45"/>
    <s v="09-2019"/>
  </r>
  <r>
    <n v="37763"/>
    <x v="64"/>
    <s v="Not Specified"/>
    <x v="48"/>
    <x v="6"/>
    <x v="6"/>
    <n v="181.48269999999999"/>
    <x v="0"/>
    <n v="0"/>
    <n v="181.48269999999999"/>
    <n v="10.6"/>
    <n v="181.48269999999999"/>
    <x v="0"/>
    <n v="181.48269999999999"/>
    <s v="02-2019"/>
  </r>
  <r>
    <n v="12129"/>
    <x v="195"/>
    <s v="Medium"/>
    <x v="34"/>
    <x v="5"/>
    <x v="5"/>
    <n v="5191.6899999999996"/>
    <x v="1"/>
    <n v="51.916899999999998"/>
    <n v="5139.7730999999994"/>
    <n v="75.099999999999994"/>
    <n v="5116.5899999999992"/>
    <x v="2"/>
    <n v="5116.5899999999992"/>
    <s v="12-2019"/>
  </r>
  <r>
    <n v="36832"/>
    <x v="149"/>
    <s v="Low"/>
    <x v="10"/>
    <x v="4"/>
    <x v="4"/>
    <n v="64.938299999999998"/>
    <x v="0"/>
    <n v="0"/>
    <n v="64.938299999999998"/>
    <n v="2.1"/>
    <n v="64.938299999999998"/>
    <x v="1"/>
    <n v="64.938299999999998"/>
    <s v="06-2019"/>
  </r>
  <r>
    <n v="13923"/>
    <x v="62"/>
    <s v="High"/>
    <x v="21"/>
    <x v="2"/>
    <x v="2"/>
    <n v="1305.6500000000001"/>
    <x v="1"/>
    <n v="13.056500000000002"/>
    <n v="1292.5935000000002"/>
    <n v="12.3"/>
    <n v="1293.3500000000001"/>
    <x v="0"/>
    <n v="1292.5935000000002"/>
    <s v="07-2019"/>
  </r>
  <r>
    <n v="30375"/>
    <x v="202"/>
    <s v="Low"/>
    <x v="32"/>
    <x v="8"/>
    <x v="8"/>
    <n v="76.45"/>
    <x v="0"/>
    <n v="0"/>
    <n v="76.45"/>
    <n v="6.7"/>
    <n v="76.45"/>
    <x v="0"/>
    <n v="76.45"/>
    <s v="05-2019"/>
  </r>
  <r>
    <n v="18918"/>
    <x v="65"/>
    <s v="Not Specified"/>
    <x v="29"/>
    <x v="9"/>
    <x v="9"/>
    <n v="6808.3458000000001"/>
    <x v="0"/>
    <n v="0"/>
    <n v="6808.3458000000001"/>
    <n v="15"/>
    <n v="6808.3458000000001"/>
    <x v="0"/>
    <n v="6808.3458000000001"/>
    <s v="10-2019"/>
  </r>
  <r>
    <n v="36929"/>
    <x v="1"/>
    <s v="Low"/>
    <x v="9"/>
    <x v="1"/>
    <x v="1"/>
    <n v="3892.95"/>
    <x v="1"/>
    <n v="38.929499999999997"/>
    <n v="3854.0204999999996"/>
    <n v="4.8"/>
    <n v="3888.1499999999996"/>
    <x v="0"/>
    <n v="3854.0204999999996"/>
    <s v="05-2019"/>
  </r>
  <r>
    <n v="3654"/>
    <x v="75"/>
    <s v="Low"/>
    <x v="41"/>
    <x v="5"/>
    <x v="5"/>
    <n v="7852.51"/>
    <x v="1"/>
    <n v="78.525100000000009"/>
    <n v="7773.9849000000004"/>
    <n v="15"/>
    <n v="7837.51"/>
    <x v="0"/>
    <n v="7773.9849000000004"/>
    <s v="06-2019"/>
  </r>
  <r>
    <n v="39425"/>
    <x v="203"/>
    <s v="Critical"/>
    <x v="42"/>
    <x v="4"/>
    <x v="4"/>
    <n v="1356.18"/>
    <x v="0"/>
    <n v="0"/>
    <n v="1356.18"/>
    <n v="6.4"/>
    <n v="1356.18"/>
    <x v="0"/>
    <n v="1356.18"/>
    <s v="08-2019"/>
  </r>
  <r>
    <n v="17797"/>
    <x v="45"/>
    <s v="Low"/>
    <x v="46"/>
    <x v="9"/>
    <x v="9"/>
    <n v="1152.69"/>
    <x v="0"/>
    <n v="0"/>
    <n v="1152.69"/>
    <n v="61.4"/>
    <n v="1152.69"/>
    <x v="2"/>
    <n v="1152.69"/>
    <s v="07-2019"/>
  </r>
  <r>
    <n v="55779"/>
    <x v="204"/>
    <s v="Critical"/>
    <x v="11"/>
    <x v="6"/>
    <x v="6"/>
    <n v="4358.29"/>
    <x v="0"/>
    <n v="0"/>
    <n v="4358.29"/>
    <n v="32.1"/>
    <n v="4358.29"/>
    <x v="2"/>
    <n v="4358.29"/>
    <s v="03-2019"/>
  </r>
  <r>
    <n v="31302"/>
    <x v="96"/>
    <s v="High"/>
    <x v="19"/>
    <x v="1"/>
    <x v="1"/>
    <n v="4974.04"/>
    <x v="1"/>
    <n v="49.740400000000001"/>
    <n v="4924.2996000000003"/>
    <n v="2.1"/>
    <n v="4971.9399999999996"/>
    <x v="0"/>
    <n v="4924.2996000000003"/>
    <s v="08-2019"/>
  </r>
  <r>
    <n v="10470"/>
    <x v="201"/>
    <s v="Low"/>
    <x v="32"/>
    <x v="8"/>
    <x v="8"/>
    <n v="3117.0657000000001"/>
    <x v="0"/>
    <n v="0"/>
    <n v="3117.0657000000001"/>
    <n v="5.3"/>
    <n v="3117.0657000000001"/>
    <x v="0"/>
    <n v="3117.0657000000001"/>
    <s v="05-2019"/>
  </r>
  <r>
    <n v="24613"/>
    <x v="47"/>
    <s v="Low"/>
    <x v="41"/>
    <x v="5"/>
    <x v="5"/>
    <n v="832.22"/>
    <x v="1"/>
    <n v="8.3222000000000005"/>
    <n v="823.89780000000007"/>
    <n v="4.4000000000000004"/>
    <n v="827.82"/>
    <x v="0"/>
    <n v="823.89780000000007"/>
    <s v="07-2019"/>
  </r>
  <r>
    <n v="8801"/>
    <x v="25"/>
    <s v="Low"/>
    <x v="31"/>
    <x v="4"/>
    <x v="4"/>
    <n v="2706.4537"/>
    <x v="0"/>
    <n v="0"/>
    <n v="2706.4537"/>
    <n v="3.2"/>
    <n v="2706.4537"/>
    <x v="1"/>
    <n v="2706.4537"/>
    <s v="08-2019"/>
  </r>
  <r>
    <n v="614"/>
    <x v="133"/>
    <s v="High"/>
    <x v="10"/>
    <x v="4"/>
    <x v="4"/>
    <n v="3601.73"/>
    <x v="0"/>
    <n v="0"/>
    <n v="3601.73"/>
    <n v="56.1"/>
    <n v="3601.73"/>
    <x v="2"/>
    <n v="3601.73"/>
    <s v="11-2019"/>
  </r>
  <r>
    <n v="32231"/>
    <x v="126"/>
    <s v="Low"/>
    <x v="2"/>
    <x v="1"/>
    <x v="1"/>
    <n v="205.79"/>
    <x v="1"/>
    <n v="2.0579000000000001"/>
    <n v="203.7321"/>
    <n v="1.3"/>
    <n v="204.48999999999998"/>
    <x v="0"/>
    <n v="203.7321"/>
    <s v="11-2019"/>
  </r>
  <r>
    <n v="29893"/>
    <x v="205"/>
    <s v="Medium"/>
    <x v="10"/>
    <x v="4"/>
    <x v="4"/>
    <n v="5834.6"/>
    <x v="0"/>
    <n v="0"/>
    <n v="5834.6"/>
    <n v="30.7"/>
    <n v="5834.6"/>
    <x v="2"/>
    <n v="5834.6"/>
    <s v="06-2019"/>
  </r>
  <r>
    <n v="22497"/>
    <x v="206"/>
    <s v="Medium"/>
    <x v="37"/>
    <x v="5"/>
    <x v="5"/>
    <n v="3487.4"/>
    <x v="1"/>
    <n v="34.874000000000002"/>
    <n v="3452.5259999999998"/>
    <n v="30"/>
    <n v="3457.4"/>
    <x v="2"/>
    <n v="3452.5259999999998"/>
    <s v="04-2019"/>
  </r>
  <r>
    <n v="54371"/>
    <x v="142"/>
    <s v="Not Specified"/>
    <x v="29"/>
    <x v="9"/>
    <x v="9"/>
    <n v="126.93"/>
    <x v="0"/>
    <n v="0"/>
    <n v="126.93"/>
    <n v="5.4"/>
    <n v="126.93"/>
    <x v="0"/>
    <n v="126.93"/>
    <s v="02-2019"/>
  </r>
  <r>
    <n v="39808"/>
    <x v="42"/>
    <s v="Low"/>
    <x v="3"/>
    <x v="2"/>
    <x v="2"/>
    <n v="2168.27"/>
    <x v="1"/>
    <n v="21.682700000000001"/>
    <n v="2146.5873000000001"/>
    <n v="10.5"/>
    <n v="2157.77"/>
    <x v="0"/>
    <n v="2146.5873000000001"/>
    <s v="09-2019"/>
  </r>
  <r>
    <n v="32610"/>
    <x v="19"/>
    <s v="Not Specified"/>
    <x v="12"/>
    <x v="2"/>
    <x v="2"/>
    <n v="339.18"/>
    <x v="1"/>
    <n v="3.3917999999999999"/>
    <n v="335.78820000000002"/>
    <n v="9"/>
    <n v="330.18"/>
    <x v="0"/>
    <n v="330.18"/>
    <s v="08-2019"/>
  </r>
  <r>
    <n v="54086"/>
    <x v="175"/>
    <s v="Low"/>
    <x v="42"/>
    <x v="4"/>
    <x v="4"/>
    <n v="5416.53"/>
    <x v="0"/>
    <n v="0"/>
    <n v="5416.53"/>
    <n v="30"/>
    <n v="5416.53"/>
    <x v="2"/>
    <n v="5416.53"/>
    <s v="09-2019"/>
  </r>
  <r>
    <n v="25733"/>
    <x v="91"/>
    <s v="Low"/>
    <x v="10"/>
    <x v="4"/>
    <x v="4"/>
    <n v="596.24"/>
    <x v="0"/>
    <n v="0"/>
    <n v="596.24"/>
    <n v="13.9"/>
    <n v="596.24"/>
    <x v="0"/>
    <n v="596.24"/>
    <s v="05-2019"/>
  </r>
  <r>
    <n v="9281"/>
    <x v="207"/>
    <s v="Critical"/>
    <x v="7"/>
    <x v="0"/>
    <x v="0"/>
    <n v="213.79"/>
    <x v="0"/>
    <n v="0"/>
    <n v="213.79"/>
    <n v="7.3"/>
    <n v="213.79"/>
    <x v="1"/>
    <n v="213.79"/>
    <s v="02-2019"/>
  </r>
  <r>
    <n v="9602"/>
    <x v="89"/>
    <s v="Critical"/>
    <x v="36"/>
    <x v="8"/>
    <x v="8"/>
    <n v="38.770000000000003"/>
    <x v="0"/>
    <n v="0"/>
    <n v="38.770000000000003"/>
    <n v="2.1"/>
    <n v="38.770000000000003"/>
    <x v="0"/>
    <n v="38.770000000000003"/>
    <s v="11-2019"/>
  </r>
  <r>
    <n v="1796"/>
    <x v="208"/>
    <s v="High"/>
    <x v="20"/>
    <x v="1"/>
    <x v="1"/>
    <n v="196.25"/>
    <x v="1"/>
    <n v="1.9625000000000001"/>
    <n v="194.28749999999999"/>
    <n v="5.4"/>
    <n v="190.85"/>
    <x v="0"/>
    <n v="190.85"/>
    <s v="11-2019"/>
  </r>
  <r>
    <n v="33444"/>
    <x v="162"/>
    <s v="Medium"/>
    <x v="22"/>
    <x v="7"/>
    <x v="7"/>
    <n v="32.65"/>
    <x v="0"/>
    <n v="0"/>
    <n v="32.65"/>
    <n v="2.6"/>
    <n v="32.65"/>
    <x v="0"/>
    <n v="32.65"/>
    <s v="10-2019"/>
  </r>
  <r>
    <n v="11398"/>
    <x v="209"/>
    <s v="High"/>
    <x v="36"/>
    <x v="8"/>
    <x v="8"/>
    <n v="117.38"/>
    <x v="0"/>
    <n v="0"/>
    <n v="117.38"/>
    <n v="11.1"/>
    <n v="117.38"/>
    <x v="0"/>
    <n v="117.38"/>
    <s v="08-2019"/>
  </r>
  <r>
    <n v="46626"/>
    <x v="90"/>
    <s v="Low"/>
    <x v="30"/>
    <x v="9"/>
    <x v="9"/>
    <n v="883.78"/>
    <x v="0"/>
    <n v="0"/>
    <n v="883.78"/>
    <n v="62.3"/>
    <n v="883.78"/>
    <x v="2"/>
    <n v="883.78"/>
    <s v="06-2019"/>
  </r>
  <r>
    <n v="41634"/>
    <x v="210"/>
    <s v="Not Specified"/>
    <x v="29"/>
    <x v="9"/>
    <x v="9"/>
    <n v="61.3645"/>
    <x v="0"/>
    <n v="0"/>
    <n v="61.3645"/>
    <n v="2.1"/>
    <n v="61.3645"/>
    <x v="0"/>
    <n v="61.3645"/>
    <s v="12-2019"/>
  </r>
  <r>
    <n v="42722"/>
    <x v="112"/>
    <s v="Not Specified"/>
    <x v="42"/>
    <x v="4"/>
    <x v="4"/>
    <n v="1232.81"/>
    <x v="0"/>
    <n v="0"/>
    <n v="1232.81"/>
    <n v="4.8"/>
    <n v="1232.81"/>
    <x v="0"/>
    <n v="1232.81"/>
    <s v="10-2019"/>
  </r>
  <r>
    <n v="33444"/>
    <x v="162"/>
    <s v="Medium"/>
    <x v="30"/>
    <x v="9"/>
    <x v="9"/>
    <n v="136.75"/>
    <x v="0"/>
    <n v="0"/>
    <n v="136.75"/>
    <n v="8"/>
    <n v="136.75"/>
    <x v="0"/>
    <n v="136.75"/>
    <s v="10-2019"/>
  </r>
  <r>
    <n v="26818"/>
    <x v="33"/>
    <s v="Not Specified"/>
    <x v="34"/>
    <x v="5"/>
    <x v="5"/>
    <n v="268.93"/>
    <x v="1"/>
    <n v="2.6893000000000002"/>
    <n v="266.2407"/>
    <n v="8.3000000000000007"/>
    <n v="260.63"/>
    <x v="0"/>
    <n v="260.63"/>
    <s v="01-2019"/>
  </r>
  <r>
    <n v="32449"/>
    <x v="160"/>
    <s v="Critical"/>
    <x v="41"/>
    <x v="5"/>
    <x v="5"/>
    <n v="297.01"/>
    <x v="1"/>
    <n v="2.9701"/>
    <n v="294.03989999999999"/>
    <n v="11.9"/>
    <n v="285.11"/>
    <x v="0"/>
    <n v="285.11"/>
    <s v="12-2019"/>
  </r>
  <r>
    <n v="52225"/>
    <x v="211"/>
    <s v="Critical"/>
    <x v="46"/>
    <x v="9"/>
    <x v="9"/>
    <n v="140.27000000000001"/>
    <x v="0"/>
    <n v="0"/>
    <n v="140.27000000000001"/>
    <n v="3"/>
    <n v="140.27000000000001"/>
    <x v="0"/>
    <n v="140.27000000000001"/>
    <s v="04-2019"/>
  </r>
  <r>
    <n v="35590"/>
    <x v="116"/>
    <s v="Critical"/>
    <x v="39"/>
    <x v="3"/>
    <x v="3"/>
    <n v="453.63"/>
    <x v="0"/>
    <n v="0"/>
    <n v="453.63"/>
    <n v="21.4"/>
    <n v="453.63"/>
    <x v="0"/>
    <n v="453.63"/>
    <s v="12-2019"/>
  </r>
  <r>
    <n v="5382"/>
    <x v="61"/>
    <s v="Low"/>
    <x v="17"/>
    <x v="6"/>
    <x v="6"/>
    <n v="278.33"/>
    <x v="0"/>
    <n v="0"/>
    <n v="278.33"/>
    <n v="4.5"/>
    <n v="278.33"/>
    <x v="0"/>
    <n v="278.33"/>
    <s v="01-2019"/>
  </r>
  <r>
    <n v="13543"/>
    <x v="212"/>
    <s v="Medium"/>
    <x v="33"/>
    <x v="3"/>
    <x v="3"/>
    <n v="29.78"/>
    <x v="0"/>
    <n v="0"/>
    <n v="29.78"/>
    <n v="10.1"/>
    <n v="29.78"/>
    <x v="0"/>
    <n v="29.78"/>
    <s v="08-2019"/>
  </r>
  <r>
    <n v="7106"/>
    <x v="6"/>
    <s v="Low"/>
    <x v="7"/>
    <x v="0"/>
    <x v="0"/>
    <n v="5253.8"/>
    <x v="0"/>
    <n v="0"/>
    <n v="5253.8"/>
    <n v="5.9"/>
    <n v="5253.8"/>
    <x v="0"/>
    <n v="5253.8"/>
    <s v="05-2019"/>
  </r>
  <r>
    <n v="58368"/>
    <x v="156"/>
    <s v="High"/>
    <x v="41"/>
    <x v="5"/>
    <x v="5"/>
    <n v="291.11"/>
    <x v="1"/>
    <n v="2.9111000000000002"/>
    <n v="288.19890000000004"/>
    <n v="10.199999999999999"/>
    <n v="280.91000000000003"/>
    <x v="0"/>
    <n v="280.91000000000003"/>
    <s v="07-2019"/>
  </r>
  <r>
    <n v="11874"/>
    <x v="87"/>
    <s v="Medium"/>
    <x v="32"/>
    <x v="8"/>
    <x v="8"/>
    <n v="830.07"/>
    <x v="0"/>
    <n v="0"/>
    <n v="830.07"/>
    <n v="10.5"/>
    <n v="830.07"/>
    <x v="0"/>
    <n v="830.07"/>
    <s v="09-2019"/>
  </r>
  <r>
    <n v="17735"/>
    <x v="213"/>
    <s v="Low"/>
    <x v="9"/>
    <x v="1"/>
    <x v="1"/>
    <n v="333.47"/>
    <x v="1"/>
    <n v="3.3347000000000002"/>
    <n v="330.13530000000003"/>
    <n v="5.9"/>
    <n v="327.57000000000005"/>
    <x v="0"/>
    <n v="327.57000000000005"/>
    <s v="07-2019"/>
  </r>
  <r>
    <n v="33159"/>
    <x v="3"/>
    <s v="Medium"/>
    <x v="4"/>
    <x v="3"/>
    <x v="3"/>
    <n v="60.66"/>
    <x v="0"/>
    <n v="0"/>
    <n v="60.66"/>
    <n v="1.1000000000000001"/>
    <n v="60.66"/>
    <x v="0"/>
    <n v="60.66"/>
    <s v="04-2019"/>
  </r>
  <r>
    <n v="1346"/>
    <x v="214"/>
    <s v="High"/>
    <x v="49"/>
    <x v="2"/>
    <x v="2"/>
    <n v="5125.18"/>
    <x v="1"/>
    <n v="51.251800000000003"/>
    <n v="5073.9282000000003"/>
    <n v="28.1"/>
    <n v="5097.08"/>
    <x v="2"/>
    <n v="5073.9282000000003"/>
    <s v="06-2019"/>
  </r>
  <r>
    <n v="47014"/>
    <x v="152"/>
    <s v="Critical"/>
    <x v="0"/>
    <x v="0"/>
    <x v="0"/>
    <n v="859.33"/>
    <x v="0"/>
    <n v="0"/>
    <n v="859.33"/>
    <n v="15.4"/>
    <n v="859.33"/>
    <x v="2"/>
    <n v="859.33"/>
    <s v="05-2019"/>
  </r>
  <r>
    <n v="47879"/>
    <x v="147"/>
    <s v="Critical"/>
    <x v="24"/>
    <x v="8"/>
    <x v="8"/>
    <n v="184.61779999999999"/>
    <x v="0"/>
    <n v="0"/>
    <n v="184.61779999999999"/>
    <n v="2.2999999999999998"/>
    <n v="184.61779999999999"/>
    <x v="0"/>
    <n v="184.61779999999999"/>
    <s v="01-2019"/>
  </r>
  <r>
    <n v="6757"/>
    <x v="135"/>
    <s v="Medium"/>
    <x v="22"/>
    <x v="7"/>
    <x v="7"/>
    <n v="2678.22"/>
    <x v="0"/>
    <n v="0"/>
    <n v="2678.22"/>
    <n v="66.099999999999994"/>
    <n v="2678.22"/>
    <x v="2"/>
    <n v="2678.22"/>
    <s v="01-2019"/>
  </r>
  <r>
    <n v="55813"/>
    <x v="8"/>
    <s v="Low"/>
    <x v="41"/>
    <x v="5"/>
    <x v="5"/>
    <n v="2836.32"/>
    <x v="1"/>
    <n v="28.363200000000003"/>
    <n v="2807.9567999999999"/>
    <n v="40.200000000000003"/>
    <n v="2796.1200000000003"/>
    <x v="0"/>
    <n v="2796.1200000000003"/>
    <s v="07-2019"/>
  </r>
  <r>
    <n v="11745"/>
    <x v="128"/>
    <s v="High"/>
    <x v="45"/>
    <x v="8"/>
    <x v="8"/>
    <n v="734.31"/>
    <x v="0"/>
    <n v="0"/>
    <n v="734.31"/>
    <n v="21.4"/>
    <n v="734.31"/>
    <x v="0"/>
    <n v="734.31"/>
    <s v="07-2019"/>
  </r>
  <r>
    <n v="22980"/>
    <x v="187"/>
    <s v="Not Specified"/>
    <x v="45"/>
    <x v="8"/>
    <x v="8"/>
    <n v="239.78"/>
    <x v="0"/>
    <n v="0"/>
    <n v="239.78"/>
    <n v="6.7"/>
    <n v="239.78"/>
    <x v="0"/>
    <n v="239.78"/>
    <s v="10-2019"/>
  </r>
  <r>
    <n v="18757"/>
    <x v="177"/>
    <s v="Low"/>
    <x v="35"/>
    <x v="9"/>
    <x v="9"/>
    <n v="237.75"/>
    <x v="0"/>
    <n v="0"/>
    <n v="237.75"/>
    <n v="16.2"/>
    <n v="237.75"/>
    <x v="0"/>
    <n v="237.75"/>
    <s v="05-2019"/>
  </r>
  <r>
    <n v="54183"/>
    <x v="150"/>
    <s v="Critical"/>
    <x v="25"/>
    <x v="0"/>
    <x v="0"/>
    <n v="2967.87"/>
    <x v="0"/>
    <n v="0"/>
    <n v="2967.87"/>
    <n v="5.9"/>
    <n v="2967.87"/>
    <x v="1"/>
    <n v="2967.87"/>
    <s v="04-2019"/>
  </r>
  <r>
    <n v="16039"/>
    <x v="215"/>
    <s v="High"/>
    <x v="4"/>
    <x v="3"/>
    <x v="3"/>
    <n v="129.6"/>
    <x v="0"/>
    <n v="0"/>
    <n v="129.6"/>
    <n v="2.1"/>
    <n v="129.6"/>
    <x v="0"/>
    <n v="129.6"/>
    <s v="05-2019"/>
  </r>
  <r>
    <n v="12804"/>
    <x v="1"/>
    <s v="Medium"/>
    <x v="3"/>
    <x v="2"/>
    <x v="2"/>
    <n v="89.89"/>
    <x v="1"/>
    <n v="0.89890000000000003"/>
    <n v="88.991100000000003"/>
    <n v="0.8"/>
    <n v="89.09"/>
    <x v="0"/>
    <n v="88.991100000000003"/>
    <s v="05-2019"/>
  </r>
  <r>
    <n v="4771"/>
    <x v="216"/>
    <s v="Critical"/>
    <x v="39"/>
    <x v="3"/>
    <x v="3"/>
    <n v="145.44"/>
    <x v="0"/>
    <n v="0"/>
    <n v="145.44"/>
    <n v="48.7"/>
    <n v="145.44"/>
    <x v="2"/>
    <n v="145.44"/>
    <s v="12-2019"/>
  </r>
  <r>
    <n v="44099"/>
    <x v="168"/>
    <s v="Medium"/>
    <x v="1"/>
    <x v="0"/>
    <x v="0"/>
    <n v="12651.17"/>
    <x v="0"/>
    <n v="0"/>
    <n v="12651.17"/>
    <n v="21.4"/>
    <n v="12651.17"/>
    <x v="0"/>
    <n v="12651.17"/>
    <s v="03-2019"/>
  </r>
  <r>
    <n v="30886"/>
    <x v="91"/>
    <s v="Low"/>
    <x v="23"/>
    <x v="6"/>
    <x v="6"/>
    <n v="5693.01"/>
    <x v="0"/>
    <n v="0"/>
    <n v="5693.01"/>
    <n v="21.4"/>
    <n v="5693.01"/>
    <x v="0"/>
    <n v="5693.01"/>
    <s v="05-2019"/>
  </r>
  <r>
    <n v="42246"/>
    <x v="217"/>
    <s v="Not Specified"/>
    <x v="18"/>
    <x v="3"/>
    <x v="3"/>
    <n v="27.08"/>
    <x v="0"/>
    <n v="0"/>
    <n v="27.08"/>
    <n v="0.8"/>
    <n v="27.08"/>
    <x v="0"/>
    <n v="27.08"/>
    <s v="04-2019"/>
  </r>
  <r>
    <n v="42437"/>
    <x v="21"/>
    <s v="Critical"/>
    <x v="20"/>
    <x v="1"/>
    <x v="1"/>
    <n v="20824.13"/>
    <x v="1"/>
    <n v="208.24130000000002"/>
    <n v="20615.8887"/>
    <n v="52.4"/>
    <n v="20771.73"/>
    <x v="2"/>
    <n v="20615.8887"/>
    <s v="03-2019"/>
  </r>
  <r>
    <n v="10593"/>
    <x v="218"/>
    <s v="High"/>
    <x v="11"/>
    <x v="6"/>
    <x v="6"/>
    <n v="774.49"/>
    <x v="0"/>
    <n v="0"/>
    <n v="774.49"/>
    <n v="20.8"/>
    <n v="774.49"/>
    <x v="0"/>
    <n v="774.49"/>
    <s v="02-2019"/>
  </r>
  <r>
    <n v="34976"/>
    <x v="219"/>
    <s v="Medium"/>
    <x v="48"/>
    <x v="6"/>
    <x v="6"/>
    <n v="179.97"/>
    <x v="0"/>
    <n v="0"/>
    <n v="179.97"/>
    <n v="5.8"/>
    <n v="179.97"/>
    <x v="0"/>
    <n v="179.97"/>
    <s v="11-2019"/>
  </r>
  <r>
    <n v="34757"/>
    <x v="98"/>
    <s v="High"/>
    <x v="28"/>
    <x v="5"/>
    <x v="5"/>
    <n v="268.14"/>
    <x v="1"/>
    <n v="2.6814"/>
    <n v="265.45859999999999"/>
    <n v="6.7"/>
    <n v="261.44"/>
    <x v="1"/>
    <n v="261.44"/>
    <s v="05-2019"/>
  </r>
  <r>
    <n v="16772"/>
    <x v="220"/>
    <s v="High"/>
    <x v="8"/>
    <x v="5"/>
    <x v="5"/>
    <n v="102.41"/>
    <x v="1"/>
    <n v="1.0241"/>
    <n v="101.38589999999999"/>
    <n v="0.5"/>
    <n v="101.91"/>
    <x v="0"/>
    <n v="101.38589999999999"/>
    <s v="12-2019"/>
  </r>
  <r>
    <n v="19905"/>
    <x v="83"/>
    <s v="Critical"/>
    <x v="31"/>
    <x v="4"/>
    <x v="4"/>
    <n v="14660.44"/>
    <x v="0"/>
    <n v="0"/>
    <n v="14660.44"/>
    <n v="69.099999999999994"/>
    <n v="14660.44"/>
    <x v="2"/>
    <n v="14660.44"/>
    <s v="08-2019"/>
  </r>
  <r>
    <n v="13601"/>
    <x v="203"/>
    <s v="Low"/>
    <x v="45"/>
    <x v="8"/>
    <x v="8"/>
    <n v="880.51369999999997"/>
    <x v="0"/>
    <n v="0"/>
    <n v="880.51369999999997"/>
    <n v="21.4"/>
    <n v="880.51369999999997"/>
    <x v="0"/>
    <n v="880.51369999999997"/>
    <s v="08-2019"/>
  </r>
  <r>
    <n v="17826"/>
    <x v="221"/>
    <s v="High"/>
    <x v="38"/>
    <x v="8"/>
    <x v="8"/>
    <n v="84.46"/>
    <x v="0"/>
    <n v="0"/>
    <n v="84.46"/>
    <n v="7.5"/>
    <n v="84.46"/>
    <x v="0"/>
    <n v="84.46"/>
    <s v="06-2019"/>
  </r>
  <r>
    <n v="3556"/>
    <x v="30"/>
    <s v="Not Specified"/>
    <x v="49"/>
    <x v="2"/>
    <x v="2"/>
    <n v="288.23"/>
    <x v="1"/>
    <n v="2.8823000000000003"/>
    <n v="285.34770000000003"/>
    <n v="5.4"/>
    <n v="282.83000000000004"/>
    <x v="0"/>
    <n v="282.83000000000004"/>
    <s v="09-2019"/>
  </r>
  <r>
    <n v="46276"/>
    <x v="160"/>
    <s v="Critical"/>
    <x v="39"/>
    <x v="3"/>
    <x v="3"/>
    <n v="122.87"/>
    <x v="0"/>
    <n v="0"/>
    <n v="122.87"/>
    <n v="2.1"/>
    <n v="122.87"/>
    <x v="0"/>
    <n v="122.87"/>
    <s v="12-2019"/>
  </r>
  <r>
    <n v="50466"/>
    <x v="118"/>
    <s v="Critical"/>
    <x v="25"/>
    <x v="0"/>
    <x v="0"/>
    <n v="7374.51"/>
    <x v="0"/>
    <n v="0"/>
    <n v="7374.51"/>
    <n v="16.100000000000001"/>
    <n v="7374.51"/>
    <x v="1"/>
    <n v="7374.51"/>
    <s v="06-2019"/>
  </r>
  <r>
    <n v="4199"/>
    <x v="218"/>
    <s v="Critical"/>
    <x v="20"/>
    <x v="1"/>
    <x v="1"/>
    <n v="684.49"/>
    <x v="1"/>
    <n v="6.8449"/>
    <n v="677.64509999999996"/>
    <n v="5.7"/>
    <n v="678.79"/>
    <x v="1"/>
    <n v="677.64509999999996"/>
    <s v="02-2019"/>
  </r>
  <r>
    <n v="3556"/>
    <x v="30"/>
    <s v="Not Specified"/>
    <x v="19"/>
    <x v="1"/>
    <x v="1"/>
    <n v="5279.37"/>
    <x v="1"/>
    <n v="52.793700000000001"/>
    <n v="5226.5762999999997"/>
    <n v="13.5"/>
    <n v="5265.87"/>
    <x v="0"/>
    <n v="5226.5762999999997"/>
    <s v="09-2019"/>
  </r>
  <r>
    <n v="8546"/>
    <x v="54"/>
    <s v="High"/>
    <x v="39"/>
    <x v="3"/>
    <x v="3"/>
    <n v="55.58"/>
    <x v="0"/>
    <n v="0"/>
    <n v="55.58"/>
    <n v="2.1"/>
    <n v="55.58"/>
    <x v="1"/>
    <n v="55.58"/>
    <s v="04-2019"/>
  </r>
  <r>
    <n v="39943"/>
    <x v="51"/>
    <s v="High"/>
    <x v="36"/>
    <x v="8"/>
    <x v="8"/>
    <n v="30.66"/>
    <x v="0"/>
    <n v="0"/>
    <n v="30.66"/>
    <n v="2.1"/>
    <n v="30.66"/>
    <x v="0"/>
    <n v="30.66"/>
    <s v="06-2019"/>
  </r>
  <r>
    <n v="54501"/>
    <x v="222"/>
    <s v="Critical"/>
    <x v="34"/>
    <x v="5"/>
    <x v="5"/>
    <n v="2181.8200000000002"/>
    <x v="1"/>
    <n v="21.818200000000001"/>
    <n v="2160.0018"/>
    <n v="5.3"/>
    <n v="2176.52"/>
    <x v="0"/>
    <n v="2160.0018"/>
    <s v="11-2019"/>
  </r>
  <r>
    <n v="13282"/>
    <x v="223"/>
    <s v="Low"/>
    <x v="6"/>
    <x v="4"/>
    <x v="4"/>
    <n v="817.32"/>
    <x v="0"/>
    <n v="0"/>
    <n v="817.32"/>
    <n v="8.1"/>
    <n v="817.32"/>
    <x v="0"/>
    <n v="817.32"/>
    <s v="05-2019"/>
  </r>
  <r>
    <n v="20451"/>
    <x v="1"/>
    <s v="Critical"/>
    <x v="44"/>
    <x v="9"/>
    <x v="9"/>
    <n v="57.48"/>
    <x v="0"/>
    <n v="0"/>
    <n v="57.48"/>
    <n v="2.2000000000000002"/>
    <n v="57.48"/>
    <x v="0"/>
    <n v="57.48"/>
    <s v="05-2019"/>
  </r>
  <r>
    <n v="24451"/>
    <x v="200"/>
    <s v="Critical"/>
    <x v="10"/>
    <x v="4"/>
    <x v="4"/>
    <n v="1808.27"/>
    <x v="0"/>
    <n v="0"/>
    <n v="1808.27"/>
    <n v="64.2"/>
    <n v="1808.27"/>
    <x v="2"/>
    <n v="1808.27"/>
    <s v="12-2019"/>
  </r>
  <r>
    <n v="324"/>
    <x v="2"/>
    <s v="Critical"/>
    <x v="31"/>
    <x v="4"/>
    <x v="4"/>
    <n v="4143.72"/>
    <x v="0"/>
    <n v="0"/>
    <n v="4143.72"/>
    <n v="15"/>
    <n v="4143.72"/>
    <x v="0"/>
    <n v="4143.72"/>
    <s v="03-2019"/>
  </r>
  <r>
    <n v="24672"/>
    <x v="107"/>
    <s v="Medium"/>
    <x v="37"/>
    <x v="5"/>
    <x v="5"/>
    <n v="11270.25"/>
    <x v="1"/>
    <n v="112.7025"/>
    <n v="11157.547500000001"/>
    <n v="37.5"/>
    <n v="11232.75"/>
    <x v="0"/>
    <n v="11157.547500000001"/>
    <s v="03-2019"/>
  </r>
  <r>
    <n v="56261"/>
    <x v="224"/>
    <s v="Critical"/>
    <x v="20"/>
    <x v="1"/>
    <x v="1"/>
    <n v="18068.830000000002"/>
    <x v="1"/>
    <n v="180.68830000000003"/>
    <n v="17888.1417"/>
    <n v="91.6"/>
    <n v="17977.230000000003"/>
    <x v="2"/>
    <n v="17888.1417"/>
    <s v="02-2019"/>
  </r>
  <r>
    <n v="21510"/>
    <x v="158"/>
    <s v="High"/>
    <x v="36"/>
    <x v="8"/>
    <x v="8"/>
    <n v="398.14"/>
    <x v="0"/>
    <n v="0"/>
    <n v="398.14"/>
    <n v="2.1"/>
    <n v="398.14"/>
    <x v="1"/>
    <n v="398.14"/>
    <s v="05-2019"/>
  </r>
  <r>
    <n v="39876"/>
    <x v="27"/>
    <s v="High"/>
    <x v="27"/>
    <x v="2"/>
    <x v="2"/>
    <n v="937.95"/>
    <x v="1"/>
    <n v="9.3795000000000002"/>
    <n v="928.57050000000004"/>
    <n v="5.6"/>
    <n v="932.35"/>
    <x v="0"/>
    <n v="928.57050000000004"/>
    <s v="04-2019"/>
  </r>
  <r>
    <n v="36929"/>
    <x v="1"/>
    <s v="Low"/>
    <x v="37"/>
    <x v="5"/>
    <x v="5"/>
    <n v="1419.56"/>
    <x v="1"/>
    <n v="14.195599999999999"/>
    <n v="1405.3643999999999"/>
    <n v="9.4"/>
    <n v="1410.1599999999999"/>
    <x v="0"/>
    <n v="1405.3643999999999"/>
    <s v="05-2019"/>
  </r>
  <r>
    <n v="29507"/>
    <x v="191"/>
    <s v="Low"/>
    <x v="26"/>
    <x v="7"/>
    <x v="7"/>
    <n v="3263.11"/>
    <x v="0"/>
    <n v="0"/>
    <n v="3263.11"/>
    <n v="38.200000000000003"/>
    <n v="3263.11"/>
    <x v="2"/>
    <n v="3263.11"/>
    <s v="02-2019"/>
  </r>
  <r>
    <n v="30727"/>
    <x v="225"/>
    <s v="Medium"/>
    <x v="23"/>
    <x v="6"/>
    <x v="6"/>
    <n v="1247.93"/>
    <x v="0"/>
    <n v="0"/>
    <n v="1247.93"/>
    <n v="4.8"/>
    <n v="1247.93"/>
    <x v="1"/>
    <n v="1247.93"/>
    <s v="07-2019"/>
  </r>
  <r>
    <n v="50055"/>
    <x v="93"/>
    <s v="Medium"/>
    <x v="22"/>
    <x v="7"/>
    <x v="7"/>
    <n v="81.099999999999994"/>
    <x v="0"/>
    <n v="0"/>
    <n v="81.099999999999994"/>
    <n v="5.3"/>
    <n v="81.099999999999994"/>
    <x v="0"/>
    <n v="81.099999999999994"/>
    <s v="10-2019"/>
  </r>
  <r>
    <n v="6501"/>
    <x v="194"/>
    <s v="High"/>
    <x v="27"/>
    <x v="2"/>
    <x v="2"/>
    <n v="4940.5495000000001"/>
    <x v="1"/>
    <n v="49.405495000000002"/>
    <n v="4891.1440050000001"/>
    <n v="8.1999999999999993"/>
    <n v="4932.3495000000003"/>
    <x v="0"/>
    <n v="4891.1440050000001"/>
    <s v="01-2019"/>
  </r>
  <r>
    <n v="49381"/>
    <x v="216"/>
    <s v="Not Specified"/>
    <x v="5"/>
    <x v="4"/>
    <x v="4"/>
    <n v="1645.13"/>
    <x v="0"/>
    <n v="0"/>
    <n v="1645.13"/>
    <n v="37.5"/>
    <n v="1645.13"/>
    <x v="0"/>
    <n v="1645.13"/>
    <s v="12-2019"/>
  </r>
  <r>
    <n v="48003"/>
    <x v="226"/>
    <s v="Medium"/>
    <x v="17"/>
    <x v="6"/>
    <x v="6"/>
    <n v="196.16"/>
    <x v="0"/>
    <n v="0"/>
    <n v="196.16"/>
    <n v="4.7"/>
    <n v="196.16"/>
    <x v="0"/>
    <n v="196.16"/>
    <s v="01-2019"/>
  </r>
  <r>
    <n v="28871"/>
    <x v="150"/>
    <s v="High"/>
    <x v="46"/>
    <x v="9"/>
    <x v="9"/>
    <n v="58.87"/>
    <x v="0"/>
    <n v="0"/>
    <n v="58.87"/>
    <n v="5.5"/>
    <n v="58.87"/>
    <x v="0"/>
    <n v="58.87"/>
    <s v="04-2019"/>
  </r>
  <r>
    <n v="50144"/>
    <x v="51"/>
    <s v="Critical"/>
    <x v="34"/>
    <x v="5"/>
    <x v="5"/>
    <n v="4461.83"/>
    <x v="1"/>
    <n v="44.618299999999998"/>
    <n v="4417.2116999999998"/>
    <n v="9.6999999999999993"/>
    <n v="4452.13"/>
    <x v="1"/>
    <n v="4417.2116999999998"/>
    <s v="06-2019"/>
  </r>
  <r>
    <n v="39972"/>
    <x v="227"/>
    <s v="Not Specified"/>
    <x v="16"/>
    <x v="0"/>
    <x v="0"/>
    <n v="240.3"/>
    <x v="0"/>
    <n v="0"/>
    <n v="240.3"/>
    <n v="0.5"/>
    <n v="240.3"/>
    <x v="0"/>
    <n v="240.3"/>
    <s v="09-2019"/>
  </r>
  <r>
    <n v="41286"/>
    <x v="110"/>
    <s v="Medium"/>
    <x v="28"/>
    <x v="5"/>
    <x v="5"/>
    <n v="279.23"/>
    <x v="1"/>
    <n v="2.7923000000000004"/>
    <n v="276.43770000000001"/>
    <n v="6.7"/>
    <n v="272.53000000000003"/>
    <x v="0"/>
    <n v="272.53000000000003"/>
    <s v="09-2019"/>
  </r>
  <r>
    <n v="21796"/>
    <x v="59"/>
    <s v="Low"/>
    <x v="19"/>
    <x v="1"/>
    <x v="1"/>
    <n v="649.63"/>
    <x v="1"/>
    <n v="6.4962999999999997"/>
    <n v="643.13369999999998"/>
    <n v="1.5"/>
    <n v="648.13"/>
    <x v="0"/>
    <n v="643.13369999999998"/>
    <s v="05-2019"/>
  </r>
  <r>
    <n v="23174"/>
    <x v="228"/>
    <s v="Low"/>
    <x v="30"/>
    <x v="9"/>
    <x v="9"/>
    <n v="147.91999999999999"/>
    <x v="0"/>
    <n v="0"/>
    <n v="147.91999999999999"/>
    <n v="7.5"/>
    <n v="147.91999999999999"/>
    <x v="0"/>
    <n v="147.91999999999999"/>
    <s v="07-2019"/>
  </r>
  <r>
    <n v="13345"/>
    <x v="42"/>
    <s v="Not Specified"/>
    <x v="9"/>
    <x v="1"/>
    <x v="1"/>
    <n v="517.49"/>
    <x v="1"/>
    <n v="5.1749000000000001"/>
    <n v="512.31510000000003"/>
    <n v="3.6"/>
    <n v="513.89"/>
    <x v="0"/>
    <n v="512.31510000000003"/>
    <s v="09-2019"/>
  </r>
  <r>
    <n v="58368"/>
    <x v="156"/>
    <s v="High"/>
    <x v="18"/>
    <x v="3"/>
    <x v="3"/>
    <n v="348.21010000000001"/>
    <x v="0"/>
    <n v="0"/>
    <n v="348.21010000000001"/>
    <n v="7.4"/>
    <n v="348.21010000000001"/>
    <x v="1"/>
    <n v="348.21010000000001"/>
    <s v="07-2019"/>
  </r>
  <r>
    <n v="29030"/>
    <x v="229"/>
    <s v="Medium"/>
    <x v="46"/>
    <x v="9"/>
    <x v="9"/>
    <n v="206.06"/>
    <x v="0"/>
    <n v="0"/>
    <n v="206.06"/>
    <n v="4.4000000000000004"/>
    <n v="206.06"/>
    <x v="0"/>
    <n v="206.06"/>
    <s v="01-2019"/>
  </r>
  <r>
    <n v="19394"/>
    <x v="195"/>
    <s v="Medium"/>
    <x v="36"/>
    <x v="8"/>
    <x v="8"/>
    <n v="298.87990000000002"/>
    <x v="0"/>
    <n v="0"/>
    <n v="298.87990000000002"/>
    <n v="1.1000000000000001"/>
    <n v="298.87990000000002"/>
    <x v="0"/>
    <n v="298.87990000000002"/>
    <s v="12-2019"/>
  </r>
  <r>
    <n v="46726"/>
    <x v="71"/>
    <s v="Not Specified"/>
    <x v="27"/>
    <x v="2"/>
    <x v="2"/>
    <n v="348.79"/>
    <x v="1"/>
    <n v="3.4879000000000002"/>
    <n v="345.3021"/>
    <n v="9"/>
    <n v="339.79"/>
    <x v="0"/>
    <n v="339.79"/>
    <s v="07-2019"/>
  </r>
  <r>
    <n v="52999"/>
    <x v="230"/>
    <s v="Not Specified"/>
    <x v="29"/>
    <x v="9"/>
    <x v="9"/>
    <n v="47.75"/>
    <x v="0"/>
    <n v="0"/>
    <n v="47.75"/>
    <n v="6.1"/>
    <n v="47.75"/>
    <x v="0"/>
    <n v="47.75"/>
    <s v="04-2019"/>
  </r>
  <r>
    <n v="56672"/>
    <x v="91"/>
    <s v="High"/>
    <x v="30"/>
    <x v="9"/>
    <x v="9"/>
    <n v="635.19000000000005"/>
    <x v="0"/>
    <n v="0"/>
    <n v="635.19000000000005"/>
    <n v="64.2"/>
    <n v="635.19000000000005"/>
    <x v="2"/>
    <n v="635.19000000000005"/>
    <s v="05-2019"/>
  </r>
  <r>
    <n v="53188"/>
    <x v="231"/>
    <s v="High"/>
    <x v="6"/>
    <x v="4"/>
    <x v="4"/>
    <n v="664.69"/>
    <x v="0"/>
    <n v="0"/>
    <n v="664.69"/>
    <n v="7.1"/>
    <n v="664.69"/>
    <x v="0"/>
    <n v="664.69"/>
    <s v="11-2019"/>
  </r>
  <r>
    <n v="52999"/>
    <x v="230"/>
    <s v="Not Specified"/>
    <x v="18"/>
    <x v="3"/>
    <x v="3"/>
    <n v="46.66"/>
    <x v="0"/>
    <n v="0"/>
    <n v="46.66"/>
    <n v="4.3"/>
    <n v="46.66"/>
    <x v="1"/>
    <n v="46.66"/>
    <s v="04-2019"/>
  </r>
  <r>
    <n v="52673"/>
    <x v="158"/>
    <s v="Medium"/>
    <x v="26"/>
    <x v="7"/>
    <x v="7"/>
    <n v="2188.2199999999998"/>
    <x v="0"/>
    <n v="0"/>
    <n v="2188.2199999999998"/>
    <n v="9.6"/>
    <n v="2188.2199999999998"/>
    <x v="0"/>
    <n v="2188.2199999999998"/>
    <s v="05-2019"/>
  </r>
  <r>
    <n v="54886"/>
    <x v="113"/>
    <s v="Critical"/>
    <x v="41"/>
    <x v="5"/>
    <x v="5"/>
    <n v="449.35"/>
    <x v="1"/>
    <n v="4.4935"/>
    <n v="444.85650000000004"/>
    <n v="5.5"/>
    <n v="443.85"/>
    <x v="0"/>
    <n v="443.85"/>
    <s v="08-2019"/>
  </r>
  <r>
    <n v="40994"/>
    <x v="40"/>
    <s v="High"/>
    <x v="15"/>
    <x v="1"/>
    <x v="1"/>
    <n v="848.55"/>
    <x v="1"/>
    <n v="8.4855"/>
    <n v="840.06449999999995"/>
    <n v="1.6"/>
    <n v="846.94999999999993"/>
    <x v="0"/>
    <n v="840.06449999999995"/>
    <s v="10-2019"/>
  </r>
  <r>
    <n v="8388"/>
    <x v="207"/>
    <s v="Low"/>
    <x v="41"/>
    <x v="5"/>
    <x v="5"/>
    <n v="310.62"/>
    <x v="1"/>
    <n v="3.1062000000000003"/>
    <n v="307.5138"/>
    <n v="4.3"/>
    <n v="306.32"/>
    <x v="0"/>
    <n v="306.32"/>
    <s v="02-2019"/>
  </r>
  <r>
    <n v="13670"/>
    <x v="232"/>
    <s v="Critical"/>
    <x v="40"/>
    <x v="6"/>
    <x v="6"/>
    <n v="124.52"/>
    <x v="0"/>
    <n v="0"/>
    <n v="124.52"/>
    <n v="0.5"/>
    <n v="124.52"/>
    <x v="1"/>
    <n v="124.52"/>
    <s v="05-2019"/>
  </r>
  <r>
    <n v="51237"/>
    <x v="204"/>
    <s v="Medium"/>
    <x v="11"/>
    <x v="6"/>
    <x v="6"/>
    <n v="5102.8999999999996"/>
    <x v="0"/>
    <n v="0"/>
    <n v="5102.8999999999996"/>
    <n v="6.4"/>
    <n v="5102.8999999999996"/>
    <x v="0"/>
    <n v="5102.8999999999996"/>
    <s v="03-2019"/>
  </r>
  <r>
    <n v="42306"/>
    <x v="170"/>
    <s v="High"/>
    <x v="24"/>
    <x v="8"/>
    <x v="8"/>
    <n v="828"/>
    <x v="0"/>
    <n v="0"/>
    <n v="828"/>
    <n v="5.7"/>
    <n v="828"/>
    <x v="0"/>
    <n v="828"/>
    <s v="09-2019"/>
  </r>
  <r>
    <n v="15236"/>
    <x v="104"/>
    <s v="Not Specified"/>
    <x v="0"/>
    <x v="0"/>
    <x v="0"/>
    <n v="365.32"/>
    <x v="0"/>
    <n v="0"/>
    <n v="365.32"/>
    <n v="3.2"/>
    <n v="365.32"/>
    <x v="0"/>
    <n v="365.32"/>
    <s v="04-2019"/>
  </r>
  <r>
    <n v="37831"/>
    <x v="228"/>
    <s v="Not Specified"/>
    <x v="17"/>
    <x v="6"/>
    <x v="6"/>
    <n v="485.64"/>
    <x v="0"/>
    <n v="0"/>
    <n v="485.64"/>
    <n v="4.3"/>
    <n v="485.64"/>
    <x v="0"/>
    <n v="485.64"/>
    <s v="07-2019"/>
  </r>
  <r>
    <n v="33031"/>
    <x v="131"/>
    <s v="High"/>
    <x v="10"/>
    <x v="4"/>
    <x v="4"/>
    <n v="589.23"/>
    <x v="0"/>
    <n v="0"/>
    <n v="589.23"/>
    <n v="16.8"/>
    <n v="589.23"/>
    <x v="2"/>
    <n v="589.23"/>
    <s v="08-2019"/>
  </r>
  <r>
    <n v="51044"/>
    <x v="164"/>
    <s v="Low"/>
    <x v="24"/>
    <x v="8"/>
    <x v="8"/>
    <n v="125.48"/>
    <x v="0"/>
    <n v="0"/>
    <n v="125.48"/>
    <n v="0.9"/>
    <n v="125.48"/>
    <x v="0"/>
    <n v="125.48"/>
    <s v="01-2019"/>
  </r>
  <r>
    <n v="32000"/>
    <x v="100"/>
    <s v="Low"/>
    <x v="11"/>
    <x v="6"/>
    <x v="6"/>
    <n v="16230.6374"/>
    <x v="0"/>
    <n v="0"/>
    <n v="16230.6374"/>
    <n v="157.4"/>
    <n v="16230.6374"/>
    <x v="2"/>
    <n v="16230.6374"/>
    <s v="09-2019"/>
  </r>
  <r>
    <n v="15872"/>
    <x v="34"/>
    <s v="Not Specified"/>
    <x v="49"/>
    <x v="2"/>
    <x v="2"/>
    <n v="5561.99"/>
    <x v="1"/>
    <n v="55.619900000000001"/>
    <n v="5506.3701000000001"/>
    <n v="16.8"/>
    <n v="5545.19"/>
    <x v="2"/>
    <n v="5506.3701000000001"/>
    <s v="10-2019"/>
  </r>
  <r>
    <n v="19586"/>
    <x v="126"/>
    <s v="Not Specified"/>
    <x v="34"/>
    <x v="5"/>
    <x v="5"/>
    <n v="75.574100000000001"/>
    <x v="1"/>
    <n v="0.755741"/>
    <n v="74.818359000000001"/>
    <n v="2.7"/>
    <n v="72.874099999999999"/>
    <x v="0"/>
    <n v="72.874099999999999"/>
    <s v="11-2019"/>
  </r>
  <r>
    <n v="54501"/>
    <x v="222"/>
    <s v="Critical"/>
    <x v="8"/>
    <x v="5"/>
    <x v="5"/>
    <n v="838.84"/>
    <x v="1"/>
    <n v="8.3884000000000007"/>
    <n v="830.45159999999998"/>
    <n v="37.5"/>
    <n v="801.34"/>
    <x v="0"/>
    <n v="801.34"/>
    <s v="11-2019"/>
  </r>
  <r>
    <n v="44422"/>
    <x v="27"/>
    <s v="Medium"/>
    <x v="43"/>
    <x v="3"/>
    <x v="3"/>
    <n v="16.82"/>
    <x v="0"/>
    <n v="0"/>
    <n v="16.82"/>
    <n v="4.8"/>
    <n v="16.82"/>
    <x v="0"/>
    <n v="16.82"/>
    <s v="04-2019"/>
  </r>
  <r>
    <n v="12356"/>
    <x v="93"/>
    <s v="Critical"/>
    <x v="41"/>
    <x v="5"/>
    <x v="5"/>
    <n v="260.06"/>
    <x v="1"/>
    <n v="2.6006"/>
    <n v="257.45940000000002"/>
    <n v="5.7"/>
    <n v="254.36"/>
    <x v="0"/>
    <n v="254.36"/>
    <s v="10-2019"/>
  </r>
  <r>
    <n v="35012"/>
    <x v="153"/>
    <s v="Medium"/>
    <x v="46"/>
    <x v="9"/>
    <x v="9"/>
    <n v="135.66999999999999"/>
    <x v="0"/>
    <n v="0"/>
    <n v="135.66999999999999"/>
    <n v="5.3"/>
    <n v="135.66999999999999"/>
    <x v="0"/>
    <n v="135.66999999999999"/>
    <s v="06-2019"/>
  </r>
  <r>
    <n v="42982"/>
    <x v="233"/>
    <s v="Low"/>
    <x v="15"/>
    <x v="1"/>
    <x v="1"/>
    <n v="1698.72"/>
    <x v="1"/>
    <n v="16.987200000000001"/>
    <n v="1681.7328"/>
    <n v="3.3"/>
    <n v="1695.42"/>
    <x v="0"/>
    <n v="1681.7328"/>
    <s v="07-2019"/>
  </r>
  <r>
    <n v="51297"/>
    <x v="234"/>
    <s v="Low"/>
    <x v="19"/>
    <x v="1"/>
    <x v="1"/>
    <n v="381.22"/>
    <x v="1"/>
    <n v="3.8122000000000003"/>
    <n v="377.40780000000001"/>
    <n v="3.2"/>
    <n v="378.02000000000004"/>
    <x v="1"/>
    <n v="377.40780000000001"/>
    <s v="11-2019"/>
  </r>
  <r>
    <n v="388"/>
    <x v="31"/>
    <s v="Not Specified"/>
    <x v="27"/>
    <x v="2"/>
    <x v="2"/>
    <n v="554.19000000000005"/>
    <x v="1"/>
    <n v="5.5419000000000009"/>
    <n v="548.6481"/>
    <n v="7.4"/>
    <n v="546.79000000000008"/>
    <x v="0"/>
    <n v="546.79000000000008"/>
    <s v="12-2019"/>
  </r>
  <r>
    <n v="11269"/>
    <x v="155"/>
    <s v="Low"/>
    <x v="41"/>
    <x v="5"/>
    <x v="5"/>
    <n v="2228.87"/>
    <x v="1"/>
    <n v="22.288699999999999"/>
    <n v="2206.5812999999998"/>
    <n v="6.4"/>
    <n v="2222.4699999999998"/>
    <x v="1"/>
    <n v="2206.5812999999998"/>
    <s v="05-2019"/>
  </r>
  <r>
    <n v="36484"/>
    <x v="235"/>
    <s v="Critical"/>
    <x v="19"/>
    <x v="1"/>
    <x v="1"/>
    <n v="2547.2094000000002"/>
    <x v="1"/>
    <n v="25.472094000000002"/>
    <n v="2521.737306"/>
    <n v="4.2"/>
    <n v="2543.0094000000004"/>
    <x v="1"/>
    <n v="2521.737306"/>
    <s v="01-2019"/>
  </r>
  <r>
    <n v="3361"/>
    <x v="23"/>
    <s v="Not Specified"/>
    <x v="42"/>
    <x v="4"/>
    <x v="4"/>
    <n v="143.02000000000001"/>
    <x v="0"/>
    <n v="0"/>
    <n v="143.02000000000001"/>
    <n v="2.4"/>
    <n v="143.02000000000001"/>
    <x v="0"/>
    <n v="143.02000000000001"/>
    <s v="08-2019"/>
  </r>
  <r>
    <n v="49344"/>
    <x v="236"/>
    <s v="Low"/>
    <x v="43"/>
    <x v="3"/>
    <x v="3"/>
    <n v="859.56309999999996"/>
    <x v="0"/>
    <n v="0"/>
    <n v="859.56309999999996"/>
    <n v="26.2"/>
    <n v="859.56309999999996"/>
    <x v="0"/>
    <n v="859.56309999999996"/>
    <s v="12-2019"/>
  </r>
  <r>
    <n v="9473"/>
    <x v="237"/>
    <s v="Not Specified"/>
    <x v="1"/>
    <x v="0"/>
    <x v="0"/>
    <n v="603.28740000000005"/>
    <x v="0"/>
    <n v="0"/>
    <n v="603.28740000000005"/>
    <n v="3.2"/>
    <n v="603.28740000000005"/>
    <x v="0"/>
    <n v="603.28740000000005"/>
    <s v="10-2019"/>
  </r>
  <r>
    <n v="21220"/>
    <x v="238"/>
    <s v="Not Specified"/>
    <x v="39"/>
    <x v="3"/>
    <x v="3"/>
    <n v="509.65"/>
    <x v="0"/>
    <n v="0"/>
    <n v="509.65"/>
    <n v="28.1"/>
    <n v="509.65"/>
    <x v="2"/>
    <n v="509.65"/>
    <s v="12-2019"/>
  </r>
  <r>
    <n v="4096"/>
    <x v="60"/>
    <s v="Not Specified"/>
    <x v="5"/>
    <x v="4"/>
    <x v="4"/>
    <n v="137.26"/>
    <x v="0"/>
    <n v="0"/>
    <n v="137.26"/>
    <n v="0.5"/>
    <n v="137.26"/>
    <x v="0"/>
    <n v="137.26"/>
    <s v="07-2019"/>
  </r>
  <r>
    <n v="38310"/>
    <x v="9"/>
    <s v="High"/>
    <x v="39"/>
    <x v="3"/>
    <x v="3"/>
    <n v="66.819999999999993"/>
    <x v="0"/>
    <n v="0"/>
    <n v="66.819999999999993"/>
    <n v="52.4"/>
    <n v="66.819999999999993"/>
    <x v="0"/>
    <n v="66.819999999999993"/>
    <s v="04-2019"/>
  </r>
  <r>
    <n v="8832"/>
    <x v="123"/>
    <s v="Low"/>
    <x v="41"/>
    <x v="5"/>
    <x v="5"/>
    <n v="693.16"/>
    <x v="1"/>
    <n v="6.9315999999999995"/>
    <n v="686.22839999999997"/>
    <n v="9.6"/>
    <n v="683.56"/>
    <x v="0"/>
    <n v="683.56"/>
    <s v="02-2019"/>
  </r>
  <r>
    <n v="40933"/>
    <x v="239"/>
    <s v="High"/>
    <x v="37"/>
    <x v="5"/>
    <x v="5"/>
    <n v="102.11"/>
    <x v="1"/>
    <n v="1.0211000000000001"/>
    <n v="101.0889"/>
    <n v="4.5999999999999996"/>
    <n v="97.51"/>
    <x v="0"/>
    <n v="97.51"/>
    <s v="05-2019"/>
  </r>
  <r>
    <n v="47620"/>
    <x v="127"/>
    <s v="Low"/>
    <x v="40"/>
    <x v="6"/>
    <x v="6"/>
    <n v="323.35000000000002"/>
    <x v="0"/>
    <n v="0"/>
    <n v="323.35000000000002"/>
    <n v="3.6"/>
    <n v="323.35000000000002"/>
    <x v="0"/>
    <n v="323.35000000000002"/>
    <s v="06-2019"/>
  </r>
  <r>
    <n v="57600"/>
    <x v="234"/>
    <s v="Critical"/>
    <x v="14"/>
    <x v="7"/>
    <x v="7"/>
    <n v="435.7"/>
    <x v="0"/>
    <n v="0"/>
    <n v="435.7"/>
    <n v="18.3"/>
    <n v="435.7"/>
    <x v="0"/>
    <n v="435.7"/>
    <s v="11-2019"/>
  </r>
  <r>
    <n v="32230"/>
    <x v="19"/>
    <s v="High"/>
    <x v="27"/>
    <x v="2"/>
    <x v="2"/>
    <n v="1876.51"/>
    <x v="1"/>
    <n v="18.7651"/>
    <n v="1857.7448999999999"/>
    <n v="9.8000000000000007"/>
    <n v="1866.71"/>
    <x v="0"/>
    <n v="1857.7448999999999"/>
    <s v="08-2019"/>
  </r>
  <r>
    <n v="44386"/>
    <x v="104"/>
    <s v="Medium"/>
    <x v="40"/>
    <x v="6"/>
    <x v="6"/>
    <n v="138.09"/>
    <x v="0"/>
    <n v="0"/>
    <n v="138.09"/>
    <n v="5.3"/>
    <n v="138.09"/>
    <x v="0"/>
    <n v="138.09"/>
    <s v="04-2019"/>
  </r>
  <r>
    <n v="32608"/>
    <x v="177"/>
    <s v="High"/>
    <x v="32"/>
    <x v="8"/>
    <x v="8"/>
    <n v="1457.24"/>
    <x v="0"/>
    <n v="0"/>
    <n v="1457.24"/>
    <n v="3.7"/>
    <n v="1457.24"/>
    <x v="0"/>
    <n v="1457.24"/>
    <s v="05-2019"/>
  </r>
  <r>
    <n v="13668"/>
    <x v="66"/>
    <s v="Critical"/>
    <x v="15"/>
    <x v="1"/>
    <x v="1"/>
    <n v="302.39"/>
    <x v="1"/>
    <n v="3.0238999999999998"/>
    <n v="299.36609999999996"/>
    <n v="5.6"/>
    <n v="296.78999999999996"/>
    <x v="0"/>
    <n v="296.78999999999996"/>
    <s v="02-2019"/>
  </r>
  <r>
    <n v="39972"/>
    <x v="227"/>
    <s v="Not Specified"/>
    <x v="34"/>
    <x v="5"/>
    <x v="5"/>
    <n v="148.29"/>
    <x v="1"/>
    <n v="1.4828999999999999"/>
    <n v="146.80709999999999"/>
    <n v="0.5"/>
    <n v="147.79"/>
    <x v="0"/>
    <n v="146.80709999999999"/>
    <s v="09-2019"/>
  </r>
  <r>
    <n v="933"/>
    <x v="113"/>
    <s v="Not Specified"/>
    <x v="47"/>
    <x v="7"/>
    <x v="7"/>
    <n v="86.25"/>
    <x v="0"/>
    <n v="0"/>
    <n v="86.25"/>
    <n v="3.2"/>
    <n v="86.25"/>
    <x v="0"/>
    <n v="86.25"/>
    <s v="08-2019"/>
  </r>
  <r>
    <n v="4578"/>
    <x v="173"/>
    <s v="Low"/>
    <x v="49"/>
    <x v="2"/>
    <x v="2"/>
    <n v="774.82"/>
    <x v="1"/>
    <n v="7.7482000000000006"/>
    <n v="767.07180000000005"/>
    <n v="14.3"/>
    <n v="760.5200000000001"/>
    <x v="0"/>
    <n v="760.5200000000001"/>
    <s v="09-2019"/>
  </r>
  <r>
    <n v="44768"/>
    <x v="155"/>
    <s v="Not Specified"/>
    <x v="9"/>
    <x v="1"/>
    <x v="1"/>
    <n v="17868.53"/>
    <x v="1"/>
    <n v="178.68529999999998"/>
    <n v="17689.844699999998"/>
    <n v="63"/>
    <n v="17805.53"/>
    <x v="2"/>
    <n v="17689.844699999998"/>
    <s v="05-2019"/>
  </r>
  <r>
    <n v="10593"/>
    <x v="218"/>
    <s v="High"/>
    <x v="40"/>
    <x v="6"/>
    <x v="6"/>
    <n v="465.74"/>
    <x v="0"/>
    <n v="0"/>
    <n v="465.74"/>
    <n v="9.6"/>
    <n v="465.74"/>
    <x v="0"/>
    <n v="465.74"/>
    <s v="02-2019"/>
  </r>
  <r>
    <n v="30720"/>
    <x v="86"/>
    <s v="Low"/>
    <x v="40"/>
    <x v="6"/>
    <x v="6"/>
    <n v="2566.8200000000002"/>
    <x v="0"/>
    <n v="0"/>
    <n v="2566.8200000000002"/>
    <n v="19.399999999999999"/>
    <n v="2566.8200000000002"/>
    <x v="1"/>
    <n v="2566.8200000000002"/>
    <s v="09-2019"/>
  </r>
  <r>
    <n v="41927"/>
    <x v="199"/>
    <s v="Not Specified"/>
    <x v="27"/>
    <x v="2"/>
    <x v="2"/>
    <n v="2495.4899999999998"/>
    <x v="1"/>
    <n v="24.954899999999999"/>
    <n v="2470.5350999999996"/>
    <n v="7.7"/>
    <n v="2487.79"/>
    <x v="1"/>
    <n v="2470.5350999999996"/>
    <s v="07-2019"/>
  </r>
  <r>
    <n v="39168"/>
    <x v="141"/>
    <s v="High"/>
    <x v="6"/>
    <x v="4"/>
    <x v="4"/>
    <n v="866.6"/>
    <x v="0"/>
    <n v="0"/>
    <n v="866.6"/>
    <n v="3.2"/>
    <n v="866.6"/>
    <x v="0"/>
    <n v="866.6"/>
    <s v="05-2019"/>
  </r>
  <r>
    <n v="35938"/>
    <x v="240"/>
    <s v="Not Specified"/>
    <x v="44"/>
    <x v="9"/>
    <x v="9"/>
    <n v="1894.65"/>
    <x v="0"/>
    <n v="0"/>
    <n v="1894.65"/>
    <n v="61"/>
    <n v="1894.65"/>
    <x v="2"/>
    <n v="1894.65"/>
    <s v="11-2019"/>
  </r>
  <r>
    <n v="26309"/>
    <x v="241"/>
    <s v="Low"/>
    <x v="15"/>
    <x v="1"/>
    <x v="1"/>
    <n v="137.1"/>
    <x v="1"/>
    <n v="1.371"/>
    <n v="135.72899999999998"/>
    <n v="1.1000000000000001"/>
    <n v="136"/>
    <x v="0"/>
    <n v="135.72899999999998"/>
    <s v="02-2019"/>
  </r>
  <r>
    <n v="15491"/>
    <x v="164"/>
    <s v="Medium"/>
    <x v="18"/>
    <x v="3"/>
    <x v="3"/>
    <n v="964.47"/>
    <x v="0"/>
    <n v="0"/>
    <n v="964.47"/>
    <n v="2.7"/>
    <n v="964.47"/>
    <x v="0"/>
    <n v="964.47"/>
    <s v="01-2019"/>
  </r>
  <r>
    <n v="28454"/>
    <x v="209"/>
    <s v="Medium"/>
    <x v="31"/>
    <x v="4"/>
    <x v="4"/>
    <n v="168.42"/>
    <x v="0"/>
    <n v="0"/>
    <n v="168.42"/>
    <n v="7.2"/>
    <n v="168.42"/>
    <x v="0"/>
    <n v="168.42"/>
    <s v="08-2019"/>
  </r>
  <r>
    <n v="16807"/>
    <x v="242"/>
    <s v="Medium"/>
    <x v="49"/>
    <x v="2"/>
    <x v="2"/>
    <n v="1696.59"/>
    <x v="1"/>
    <n v="16.965899999999998"/>
    <n v="1679.6241"/>
    <n v="5.3"/>
    <n v="1691.29"/>
    <x v="0"/>
    <n v="1679.6241"/>
    <s v="01-2019"/>
  </r>
  <r>
    <n v="37762"/>
    <x v="243"/>
    <s v="Medium"/>
    <x v="32"/>
    <x v="8"/>
    <x v="8"/>
    <n v="144.47"/>
    <x v="0"/>
    <n v="0"/>
    <n v="144.47"/>
    <n v="7.2"/>
    <n v="144.47"/>
    <x v="0"/>
    <n v="144.47"/>
    <s v="06-2019"/>
  </r>
  <r>
    <n v="33893"/>
    <x v="140"/>
    <s v="Not Specified"/>
    <x v="36"/>
    <x v="8"/>
    <x v="8"/>
    <n v="94.48"/>
    <x v="0"/>
    <n v="0"/>
    <n v="94.48"/>
    <n v="2.4"/>
    <n v="94.48"/>
    <x v="0"/>
    <n v="94.48"/>
    <s v="09-2019"/>
  </r>
  <r>
    <n v="3907"/>
    <x v="244"/>
    <s v="Medium"/>
    <x v="1"/>
    <x v="0"/>
    <x v="0"/>
    <n v="780.92"/>
    <x v="0"/>
    <n v="0"/>
    <n v="780.92"/>
    <n v="16.2"/>
    <n v="780.92"/>
    <x v="0"/>
    <n v="780.92"/>
    <s v="08-2019"/>
  </r>
  <r>
    <n v="51109"/>
    <x v="35"/>
    <s v="High"/>
    <x v="23"/>
    <x v="6"/>
    <x v="6"/>
    <n v="119.89"/>
    <x v="0"/>
    <n v="0"/>
    <n v="119.89"/>
    <n v="1.4"/>
    <n v="119.89"/>
    <x v="0"/>
    <n v="119.89"/>
    <s v="11-2019"/>
  </r>
  <r>
    <n v="18500"/>
    <x v="245"/>
    <s v="Medium"/>
    <x v="17"/>
    <x v="6"/>
    <x v="6"/>
    <n v="1126.3699999999999"/>
    <x v="0"/>
    <n v="0"/>
    <n v="1126.3699999999999"/>
    <n v="5.9"/>
    <n v="1126.3699999999999"/>
    <x v="0"/>
    <n v="1126.3699999999999"/>
    <s v="02-2019"/>
  </r>
  <r>
    <n v="31684"/>
    <x v="110"/>
    <s v="Critical"/>
    <x v="23"/>
    <x v="6"/>
    <x v="6"/>
    <n v="488.89"/>
    <x v="0"/>
    <n v="0"/>
    <n v="488.89"/>
    <n v="19"/>
    <n v="488.89"/>
    <x v="1"/>
    <n v="488.89"/>
    <s v="09-2019"/>
  </r>
  <r>
    <n v="16197"/>
    <x v="246"/>
    <s v="Critical"/>
    <x v="42"/>
    <x v="4"/>
    <x v="4"/>
    <n v="234.02"/>
    <x v="0"/>
    <n v="0"/>
    <n v="234.02"/>
    <n v="2.2999999999999998"/>
    <n v="234.02"/>
    <x v="1"/>
    <n v="234.02"/>
    <s v="10-2019"/>
  </r>
  <r>
    <n v="44647"/>
    <x v="247"/>
    <s v="Low"/>
    <x v="10"/>
    <x v="4"/>
    <x v="4"/>
    <n v="324.11"/>
    <x v="0"/>
    <n v="0"/>
    <n v="324.11"/>
    <n v="6.6"/>
    <n v="324.11"/>
    <x v="0"/>
    <n v="324.11"/>
    <s v="01-2019"/>
  </r>
  <r>
    <n v="13157"/>
    <x v="245"/>
    <s v="Medium"/>
    <x v="33"/>
    <x v="3"/>
    <x v="3"/>
    <n v="41.66"/>
    <x v="0"/>
    <n v="0"/>
    <n v="41.66"/>
    <n v="5.0999999999999996"/>
    <n v="41.66"/>
    <x v="0"/>
    <n v="41.66"/>
    <s v="02-2019"/>
  </r>
  <r>
    <n v="8034"/>
    <x v="81"/>
    <s v="High"/>
    <x v="13"/>
    <x v="7"/>
    <x v="7"/>
    <n v="255.12"/>
    <x v="0"/>
    <n v="0"/>
    <n v="255.12"/>
    <n v="9.6"/>
    <n v="255.12"/>
    <x v="0"/>
    <n v="255.12"/>
    <s v="01-2019"/>
  </r>
  <r>
    <n v="30599"/>
    <x v="52"/>
    <s v="Not Specified"/>
    <x v="42"/>
    <x v="4"/>
    <x v="4"/>
    <n v="113.35"/>
    <x v="0"/>
    <n v="0"/>
    <n v="113.35"/>
    <n v="0.9"/>
    <n v="113.35"/>
    <x v="0"/>
    <n v="113.35"/>
    <s v="02-2019"/>
  </r>
  <r>
    <n v="50148"/>
    <x v="135"/>
    <s v="Medium"/>
    <x v="35"/>
    <x v="9"/>
    <x v="9"/>
    <n v="19223.03"/>
    <x v="0"/>
    <n v="0"/>
    <n v="19223.03"/>
    <n v="15"/>
    <n v="19223.03"/>
    <x v="0"/>
    <n v="19223.03"/>
    <s v="01-2019"/>
  </r>
  <r>
    <n v="52003"/>
    <x v="248"/>
    <s v="Low"/>
    <x v="33"/>
    <x v="3"/>
    <x v="3"/>
    <n v="99.87"/>
    <x v="0"/>
    <n v="0"/>
    <n v="99.87"/>
    <n v="5.4"/>
    <n v="99.87"/>
    <x v="0"/>
    <n v="99.87"/>
    <s v="02-2019"/>
  </r>
  <r>
    <n v="15399"/>
    <x v="152"/>
    <s v="Critical"/>
    <x v="29"/>
    <x v="9"/>
    <x v="9"/>
    <n v="2356.62"/>
    <x v="0"/>
    <n v="0"/>
    <n v="2356.62"/>
    <n v="74.400000000000006"/>
    <n v="2356.62"/>
    <x v="2"/>
    <n v="2356.62"/>
    <s v="05-2019"/>
  </r>
  <r>
    <n v="36163"/>
    <x v="231"/>
    <s v="Low"/>
    <x v="25"/>
    <x v="0"/>
    <x v="0"/>
    <n v="495.41"/>
    <x v="0"/>
    <n v="0"/>
    <n v="495.41"/>
    <n v="7.7"/>
    <n v="495.41"/>
    <x v="0"/>
    <n v="495.41"/>
    <s v="11-2019"/>
  </r>
  <r>
    <n v="51239"/>
    <x v="207"/>
    <s v="Low"/>
    <x v="49"/>
    <x v="2"/>
    <x v="2"/>
    <n v="4329.49"/>
    <x v="1"/>
    <n v="43.294899999999998"/>
    <n v="4286.1950999999999"/>
    <n v="64.2"/>
    <n v="4265.29"/>
    <x v="2"/>
    <n v="4265.29"/>
    <s v="02-2019"/>
  </r>
  <r>
    <n v="44805"/>
    <x v="170"/>
    <s v="High"/>
    <x v="28"/>
    <x v="5"/>
    <x v="5"/>
    <n v="1830.4"/>
    <x v="1"/>
    <n v="18.304000000000002"/>
    <n v="1812.096"/>
    <n v="3.2"/>
    <n v="1827.2"/>
    <x v="0"/>
    <n v="1812.096"/>
    <s v="09-2019"/>
  </r>
  <r>
    <n v="5767"/>
    <x v="206"/>
    <s v="High"/>
    <x v="7"/>
    <x v="0"/>
    <x v="0"/>
    <n v="2557.88"/>
    <x v="0"/>
    <n v="0"/>
    <n v="2557.88"/>
    <n v="5.9"/>
    <n v="2557.88"/>
    <x v="0"/>
    <n v="2557.88"/>
    <s v="04-2019"/>
  </r>
  <r>
    <n v="23745"/>
    <x v="249"/>
    <s v="Low"/>
    <x v="14"/>
    <x v="7"/>
    <x v="7"/>
    <n v="765.91"/>
    <x v="0"/>
    <n v="0"/>
    <n v="765.91"/>
    <n v="55.9"/>
    <n v="765.91"/>
    <x v="0"/>
    <n v="765.91"/>
    <s v="12-2019"/>
  </r>
  <r>
    <n v="33666"/>
    <x v="47"/>
    <s v="Not Specified"/>
    <x v="45"/>
    <x v="8"/>
    <x v="8"/>
    <n v="4067.36"/>
    <x v="0"/>
    <n v="0"/>
    <n v="4067.36"/>
    <n v="73.8"/>
    <n v="4067.36"/>
    <x v="0"/>
    <n v="4067.36"/>
    <s v="07-2019"/>
  </r>
  <r>
    <n v="34723"/>
    <x v="160"/>
    <s v="Medium"/>
    <x v="39"/>
    <x v="3"/>
    <x v="3"/>
    <n v="6521.7997999999998"/>
    <x v="0"/>
    <n v="0"/>
    <n v="6521.7997999999998"/>
    <n v="31.8"/>
    <n v="6521.7997999999998"/>
    <x v="2"/>
    <n v="6521.7997999999998"/>
    <s v="12-2019"/>
  </r>
  <r>
    <n v="49380"/>
    <x v="201"/>
    <s v="Medium"/>
    <x v="22"/>
    <x v="7"/>
    <x v="7"/>
    <n v="23695.55"/>
    <x v="0"/>
    <n v="0"/>
    <n v="23695.55"/>
    <n v="15"/>
    <n v="23695.55"/>
    <x v="0"/>
    <n v="23695.55"/>
    <s v="05-2019"/>
  </r>
  <r>
    <n v="52676"/>
    <x v="28"/>
    <s v="High"/>
    <x v="27"/>
    <x v="2"/>
    <x v="2"/>
    <n v="1048"/>
    <x v="1"/>
    <n v="10.48"/>
    <n v="1037.52"/>
    <n v="6.3"/>
    <n v="1041.7"/>
    <x v="0"/>
    <n v="1037.52"/>
    <s v="08-2019"/>
  </r>
  <r>
    <n v="25348"/>
    <x v="223"/>
    <s v="Critical"/>
    <x v="29"/>
    <x v="9"/>
    <x v="9"/>
    <n v="330.87"/>
    <x v="0"/>
    <n v="0"/>
    <n v="330.87"/>
    <n v="1.3"/>
    <n v="330.87"/>
    <x v="0"/>
    <n v="330.87"/>
    <s v="05-2019"/>
  </r>
  <r>
    <n v="33570"/>
    <x v="79"/>
    <s v="Not Specified"/>
    <x v="43"/>
    <x v="3"/>
    <x v="3"/>
    <n v="1605.88"/>
    <x v="0"/>
    <n v="0"/>
    <n v="1605.88"/>
    <n v="31.8"/>
    <n v="1605.88"/>
    <x v="2"/>
    <n v="1605.88"/>
    <s v="12-2019"/>
  </r>
  <r>
    <n v="59905"/>
    <x v="9"/>
    <s v="High"/>
    <x v="44"/>
    <x v="9"/>
    <x v="9"/>
    <n v="52.18"/>
    <x v="0"/>
    <n v="0"/>
    <n v="52.18"/>
    <n v="1.8"/>
    <n v="52.18"/>
    <x v="0"/>
    <n v="52.18"/>
    <s v="04-2019"/>
  </r>
  <r>
    <n v="21796"/>
    <x v="59"/>
    <s v="Low"/>
    <x v="7"/>
    <x v="0"/>
    <x v="0"/>
    <n v="36.615400000000001"/>
    <x v="0"/>
    <n v="0"/>
    <n v="36.615400000000001"/>
    <n v="0.7"/>
    <n v="36.615400000000001"/>
    <x v="0"/>
    <n v="36.615400000000001"/>
    <s v="05-2019"/>
  </r>
  <r>
    <n v="6183"/>
    <x v="250"/>
    <s v="Medium"/>
    <x v="19"/>
    <x v="1"/>
    <x v="1"/>
    <n v="2131.37"/>
    <x v="1"/>
    <n v="21.313700000000001"/>
    <n v="2110.0562999999997"/>
    <n v="6.3"/>
    <n v="2125.0699999999997"/>
    <x v="0"/>
    <n v="2110.0562999999997"/>
    <s v="06-2019"/>
  </r>
  <r>
    <n v="59234"/>
    <x v="76"/>
    <s v="Low"/>
    <x v="36"/>
    <x v="8"/>
    <x v="8"/>
    <n v="853.05"/>
    <x v="0"/>
    <n v="0"/>
    <n v="853.05"/>
    <n v="15.2"/>
    <n v="853.05"/>
    <x v="2"/>
    <n v="853.05"/>
    <s v="07-2019"/>
  </r>
  <r>
    <n v="56967"/>
    <x v="251"/>
    <s v="Low"/>
    <x v="45"/>
    <x v="8"/>
    <x v="8"/>
    <n v="1480.77"/>
    <x v="0"/>
    <n v="0"/>
    <n v="1480.77"/>
    <n v="6.6"/>
    <n v="1480.77"/>
    <x v="1"/>
    <n v="1480.77"/>
    <s v="03-2019"/>
  </r>
  <r>
    <n v="50567"/>
    <x v="252"/>
    <s v="Medium"/>
    <x v="6"/>
    <x v="4"/>
    <x v="4"/>
    <n v="1611.07"/>
    <x v="0"/>
    <n v="0"/>
    <n v="1611.07"/>
    <n v="32.1"/>
    <n v="1611.07"/>
    <x v="2"/>
    <n v="1611.07"/>
    <s v="02-2019"/>
  </r>
  <r>
    <n v="27109"/>
    <x v="64"/>
    <s v="Critical"/>
    <x v="49"/>
    <x v="2"/>
    <x v="2"/>
    <n v="575.9"/>
    <x v="1"/>
    <n v="5.7589999999999995"/>
    <n v="570.14099999999996"/>
    <n v="7"/>
    <n v="568.9"/>
    <x v="0"/>
    <n v="568.9"/>
    <s v="02-2019"/>
  </r>
  <r>
    <n v="2755"/>
    <x v="253"/>
    <s v="Not Specified"/>
    <x v="17"/>
    <x v="6"/>
    <x v="6"/>
    <n v="787.84"/>
    <x v="0"/>
    <n v="0"/>
    <n v="787.84"/>
    <n v="3.2"/>
    <n v="787.84"/>
    <x v="0"/>
    <n v="787.84"/>
    <s v="02-2019"/>
  </r>
  <r>
    <n v="46977"/>
    <x v="105"/>
    <s v="Medium"/>
    <x v="24"/>
    <x v="8"/>
    <x v="8"/>
    <n v="3189"/>
    <x v="0"/>
    <n v="0"/>
    <n v="3189"/>
    <n v="9.6"/>
    <n v="3189"/>
    <x v="0"/>
    <n v="3189"/>
    <s v="05-2019"/>
  </r>
  <r>
    <n v="2560"/>
    <x v="254"/>
    <s v="Critical"/>
    <x v="42"/>
    <x v="4"/>
    <x v="4"/>
    <n v="122.13"/>
    <x v="0"/>
    <n v="0"/>
    <n v="122.13"/>
    <n v="5.9"/>
    <n v="122.13"/>
    <x v="0"/>
    <n v="122.13"/>
    <s v="09-2019"/>
  </r>
  <r>
    <n v="11969"/>
    <x v="81"/>
    <s v="Not Specified"/>
    <x v="15"/>
    <x v="1"/>
    <x v="1"/>
    <n v="12263.013199999999"/>
    <x v="1"/>
    <n v="122.630132"/>
    <n v="12140.383067999999"/>
    <n v="64.2"/>
    <n v="12198.813199999999"/>
    <x v="2"/>
    <n v="12140.383067999999"/>
    <s v="01-2019"/>
  </r>
  <r>
    <n v="38656"/>
    <x v="25"/>
    <s v="Low"/>
    <x v="19"/>
    <x v="1"/>
    <x v="1"/>
    <n v="173.89"/>
    <x v="1"/>
    <n v="1.7388999999999999"/>
    <n v="172.15109999999999"/>
    <n v="5.7"/>
    <n v="168.19"/>
    <x v="0"/>
    <n v="168.19"/>
    <s v="08-2019"/>
  </r>
  <r>
    <n v="32835"/>
    <x v="255"/>
    <s v="Medium"/>
    <x v="47"/>
    <x v="7"/>
    <x v="7"/>
    <n v="612.50279999999998"/>
    <x v="0"/>
    <n v="0"/>
    <n v="612.50279999999998"/>
    <n v="5.3"/>
    <n v="612.50279999999998"/>
    <x v="0"/>
    <n v="612.50279999999998"/>
    <s v="07-2019"/>
  </r>
  <r>
    <n v="34723"/>
    <x v="160"/>
    <s v="Medium"/>
    <x v="48"/>
    <x v="6"/>
    <x v="6"/>
    <n v="1592.05"/>
    <x v="0"/>
    <n v="0"/>
    <n v="1592.05"/>
    <n v="9.6"/>
    <n v="1592.05"/>
    <x v="0"/>
    <n v="1592.05"/>
    <s v="12-2019"/>
  </r>
  <r>
    <n v="51872"/>
    <x v="165"/>
    <s v="Medium"/>
    <x v="37"/>
    <x v="5"/>
    <x v="5"/>
    <n v="4983.6871000000001"/>
    <x v="1"/>
    <n v="49.836871000000002"/>
    <n v="4933.8502289999997"/>
    <n v="4.2"/>
    <n v="4979.4871000000003"/>
    <x v="0"/>
    <n v="4933.8502289999997"/>
    <s v="04-2019"/>
  </r>
  <r>
    <n v="43653"/>
    <x v="34"/>
    <s v="High"/>
    <x v="4"/>
    <x v="3"/>
    <x v="3"/>
    <n v="11.36"/>
    <x v="0"/>
    <n v="0"/>
    <n v="11.36"/>
    <n v="1.4"/>
    <n v="11.36"/>
    <x v="0"/>
    <n v="11.36"/>
    <s v="10-2019"/>
  </r>
  <r>
    <n v="10917"/>
    <x v="52"/>
    <s v="Critical"/>
    <x v="26"/>
    <x v="7"/>
    <x v="7"/>
    <n v="1371.05"/>
    <x v="0"/>
    <n v="0"/>
    <n v="1371.05"/>
    <n v="6.4"/>
    <n v="1371.05"/>
    <x v="1"/>
    <n v="1371.05"/>
    <s v="02-2019"/>
  </r>
  <r>
    <n v="11969"/>
    <x v="81"/>
    <s v="Not Specified"/>
    <x v="36"/>
    <x v="8"/>
    <x v="8"/>
    <n v="1802.9072000000001"/>
    <x v="0"/>
    <n v="0"/>
    <n v="1802.9072000000001"/>
    <n v="37.5"/>
    <n v="1802.9072000000001"/>
    <x v="0"/>
    <n v="1802.9072000000001"/>
    <s v="01-2019"/>
  </r>
  <r>
    <n v="18757"/>
    <x v="177"/>
    <s v="Low"/>
    <x v="20"/>
    <x v="1"/>
    <x v="1"/>
    <n v="342.36"/>
    <x v="1"/>
    <n v="3.4236000000000004"/>
    <n v="338.93639999999999"/>
    <n v="1.7"/>
    <n v="340.66"/>
    <x v="1"/>
    <n v="338.93639999999999"/>
    <s v="05-2019"/>
  </r>
  <r>
    <n v="49953"/>
    <x v="107"/>
    <s v="Not Specified"/>
    <x v="38"/>
    <x v="8"/>
    <x v="8"/>
    <n v="303.35000000000002"/>
    <x v="0"/>
    <n v="0"/>
    <n v="303.35000000000002"/>
    <n v="7"/>
    <n v="303.35000000000002"/>
    <x v="0"/>
    <n v="303.35000000000002"/>
    <s v="03-2019"/>
  </r>
  <r>
    <n v="8388"/>
    <x v="207"/>
    <s v="Low"/>
    <x v="37"/>
    <x v="5"/>
    <x v="5"/>
    <n v="464.5"/>
    <x v="1"/>
    <n v="4.6450000000000005"/>
    <n v="459.85500000000002"/>
    <n v="6"/>
    <n v="458.5"/>
    <x v="0"/>
    <n v="458.5"/>
    <s v="02-2019"/>
  </r>
  <r>
    <n v="28582"/>
    <x v="111"/>
    <s v="Not Specified"/>
    <x v="28"/>
    <x v="5"/>
    <x v="5"/>
    <n v="1605.18"/>
    <x v="1"/>
    <n v="16.0518"/>
    <n v="1589.1282000000001"/>
    <n v="2.1"/>
    <n v="1603.0800000000002"/>
    <x v="1"/>
    <n v="1589.1282000000001"/>
    <s v="01-2019"/>
  </r>
  <r>
    <n v="27616"/>
    <x v="151"/>
    <s v="Low"/>
    <x v="4"/>
    <x v="3"/>
    <x v="3"/>
    <n v="657.13"/>
    <x v="0"/>
    <n v="0"/>
    <n v="657.13"/>
    <n v="26.2"/>
    <n v="657.13"/>
    <x v="0"/>
    <n v="657.13"/>
    <s v="07-2019"/>
  </r>
  <r>
    <n v="47777"/>
    <x v="256"/>
    <s v="Low"/>
    <x v="13"/>
    <x v="7"/>
    <x v="7"/>
    <n v="94.06"/>
    <x v="0"/>
    <n v="0"/>
    <n v="94.06"/>
    <n v="5.8"/>
    <n v="94.06"/>
    <x v="0"/>
    <n v="94.06"/>
    <s v="11-2019"/>
  </r>
  <r>
    <n v="18849"/>
    <x v="36"/>
    <s v="High"/>
    <x v="44"/>
    <x v="9"/>
    <x v="9"/>
    <n v="804.33"/>
    <x v="0"/>
    <n v="0"/>
    <n v="804.33"/>
    <n v="1.1000000000000001"/>
    <n v="804.33"/>
    <x v="0"/>
    <n v="804.33"/>
    <s v="08-2019"/>
  </r>
  <r>
    <n v="54020"/>
    <x v="257"/>
    <s v="Low"/>
    <x v="16"/>
    <x v="0"/>
    <x v="0"/>
    <n v="693.98"/>
    <x v="0"/>
    <n v="0"/>
    <n v="693.98"/>
    <n v="5.6"/>
    <n v="693.98"/>
    <x v="0"/>
    <n v="693.98"/>
    <s v="01-2019"/>
  </r>
  <r>
    <n v="42115"/>
    <x v="248"/>
    <s v="Critical"/>
    <x v="5"/>
    <x v="4"/>
    <x v="4"/>
    <n v="721.09439999999995"/>
    <x v="0"/>
    <n v="0"/>
    <n v="721.09439999999995"/>
    <n v="2.1"/>
    <n v="721.09439999999995"/>
    <x v="0"/>
    <n v="721.09439999999995"/>
    <s v="02-2019"/>
  </r>
  <r>
    <n v="18500"/>
    <x v="245"/>
    <s v="Medium"/>
    <x v="17"/>
    <x v="6"/>
    <x v="6"/>
    <n v="2713.85"/>
    <x v="0"/>
    <n v="0"/>
    <n v="2713.85"/>
    <n v="37.5"/>
    <n v="2713.85"/>
    <x v="0"/>
    <n v="2713.85"/>
    <s v="02-2019"/>
  </r>
  <r>
    <n v="14695"/>
    <x v="183"/>
    <s v="High"/>
    <x v="28"/>
    <x v="5"/>
    <x v="5"/>
    <n v="2131.92"/>
    <x v="1"/>
    <n v="21.319200000000002"/>
    <n v="2110.6008000000002"/>
    <n v="57.9"/>
    <n v="2074.02"/>
    <x v="2"/>
    <n v="2074.02"/>
    <s v="09-2019"/>
  </r>
  <r>
    <n v="38279"/>
    <x v="20"/>
    <s v="Medium"/>
    <x v="43"/>
    <x v="3"/>
    <x v="3"/>
    <n v="12.45"/>
    <x v="0"/>
    <n v="0"/>
    <n v="12.45"/>
    <n v="4.3"/>
    <n v="12.45"/>
    <x v="0"/>
    <n v="12.45"/>
    <s v="04-2019"/>
  </r>
  <r>
    <n v="14215"/>
    <x v="199"/>
    <s v="Medium"/>
    <x v="2"/>
    <x v="1"/>
    <x v="1"/>
    <n v="2436.42"/>
    <x v="1"/>
    <n v="24.3642"/>
    <n v="2412.0558000000001"/>
    <n v="7.3"/>
    <n v="2429.12"/>
    <x v="0"/>
    <n v="2412.0558000000001"/>
    <s v="07-2019"/>
  </r>
  <r>
    <n v="15872"/>
    <x v="34"/>
    <s v="Not Specified"/>
    <x v="42"/>
    <x v="4"/>
    <x v="4"/>
    <n v="201.73"/>
    <x v="0"/>
    <n v="0"/>
    <n v="201.73"/>
    <n v="6.4"/>
    <n v="201.73"/>
    <x v="0"/>
    <n v="201.73"/>
    <s v="10-2019"/>
  </r>
  <r>
    <n v="51269"/>
    <x v="61"/>
    <s v="Critical"/>
    <x v="32"/>
    <x v="8"/>
    <x v="8"/>
    <n v="460.54"/>
    <x v="0"/>
    <n v="0"/>
    <n v="460.54"/>
    <n v="8.1"/>
    <n v="460.54"/>
    <x v="0"/>
    <n v="460.54"/>
    <s v="01-2019"/>
  </r>
  <r>
    <n v="39783"/>
    <x v="140"/>
    <s v="Not Specified"/>
    <x v="24"/>
    <x v="8"/>
    <x v="8"/>
    <n v="88.2"/>
    <x v="0"/>
    <n v="0"/>
    <n v="88.2"/>
    <n v="7.4"/>
    <n v="88.2"/>
    <x v="0"/>
    <n v="88.2"/>
    <s v="09-2019"/>
  </r>
  <r>
    <n v="50822"/>
    <x v="197"/>
    <s v="Medium"/>
    <x v="44"/>
    <x v="9"/>
    <x v="9"/>
    <n v="1749.76"/>
    <x v="0"/>
    <n v="0"/>
    <n v="1749.76"/>
    <n v="26.2"/>
    <n v="1749.76"/>
    <x v="0"/>
    <n v="1749.76"/>
    <s v="02-2019"/>
  </r>
  <r>
    <n v="2688"/>
    <x v="166"/>
    <s v="High"/>
    <x v="29"/>
    <x v="9"/>
    <x v="9"/>
    <n v="155.6"/>
    <x v="0"/>
    <n v="0"/>
    <n v="155.6"/>
    <n v="7"/>
    <n v="155.6"/>
    <x v="0"/>
    <n v="155.6"/>
    <s v="01-2019"/>
  </r>
  <r>
    <n v="14727"/>
    <x v="128"/>
    <s v="Medium"/>
    <x v="0"/>
    <x v="0"/>
    <x v="0"/>
    <n v="2428.27"/>
    <x v="0"/>
    <n v="0"/>
    <n v="2428.27"/>
    <n v="3.7"/>
    <n v="2428.27"/>
    <x v="0"/>
    <n v="2428.27"/>
    <s v="07-2019"/>
  </r>
  <r>
    <n v="39365"/>
    <x v="63"/>
    <s v="High"/>
    <x v="25"/>
    <x v="0"/>
    <x v="0"/>
    <n v="996.26"/>
    <x v="0"/>
    <n v="0"/>
    <n v="996.26"/>
    <n v="2.1"/>
    <n v="996.26"/>
    <x v="1"/>
    <n v="996.26"/>
    <s v="05-2019"/>
  </r>
  <r>
    <n v="55239"/>
    <x v="200"/>
    <s v="Critical"/>
    <x v="44"/>
    <x v="9"/>
    <x v="9"/>
    <n v="1079.49"/>
    <x v="0"/>
    <n v="0"/>
    <n v="1079.49"/>
    <n v="73.8"/>
    <n v="1079.49"/>
    <x v="1"/>
    <n v="1079.49"/>
    <s v="12-2019"/>
  </r>
  <r>
    <n v="48672"/>
    <x v="220"/>
    <s v="High"/>
    <x v="20"/>
    <x v="1"/>
    <x v="1"/>
    <n v="273.60000000000002"/>
    <x v="1"/>
    <n v="2.7360000000000002"/>
    <n v="270.86400000000003"/>
    <n v="3.6"/>
    <n v="270"/>
    <x v="0"/>
    <n v="270"/>
    <s v="12-2019"/>
  </r>
  <r>
    <n v="40032"/>
    <x v="133"/>
    <s v="Low"/>
    <x v="35"/>
    <x v="9"/>
    <x v="9"/>
    <n v="24931.13"/>
    <x v="0"/>
    <n v="0"/>
    <n v="24931.13"/>
    <n v="31.8"/>
    <n v="24931.13"/>
    <x v="2"/>
    <n v="24931.13"/>
    <s v="11-2019"/>
  </r>
  <r>
    <n v="44549"/>
    <x v="111"/>
    <s v="Medium"/>
    <x v="18"/>
    <x v="3"/>
    <x v="3"/>
    <n v="12.04"/>
    <x v="0"/>
    <n v="0"/>
    <n v="12.04"/>
    <n v="1.6"/>
    <n v="12.04"/>
    <x v="0"/>
    <n v="12.04"/>
    <s v="01-2019"/>
  </r>
  <r>
    <n v="30403"/>
    <x v="45"/>
    <s v="High"/>
    <x v="19"/>
    <x v="1"/>
    <x v="1"/>
    <n v="326.36"/>
    <x v="1"/>
    <n v="3.2636000000000003"/>
    <n v="323.09640000000002"/>
    <n v="8.3000000000000007"/>
    <n v="318.06"/>
    <x v="1"/>
    <n v="318.06"/>
    <s v="07-2019"/>
  </r>
  <r>
    <n v="35040"/>
    <x v="172"/>
    <s v="Not Specified"/>
    <x v="2"/>
    <x v="1"/>
    <x v="1"/>
    <n v="520.69410000000005"/>
    <x v="1"/>
    <n v="5.2069410000000005"/>
    <n v="515.48715900000002"/>
    <n v="8"/>
    <n v="512.69410000000005"/>
    <x v="0"/>
    <n v="512.69410000000005"/>
    <s v="04-2019"/>
  </r>
  <r>
    <n v="58978"/>
    <x v="253"/>
    <s v="Low"/>
    <x v="13"/>
    <x v="7"/>
    <x v="7"/>
    <n v="81.2"/>
    <x v="0"/>
    <n v="0"/>
    <n v="81.2"/>
    <n v="5.5"/>
    <n v="81.2"/>
    <x v="0"/>
    <n v="81.2"/>
    <s v="02-2019"/>
  </r>
  <r>
    <n v="26116"/>
    <x v="115"/>
    <s v="Critical"/>
    <x v="34"/>
    <x v="5"/>
    <x v="5"/>
    <n v="746.23"/>
    <x v="1"/>
    <n v="7.4622999999999999"/>
    <n v="738.76769999999999"/>
    <n v="9.6999999999999993"/>
    <n v="736.53"/>
    <x v="0"/>
    <n v="736.53"/>
    <s v="10-2019"/>
  </r>
  <r>
    <n v="16775"/>
    <x v="190"/>
    <s v="Low"/>
    <x v="21"/>
    <x v="2"/>
    <x v="2"/>
    <n v="2641.99"/>
    <x v="1"/>
    <n v="26.419899999999998"/>
    <n v="2615.5700999999999"/>
    <n v="6.3"/>
    <n v="2635.6899999999996"/>
    <x v="0"/>
    <n v="2615.5700999999999"/>
    <s v="11-2019"/>
  </r>
  <r>
    <n v="34117"/>
    <x v="197"/>
    <s v="High"/>
    <x v="9"/>
    <x v="1"/>
    <x v="1"/>
    <n v="320.94"/>
    <x v="1"/>
    <n v="3.2094"/>
    <n v="317.73059999999998"/>
    <n v="3.2"/>
    <n v="317.74"/>
    <x v="0"/>
    <n v="317.73059999999998"/>
    <s v="02-2019"/>
  </r>
  <r>
    <n v="31106"/>
    <x v="10"/>
    <s v="Low"/>
    <x v="37"/>
    <x v="5"/>
    <x v="5"/>
    <n v="109.033"/>
    <x v="1"/>
    <n v="1.09033"/>
    <n v="107.94267000000001"/>
    <n v="0.5"/>
    <n v="108.533"/>
    <x v="0"/>
    <n v="107.94267000000001"/>
    <s v="02-2019"/>
  </r>
  <r>
    <n v="28224"/>
    <x v="258"/>
    <s v="Critical"/>
    <x v="31"/>
    <x v="4"/>
    <x v="4"/>
    <n v="174.84870000000001"/>
    <x v="0"/>
    <n v="0"/>
    <n v="174.84870000000001"/>
    <n v="7.5"/>
    <n v="174.84870000000001"/>
    <x v="0"/>
    <n v="174.84870000000001"/>
    <s v="12-2019"/>
  </r>
  <r>
    <n v="27557"/>
    <x v="64"/>
    <s v="Low"/>
    <x v="38"/>
    <x v="8"/>
    <x v="8"/>
    <n v="60.06"/>
    <x v="0"/>
    <n v="0"/>
    <n v="60.06"/>
    <n v="5.7"/>
    <n v="60.06"/>
    <x v="0"/>
    <n v="60.06"/>
    <s v="02-2019"/>
  </r>
  <r>
    <n v="54721"/>
    <x v="93"/>
    <s v="Not Specified"/>
    <x v="24"/>
    <x v="8"/>
    <x v="8"/>
    <n v="2142.5700000000002"/>
    <x v="0"/>
    <n v="0"/>
    <n v="2142.5700000000002"/>
    <n v="28.1"/>
    <n v="2142.5700000000002"/>
    <x v="2"/>
    <n v="2142.5700000000002"/>
    <s v="10-2019"/>
  </r>
  <r>
    <n v="11011"/>
    <x v="152"/>
    <s v="High"/>
    <x v="34"/>
    <x v="5"/>
    <x v="5"/>
    <n v="327.01"/>
    <x v="1"/>
    <n v="3.2700999999999998"/>
    <n v="323.73989999999998"/>
    <n v="8.9"/>
    <n v="318.11"/>
    <x v="0"/>
    <n v="318.11"/>
    <s v="05-2019"/>
  </r>
  <r>
    <n v="16866"/>
    <x v="253"/>
    <s v="Not Specified"/>
    <x v="20"/>
    <x v="1"/>
    <x v="1"/>
    <n v="2522.9621000000002"/>
    <x v="1"/>
    <n v="25.229621000000002"/>
    <n v="2497.7324790000002"/>
    <n v="4.3"/>
    <n v="2518.6621"/>
    <x v="0"/>
    <n v="2497.7324790000002"/>
    <s v="02-2019"/>
  </r>
  <r>
    <n v="1088"/>
    <x v="24"/>
    <s v="Low"/>
    <x v="13"/>
    <x v="7"/>
    <x v="7"/>
    <n v="287.85000000000002"/>
    <x v="0"/>
    <n v="0"/>
    <n v="287.85000000000002"/>
    <n v="7"/>
    <n v="287.85000000000002"/>
    <x v="0"/>
    <n v="287.85000000000002"/>
    <s v="05-2019"/>
  </r>
  <r>
    <n v="44071"/>
    <x v="150"/>
    <s v="Not Specified"/>
    <x v="24"/>
    <x v="8"/>
    <x v="8"/>
    <n v="118.42"/>
    <x v="0"/>
    <n v="0"/>
    <n v="118.42"/>
    <n v="5.3"/>
    <n v="118.42"/>
    <x v="0"/>
    <n v="118.42"/>
    <s v="04-2019"/>
  </r>
  <r>
    <n v="18849"/>
    <x v="36"/>
    <s v="High"/>
    <x v="41"/>
    <x v="5"/>
    <x v="5"/>
    <n v="577.37"/>
    <x v="1"/>
    <n v="5.7736999999999998"/>
    <n v="571.59630000000004"/>
    <n v="9.4"/>
    <n v="567.97"/>
    <x v="0"/>
    <n v="567.97"/>
    <s v="08-2019"/>
  </r>
  <r>
    <n v="13027"/>
    <x v="242"/>
    <s v="Critical"/>
    <x v="15"/>
    <x v="1"/>
    <x v="1"/>
    <n v="311.02999999999997"/>
    <x v="1"/>
    <n v="3.1102999999999996"/>
    <n v="307.91969999999998"/>
    <n v="6.6"/>
    <n v="304.42999999999995"/>
    <x v="0"/>
    <n v="304.42999999999995"/>
    <s v="01-2019"/>
  </r>
  <r>
    <n v="23585"/>
    <x v="259"/>
    <s v="Critical"/>
    <x v="2"/>
    <x v="1"/>
    <x v="1"/>
    <n v="206.27"/>
    <x v="1"/>
    <n v="2.0627"/>
    <n v="204.2073"/>
    <n v="1.7"/>
    <n v="204.57000000000002"/>
    <x v="0"/>
    <n v="204.2073"/>
    <s v="10-2019"/>
  </r>
  <r>
    <n v="4103"/>
    <x v="60"/>
    <s v="Low"/>
    <x v="4"/>
    <x v="3"/>
    <x v="3"/>
    <n v="45.48"/>
    <x v="0"/>
    <n v="0"/>
    <n v="45.48"/>
    <n v="9.6"/>
    <n v="45.48"/>
    <x v="0"/>
    <n v="45.48"/>
    <s v="07-2019"/>
  </r>
  <r>
    <n v="27780"/>
    <x v="260"/>
    <s v="Critical"/>
    <x v="41"/>
    <x v="5"/>
    <x v="5"/>
    <n v="158.05000000000001"/>
    <x v="1"/>
    <n v="1.5805000000000002"/>
    <n v="156.46950000000001"/>
    <n v="1.4"/>
    <n v="156.65"/>
    <x v="0"/>
    <n v="156.46950000000001"/>
    <s v="10-2019"/>
  </r>
  <r>
    <n v="24098"/>
    <x v="261"/>
    <s v="Critical"/>
    <x v="25"/>
    <x v="0"/>
    <x v="0"/>
    <n v="4449.1400000000003"/>
    <x v="0"/>
    <n v="0"/>
    <n v="4449.1400000000003"/>
    <n v="9.6"/>
    <n v="4449.1400000000003"/>
    <x v="0"/>
    <n v="4449.1400000000003"/>
    <s v="04-2019"/>
  </r>
  <r>
    <n v="39168"/>
    <x v="141"/>
    <s v="High"/>
    <x v="3"/>
    <x v="2"/>
    <x v="2"/>
    <n v="1099.5999999999999"/>
    <x v="1"/>
    <n v="10.995999999999999"/>
    <n v="1088.6039999999998"/>
    <n v="9.3000000000000007"/>
    <n v="1090.3"/>
    <x v="0"/>
    <n v="1088.6039999999998"/>
    <s v="05-2019"/>
  </r>
  <r>
    <n v="55683"/>
    <x v="146"/>
    <s v="High"/>
    <x v="42"/>
    <x v="4"/>
    <x v="4"/>
    <n v="1281.97"/>
    <x v="0"/>
    <n v="0"/>
    <n v="1281.97"/>
    <n v="21.4"/>
    <n v="1281.97"/>
    <x v="0"/>
    <n v="1281.97"/>
    <s v="07-2019"/>
  </r>
  <r>
    <n v="35392"/>
    <x v="207"/>
    <s v="High"/>
    <x v="35"/>
    <x v="9"/>
    <x v="9"/>
    <n v="75.8416"/>
    <x v="0"/>
    <n v="0"/>
    <n v="75.8416"/>
    <n v="10.4"/>
    <n v="75.8416"/>
    <x v="0"/>
    <n v="75.8416"/>
    <s v="02-2019"/>
  </r>
  <r>
    <n v="4800"/>
    <x v="38"/>
    <s v="Low"/>
    <x v="39"/>
    <x v="3"/>
    <x v="3"/>
    <n v="44.88"/>
    <x v="0"/>
    <n v="0"/>
    <n v="44.88"/>
    <n v="9.6"/>
    <n v="44.88"/>
    <x v="0"/>
    <n v="44.88"/>
    <s v="01-2019"/>
  </r>
  <r>
    <n v="52197"/>
    <x v="113"/>
    <s v="Critical"/>
    <x v="44"/>
    <x v="9"/>
    <x v="9"/>
    <n v="403.42"/>
    <x v="0"/>
    <n v="0"/>
    <n v="403.42"/>
    <n v="7.4"/>
    <n v="403.42"/>
    <x v="0"/>
    <n v="403.42"/>
    <s v="08-2019"/>
  </r>
  <r>
    <n v="32165"/>
    <x v="262"/>
    <s v="Not Specified"/>
    <x v="8"/>
    <x v="5"/>
    <x v="5"/>
    <n v="3145.46"/>
    <x v="1"/>
    <n v="31.454600000000003"/>
    <n v="3114.0054"/>
    <n v="1.1000000000000001"/>
    <n v="3144.36"/>
    <x v="0"/>
    <n v="3114.0054"/>
    <s v="10-2019"/>
  </r>
  <r>
    <n v="52995"/>
    <x v="108"/>
    <s v="Not Specified"/>
    <x v="30"/>
    <x v="9"/>
    <x v="9"/>
    <n v="35.729999999999997"/>
    <x v="0"/>
    <n v="0"/>
    <n v="35.729999999999997"/>
    <n v="6.7"/>
    <n v="35.729999999999997"/>
    <x v="0"/>
    <n v="35.729999999999997"/>
    <s v="03-2019"/>
  </r>
  <r>
    <n v="2848"/>
    <x v="263"/>
    <s v="Critical"/>
    <x v="16"/>
    <x v="0"/>
    <x v="0"/>
    <n v="1579.74"/>
    <x v="0"/>
    <n v="0"/>
    <n v="1579.74"/>
    <n v="17"/>
    <n v="1579.74"/>
    <x v="1"/>
    <n v="1579.74"/>
    <s v="03-2019"/>
  </r>
  <r>
    <n v="17216"/>
    <x v="239"/>
    <s v="Medium"/>
    <x v="29"/>
    <x v="9"/>
    <x v="9"/>
    <n v="2392.69"/>
    <x v="0"/>
    <n v="0"/>
    <n v="2392.69"/>
    <n v="63.1"/>
    <n v="2392.69"/>
    <x v="2"/>
    <n v="2392.69"/>
    <s v="05-2019"/>
  </r>
  <r>
    <n v="42177"/>
    <x v="196"/>
    <s v="Not Specified"/>
    <x v="8"/>
    <x v="5"/>
    <x v="5"/>
    <n v="423.55"/>
    <x v="1"/>
    <n v="4.2355"/>
    <n v="419.31450000000001"/>
    <n v="6.4"/>
    <n v="417.15000000000003"/>
    <x v="0"/>
    <n v="417.15000000000003"/>
    <s v="05-2019"/>
  </r>
  <r>
    <n v="32871"/>
    <x v="246"/>
    <s v="High"/>
    <x v="35"/>
    <x v="9"/>
    <x v="9"/>
    <n v="115.47"/>
    <x v="0"/>
    <n v="0"/>
    <n v="115.47"/>
    <n v="7"/>
    <n v="115.47"/>
    <x v="0"/>
    <n v="115.47"/>
    <s v="10-2019"/>
  </r>
  <r>
    <n v="46023"/>
    <x v="264"/>
    <s v="Not Specified"/>
    <x v="3"/>
    <x v="2"/>
    <x v="2"/>
    <n v="1178.8832"/>
    <x v="1"/>
    <n v="11.788831999999999"/>
    <n v="1167.094368"/>
    <n v="15"/>
    <n v="1163.8832"/>
    <x v="0"/>
    <n v="1163.8832"/>
    <s v="03-2019"/>
  </r>
  <r>
    <n v="17698"/>
    <x v="152"/>
    <s v="High"/>
    <x v="6"/>
    <x v="4"/>
    <x v="4"/>
    <n v="1196.53"/>
    <x v="0"/>
    <n v="0"/>
    <n v="1196.53"/>
    <n v="9.6"/>
    <n v="1196.53"/>
    <x v="0"/>
    <n v="1196.53"/>
    <s v="05-2019"/>
  </r>
  <r>
    <n v="40772"/>
    <x v="178"/>
    <s v="Critical"/>
    <x v="47"/>
    <x v="7"/>
    <x v="7"/>
    <n v="137.25"/>
    <x v="0"/>
    <n v="0"/>
    <n v="137.25"/>
    <n v="3"/>
    <n v="137.25"/>
    <x v="0"/>
    <n v="137.25"/>
    <s v="02-2019"/>
  </r>
  <r>
    <n v="36709"/>
    <x v="265"/>
    <s v="Critical"/>
    <x v="15"/>
    <x v="1"/>
    <x v="1"/>
    <n v="2402.89"/>
    <x v="1"/>
    <n v="24.0289"/>
    <n v="2378.8611000000001"/>
    <n v="9.6"/>
    <n v="2393.29"/>
    <x v="0"/>
    <n v="2378.8611000000001"/>
    <s v="08-2019"/>
  </r>
  <r>
    <n v="13984"/>
    <x v="266"/>
    <s v="Critical"/>
    <x v="17"/>
    <x v="6"/>
    <x v="6"/>
    <n v="2196.52"/>
    <x v="0"/>
    <n v="0"/>
    <n v="2196.52"/>
    <n v="40.200000000000003"/>
    <n v="2196.52"/>
    <x v="0"/>
    <n v="2196.52"/>
    <s v="09-2019"/>
  </r>
  <r>
    <n v="51205"/>
    <x v="73"/>
    <s v="High"/>
    <x v="45"/>
    <x v="8"/>
    <x v="8"/>
    <n v="249.32"/>
    <x v="0"/>
    <n v="0"/>
    <n v="249.32"/>
    <n v="1.6"/>
    <n v="249.32"/>
    <x v="1"/>
    <n v="249.32"/>
    <s v="12-2019"/>
  </r>
  <r>
    <n v="50849"/>
    <x v="103"/>
    <s v="Low"/>
    <x v="12"/>
    <x v="2"/>
    <x v="2"/>
    <n v="328.89"/>
    <x v="1"/>
    <n v="3.2888999999999999"/>
    <n v="325.60109999999997"/>
    <n v="9.8000000000000007"/>
    <n v="319.08999999999997"/>
    <x v="1"/>
    <n v="319.08999999999997"/>
    <s v="10-2019"/>
  </r>
  <r>
    <n v="5601"/>
    <x v="38"/>
    <s v="High"/>
    <x v="46"/>
    <x v="9"/>
    <x v="9"/>
    <n v="128.97"/>
    <x v="0"/>
    <n v="0"/>
    <n v="128.97"/>
    <n v="3"/>
    <n v="128.97"/>
    <x v="0"/>
    <n v="128.97"/>
    <s v="01-2019"/>
  </r>
  <r>
    <n v="37798"/>
    <x v="267"/>
    <s v="High"/>
    <x v="42"/>
    <x v="4"/>
    <x v="4"/>
    <n v="6716.21"/>
    <x v="0"/>
    <n v="0"/>
    <n v="6716.21"/>
    <n v="52.2"/>
    <n v="6716.21"/>
    <x v="2"/>
    <n v="6716.21"/>
    <s v="11-2019"/>
  </r>
  <r>
    <n v="9602"/>
    <x v="89"/>
    <s v="Critical"/>
    <x v="40"/>
    <x v="6"/>
    <x v="6"/>
    <n v="2839.95"/>
    <x v="0"/>
    <n v="0"/>
    <n v="2839.95"/>
    <n v="30"/>
    <n v="2839.95"/>
    <x v="2"/>
    <n v="2839.95"/>
    <s v="11-2019"/>
  </r>
  <r>
    <n v="39813"/>
    <x v="123"/>
    <s v="Critical"/>
    <x v="49"/>
    <x v="2"/>
    <x v="2"/>
    <n v="336.34"/>
    <x v="1"/>
    <n v="3.3633999999999999"/>
    <n v="332.97659999999996"/>
    <n v="7.1"/>
    <n v="329.23999999999995"/>
    <x v="0"/>
    <n v="329.23999999999995"/>
    <s v="02-2019"/>
  </r>
  <r>
    <n v="32327"/>
    <x v="117"/>
    <s v="Low"/>
    <x v="9"/>
    <x v="1"/>
    <x v="1"/>
    <n v="21757.18"/>
    <x v="1"/>
    <n v="217.5718"/>
    <n v="21539.608199999999"/>
    <n v="157.4"/>
    <n v="21599.78"/>
    <x v="2"/>
    <n v="21539.608199999999"/>
    <s v="08-2019"/>
  </r>
  <r>
    <n v="6500"/>
    <x v="18"/>
    <s v="Critical"/>
    <x v="47"/>
    <x v="7"/>
    <x v="7"/>
    <n v="479.43"/>
    <x v="0"/>
    <n v="0"/>
    <n v="479.43"/>
    <n v="9.3000000000000007"/>
    <n v="479.43"/>
    <x v="0"/>
    <n v="479.43"/>
    <s v="10-2019"/>
  </r>
  <r>
    <n v="33956"/>
    <x v="81"/>
    <s v="Low"/>
    <x v="13"/>
    <x v="7"/>
    <x v="7"/>
    <n v="117.25"/>
    <x v="0"/>
    <n v="0"/>
    <n v="117.25"/>
    <n v="4.3"/>
    <n v="117.25"/>
    <x v="0"/>
    <n v="117.25"/>
    <s v="01-2019"/>
  </r>
  <r>
    <n v="25348"/>
    <x v="223"/>
    <s v="Critical"/>
    <x v="44"/>
    <x v="9"/>
    <x v="9"/>
    <n v="367.4"/>
    <x v="0"/>
    <n v="0"/>
    <n v="367.4"/>
    <n v="14.1"/>
    <n v="367.4"/>
    <x v="0"/>
    <n v="367.4"/>
    <s v="05-2019"/>
  </r>
  <r>
    <n v="59781"/>
    <x v="268"/>
    <s v="Not Specified"/>
    <x v="23"/>
    <x v="6"/>
    <x v="6"/>
    <n v="26098.54"/>
    <x v="0"/>
    <n v="0"/>
    <n v="26098.54"/>
    <n v="47.7"/>
    <n v="26098.54"/>
    <x v="2"/>
    <n v="26098.54"/>
    <s v="12-2019"/>
  </r>
  <r>
    <n v="28934"/>
    <x v="72"/>
    <s v="Medium"/>
    <x v="11"/>
    <x v="6"/>
    <x v="6"/>
    <n v="4280.37"/>
    <x v="0"/>
    <n v="0"/>
    <n v="4280.37"/>
    <n v="32.1"/>
    <n v="4280.37"/>
    <x v="2"/>
    <n v="4280.37"/>
    <s v="11-2019"/>
  </r>
  <r>
    <n v="19718"/>
    <x v="163"/>
    <s v="Low"/>
    <x v="44"/>
    <x v="9"/>
    <x v="9"/>
    <n v="96.03"/>
    <x v="0"/>
    <n v="0"/>
    <n v="96.03"/>
    <n v="8"/>
    <n v="96.03"/>
    <x v="0"/>
    <n v="96.03"/>
    <s v="06-2019"/>
  </r>
  <r>
    <n v="41056"/>
    <x v="269"/>
    <s v="Critical"/>
    <x v="39"/>
    <x v="3"/>
    <x v="3"/>
    <n v="147.16999999999999"/>
    <x v="0"/>
    <n v="0"/>
    <n v="147.16999999999999"/>
    <n v="8.1"/>
    <n v="147.16999999999999"/>
    <x v="0"/>
    <n v="147.16999999999999"/>
    <s v="03-2019"/>
  </r>
  <r>
    <n v="32356"/>
    <x v="270"/>
    <s v="Not Specified"/>
    <x v="12"/>
    <x v="2"/>
    <x v="2"/>
    <n v="5604.87"/>
    <x v="1"/>
    <n v="56.048699999999997"/>
    <n v="5548.8212999999996"/>
    <n v="49.4"/>
    <n v="5555.47"/>
    <x v="2"/>
    <n v="5548.8212999999996"/>
    <s v="10-2019"/>
  </r>
  <r>
    <n v="49602"/>
    <x v="271"/>
    <s v="Not Specified"/>
    <x v="7"/>
    <x v="0"/>
    <x v="0"/>
    <n v="5220.1400000000003"/>
    <x v="0"/>
    <n v="0"/>
    <n v="5220.1400000000003"/>
    <n v="70.900000000000006"/>
    <n v="5220.1400000000003"/>
    <x v="2"/>
    <n v="5220.1400000000003"/>
    <s v="03-2019"/>
  </r>
  <r>
    <n v="4162"/>
    <x v="191"/>
    <s v="Low"/>
    <x v="33"/>
    <x v="3"/>
    <x v="3"/>
    <n v="408.31"/>
    <x v="0"/>
    <n v="0"/>
    <n v="408.31"/>
    <n v="21.4"/>
    <n v="408.31"/>
    <x v="0"/>
    <n v="408.31"/>
    <s v="02-2019"/>
  </r>
  <r>
    <n v="3205"/>
    <x v="159"/>
    <s v="Low"/>
    <x v="30"/>
    <x v="9"/>
    <x v="9"/>
    <n v="146.16999999999999"/>
    <x v="0"/>
    <n v="0"/>
    <n v="146.16999999999999"/>
    <n v="4"/>
    <n v="146.16999999999999"/>
    <x v="0"/>
    <n v="146.16999999999999"/>
    <s v="04-2019"/>
  </r>
  <r>
    <n v="31586"/>
    <x v="272"/>
    <s v="Low"/>
    <x v="31"/>
    <x v="4"/>
    <x v="4"/>
    <n v="4697.3310000000001"/>
    <x v="0"/>
    <n v="0"/>
    <n v="4697.3310000000001"/>
    <n v="5.6"/>
    <n v="4697.3310000000001"/>
    <x v="1"/>
    <n v="4697.3310000000001"/>
    <s v="03-2019"/>
  </r>
  <r>
    <n v="7552"/>
    <x v="53"/>
    <s v="Critical"/>
    <x v="21"/>
    <x v="2"/>
    <x v="2"/>
    <n v="628.85"/>
    <x v="1"/>
    <n v="6.2885"/>
    <n v="622.56150000000002"/>
    <n v="3.4"/>
    <n v="625.45000000000005"/>
    <x v="0"/>
    <n v="622.56150000000002"/>
    <s v="09-2019"/>
  </r>
  <r>
    <n v="130"/>
    <x v="105"/>
    <s v="High"/>
    <x v="42"/>
    <x v="4"/>
    <x v="4"/>
    <n v="253.01"/>
    <x v="0"/>
    <n v="0"/>
    <n v="253.01"/>
    <n v="10.1"/>
    <n v="253.01"/>
    <x v="0"/>
    <n v="253.01"/>
    <s v="05-2019"/>
  </r>
  <r>
    <n v="43588"/>
    <x v="138"/>
    <s v="Medium"/>
    <x v="44"/>
    <x v="9"/>
    <x v="9"/>
    <n v="21.9"/>
    <x v="0"/>
    <n v="0"/>
    <n v="21.9"/>
    <n v="1.2"/>
    <n v="21.9"/>
    <x v="0"/>
    <n v="21.9"/>
    <s v="09-2019"/>
  </r>
  <r>
    <n v="39168"/>
    <x v="141"/>
    <s v="High"/>
    <x v="17"/>
    <x v="6"/>
    <x v="6"/>
    <n v="322.47660000000002"/>
    <x v="0"/>
    <n v="0"/>
    <n v="322.47660000000002"/>
    <n v="3.1"/>
    <n v="322.47660000000002"/>
    <x v="0"/>
    <n v="322.47660000000002"/>
    <s v="05-2019"/>
  </r>
  <r>
    <n v="2247"/>
    <x v="96"/>
    <s v="Not Specified"/>
    <x v="44"/>
    <x v="9"/>
    <x v="9"/>
    <n v="22614.14"/>
    <x v="0"/>
    <n v="0"/>
    <n v="22614.14"/>
    <n v="9.3000000000000007"/>
    <n v="22614.14"/>
    <x v="2"/>
    <n v="22614.14"/>
    <s v="08-2019"/>
  </r>
  <r>
    <n v="36998"/>
    <x v="145"/>
    <s v="Low"/>
    <x v="30"/>
    <x v="9"/>
    <x v="9"/>
    <n v="60.46"/>
    <x v="0"/>
    <n v="0"/>
    <n v="60.46"/>
    <n v="5.6"/>
    <n v="60.46"/>
    <x v="0"/>
    <n v="60.46"/>
    <s v="09-2019"/>
  </r>
  <r>
    <n v="43488"/>
    <x v="273"/>
    <s v="Critical"/>
    <x v="27"/>
    <x v="2"/>
    <x v="2"/>
    <n v="820.01"/>
    <x v="1"/>
    <n v="8.2001000000000008"/>
    <n v="811.80989999999997"/>
    <n v="1.5"/>
    <n v="818.51"/>
    <x v="0"/>
    <n v="811.80989999999997"/>
    <s v="06-2019"/>
  </r>
  <r>
    <n v="26306"/>
    <x v="34"/>
    <s v="Low"/>
    <x v="47"/>
    <x v="7"/>
    <x v="7"/>
    <n v="2747.37"/>
    <x v="0"/>
    <n v="0"/>
    <n v="2747.37"/>
    <n v="73.8"/>
    <n v="2747.37"/>
    <x v="0"/>
    <n v="2747.37"/>
    <s v="10-2019"/>
  </r>
  <r>
    <n v="1057"/>
    <x v="241"/>
    <s v="Critical"/>
    <x v="19"/>
    <x v="1"/>
    <x v="1"/>
    <n v="365.26"/>
    <x v="1"/>
    <n v="3.6526000000000001"/>
    <n v="361.60739999999998"/>
    <n v="3.9"/>
    <n v="361.36"/>
    <x v="0"/>
    <n v="361.36"/>
    <s v="02-2019"/>
  </r>
  <r>
    <n v="10432"/>
    <x v="38"/>
    <s v="Low"/>
    <x v="13"/>
    <x v="7"/>
    <x v="7"/>
    <n v="2486"/>
    <x v="0"/>
    <n v="0"/>
    <n v="2486"/>
    <n v="21.4"/>
    <n v="2486"/>
    <x v="0"/>
    <n v="2486"/>
    <s v="01-2019"/>
  </r>
  <r>
    <n v="15524"/>
    <x v="169"/>
    <s v="Medium"/>
    <x v="40"/>
    <x v="6"/>
    <x v="6"/>
    <n v="167.79740000000001"/>
    <x v="0"/>
    <n v="0"/>
    <n v="167.79740000000001"/>
    <n v="3.9"/>
    <n v="167.79740000000001"/>
    <x v="0"/>
    <n v="167.79740000000001"/>
    <s v="05-2019"/>
  </r>
  <r>
    <n v="26660"/>
    <x v="274"/>
    <s v="Medium"/>
    <x v="43"/>
    <x v="3"/>
    <x v="3"/>
    <n v="10.946099999999999"/>
    <x v="0"/>
    <n v="0"/>
    <n v="10.946099999999999"/>
    <n v="2.2000000000000002"/>
    <n v="10.946099999999999"/>
    <x v="0"/>
    <n v="10.946099999999999"/>
    <s v="03-2019"/>
  </r>
  <r>
    <n v="29411"/>
    <x v="275"/>
    <s v="High"/>
    <x v="8"/>
    <x v="5"/>
    <x v="5"/>
    <n v="16237.2"/>
    <x v="1"/>
    <n v="162.37200000000001"/>
    <n v="16074.828000000001"/>
    <n v="51.6"/>
    <n v="16185.6"/>
    <x v="2"/>
    <n v="16074.828000000001"/>
    <s v="04-2019"/>
  </r>
  <r>
    <n v="8450"/>
    <x v="27"/>
    <s v="Not Specified"/>
    <x v="10"/>
    <x v="4"/>
    <x v="4"/>
    <n v="1398.49"/>
    <x v="0"/>
    <n v="0"/>
    <n v="1398.49"/>
    <n v="1.1000000000000001"/>
    <n v="1398.49"/>
    <x v="0"/>
    <n v="1398.49"/>
    <s v="04-2019"/>
  </r>
  <r>
    <n v="35173"/>
    <x v="276"/>
    <s v="Not Specified"/>
    <x v="13"/>
    <x v="7"/>
    <x v="7"/>
    <n v="1547.44"/>
    <x v="0"/>
    <n v="0"/>
    <n v="1547.44"/>
    <n v="8.6"/>
    <n v="1547.44"/>
    <x v="0"/>
    <n v="1547.44"/>
    <s v="03-2019"/>
  </r>
  <r>
    <n v="39364"/>
    <x v="124"/>
    <s v="High"/>
    <x v="47"/>
    <x v="7"/>
    <x v="7"/>
    <n v="20776.78"/>
    <x v="0"/>
    <n v="0"/>
    <n v="20776.78"/>
    <n v="21.4"/>
    <n v="20776.78"/>
    <x v="0"/>
    <n v="20776.78"/>
    <s v="11-2019"/>
  </r>
  <r>
    <n v="53574"/>
    <x v="104"/>
    <s v="Medium"/>
    <x v="30"/>
    <x v="9"/>
    <x v="9"/>
    <n v="716.56830000000002"/>
    <x v="0"/>
    <n v="0"/>
    <n v="716.56830000000002"/>
    <n v="37.5"/>
    <n v="716.56830000000002"/>
    <x v="0"/>
    <n v="716.56830000000002"/>
    <s v="04-2019"/>
  </r>
  <r>
    <n v="26756"/>
    <x v="6"/>
    <s v="Medium"/>
    <x v="32"/>
    <x v="8"/>
    <x v="8"/>
    <n v="136.85"/>
    <x v="0"/>
    <n v="0"/>
    <n v="136.85"/>
    <n v="7.9"/>
    <n v="136.85"/>
    <x v="0"/>
    <n v="136.85"/>
    <s v="05-2019"/>
  </r>
  <r>
    <n v="20615"/>
    <x v="150"/>
    <s v="Medium"/>
    <x v="48"/>
    <x v="6"/>
    <x v="6"/>
    <n v="161.66999999999999"/>
    <x v="0"/>
    <n v="0"/>
    <n v="161.66999999999999"/>
    <n v="3.2"/>
    <n v="161.66999999999999"/>
    <x v="1"/>
    <n v="161.66999999999999"/>
    <s v="04-2019"/>
  </r>
  <r>
    <n v="3172"/>
    <x v="75"/>
    <s v="Not Specified"/>
    <x v="0"/>
    <x v="0"/>
    <x v="0"/>
    <n v="625.42999999999995"/>
    <x v="0"/>
    <n v="0"/>
    <n v="625.42999999999995"/>
    <n v="3.5"/>
    <n v="625.42999999999995"/>
    <x v="0"/>
    <n v="625.42999999999995"/>
    <s v="06-2019"/>
  </r>
  <r>
    <n v="21344"/>
    <x v="160"/>
    <s v="Low"/>
    <x v="41"/>
    <x v="5"/>
    <x v="5"/>
    <n v="118.55"/>
    <x v="1"/>
    <n v="1.1855"/>
    <n v="117.36449999999999"/>
    <n v="0.5"/>
    <n v="118.05"/>
    <x v="0"/>
    <n v="117.36449999999999"/>
    <s v="12-2019"/>
  </r>
  <r>
    <n v="4515"/>
    <x v="277"/>
    <s v="Critical"/>
    <x v="29"/>
    <x v="9"/>
    <x v="9"/>
    <n v="950.1"/>
    <x v="0"/>
    <n v="0"/>
    <n v="950.1"/>
    <n v="7.6"/>
    <n v="950.1"/>
    <x v="0"/>
    <n v="950.1"/>
    <s v="03-2019"/>
  </r>
  <r>
    <n v="7552"/>
    <x v="53"/>
    <s v="Critical"/>
    <x v="12"/>
    <x v="2"/>
    <x v="2"/>
    <n v="1504.94"/>
    <x v="1"/>
    <n v="15.0494"/>
    <n v="1489.8905999999999"/>
    <n v="6.6"/>
    <n v="1498.3400000000001"/>
    <x v="0"/>
    <n v="1489.8905999999999"/>
    <s v="09-2019"/>
  </r>
  <r>
    <n v="549"/>
    <x v="213"/>
    <s v="Critical"/>
    <x v="17"/>
    <x v="6"/>
    <x v="6"/>
    <n v="1231.44"/>
    <x v="0"/>
    <n v="0"/>
    <n v="1231.44"/>
    <n v="37.5"/>
    <n v="1231.44"/>
    <x v="1"/>
    <n v="1231.44"/>
    <s v="07-2019"/>
  </r>
  <r>
    <n v="24801"/>
    <x v="4"/>
    <s v="High"/>
    <x v="46"/>
    <x v="9"/>
    <x v="9"/>
    <n v="1095.8599999999999"/>
    <x v="0"/>
    <n v="0"/>
    <n v="1095.8599999999999"/>
    <n v="6.4"/>
    <n v="1095.8599999999999"/>
    <x v="0"/>
    <n v="1095.8599999999999"/>
    <s v="11-2019"/>
  </r>
  <r>
    <n v="44647"/>
    <x v="247"/>
    <s v="Low"/>
    <x v="12"/>
    <x v="2"/>
    <x v="2"/>
    <n v="24866.76"/>
    <x v="1"/>
    <n v="248.66759999999999"/>
    <n v="24618.092399999998"/>
    <n v="27.8"/>
    <n v="24838.959999999999"/>
    <x v="2"/>
    <n v="24618.092399999998"/>
    <s v="01-2019"/>
  </r>
  <r>
    <n v="44261"/>
    <x v="129"/>
    <s v="High"/>
    <x v="46"/>
    <x v="9"/>
    <x v="9"/>
    <n v="328.13"/>
    <x v="0"/>
    <n v="0"/>
    <n v="328.13"/>
    <n v="6.4"/>
    <n v="328.13"/>
    <x v="0"/>
    <n v="328.13"/>
    <s v="03-2019"/>
  </r>
  <r>
    <n v="21573"/>
    <x v="230"/>
    <s v="Critical"/>
    <x v="7"/>
    <x v="0"/>
    <x v="0"/>
    <n v="102.97"/>
    <x v="0"/>
    <n v="0"/>
    <n v="102.97"/>
    <n v="1.1000000000000001"/>
    <n v="102.97"/>
    <x v="0"/>
    <n v="102.97"/>
    <s v="04-2019"/>
  </r>
  <r>
    <n v="55462"/>
    <x v="278"/>
    <s v="Medium"/>
    <x v="16"/>
    <x v="0"/>
    <x v="0"/>
    <n v="3941.5911000000001"/>
    <x v="0"/>
    <n v="0"/>
    <n v="3941.5911000000001"/>
    <n v="9.6"/>
    <n v="3941.5911000000001"/>
    <x v="0"/>
    <n v="3941.5911000000001"/>
    <s v="03-2019"/>
  </r>
  <r>
    <n v="17735"/>
    <x v="213"/>
    <s v="Low"/>
    <x v="23"/>
    <x v="6"/>
    <x v="6"/>
    <n v="108.27"/>
    <x v="0"/>
    <n v="0"/>
    <n v="108.27"/>
    <n v="0.8"/>
    <n v="108.27"/>
    <x v="0"/>
    <n v="108.27"/>
    <s v="07-2019"/>
  </r>
  <r>
    <n v="7653"/>
    <x v="224"/>
    <s v="Medium"/>
    <x v="25"/>
    <x v="0"/>
    <x v="0"/>
    <n v="1524.81"/>
    <x v="0"/>
    <n v="0"/>
    <n v="1524.81"/>
    <n v="5.4"/>
    <n v="1524.81"/>
    <x v="0"/>
    <n v="1524.81"/>
    <s v="02-2019"/>
  </r>
  <r>
    <n v="55747"/>
    <x v="116"/>
    <s v="High"/>
    <x v="34"/>
    <x v="5"/>
    <x v="5"/>
    <n v="18790.22"/>
    <x v="1"/>
    <n v="187.90220000000002"/>
    <n v="18602.317800000001"/>
    <n v="27.8"/>
    <n v="18762.420000000002"/>
    <x v="2"/>
    <n v="18602.317800000001"/>
    <s v="12-2019"/>
  </r>
  <r>
    <n v="43682"/>
    <x v="279"/>
    <s v="Medium"/>
    <x v="26"/>
    <x v="7"/>
    <x v="7"/>
    <n v="1979.07"/>
    <x v="0"/>
    <n v="0"/>
    <n v="1979.07"/>
    <n v="9.6"/>
    <n v="1979.07"/>
    <x v="0"/>
    <n v="1979.07"/>
    <s v="08-2019"/>
  </r>
  <r>
    <n v="24067"/>
    <x v="23"/>
    <s v="High"/>
    <x v="24"/>
    <x v="8"/>
    <x v="8"/>
    <n v="129"/>
    <x v="0"/>
    <n v="0"/>
    <n v="129"/>
    <n v="8"/>
    <n v="129"/>
    <x v="0"/>
    <n v="129"/>
    <s v="08-2019"/>
  </r>
  <r>
    <n v="16897"/>
    <x v="250"/>
    <s v="Not Specified"/>
    <x v="43"/>
    <x v="3"/>
    <x v="3"/>
    <n v="406.39"/>
    <x v="0"/>
    <n v="0"/>
    <n v="406.39"/>
    <n v="63.1"/>
    <n v="406.39"/>
    <x v="2"/>
    <n v="406.39"/>
    <s v="06-2019"/>
  </r>
  <r>
    <n v="34211"/>
    <x v="178"/>
    <s v="Not Specified"/>
    <x v="47"/>
    <x v="7"/>
    <x v="7"/>
    <n v="146.04"/>
    <x v="0"/>
    <n v="0"/>
    <n v="146.04"/>
    <n v="1.2"/>
    <n v="146.04"/>
    <x v="0"/>
    <n v="146.04"/>
    <s v="02-2019"/>
  </r>
  <r>
    <n v="43488"/>
    <x v="273"/>
    <s v="Critical"/>
    <x v="4"/>
    <x v="3"/>
    <x v="3"/>
    <n v="1384.95"/>
    <x v="0"/>
    <n v="0"/>
    <n v="1384.95"/>
    <n v="26.2"/>
    <n v="1384.95"/>
    <x v="0"/>
    <n v="1384.95"/>
    <s v="06-2019"/>
  </r>
  <r>
    <n v="1764"/>
    <x v="264"/>
    <s v="Critical"/>
    <x v="29"/>
    <x v="9"/>
    <x v="9"/>
    <n v="64.19"/>
    <x v="0"/>
    <n v="0"/>
    <n v="64.19"/>
    <n v="5.2"/>
    <n v="64.19"/>
    <x v="0"/>
    <n v="64.19"/>
    <s v="03-2019"/>
  </r>
  <r>
    <n v="24386"/>
    <x v="127"/>
    <s v="High"/>
    <x v="47"/>
    <x v="7"/>
    <x v="7"/>
    <n v="82.33"/>
    <x v="0"/>
    <n v="0"/>
    <n v="82.33"/>
    <n v="1.1000000000000001"/>
    <n v="82.33"/>
    <x v="1"/>
    <n v="82.33"/>
    <s v="06-2019"/>
  </r>
  <r>
    <n v="36038"/>
    <x v="203"/>
    <s v="High"/>
    <x v="11"/>
    <x v="6"/>
    <x v="6"/>
    <n v="101.93"/>
    <x v="0"/>
    <n v="0"/>
    <n v="101.93"/>
    <n v="5.4"/>
    <n v="101.93"/>
    <x v="0"/>
    <n v="101.93"/>
    <s v="08-2019"/>
  </r>
  <r>
    <n v="51044"/>
    <x v="164"/>
    <s v="Low"/>
    <x v="45"/>
    <x v="8"/>
    <x v="8"/>
    <n v="166.8"/>
    <x v="0"/>
    <n v="0"/>
    <n v="166.8"/>
    <n v="1.5"/>
    <n v="166.8"/>
    <x v="0"/>
    <n v="166.8"/>
    <s v="01-2019"/>
  </r>
  <r>
    <n v="29090"/>
    <x v="280"/>
    <s v="Medium"/>
    <x v="34"/>
    <x v="5"/>
    <x v="5"/>
    <n v="406.96"/>
    <x v="1"/>
    <n v="4.0695999999999994"/>
    <n v="402.8904"/>
    <n v="7.4"/>
    <n v="399.56"/>
    <x v="0"/>
    <n v="399.56"/>
    <s v="01-2019"/>
  </r>
  <r>
    <n v="29927"/>
    <x v="198"/>
    <s v="High"/>
    <x v="24"/>
    <x v="8"/>
    <x v="8"/>
    <n v="276.02999999999997"/>
    <x v="0"/>
    <n v="0"/>
    <n v="276.02999999999997"/>
    <n v="5.3"/>
    <n v="276.02999999999997"/>
    <x v="0"/>
    <n v="276.02999999999997"/>
    <s v="11-2019"/>
  </r>
  <r>
    <n v="33479"/>
    <x v="109"/>
    <s v="Critical"/>
    <x v="10"/>
    <x v="4"/>
    <x v="4"/>
    <n v="173.2"/>
    <x v="0"/>
    <n v="0"/>
    <n v="173.2"/>
    <n v="5.5"/>
    <n v="173.2"/>
    <x v="0"/>
    <n v="173.2"/>
    <s v="09-2019"/>
  </r>
  <r>
    <n v="12096"/>
    <x v="136"/>
    <s v="Medium"/>
    <x v="27"/>
    <x v="2"/>
    <x v="2"/>
    <n v="8570.2639999999992"/>
    <x v="1"/>
    <n v="85.702639999999988"/>
    <n v="8484.5613599999997"/>
    <n v="8.6"/>
    <n v="8561.6639999999989"/>
    <x v="0"/>
    <n v="8484.5613599999997"/>
    <s v="09-2019"/>
  </r>
  <r>
    <n v="30403"/>
    <x v="45"/>
    <s v="High"/>
    <x v="10"/>
    <x v="4"/>
    <x v="4"/>
    <n v="3834.3663999999999"/>
    <x v="0"/>
    <n v="0"/>
    <n v="3834.3663999999999"/>
    <n v="21.4"/>
    <n v="3834.3663999999999"/>
    <x v="0"/>
    <n v="3834.3663999999999"/>
    <s v="07-2019"/>
  </r>
  <r>
    <n v="33761"/>
    <x v="113"/>
    <s v="High"/>
    <x v="9"/>
    <x v="1"/>
    <x v="1"/>
    <n v="496.41"/>
    <x v="1"/>
    <n v="4.9641000000000002"/>
    <n v="491.44589999999999"/>
    <n v="3.1"/>
    <n v="493.31"/>
    <x v="0"/>
    <n v="491.44589999999999"/>
    <s v="08-2019"/>
  </r>
  <r>
    <n v="44261"/>
    <x v="129"/>
    <s v="High"/>
    <x v="43"/>
    <x v="3"/>
    <x v="3"/>
    <n v="3595.52"/>
    <x v="0"/>
    <n v="0"/>
    <n v="3595.52"/>
    <n v="9.3000000000000007"/>
    <n v="3595.52"/>
    <x v="2"/>
    <n v="3595.52"/>
    <s v="03-2019"/>
  </r>
  <r>
    <n v="52068"/>
    <x v="194"/>
    <s v="Not Specified"/>
    <x v="7"/>
    <x v="0"/>
    <x v="0"/>
    <n v="174.7"/>
    <x v="0"/>
    <n v="0"/>
    <n v="174.7"/>
    <n v="3.2"/>
    <n v="174.7"/>
    <x v="0"/>
    <n v="174.7"/>
    <s v="01-2019"/>
  </r>
  <r>
    <n v="37765"/>
    <x v="219"/>
    <s v="Low"/>
    <x v="38"/>
    <x v="8"/>
    <x v="8"/>
    <n v="701.47"/>
    <x v="0"/>
    <n v="0"/>
    <n v="701.47"/>
    <n v="5.4"/>
    <n v="701.47"/>
    <x v="0"/>
    <n v="701.47"/>
    <s v="11-2019"/>
  </r>
  <r>
    <n v="1285"/>
    <x v="189"/>
    <s v="Critical"/>
    <x v="40"/>
    <x v="6"/>
    <x v="6"/>
    <n v="4145.3100000000004"/>
    <x v="0"/>
    <n v="0"/>
    <n v="4145.3100000000004"/>
    <n v="58.6"/>
    <n v="4145.3100000000004"/>
    <x v="2"/>
    <n v="4145.3100000000004"/>
    <s v="05-2019"/>
  </r>
  <r>
    <n v="45635"/>
    <x v="281"/>
    <s v="Low"/>
    <x v="3"/>
    <x v="2"/>
    <x v="2"/>
    <n v="2159.9899999999998"/>
    <x v="1"/>
    <n v="21.599899999999998"/>
    <n v="2138.3900999999996"/>
    <n v="2.1"/>
    <n v="2157.89"/>
    <x v="0"/>
    <n v="2138.3900999999996"/>
    <s v="04-2019"/>
  </r>
  <r>
    <n v="10945"/>
    <x v="282"/>
    <s v="Medium"/>
    <x v="26"/>
    <x v="7"/>
    <x v="7"/>
    <n v="1251.93"/>
    <x v="0"/>
    <n v="0"/>
    <n v="1251.93"/>
    <n v="9.6"/>
    <n v="1251.93"/>
    <x v="0"/>
    <n v="1251.93"/>
    <s v="01-2019"/>
  </r>
  <r>
    <n v="19425"/>
    <x v="266"/>
    <s v="Not Specified"/>
    <x v="1"/>
    <x v="0"/>
    <x v="0"/>
    <n v="224.96"/>
    <x v="0"/>
    <n v="0"/>
    <n v="224.96"/>
    <n v="3.9"/>
    <n v="224.96"/>
    <x v="0"/>
    <n v="224.96"/>
    <s v="09-2019"/>
  </r>
  <r>
    <n v="20451"/>
    <x v="1"/>
    <s v="Critical"/>
    <x v="45"/>
    <x v="8"/>
    <x v="8"/>
    <n v="9790.6"/>
    <x v="0"/>
    <n v="0"/>
    <n v="9790.6"/>
    <n v="48.9"/>
    <n v="9790.6"/>
    <x v="2"/>
    <n v="9790.6"/>
    <s v="05-2019"/>
  </r>
  <r>
    <n v="19777"/>
    <x v="102"/>
    <s v="Not Specified"/>
    <x v="6"/>
    <x v="4"/>
    <x v="4"/>
    <n v="344.44"/>
    <x v="0"/>
    <n v="0"/>
    <n v="344.44"/>
    <n v="9"/>
    <n v="344.44"/>
    <x v="0"/>
    <n v="344.44"/>
    <s v="10-2019"/>
  </r>
  <r>
    <n v="5635"/>
    <x v="130"/>
    <s v="Medium"/>
    <x v="45"/>
    <x v="8"/>
    <x v="8"/>
    <n v="212.69"/>
    <x v="0"/>
    <n v="0"/>
    <n v="212.69"/>
    <n v="7.7"/>
    <n v="212.69"/>
    <x v="0"/>
    <n v="212.69"/>
    <s v="08-2019"/>
  </r>
  <r>
    <n v="56291"/>
    <x v="283"/>
    <s v="Not Specified"/>
    <x v="12"/>
    <x v="2"/>
    <x v="2"/>
    <n v="1284.749"/>
    <x v="1"/>
    <n v="12.847490000000001"/>
    <n v="1271.9015099999999"/>
    <n v="9.4"/>
    <n v="1275.3489999999999"/>
    <x v="0"/>
    <n v="1271.9015099999999"/>
    <s v="09-2019"/>
  </r>
  <r>
    <n v="59781"/>
    <x v="268"/>
    <s v="Not Specified"/>
    <x v="20"/>
    <x v="1"/>
    <x v="1"/>
    <n v="280.48"/>
    <x v="1"/>
    <n v="2.8048000000000002"/>
    <n v="277.67520000000002"/>
    <n v="5.7"/>
    <n v="274.78000000000003"/>
    <x v="1"/>
    <n v="274.78000000000003"/>
    <s v="12-2019"/>
  </r>
  <r>
    <n v="35842"/>
    <x v="180"/>
    <s v="High"/>
    <x v="38"/>
    <x v="8"/>
    <x v="8"/>
    <n v="57.56"/>
    <x v="0"/>
    <n v="0"/>
    <n v="57.56"/>
    <n v="1.1000000000000001"/>
    <n v="57.56"/>
    <x v="0"/>
    <n v="57.56"/>
    <s v="05-2019"/>
  </r>
  <r>
    <n v="45700"/>
    <x v="284"/>
    <s v="High"/>
    <x v="20"/>
    <x v="1"/>
    <x v="1"/>
    <n v="1823.9"/>
    <x v="1"/>
    <n v="18.239000000000001"/>
    <n v="1805.6610000000001"/>
    <n v="4.8"/>
    <n v="1819.1000000000001"/>
    <x v="0"/>
    <n v="1805.6610000000001"/>
    <s v="11-2019"/>
  </r>
  <r>
    <n v="42982"/>
    <x v="233"/>
    <s v="Low"/>
    <x v="14"/>
    <x v="7"/>
    <x v="7"/>
    <n v="1410.62"/>
    <x v="0"/>
    <n v="0"/>
    <n v="1410.62"/>
    <n v="26.2"/>
    <n v="1410.62"/>
    <x v="1"/>
    <n v="1410.62"/>
    <s v="07-2019"/>
  </r>
  <r>
    <n v="15687"/>
    <x v="104"/>
    <s v="Critical"/>
    <x v="49"/>
    <x v="2"/>
    <x v="2"/>
    <n v="3638.67"/>
    <x v="1"/>
    <n v="36.386700000000005"/>
    <n v="3602.2833000000001"/>
    <n v="50"/>
    <n v="3588.67"/>
    <x v="2"/>
    <n v="3588.67"/>
    <s v="04-2019"/>
  </r>
  <r>
    <n v="11431"/>
    <x v="96"/>
    <s v="High"/>
    <x v="18"/>
    <x v="3"/>
    <x v="3"/>
    <n v="42.46"/>
    <x v="0"/>
    <n v="0"/>
    <n v="42.46"/>
    <n v="3.1"/>
    <n v="42.46"/>
    <x v="0"/>
    <n v="42.46"/>
    <s v="08-2019"/>
  </r>
  <r>
    <n v="21573"/>
    <x v="230"/>
    <s v="Critical"/>
    <x v="4"/>
    <x v="3"/>
    <x v="3"/>
    <n v="251.2"/>
    <x v="0"/>
    <n v="0"/>
    <n v="251.2"/>
    <n v="95.6"/>
    <n v="251.2"/>
    <x v="2"/>
    <n v="251.2"/>
    <s v="04-2019"/>
  </r>
  <r>
    <n v="25569"/>
    <x v="156"/>
    <s v="High"/>
    <x v="40"/>
    <x v="6"/>
    <x v="6"/>
    <n v="332.99"/>
    <x v="0"/>
    <n v="0"/>
    <n v="332.99"/>
    <n v="6.9"/>
    <n v="332.99"/>
    <x v="0"/>
    <n v="332.99"/>
    <s v="07-2019"/>
  </r>
  <r>
    <n v="59491"/>
    <x v="264"/>
    <s v="High"/>
    <x v="30"/>
    <x v="9"/>
    <x v="9"/>
    <n v="34.57"/>
    <x v="0"/>
    <n v="0"/>
    <n v="34.57"/>
    <n v="5.9"/>
    <n v="34.57"/>
    <x v="0"/>
    <n v="34.57"/>
    <s v="03-2019"/>
  </r>
  <r>
    <n v="11045"/>
    <x v="285"/>
    <s v="Medium"/>
    <x v="16"/>
    <x v="0"/>
    <x v="0"/>
    <n v="760.62"/>
    <x v="0"/>
    <n v="0"/>
    <n v="760.62"/>
    <n v="6.4"/>
    <n v="760.62"/>
    <x v="0"/>
    <n v="760.62"/>
    <s v="03-2019"/>
  </r>
  <r>
    <n v="487"/>
    <x v="49"/>
    <s v="Critical"/>
    <x v="24"/>
    <x v="8"/>
    <x v="8"/>
    <n v="225.13"/>
    <x v="0"/>
    <n v="0"/>
    <n v="225.13"/>
    <n v="4.8"/>
    <n v="225.13"/>
    <x v="0"/>
    <n v="225.13"/>
    <s v="08-2019"/>
  </r>
  <r>
    <n v="9509"/>
    <x v="112"/>
    <s v="Not Specified"/>
    <x v="34"/>
    <x v="5"/>
    <x v="5"/>
    <n v="13028.13"/>
    <x v="1"/>
    <n v="130.28129999999999"/>
    <n v="12897.848699999999"/>
    <n v="63.1"/>
    <n v="12965.029999999999"/>
    <x v="2"/>
    <n v="12897.848699999999"/>
    <s v="10-2019"/>
  </r>
  <r>
    <n v="37765"/>
    <x v="219"/>
    <s v="Low"/>
    <x v="14"/>
    <x v="7"/>
    <x v="7"/>
    <n v="1567.9"/>
    <x v="0"/>
    <n v="0"/>
    <n v="1567.9"/>
    <n v="32.1"/>
    <n v="1567.9"/>
    <x v="2"/>
    <n v="1567.9"/>
    <s v="11-2019"/>
  </r>
  <r>
    <n v="59234"/>
    <x v="76"/>
    <s v="Low"/>
    <x v="25"/>
    <x v="0"/>
    <x v="0"/>
    <n v="6084.29"/>
    <x v="0"/>
    <n v="0"/>
    <n v="6084.29"/>
    <n v="1.1000000000000001"/>
    <n v="6084.29"/>
    <x v="0"/>
    <n v="6084.29"/>
    <s v="07-2019"/>
  </r>
  <r>
    <n v="48067"/>
    <x v="286"/>
    <s v="Low"/>
    <x v="7"/>
    <x v="0"/>
    <x v="0"/>
    <n v="3455.74"/>
    <x v="0"/>
    <n v="0"/>
    <n v="3455.74"/>
    <n v="3.2"/>
    <n v="3455.74"/>
    <x v="1"/>
    <n v="3455.74"/>
    <s v="06-2019"/>
  </r>
  <r>
    <n v="20451"/>
    <x v="1"/>
    <s v="Critical"/>
    <x v="0"/>
    <x v="0"/>
    <x v="0"/>
    <n v="1935.85"/>
    <x v="0"/>
    <n v="0"/>
    <n v="1935.85"/>
    <n v="5.4"/>
    <n v="1935.85"/>
    <x v="0"/>
    <n v="1935.85"/>
    <s v="05-2019"/>
  </r>
  <r>
    <n v="14726"/>
    <x v="33"/>
    <s v="Low"/>
    <x v="47"/>
    <x v="7"/>
    <x v="7"/>
    <n v="332.63"/>
    <x v="0"/>
    <n v="0"/>
    <n v="332.63"/>
    <n v="4.3"/>
    <n v="332.63"/>
    <x v="0"/>
    <n v="332.63"/>
    <s v="01-2019"/>
  </r>
  <r>
    <n v="35173"/>
    <x v="276"/>
    <s v="Not Specified"/>
    <x v="48"/>
    <x v="6"/>
    <x v="6"/>
    <n v="6937.09"/>
    <x v="0"/>
    <n v="0"/>
    <n v="6937.09"/>
    <n v="64.400000000000006"/>
    <n v="6937.09"/>
    <x v="2"/>
    <n v="6937.09"/>
    <s v="03-2019"/>
  </r>
  <r>
    <n v="25825"/>
    <x v="128"/>
    <s v="Not Specified"/>
    <x v="9"/>
    <x v="1"/>
    <x v="1"/>
    <n v="517.60180000000003"/>
    <x v="1"/>
    <n v="5.176018"/>
    <n v="512.42578200000003"/>
    <n v="1.9"/>
    <n v="515.70180000000005"/>
    <x v="0"/>
    <n v="512.42578200000003"/>
    <s v="07-2019"/>
  </r>
  <r>
    <n v="20354"/>
    <x v="136"/>
    <s v="Critical"/>
    <x v="10"/>
    <x v="4"/>
    <x v="4"/>
    <n v="81.38"/>
    <x v="0"/>
    <n v="0"/>
    <n v="81.38"/>
    <n v="0.5"/>
    <n v="81.38"/>
    <x v="0"/>
    <n v="81.38"/>
    <s v="09-2019"/>
  </r>
  <r>
    <n v="52290"/>
    <x v="16"/>
    <s v="Low"/>
    <x v="29"/>
    <x v="9"/>
    <x v="9"/>
    <n v="1213.43"/>
    <x v="0"/>
    <n v="0"/>
    <n v="1213.43"/>
    <n v="21.4"/>
    <n v="1213.43"/>
    <x v="0"/>
    <n v="1213.43"/>
    <s v="05-2019"/>
  </r>
  <r>
    <n v="43138"/>
    <x v="161"/>
    <s v="Low"/>
    <x v="3"/>
    <x v="2"/>
    <x v="2"/>
    <n v="7011.56"/>
    <x v="1"/>
    <n v="70.115600000000001"/>
    <n v="6941.4444000000003"/>
    <n v="34.4"/>
    <n v="6977.1600000000008"/>
    <x v="2"/>
    <n v="6941.4444000000003"/>
    <s v="03-2019"/>
  </r>
  <r>
    <n v="34241"/>
    <x v="287"/>
    <s v="Low"/>
    <x v="39"/>
    <x v="3"/>
    <x v="3"/>
    <n v="222.07849999999999"/>
    <x v="0"/>
    <n v="0"/>
    <n v="222.07849999999999"/>
    <n v="2.7"/>
    <n v="222.07849999999999"/>
    <x v="0"/>
    <n v="222.07849999999999"/>
    <s v="10-2019"/>
  </r>
  <r>
    <n v="29507"/>
    <x v="191"/>
    <s v="Low"/>
    <x v="19"/>
    <x v="1"/>
    <x v="1"/>
    <n v="1364.2"/>
    <x v="1"/>
    <n v="13.642000000000001"/>
    <n v="1350.558"/>
    <n v="1.2"/>
    <n v="1363"/>
    <x v="0"/>
    <n v="1350.558"/>
    <s v="02-2019"/>
  </r>
  <r>
    <n v="36803"/>
    <x v="113"/>
    <s v="Not Specified"/>
    <x v="33"/>
    <x v="3"/>
    <x v="3"/>
    <n v="110.32"/>
    <x v="0"/>
    <n v="0"/>
    <n v="110.32"/>
    <n v="2.7"/>
    <n v="110.32"/>
    <x v="0"/>
    <n v="110.32"/>
    <s v="08-2019"/>
  </r>
  <r>
    <n v="59204"/>
    <x v="67"/>
    <s v="Medium"/>
    <x v="30"/>
    <x v="9"/>
    <x v="9"/>
    <n v="267.81"/>
    <x v="0"/>
    <n v="0"/>
    <n v="267.81"/>
    <n v="13.5"/>
    <n v="267.81"/>
    <x v="0"/>
    <n v="267.81"/>
    <s v="02-2019"/>
  </r>
  <r>
    <n v="40132"/>
    <x v="207"/>
    <s v="Low"/>
    <x v="11"/>
    <x v="6"/>
    <x v="6"/>
    <n v="1458.41"/>
    <x v="0"/>
    <n v="0"/>
    <n v="1458.41"/>
    <n v="15.2"/>
    <n v="1458.41"/>
    <x v="2"/>
    <n v="1458.41"/>
    <s v="02-2019"/>
  </r>
  <r>
    <n v="45575"/>
    <x v="211"/>
    <s v="Critical"/>
    <x v="27"/>
    <x v="2"/>
    <x v="2"/>
    <n v="4118.6099999999997"/>
    <x v="1"/>
    <n v="41.186099999999996"/>
    <n v="4077.4238999999998"/>
    <n v="5.4"/>
    <n v="4113.21"/>
    <x v="0"/>
    <n v="4077.4238999999998"/>
    <s v="04-2019"/>
  </r>
  <r>
    <n v="41667"/>
    <x v="288"/>
    <s v="High"/>
    <x v="38"/>
    <x v="8"/>
    <x v="8"/>
    <n v="1136.57"/>
    <x v="0"/>
    <n v="0"/>
    <n v="1136.57"/>
    <n v="5.7"/>
    <n v="1136.57"/>
    <x v="0"/>
    <n v="1136.57"/>
    <s v="06-2019"/>
  </r>
  <r>
    <n v="14439"/>
    <x v="139"/>
    <s v="High"/>
    <x v="40"/>
    <x v="6"/>
    <x v="6"/>
    <n v="1528.64"/>
    <x v="0"/>
    <n v="0"/>
    <n v="1528.64"/>
    <n v="11.5"/>
    <n v="1528.64"/>
    <x v="0"/>
    <n v="1528.64"/>
    <s v="08-2019"/>
  </r>
  <r>
    <n v="34400"/>
    <x v="44"/>
    <s v="Low"/>
    <x v="45"/>
    <x v="8"/>
    <x v="8"/>
    <n v="1057.8499999999999"/>
    <x v="0"/>
    <n v="0"/>
    <n v="1057.8499999999999"/>
    <n v="4.5"/>
    <n v="1057.8499999999999"/>
    <x v="0"/>
    <n v="1057.8499999999999"/>
    <s v="12-2019"/>
  </r>
  <r>
    <n v="8803"/>
    <x v="193"/>
    <s v="Not Specified"/>
    <x v="44"/>
    <x v="9"/>
    <x v="9"/>
    <n v="1267"/>
    <x v="0"/>
    <n v="0"/>
    <n v="1267"/>
    <n v="21.4"/>
    <n v="1267"/>
    <x v="0"/>
    <n v="1267"/>
    <s v="12-2019"/>
  </r>
  <r>
    <n v="16103"/>
    <x v="146"/>
    <s v="Not Specified"/>
    <x v="7"/>
    <x v="0"/>
    <x v="0"/>
    <n v="232.34"/>
    <x v="0"/>
    <n v="0"/>
    <n v="232.34"/>
    <n v="6.7"/>
    <n v="232.34"/>
    <x v="0"/>
    <n v="232.34"/>
    <s v="07-2019"/>
  </r>
  <r>
    <n v="24450"/>
    <x v="156"/>
    <s v="Critical"/>
    <x v="39"/>
    <x v="3"/>
    <x v="3"/>
    <n v="33.01"/>
    <x v="0"/>
    <n v="0"/>
    <n v="33.01"/>
    <n v="6.2"/>
    <n v="33.01"/>
    <x v="0"/>
    <n v="33.01"/>
    <s v="07-2019"/>
  </r>
  <r>
    <n v="2755"/>
    <x v="253"/>
    <s v="Not Specified"/>
    <x v="3"/>
    <x v="2"/>
    <x v="2"/>
    <n v="370.28"/>
    <x v="1"/>
    <n v="3.7027999999999999"/>
    <n v="366.57719999999995"/>
    <n v="6.3"/>
    <n v="363.97999999999996"/>
    <x v="0"/>
    <n v="363.97999999999996"/>
    <s v="02-2019"/>
  </r>
  <r>
    <n v="6695"/>
    <x v="90"/>
    <s v="Low"/>
    <x v="21"/>
    <x v="2"/>
    <x v="2"/>
    <n v="315.91000000000003"/>
    <x v="1"/>
    <n v="3.1591000000000005"/>
    <n v="312.7509"/>
    <n v="9.1"/>
    <n v="306.81"/>
    <x v="1"/>
    <n v="306.81"/>
    <s v="06-2019"/>
  </r>
  <r>
    <n v="17157"/>
    <x v="136"/>
    <s v="Low"/>
    <x v="7"/>
    <x v="0"/>
    <x v="0"/>
    <n v="3297.17"/>
    <x v="0"/>
    <n v="0"/>
    <n v="3297.17"/>
    <n v="4.5"/>
    <n v="3297.17"/>
    <x v="0"/>
    <n v="3297.17"/>
    <s v="09-2019"/>
  </r>
  <r>
    <n v="32165"/>
    <x v="262"/>
    <s v="Not Specified"/>
    <x v="12"/>
    <x v="2"/>
    <x v="2"/>
    <n v="3652.6482999999998"/>
    <x v="1"/>
    <n v="36.526482999999999"/>
    <n v="3616.1218169999997"/>
    <n v="15.5"/>
    <n v="3637.1482999999998"/>
    <x v="0"/>
    <n v="3616.1218169999997"/>
    <s v="10-2019"/>
  </r>
  <r>
    <n v="54370"/>
    <x v="289"/>
    <s v="Not Specified"/>
    <x v="21"/>
    <x v="2"/>
    <x v="2"/>
    <n v="5316.3"/>
    <x v="1"/>
    <n v="53.163000000000004"/>
    <n v="5263.1369999999997"/>
    <n v="21.4"/>
    <n v="5294.9000000000005"/>
    <x v="0"/>
    <n v="5263.1369999999997"/>
    <s v="04-2019"/>
  </r>
  <r>
    <n v="21796"/>
    <x v="59"/>
    <s v="Low"/>
    <x v="33"/>
    <x v="3"/>
    <x v="3"/>
    <n v="43.68"/>
    <x v="0"/>
    <n v="0"/>
    <n v="43.68"/>
    <n v="5.0999999999999996"/>
    <n v="43.68"/>
    <x v="0"/>
    <n v="43.68"/>
    <s v="05-2019"/>
  </r>
  <r>
    <n v="11269"/>
    <x v="155"/>
    <s v="Low"/>
    <x v="21"/>
    <x v="2"/>
    <x v="2"/>
    <n v="249.61"/>
    <x v="1"/>
    <n v="2.4961000000000002"/>
    <n v="247.1139"/>
    <n v="0.5"/>
    <n v="249.11"/>
    <x v="0"/>
    <n v="247.1139"/>
    <s v="05-2019"/>
  </r>
  <r>
    <n v="49862"/>
    <x v="173"/>
    <s v="Not Specified"/>
    <x v="10"/>
    <x v="4"/>
    <x v="4"/>
    <n v="81.03"/>
    <x v="0"/>
    <n v="0"/>
    <n v="81.03"/>
    <n v="0.5"/>
    <n v="81.03"/>
    <x v="0"/>
    <n v="81.03"/>
    <s v="09-2019"/>
  </r>
  <r>
    <n v="31460"/>
    <x v="77"/>
    <s v="High"/>
    <x v="35"/>
    <x v="9"/>
    <x v="9"/>
    <n v="1060.0169000000001"/>
    <x v="0"/>
    <n v="0"/>
    <n v="1060.0169000000001"/>
    <n v="37.5"/>
    <n v="1060.0169000000001"/>
    <x v="0"/>
    <n v="1060.0169000000001"/>
    <s v="08-2019"/>
  </r>
  <r>
    <n v="54501"/>
    <x v="222"/>
    <s v="Critical"/>
    <x v="36"/>
    <x v="8"/>
    <x v="8"/>
    <n v="241.24"/>
    <x v="0"/>
    <n v="0"/>
    <n v="241.24"/>
    <n v="8"/>
    <n v="241.24"/>
    <x v="0"/>
    <n v="241.24"/>
    <s v="11-2019"/>
  </r>
  <r>
    <n v="54307"/>
    <x v="33"/>
    <s v="High"/>
    <x v="19"/>
    <x v="1"/>
    <x v="1"/>
    <n v="212.1703"/>
    <x v="1"/>
    <n v="2.1217030000000001"/>
    <n v="210.048597"/>
    <n v="6.1"/>
    <n v="206.0703"/>
    <x v="0"/>
    <n v="206.0703"/>
    <s v="01-2019"/>
  </r>
  <r>
    <n v="48704"/>
    <x v="290"/>
    <s v="High"/>
    <x v="22"/>
    <x v="7"/>
    <x v="7"/>
    <n v="1335.21"/>
    <x v="0"/>
    <n v="0"/>
    <n v="1335.21"/>
    <n v="9.6"/>
    <n v="1335.21"/>
    <x v="0"/>
    <n v="1335.21"/>
    <s v="01-2019"/>
  </r>
  <r>
    <n v="57638"/>
    <x v="291"/>
    <s v="Low"/>
    <x v="21"/>
    <x v="2"/>
    <x v="2"/>
    <n v="610.36"/>
    <x v="1"/>
    <n v="6.1036000000000001"/>
    <n v="604.25639999999999"/>
    <n v="5.8"/>
    <n v="604.56000000000006"/>
    <x v="0"/>
    <n v="604.25639999999999"/>
    <s v="04-2019"/>
  </r>
  <r>
    <n v="14435"/>
    <x v="292"/>
    <s v="Not Specified"/>
    <x v="35"/>
    <x v="9"/>
    <x v="9"/>
    <n v="35703.599999999999"/>
    <x v="0"/>
    <n v="0"/>
    <n v="35703.599999999999"/>
    <n v="26.2"/>
    <n v="35703.599999999999"/>
    <x v="0"/>
    <n v="35703.599999999999"/>
    <s v="12-2019"/>
  </r>
  <r>
    <n v="35814"/>
    <x v="278"/>
    <s v="High"/>
    <x v="22"/>
    <x v="7"/>
    <x v="7"/>
    <n v="347.24"/>
    <x v="0"/>
    <n v="0"/>
    <n v="347.24"/>
    <n v="9.1"/>
    <n v="347.24"/>
    <x v="0"/>
    <n v="347.24"/>
    <s v="03-2019"/>
  </r>
  <r>
    <n v="51872"/>
    <x v="165"/>
    <s v="Medium"/>
    <x v="22"/>
    <x v="7"/>
    <x v="7"/>
    <n v="869.37"/>
    <x v="0"/>
    <n v="0"/>
    <n v="869.37"/>
    <n v="1.3"/>
    <n v="869.37"/>
    <x v="1"/>
    <n v="869.37"/>
    <s v="04-2019"/>
  </r>
  <r>
    <n v="55747"/>
    <x v="116"/>
    <s v="High"/>
    <x v="15"/>
    <x v="1"/>
    <x v="1"/>
    <n v="21234.89"/>
    <x v="1"/>
    <n v="212.34889999999999"/>
    <n v="21022.541099999999"/>
    <n v="69.099999999999994"/>
    <n v="21165.79"/>
    <x v="2"/>
    <n v="21022.541099999999"/>
    <s v="12-2019"/>
  </r>
  <r>
    <n v="3970"/>
    <x v="269"/>
    <s v="Medium"/>
    <x v="13"/>
    <x v="7"/>
    <x v="7"/>
    <n v="347.57"/>
    <x v="0"/>
    <n v="0"/>
    <n v="347.57"/>
    <n v="48.2"/>
    <n v="347.57"/>
    <x v="2"/>
    <n v="347.57"/>
    <s v="03-2019"/>
  </r>
  <r>
    <n v="32804"/>
    <x v="87"/>
    <s v="Medium"/>
    <x v="21"/>
    <x v="2"/>
    <x v="2"/>
    <n v="187.05"/>
    <x v="1"/>
    <n v="1.8705000000000001"/>
    <n v="185.17950000000002"/>
    <n v="0.5"/>
    <n v="186.55"/>
    <x v="0"/>
    <n v="185.17950000000002"/>
    <s v="09-2019"/>
  </r>
  <r>
    <n v="4069"/>
    <x v="91"/>
    <s v="Medium"/>
    <x v="30"/>
    <x v="9"/>
    <x v="9"/>
    <n v="58.24"/>
    <x v="0"/>
    <n v="0"/>
    <n v="58.24"/>
    <n v="7.2"/>
    <n v="58.24"/>
    <x v="0"/>
    <n v="58.24"/>
    <s v="05-2019"/>
  </r>
  <r>
    <n v="55011"/>
    <x v="39"/>
    <s v="Critical"/>
    <x v="49"/>
    <x v="2"/>
    <x v="2"/>
    <n v="483.94"/>
    <x v="1"/>
    <n v="4.8394000000000004"/>
    <n v="479.10059999999999"/>
    <n v="5.2"/>
    <n v="478.74"/>
    <x v="0"/>
    <n v="478.74"/>
    <s v="01-2019"/>
  </r>
  <r>
    <n v="20066"/>
    <x v="42"/>
    <s v="Critical"/>
    <x v="4"/>
    <x v="3"/>
    <x v="3"/>
    <n v="43.65"/>
    <x v="0"/>
    <n v="0"/>
    <n v="43.65"/>
    <n v="6.1"/>
    <n v="43.65"/>
    <x v="0"/>
    <n v="43.65"/>
    <s v="09-2019"/>
  </r>
  <r>
    <n v="292"/>
    <x v="61"/>
    <s v="High"/>
    <x v="20"/>
    <x v="1"/>
    <x v="1"/>
    <n v="441.5"/>
    <x v="1"/>
    <n v="4.415"/>
    <n v="437.08499999999998"/>
    <n v="1.5"/>
    <n v="440"/>
    <x v="0"/>
    <n v="437.08499999999998"/>
    <s v="01-2019"/>
  </r>
  <r>
    <n v="33568"/>
    <x v="167"/>
    <s v="Medium"/>
    <x v="46"/>
    <x v="9"/>
    <x v="9"/>
    <n v="672.74109999999996"/>
    <x v="0"/>
    <n v="0"/>
    <n v="672.74109999999996"/>
    <n v="55.9"/>
    <n v="672.74109999999996"/>
    <x v="0"/>
    <n v="672.74109999999996"/>
    <s v="07-2019"/>
  </r>
  <r>
    <n v="39619"/>
    <x v="39"/>
    <s v="Low"/>
    <x v="47"/>
    <x v="7"/>
    <x v="7"/>
    <n v="794.79600000000005"/>
    <x v="0"/>
    <n v="0"/>
    <n v="794.79600000000005"/>
    <n v="11"/>
    <n v="794.79600000000005"/>
    <x v="0"/>
    <n v="794.79600000000005"/>
    <s v="01-2019"/>
  </r>
  <r>
    <n v="37188"/>
    <x v="17"/>
    <s v="Critical"/>
    <x v="10"/>
    <x v="4"/>
    <x v="4"/>
    <n v="141.26"/>
    <x v="0"/>
    <n v="0"/>
    <n v="141.26"/>
    <n v="8.9"/>
    <n v="141.26"/>
    <x v="1"/>
    <n v="141.26"/>
    <s v="03-2019"/>
  </r>
  <r>
    <n v="2691"/>
    <x v="20"/>
    <s v="Low"/>
    <x v="26"/>
    <x v="7"/>
    <x v="7"/>
    <n v="3598.56"/>
    <x v="0"/>
    <n v="0"/>
    <n v="3598.56"/>
    <n v="44.8"/>
    <n v="3598.56"/>
    <x v="2"/>
    <n v="3598.56"/>
    <s v="04-2019"/>
  </r>
  <r>
    <n v="35456"/>
    <x v="126"/>
    <s v="Critical"/>
    <x v="37"/>
    <x v="5"/>
    <x v="5"/>
    <n v="49.62"/>
    <x v="1"/>
    <n v="0.49619999999999997"/>
    <n v="49.123799999999996"/>
    <n v="0.7"/>
    <n v="48.919999999999995"/>
    <x v="0"/>
    <n v="48.919999999999995"/>
    <s v="11-2019"/>
  </r>
  <r>
    <n v="52068"/>
    <x v="194"/>
    <s v="Not Specified"/>
    <x v="45"/>
    <x v="8"/>
    <x v="8"/>
    <n v="472.43709999999999"/>
    <x v="0"/>
    <n v="0"/>
    <n v="472.43709999999999"/>
    <n v="15.4"/>
    <n v="472.43709999999999"/>
    <x v="2"/>
    <n v="472.43709999999999"/>
    <s v="01-2019"/>
  </r>
  <r>
    <n v="21573"/>
    <x v="230"/>
    <s v="Critical"/>
    <x v="29"/>
    <x v="9"/>
    <x v="9"/>
    <n v="74.985600000000005"/>
    <x v="0"/>
    <n v="0"/>
    <n v="74.985600000000005"/>
    <n v="4"/>
    <n v="74.985600000000005"/>
    <x v="0"/>
    <n v="74.985600000000005"/>
    <s v="04-2019"/>
  </r>
  <r>
    <n v="4805"/>
    <x v="14"/>
    <s v="Not Specified"/>
    <x v="29"/>
    <x v="9"/>
    <x v="9"/>
    <n v="59.26"/>
    <x v="0"/>
    <n v="0"/>
    <n v="59.26"/>
    <n v="7.9"/>
    <n v="59.26"/>
    <x v="0"/>
    <n v="59.26"/>
    <s v="04-2019"/>
  </r>
  <r>
    <n v="29861"/>
    <x v="230"/>
    <s v="Critical"/>
    <x v="22"/>
    <x v="7"/>
    <x v="7"/>
    <n v="37.630000000000003"/>
    <x v="0"/>
    <n v="0"/>
    <n v="37.630000000000003"/>
    <n v="1.1000000000000001"/>
    <n v="37.630000000000003"/>
    <x v="0"/>
    <n v="37.630000000000003"/>
    <s v="04-2019"/>
  </r>
  <r>
    <n v="51365"/>
    <x v="117"/>
    <s v="High"/>
    <x v="16"/>
    <x v="0"/>
    <x v="0"/>
    <n v="208.9"/>
    <x v="0"/>
    <n v="0"/>
    <n v="208.9"/>
    <n v="6"/>
    <n v="208.9"/>
    <x v="0"/>
    <n v="208.9"/>
    <s v="08-2019"/>
  </r>
  <r>
    <n v="55299"/>
    <x v="120"/>
    <s v="Low"/>
    <x v="32"/>
    <x v="8"/>
    <x v="8"/>
    <n v="23.84"/>
    <x v="0"/>
    <n v="0"/>
    <n v="23.84"/>
    <n v="0.7"/>
    <n v="23.84"/>
    <x v="0"/>
    <n v="23.84"/>
    <s v="03-2019"/>
  </r>
  <r>
    <n v="4864"/>
    <x v="89"/>
    <s v="Low"/>
    <x v="36"/>
    <x v="8"/>
    <x v="8"/>
    <n v="5245.13"/>
    <x v="0"/>
    <n v="0"/>
    <n v="5245.13"/>
    <n v="21.4"/>
    <n v="5245.13"/>
    <x v="0"/>
    <n v="5245.13"/>
    <s v="11-2019"/>
  </r>
  <r>
    <n v="33285"/>
    <x v="81"/>
    <s v="High"/>
    <x v="18"/>
    <x v="3"/>
    <x v="3"/>
    <n v="71.599999999999994"/>
    <x v="0"/>
    <n v="0"/>
    <n v="71.599999999999994"/>
    <n v="6.6"/>
    <n v="71.599999999999994"/>
    <x v="0"/>
    <n v="71.599999999999994"/>
    <s v="01-2019"/>
  </r>
  <r>
    <n v="49927"/>
    <x v="293"/>
    <s v="Not Specified"/>
    <x v="41"/>
    <x v="5"/>
    <x v="5"/>
    <n v="91.656199999999998"/>
    <x v="1"/>
    <n v="0.91656199999999999"/>
    <n v="90.739637999999999"/>
    <n v="0.8"/>
    <n v="90.856200000000001"/>
    <x v="0"/>
    <n v="90.739637999999999"/>
    <s v="07-2019"/>
  </r>
  <r>
    <n v="43653"/>
    <x v="34"/>
    <s v="High"/>
    <x v="41"/>
    <x v="5"/>
    <x v="5"/>
    <n v="713.05"/>
    <x v="1"/>
    <n v="7.1304999999999996"/>
    <n v="705.91949999999997"/>
    <n v="7.9"/>
    <n v="705.15"/>
    <x v="1"/>
    <n v="705.15"/>
    <s v="10-2019"/>
  </r>
  <r>
    <n v="39490"/>
    <x v="83"/>
    <s v="Low"/>
    <x v="45"/>
    <x v="8"/>
    <x v="8"/>
    <n v="3043.7647999999999"/>
    <x v="0"/>
    <n v="0"/>
    <n v="3043.7647999999999"/>
    <n v="64.2"/>
    <n v="3043.7647999999999"/>
    <x v="2"/>
    <n v="3043.7647999999999"/>
    <s v="08-2019"/>
  </r>
  <r>
    <n v="11431"/>
    <x v="96"/>
    <s v="High"/>
    <x v="30"/>
    <x v="9"/>
    <x v="9"/>
    <n v="1362.39"/>
    <x v="0"/>
    <n v="0"/>
    <n v="1362.39"/>
    <n v="9.6"/>
    <n v="1362.39"/>
    <x v="0"/>
    <n v="1362.39"/>
    <s v="08-2019"/>
  </r>
  <r>
    <n v="1793"/>
    <x v="56"/>
    <s v="Not Specified"/>
    <x v="34"/>
    <x v="5"/>
    <x v="5"/>
    <n v="249.77"/>
    <x v="1"/>
    <n v="2.4977"/>
    <n v="247.2723"/>
    <n v="5.7"/>
    <n v="244.07000000000002"/>
    <x v="0"/>
    <n v="244.07000000000002"/>
    <s v="07-2019"/>
  </r>
  <r>
    <n v="16548"/>
    <x v="252"/>
    <s v="Not Specified"/>
    <x v="28"/>
    <x v="5"/>
    <x v="5"/>
    <n v="3240.88"/>
    <x v="1"/>
    <n v="32.408799999999999"/>
    <n v="3208.4712"/>
    <n v="73.8"/>
    <n v="3167.08"/>
    <x v="0"/>
    <n v="3167.08"/>
    <s v="02-2019"/>
  </r>
  <r>
    <n v="30913"/>
    <x v="30"/>
    <s v="Medium"/>
    <x v="2"/>
    <x v="1"/>
    <x v="1"/>
    <n v="135.20519999999999"/>
    <x v="1"/>
    <n v="1.352052"/>
    <n v="133.85314799999998"/>
    <n v="0.5"/>
    <n v="134.70519999999999"/>
    <x v="0"/>
    <n v="133.85314799999998"/>
    <s v="09-2019"/>
  </r>
  <r>
    <n v="59969"/>
    <x v="147"/>
    <s v="High"/>
    <x v="36"/>
    <x v="8"/>
    <x v="8"/>
    <n v="294.26"/>
    <x v="0"/>
    <n v="0"/>
    <n v="294.26"/>
    <n v="12"/>
    <n v="294.26"/>
    <x v="0"/>
    <n v="294.26"/>
    <s v="01-2019"/>
  </r>
  <r>
    <n v="39972"/>
    <x v="227"/>
    <s v="Not Specified"/>
    <x v="24"/>
    <x v="8"/>
    <x v="8"/>
    <n v="103.85"/>
    <x v="0"/>
    <n v="0"/>
    <n v="103.85"/>
    <n v="3.2"/>
    <n v="103.85"/>
    <x v="0"/>
    <n v="103.85"/>
    <s v="09-2019"/>
  </r>
  <r>
    <n v="28934"/>
    <x v="72"/>
    <s v="Medium"/>
    <x v="11"/>
    <x v="6"/>
    <x v="6"/>
    <n v="3591.9043999999999"/>
    <x v="0"/>
    <n v="0"/>
    <n v="3591.9043999999999"/>
    <n v="7.6"/>
    <n v="3591.9043999999999"/>
    <x v="1"/>
    <n v="3591.9043999999999"/>
    <s v="11-2019"/>
  </r>
  <r>
    <n v="27939"/>
    <x v="159"/>
    <s v="Medium"/>
    <x v="30"/>
    <x v="9"/>
    <x v="9"/>
    <n v="64.381900000000002"/>
    <x v="0"/>
    <n v="0"/>
    <n v="64.381900000000002"/>
    <n v="6.1"/>
    <n v="64.381900000000002"/>
    <x v="0"/>
    <n v="64.381900000000002"/>
    <s v="04-2019"/>
  </r>
  <r>
    <n v="52007"/>
    <x v="9"/>
    <s v="Medium"/>
    <x v="31"/>
    <x v="4"/>
    <x v="4"/>
    <n v="73.34"/>
    <x v="0"/>
    <n v="0"/>
    <n v="73.34"/>
    <n v="0.5"/>
    <n v="73.34"/>
    <x v="0"/>
    <n v="73.34"/>
    <s v="04-2019"/>
  </r>
  <r>
    <n v="2560"/>
    <x v="254"/>
    <s v="Critical"/>
    <x v="25"/>
    <x v="0"/>
    <x v="0"/>
    <n v="782.41"/>
    <x v="0"/>
    <n v="0"/>
    <n v="782.41"/>
    <n v="7"/>
    <n v="782.41"/>
    <x v="0"/>
    <n v="782.41"/>
    <s v="09-2019"/>
  </r>
  <r>
    <n v="12292"/>
    <x v="75"/>
    <s v="Not Specified"/>
    <x v="25"/>
    <x v="0"/>
    <x v="0"/>
    <n v="881.94"/>
    <x v="0"/>
    <n v="0"/>
    <n v="881.94"/>
    <n v="6.3"/>
    <n v="881.94"/>
    <x v="0"/>
    <n v="881.94"/>
    <s v="06-2019"/>
  </r>
  <r>
    <n v="14240"/>
    <x v="294"/>
    <s v="High"/>
    <x v="10"/>
    <x v="4"/>
    <x v="4"/>
    <n v="73.7"/>
    <x v="0"/>
    <n v="0"/>
    <n v="73.7"/>
    <n v="1.6"/>
    <n v="73.7"/>
    <x v="0"/>
    <n v="73.7"/>
    <s v="02-2019"/>
  </r>
  <r>
    <n v="22182"/>
    <x v="183"/>
    <s v="Medium"/>
    <x v="49"/>
    <x v="2"/>
    <x v="2"/>
    <n v="2430.3658999999998"/>
    <x v="1"/>
    <n v="24.303659"/>
    <n v="2406.0622409999996"/>
    <n v="11"/>
    <n v="2419.3658999999998"/>
    <x v="1"/>
    <n v="2406.0622409999996"/>
    <s v="09-2019"/>
  </r>
  <r>
    <n v="34976"/>
    <x v="219"/>
    <s v="Medium"/>
    <x v="9"/>
    <x v="1"/>
    <x v="1"/>
    <n v="4788.25"/>
    <x v="1"/>
    <n v="47.8825"/>
    <n v="4740.3675000000003"/>
    <n v="79.599999999999994"/>
    <n v="4708.6499999999996"/>
    <x v="2"/>
    <n v="4708.6499999999996"/>
    <s v="11-2019"/>
  </r>
  <r>
    <n v="39652"/>
    <x v="201"/>
    <s v="Low"/>
    <x v="39"/>
    <x v="3"/>
    <x v="3"/>
    <n v="712.37"/>
    <x v="0"/>
    <n v="0"/>
    <n v="712.37"/>
    <n v="9.6"/>
    <n v="712.37"/>
    <x v="0"/>
    <n v="712.37"/>
    <s v="05-2019"/>
  </r>
  <r>
    <n v="41766"/>
    <x v="186"/>
    <s v="Critical"/>
    <x v="29"/>
    <x v="9"/>
    <x v="9"/>
    <n v="292.56"/>
    <x v="0"/>
    <n v="0"/>
    <n v="292.56"/>
    <n v="15.8"/>
    <n v="292.56"/>
    <x v="0"/>
    <n v="292.56"/>
    <s v="09-2019"/>
  </r>
  <r>
    <n v="17702"/>
    <x v="27"/>
    <s v="High"/>
    <x v="35"/>
    <x v="9"/>
    <x v="9"/>
    <n v="283.14999999999998"/>
    <x v="0"/>
    <n v="0"/>
    <n v="283.14999999999998"/>
    <n v="4.3"/>
    <n v="283.14999999999998"/>
    <x v="1"/>
    <n v="283.14999999999998"/>
    <s v="04-2019"/>
  </r>
  <r>
    <n v="4416"/>
    <x v="286"/>
    <s v="Low"/>
    <x v="27"/>
    <x v="2"/>
    <x v="2"/>
    <n v="7962.18"/>
    <x v="1"/>
    <n v="79.621800000000007"/>
    <n v="7882.5582000000004"/>
    <n v="21.4"/>
    <n v="7940.7800000000007"/>
    <x v="0"/>
    <n v="7882.5582000000004"/>
    <s v="06-2019"/>
  </r>
  <r>
    <n v="49062"/>
    <x v="181"/>
    <s v="Low"/>
    <x v="0"/>
    <x v="0"/>
    <x v="0"/>
    <n v="110.55"/>
    <x v="0"/>
    <n v="0"/>
    <n v="110.55"/>
    <n v="2.2000000000000002"/>
    <n v="110.55"/>
    <x v="0"/>
    <n v="110.55"/>
    <s v="04-2019"/>
  </r>
  <r>
    <n v="22916"/>
    <x v="123"/>
    <s v="Medium"/>
    <x v="38"/>
    <x v="8"/>
    <x v="8"/>
    <n v="130.56"/>
    <x v="0"/>
    <n v="0"/>
    <n v="130.56"/>
    <n v="10.8"/>
    <n v="130.56"/>
    <x v="0"/>
    <n v="130.56"/>
    <s v="02-2019"/>
  </r>
  <r>
    <n v="56514"/>
    <x v="245"/>
    <s v="Low"/>
    <x v="16"/>
    <x v="0"/>
    <x v="0"/>
    <n v="199.97"/>
    <x v="0"/>
    <n v="0"/>
    <n v="199.97"/>
    <n v="8.1"/>
    <n v="199.97"/>
    <x v="0"/>
    <n v="199.97"/>
    <s v="02-2019"/>
  </r>
  <r>
    <n v="3973"/>
    <x v="129"/>
    <s v="Not Specified"/>
    <x v="5"/>
    <x v="4"/>
    <x v="4"/>
    <n v="338.49"/>
    <x v="0"/>
    <n v="0"/>
    <n v="338.49"/>
    <n v="4"/>
    <n v="338.49"/>
    <x v="0"/>
    <n v="338.49"/>
    <s v="03-2019"/>
  </r>
  <r>
    <n v="5891"/>
    <x v="295"/>
    <s v="Medium"/>
    <x v="33"/>
    <x v="3"/>
    <x v="3"/>
    <n v="47.56"/>
    <x v="0"/>
    <n v="0"/>
    <n v="47.56"/>
    <n v="1.6"/>
    <n v="47.56"/>
    <x v="0"/>
    <n v="47.56"/>
    <s v="12-2019"/>
  </r>
  <r>
    <n v="17959"/>
    <x v="87"/>
    <s v="Medium"/>
    <x v="23"/>
    <x v="6"/>
    <x v="6"/>
    <n v="1285.8"/>
    <x v="0"/>
    <n v="0"/>
    <n v="1285.8"/>
    <n v="21.4"/>
    <n v="1285.8"/>
    <x v="0"/>
    <n v="1285.8"/>
    <s v="09-2019"/>
  </r>
  <r>
    <n v="30054"/>
    <x v="138"/>
    <s v="Not Specified"/>
    <x v="0"/>
    <x v="0"/>
    <x v="0"/>
    <n v="332.97"/>
    <x v="0"/>
    <n v="0"/>
    <n v="332.97"/>
    <n v="5.3"/>
    <n v="332.97"/>
    <x v="0"/>
    <n v="332.97"/>
    <s v="09-2019"/>
  </r>
  <r>
    <n v="58113"/>
    <x v="135"/>
    <s v="High"/>
    <x v="49"/>
    <x v="2"/>
    <x v="2"/>
    <n v="388.1"/>
    <x v="1"/>
    <n v="3.8810000000000002"/>
    <n v="384.21899999999999"/>
    <n v="6.6"/>
    <n v="381.5"/>
    <x v="0"/>
    <n v="381.5"/>
    <s v="01-2019"/>
  </r>
  <r>
    <n v="39783"/>
    <x v="140"/>
    <s v="Not Specified"/>
    <x v="7"/>
    <x v="0"/>
    <x v="0"/>
    <n v="316.69"/>
    <x v="0"/>
    <n v="0"/>
    <n v="316.69"/>
    <n v="6"/>
    <n v="316.69"/>
    <x v="0"/>
    <n v="316.69"/>
    <s v="09-2019"/>
  </r>
  <r>
    <n v="24067"/>
    <x v="23"/>
    <s v="High"/>
    <x v="17"/>
    <x v="6"/>
    <x v="6"/>
    <n v="137.22999999999999"/>
    <x v="0"/>
    <n v="0"/>
    <n v="137.22999999999999"/>
    <n v="5.6"/>
    <n v="137.22999999999999"/>
    <x v="1"/>
    <n v="137.22999999999999"/>
    <s v="08-2019"/>
  </r>
  <r>
    <n v="42753"/>
    <x v="164"/>
    <s v="Medium"/>
    <x v="9"/>
    <x v="1"/>
    <x v="1"/>
    <n v="4357.91"/>
    <x v="1"/>
    <n v="43.579099999999997"/>
    <n v="4314.3308999999999"/>
    <n v="3.2"/>
    <n v="4354.71"/>
    <x v="0"/>
    <n v="4314.3308999999999"/>
    <s v="01-2019"/>
  </r>
  <r>
    <n v="52225"/>
    <x v="211"/>
    <s v="Critical"/>
    <x v="0"/>
    <x v="0"/>
    <x v="0"/>
    <n v="1945.15"/>
    <x v="0"/>
    <n v="0"/>
    <n v="1945.15"/>
    <n v="11.5"/>
    <n v="1945.15"/>
    <x v="0"/>
    <n v="1945.15"/>
    <s v="04-2019"/>
  </r>
  <r>
    <n v="17702"/>
    <x v="27"/>
    <s v="High"/>
    <x v="49"/>
    <x v="2"/>
    <x v="2"/>
    <n v="394.82"/>
    <x v="1"/>
    <n v="3.9481999999999999"/>
    <n v="390.87180000000001"/>
    <n v="9.9"/>
    <n v="384.92"/>
    <x v="0"/>
    <n v="384.92"/>
    <s v="04-2019"/>
  </r>
  <r>
    <n v="42469"/>
    <x v="35"/>
    <s v="Not Specified"/>
    <x v="38"/>
    <x v="8"/>
    <x v="8"/>
    <n v="2279.9774000000002"/>
    <x v="0"/>
    <n v="0"/>
    <n v="2279.9774000000002"/>
    <n v="9.6999999999999993"/>
    <n v="2279.9774000000002"/>
    <x v="0"/>
    <n v="2279.9774000000002"/>
    <s v="11-2019"/>
  </r>
  <r>
    <n v="52645"/>
    <x v="85"/>
    <s v="Low"/>
    <x v="22"/>
    <x v="7"/>
    <x v="7"/>
    <n v="68.84"/>
    <x v="0"/>
    <n v="0"/>
    <n v="68.84"/>
    <n v="2.4"/>
    <n v="68.84"/>
    <x v="0"/>
    <n v="68.84"/>
    <s v="03-2019"/>
  </r>
  <r>
    <n v="28742"/>
    <x v="20"/>
    <s v="Low"/>
    <x v="29"/>
    <x v="9"/>
    <x v="9"/>
    <n v="2323.4699999999998"/>
    <x v="0"/>
    <n v="0"/>
    <n v="2323.4699999999998"/>
    <n v="91.6"/>
    <n v="2323.4699999999998"/>
    <x v="2"/>
    <n v="2323.4699999999998"/>
    <s v="04-2019"/>
  </r>
  <r>
    <n v="5121"/>
    <x v="6"/>
    <s v="Not Specified"/>
    <x v="9"/>
    <x v="1"/>
    <x v="1"/>
    <n v="2131.12"/>
    <x v="1"/>
    <n v="21.311199999999999"/>
    <n v="2109.8087999999998"/>
    <n v="1.3"/>
    <n v="2129.8199999999997"/>
    <x v="0"/>
    <n v="2109.8087999999998"/>
    <s v="05-2019"/>
  </r>
  <r>
    <n v="12711"/>
    <x v="241"/>
    <s v="Critical"/>
    <x v="9"/>
    <x v="1"/>
    <x v="1"/>
    <n v="597.1"/>
    <x v="1"/>
    <n v="5.9710000000000001"/>
    <n v="591.12900000000002"/>
    <n v="3.4"/>
    <n v="593.70000000000005"/>
    <x v="0"/>
    <n v="591.12900000000002"/>
    <s v="02-2019"/>
  </r>
  <r>
    <n v="2146"/>
    <x v="100"/>
    <s v="Not Specified"/>
    <x v="2"/>
    <x v="1"/>
    <x v="1"/>
    <n v="121.67"/>
    <x v="1"/>
    <n v="1.2167000000000001"/>
    <n v="120.4533"/>
    <n v="0.5"/>
    <n v="121.17"/>
    <x v="0"/>
    <n v="120.4533"/>
    <s v="09-2019"/>
  </r>
  <r>
    <n v="21605"/>
    <x v="289"/>
    <s v="High"/>
    <x v="25"/>
    <x v="0"/>
    <x v="0"/>
    <n v="2068.2800000000002"/>
    <x v="0"/>
    <n v="0"/>
    <n v="2068.2800000000002"/>
    <n v="32.1"/>
    <n v="2068.2800000000002"/>
    <x v="2"/>
    <n v="2068.2800000000002"/>
    <s v="04-2019"/>
  </r>
  <r>
    <n v="31270"/>
    <x v="185"/>
    <s v="Medium"/>
    <x v="18"/>
    <x v="3"/>
    <x v="3"/>
    <n v="176.59"/>
    <x v="0"/>
    <n v="0"/>
    <n v="176.59"/>
    <n v="9.3000000000000007"/>
    <n v="176.59"/>
    <x v="0"/>
    <n v="176.59"/>
    <s v="11-2019"/>
  </r>
  <r>
    <n v="41378"/>
    <x v="115"/>
    <s v="Not Specified"/>
    <x v="17"/>
    <x v="6"/>
    <x v="6"/>
    <n v="5836.33"/>
    <x v="0"/>
    <n v="0"/>
    <n v="5836.33"/>
    <n v="32.1"/>
    <n v="5836.33"/>
    <x v="2"/>
    <n v="5836.33"/>
    <s v="10-2019"/>
  </r>
  <r>
    <n v="49954"/>
    <x v="224"/>
    <s v="Critical"/>
    <x v="34"/>
    <x v="5"/>
    <x v="5"/>
    <n v="2055.61"/>
    <x v="1"/>
    <n v="20.556100000000001"/>
    <n v="2035.0539000000001"/>
    <n v="9.6"/>
    <n v="2046.0100000000002"/>
    <x v="0"/>
    <n v="2035.0539000000001"/>
    <s v="02-2019"/>
  </r>
  <r>
    <n v="322"/>
    <x v="274"/>
    <s v="Critical"/>
    <x v="32"/>
    <x v="8"/>
    <x v="8"/>
    <n v="2819.3"/>
    <x v="0"/>
    <n v="0"/>
    <n v="2819.3"/>
    <n v="8.6"/>
    <n v="2819.3"/>
    <x v="0"/>
    <n v="2819.3"/>
    <s v="03-2019"/>
  </r>
  <r>
    <n v="3655"/>
    <x v="13"/>
    <s v="Critical"/>
    <x v="4"/>
    <x v="3"/>
    <x v="3"/>
    <n v="66.92"/>
    <x v="0"/>
    <n v="0"/>
    <n v="66.92"/>
    <n v="14.1"/>
    <n v="66.92"/>
    <x v="0"/>
    <n v="66.92"/>
    <s v="10-2019"/>
  </r>
  <r>
    <n v="24098"/>
    <x v="261"/>
    <s v="Critical"/>
    <x v="15"/>
    <x v="1"/>
    <x v="1"/>
    <n v="213.55"/>
    <x v="1"/>
    <n v="2.1355"/>
    <n v="211.4145"/>
    <n v="1.6"/>
    <n v="211.95000000000002"/>
    <x v="0"/>
    <n v="211.4145"/>
    <s v="04-2019"/>
  </r>
  <r>
    <n v="43270"/>
    <x v="138"/>
    <s v="Critical"/>
    <x v="16"/>
    <x v="0"/>
    <x v="0"/>
    <n v="367.99"/>
    <x v="0"/>
    <n v="0"/>
    <n v="367.99"/>
    <n v="1.1000000000000001"/>
    <n v="367.99"/>
    <x v="0"/>
    <n v="367.99"/>
    <s v="09-2019"/>
  </r>
  <r>
    <n v="9573"/>
    <x v="296"/>
    <s v="Medium"/>
    <x v="19"/>
    <x v="1"/>
    <x v="1"/>
    <n v="142.56"/>
    <x v="1"/>
    <n v="1.4256"/>
    <n v="141.1344"/>
    <n v="2.1"/>
    <n v="140.46"/>
    <x v="0"/>
    <n v="140.46"/>
    <s v="06-2019"/>
  </r>
  <r>
    <n v="49442"/>
    <x v="137"/>
    <s v="High"/>
    <x v="22"/>
    <x v="7"/>
    <x v="7"/>
    <n v="140.30000000000001"/>
    <x v="0"/>
    <n v="0"/>
    <n v="140.30000000000001"/>
    <n v="7.7"/>
    <n v="140.30000000000001"/>
    <x v="0"/>
    <n v="140.30000000000001"/>
    <s v="08-2019"/>
  </r>
  <r>
    <n v="33570"/>
    <x v="79"/>
    <s v="Not Specified"/>
    <x v="24"/>
    <x v="8"/>
    <x v="8"/>
    <n v="3310.43"/>
    <x v="0"/>
    <n v="0"/>
    <n v="3310.43"/>
    <n v="5.6"/>
    <n v="3310.43"/>
    <x v="0"/>
    <n v="3310.43"/>
    <s v="12-2019"/>
  </r>
  <r>
    <n v="41760"/>
    <x v="297"/>
    <s v="Low"/>
    <x v="5"/>
    <x v="4"/>
    <x v="4"/>
    <n v="7156.87"/>
    <x v="0"/>
    <n v="0"/>
    <n v="7156.87"/>
    <n v="21.4"/>
    <n v="7156.87"/>
    <x v="0"/>
    <n v="7156.87"/>
    <s v="01-2019"/>
  </r>
  <r>
    <n v="9892"/>
    <x v="47"/>
    <s v="Medium"/>
    <x v="3"/>
    <x v="2"/>
    <x v="2"/>
    <n v="1505.1"/>
    <x v="1"/>
    <n v="15.051"/>
    <n v="1490.049"/>
    <n v="8.8000000000000007"/>
    <n v="1496.3"/>
    <x v="0"/>
    <n v="1490.049"/>
    <s v="07-2019"/>
  </r>
  <r>
    <n v="1154"/>
    <x v="55"/>
    <s v="Critical"/>
    <x v="29"/>
    <x v="9"/>
    <x v="9"/>
    <n v="552.82000000000005"/>
    <x v="0"/>
    <n v="0"/>
    <n v="552.82000000000005"/>
    <n v="3.7"/>
    <n v="552.82000000000005"/>
    <x v="1"/>
    <n v="552.82000000000005"/>
    <s v="02-2019"/>
  </r>
  <r>
    <n v="55968"/>
    <x v="5"/>
    <s v="Low"/>
    <x v="28"/>
    <x v="5"/>
    <x v="5"/>
    <n v="78.77"/>
    <x v="1"/>
    <n v="0.78769999999999996"/>
    <n v="77.982299999999995"/>
    <n v="1.1000000000000001"/>
    <n v="77.67"/>
    <x v="0"/>
    <n v="77.67"/>
    <s v="09-2019"/>
  </r>
  <r>
    <n v="53445"/>
    <x v="188"/>
    <s v="High"/>
    <x v="5"/>
    <x v="4"/>
    <x v="4"/>
    <n v="78.97"/>
    <x v="0"/>
    <n v="0"/>
    <n v="78.97"/>
    <n v="1.4"/>
    <n v="78.97"/>
    <x v="0"/>
    <n v="78.97"/>
    <s v="10-2019"/>
  </r>
  <r>
    <n v="41312"/>
    <x v="257"/>
    <s v="Not Specified"/>
    <x v="5"/>
    <x v="4"/>
    <x v="4"/>
    <n v="842.76"/>
    <x v="0"/>
    <n v="0"/>
    <n v="842.76"/>
    <n v="2.1"/>
    <n v="842.76"/>
    <x v="0"/>
    <n v="842.76"/>
    <s v="01-2019"/>
  </r>
  <r>
    <n v="22434"/>
    <x v="298"/>
    <s v="Critical"/>
    <x v="4"/>
    <x v="3"/>
    <x v="3"/>
    <n v="20.010000000000002"/>
    <x v="0"/>
    <n v="0"/>
    <n v="20.010000000000002"/>
    <n v="6.2"/>
    <n v="20.010000000000002"/>
    <x v="0"/>
    <n v="20.010000000000002"/>
    <s v="08-2019"/>
  </r>
  <r>
    <n v="43138"/>
    <x v="161"/>
    <s v="Low"/>
    <x v="20"/>
    <x v="1"/>
    <x v="1"/>
    <n v="1427.43"/>
    <x v="1"/>
    <n v="14.2743"/>
    <n v="1413.1557"/>
    <n v="3.2"/>
    <n v="1424.23"/>
    <x v="0"/>
    <n v="1413.1557"/>
    <s v="03-2019"/>
  </r>
  <r>
    <n v="12804"/>
    <x v="1"/>
    <s v="Medium"/>
    <x v="5"/>
    <x v="4"/>
    <x v="4"/>
    <n v="73.89"/>
    <x v="0"/>
    <n v="0"/>
    <n v="73.89"/>
    <n v="0.5"/>
    <n v="73.89"/>
    <x v="0"/>
    <n v="73.89"/>
    <s v="05-2019"/>
  </r>
  <r>
    <n v="23809"/>
    <x v="299"/>
    <s v="Not Specified"/>
    <x v="29"/>
    <x v="9"/>
    <x v="9"/>
    <n v="92.67"/>
    <x v="0"/>
    <n v="0"/>
    <n v="92.67"/>
    <n v="1.6"/>
    <n v="92.67"/>
    <x v="0"/>
    <n v="92.67"/>
    <s v="06-2019"/>
  </r>
  <r>
    <n v="49889"/>
    <x v="268"/>
    <s v="Critical"/>
    <x v="5"/>
    <x v="4"/>
    <x v="4"/>
    <n v="66.28"/>
    <x v="0"/>
    <n v="0"/>
    <n v="66.28"/>
    <n v="2.2000000000000002"/>
    <n v="66.28"/>
    <x v="1"/>
    <n v="66.28"/>
    <s v="12-2019"/>
  </r>
  <r>
    <n v="30405"/>
    <x v="206"/>
    <s v="Low"/>
    <x v="29"/>
    <x v="9"/>
    <x v="9"/>
    <n v="2984.26"/>
    <x v="0"/>
    <n v="0"/>
    <n v="2984.26"/>
    <n v="45.5"/>
    <n v="2984.26"/>
    <x v="2"/>
    <n v="2984.26"/>
    <s v="04-2019"/>
  </r>
  <r>
    <n v="51140"/>
    <x v="170"/>
    <s v="Low"/>
    <x v="26"/>
    <x v="7"/>
    <x v="7"/>
    <n v="670.17"/>
    <x v="0"/>
    <n v="0"/>
    <n v="670.17"/>
    <n v="2.1"/>
    <n v="670.17"/>
    <x v="0"/>
    <n v="670.17"/>
    <s v="09-2019"/>
  </r>
  <r>
    <n v="42758"/>
    <x v="89"/>
    <s v="Critical"/>
    <x v="15"/>
    <x v="1"/>
    <x v="1"/>
    <n v="682.73"/>
    <x v="1"/>
    <n v="6.8273000000000001"/>
    <n v="675.90269999999998"/>
    <n v="2.1"/>
    <n v="680.63"/>
    <x v="0"/>
    <n v="675.90269999999998"/>
    <s v="11-2019"/>
  </r>
  <r>
    <n v="28934"/>
    <x v="72"/>
    <s v="Medium"/>
    <x v="14"/>
    <x v="7"/>
    <x v="7"/>
    <n v="1361.41"/>
    <x v="0"/>
    <n v="0"/>
    <n v="1361.41"/>
    <n v="7.7"/>
    <n v="1361.41"/>
    <x v="0"/>
    <n v="1361.41"/>
    <s v="11-2019"/>
  </r>
  <r>
    <n v="18368"/>
    <x v="133"/>
    <s v="Not Specified"/>
    <x v="16"/>
    <x v="0"/>
    <x v="0"/>
    <n v="1364.9"/>
    <x v="0"/>
    <n v="0"/>
    <n v="1364.9"/>
    <n v="5.4"/>
    <n v="1364.9"/>
    <x v="0"/>
    <n v="1364.9"/>
    <s v="11-2019"/>
  </r>
  <r>
    <n v="49798"/>
    <x v="210"/>
    <s v="Critical"/>
    <x v="18"/>
    <x v="3"/>
    <x v="3"/>
    <n v="1524.7"/>
    <x v="0"/>
    <n v="0"/>
    <n v="1524.7"/>
    <n v="61"/>
    <n v="1524.7"/>
    <x v="2"/>
    <n v="1524.7"/>
    <s v="12-2019"/>
  </r>
  <r>
    <n v="20807"/>
    <x v="167"/>
    <s v="Not Specified"/>
    <x v="41"/>
    <x v="5"/>
    <x v="5"/>
    <n v="6583.2"/>
    <x v="1"/>
    <n v="65.831999999999994"/>
    <n v="6517.3679999999995"/>
    <n v="32.1"/>
    <n v="6551.0999999999995"/>
    <x v="2"/>
    <n v="6517.3679999999995"/>
    <s v="07-2019"/>
  </r>
  <r>
    <n v="32902"/>
    <x v="101"/>
    <s v="High"/>
    <x v="30"/>
    <x v="9"/>
    <x v="9"/>
    <n v="68.59"/>
    <x v="0"/>
    <n v="0"/>
    <n v="68.59"/>
    <n v="9"/>
    <n v="68.59"/>
    <x v="0"/>
    <n v="68.59"/>
    <s v="03-2019"/>
  </r>
  <r>
    <n v="52007"/>
    <x v="9"/>
    <s v="Medium"/>
    <x v="24"/>
    <x v="8"/>
    <x v="8"/>
    <n v="11075.58"/>
    <x v="0"/>
    <n v="0"/>
    <n v="11075.58"/>
    <n v="48.9"/>
    <n v="11075.58"/>
    <x v="2"/>
    <n v="11075.58"/>
    <s v="04-2019"/>
  </r>
  <r>
    <n v="45284"/>
    <x v="300"/>
    <s v="High"/>
    <x v="29"/>
    <x v="9"/>
    <x v="9"/>
    <n v="97.830100000000002"/>
    <x v="0"/>
    <n v="0"/>
    <n v="97.830100000000002"/>
    <n v="9.6"/>
    <n v="97.830100000000002"/>
    <x v="0"/>
    <n v="97.830100000000002"/>
    <s v="01-2019"/>
  </r>
  <r>
    <n v="30913"/>
    <x v="30"/>
    <s v="Medium"/>
    <x v="42"/>
    <x v="4"/>
    <x v="4"/>
    <n v="153.11699999999999"/>
    <x v="0"/>
    <n v="0"/>
    <n v="153.11699999999999"/>
    <n v="1.6"/>
    <n v="153.11699999999999"/>
    <x v="0"/>
    <n v="153.11699999999999"/>
    <s v="09-2019"/>
  </r>
  <r>
    <n v="59202"/>
    <x v="122"/>
    <s v="Medium"/>
    <x v="29"/>
    <x v="9"/>
    <x v="9"/>
    <n v="89.68"/>
    <x v="0"/>
    <n v="0"/>
    <n v="89.68"/>
    <n v="0.5"/>
    <n v="89.68"/>
    <x v="0"/>
    <n v="89.68"/>
    <s v="09-2019"/>
  </r>
  <r>
    <n v="16706"/>
    <x v="90"/>
    <s v="High"/>
    <x v="21"/>
    <x v="2"/>
    <x v="2"/>
    <n v="6608.08"/>
    <x v="1"/>
    <n v="66.080799999999996"/>
    <n v="6541.9992000000002"/>
    <n v="4.2"/>
    <n v="6603.88"/>
    <x v="1"/>
    <n v="6541.9992000000002"/>
    <s v="06-2019"/>
  </r>
  <r>
    <n v="8007"/>
    <x v="245"/>
    <s v="Low"/>
    <x v="16"/>
    <x v="0"/>
    <x v="0"/>
    <n v="3565.3"/>
    <x v="0"/>
    <n v="0"/>
    <n v="3565.3"/>
    <n v="21.4"/>
    <n v="3565.3"/>
    <x v="0"/>
    <n v="3565.3"/>
    <s v="02-2019"/>
  </r>
  <r>
    <n v="24707"/>
    <x v="204"/>
    <s v="Medium"/>
    <x v="4"/>
    <x v="3"/>
    <x v="3"/>
    <n v="5.29"/>
    <x v="0"/>
    <n v="0"/>
    <n v="5.29"/>
    <n v="0.7"/>
    <n v="5.29"/>
    <x v="0"/>
    <n v="5.29"/>
    <s v="03-2019"/>
  </r>
  <r>
    <n v="4067"/>
    <x v="162"/>
    <s v="High"/>
    <x v="36"/>
    <x v="8"/>
    <x v="8"/>
    <n v="126.67"/>
    <x v="0"/>
    <n v="0"/>
    <n v="126.67"/>
    <n v="6.5"/>
    <n v="126.67"/>
    <x v="0"/>
    <n v="126.67"/>
    <s v="10-2019"/>
  </r>
  <r>
    <n v="16935"/>
    <x v="31"/>
    <s v="Not Specified"/>
    <x v="20"/>
    <x v="1"/>
    <x v="1"/>
    <n v="125.92"/>
    <x v="1"/>
    <n v="1.2592000000000001"/>
    <n v="124.66079999999999"/>
    <n v="0.7"/>
    <n v="125.22"/>
    <x v="1"/>
    <n v="124.66079999999999"/>
    <s v="12-2019"/>
  </r>
  <r>
    <n v="37315"/>
    <x v="301"/>
    <s v="Low"/>
    <x v="7"/>
    <x v="0"/>
    <x v="0"/>
    <n v="5057.46"/>
    <x v="0"/>
    <n v="0"/>
    <n v="5057.46"/>
    <n v="5.3"/>
    <n v="5057.46"/>
    <x v="1"/>
    <n v="5057.46"/>
    <s v="06-2019"/>
  </r>
  <r>
    <n v="4069"/>
    <x v="91"/>
    <s v="Medium"/>
    <x v="17"/>
    <x v="6"/>
    <x v="6"/>
    <n v="83.95"/>
    <x v="0"/>
    <n v="0"/>
    <n v="83.95"/>
    <n v="0.9"/>
    <n v="83.95"/>
    <x v="0"/>
    <n v="83.95"/>
    <s v="05-2019"/>
  </r>
  <r>
    <n v="3232"/>
    <x v="287"/>
    <s v="Critical"/>
    <x v="18"/>
    <x v="3"/>
    <x v="3"/>
    <n v="45.65"/>
    <x v="0"/>
    <n v="0"/>
    <n v="45.65"/>
    <n v="5"/>
    <n v="45.65"/>
    <x v="0"/>
    <n v="45.65"/>
    <s v="10-2019"/>
  </r>
  <r>
    <n v="1925"/>
    <x v="17"/>
    <s v="Critical"/>
    <x v="29"/>
    <x v="9"/>
    <x v="9"/>
    <n v="2005.5759"/>
    <x v="0"/>
    <n v="0"/>
    <n v="2005.5759"/>
    <n v="26.2"/>
    <n v="2005.5759"/>
    <x v="0"/>
    <n v="2005.5759"/>
    <s v="03-2019"/>
  </r>
  <r>
    <n v="24608"/>
    <x v="50"/>
    <s v="Medium"/>
    <x v="3"/>
    <x v="2"/>
    <x v="2"/>
    <n v="211.18"/>
    <x v="1"/>
    <n v="2.1118000000000001"/>
    <n v="209.06820000000002"/>
    <n v="3.2"/>
    <n v="207.98000000000002"/>
    <x v="0"/>
    <n v="207.98000000000002"/>
    <s v="08-2019"/>
  </r>
  <r>
    <n v="11108"/>
    <x v="203"/>
    <s v="Not Specified"/>
    <x v="32"/>
    <x v="8"/>
    <x v="8"/>
    <n v="140.93"/>
    <x v="0"/>
    <n v="0"/>
    <n v="140.93"/>
    <n v="6.1"/>
    <n v="140.93"/>
    <x v="0"/>
    <n v="140.93"/>
    <s v="08-2019"/>
  </r>
  <r>
    <n v="13894"/>
    <x v="159"/>
    <s v="Medium"/>
    <x v="3"/>
    <x v="2"/>
    <x v="2"/>
    <n v="1648.1"/>
    <x v="1"/>
    <n v="16.480999999999998"/>
    <n v="1631.6189999999999"/>
    <n v="1.3"/>
    <n v="1646.8"/>
    <x v="0"/>
    <n v="1631.6189999999999"/>
    <s v="04-2019"/>
  </r>
  <r>
    <n v="34723"/>
    <x v="160"/>
    <s v="Medium"/>
    <x v="27"/>
    <x v="2"/>
    <x v="2"/>
    <n v="4040.62"/>
    <x v="1"/>
    <n v="40.406199999999998"/>
    <n v="4000.2138"/>
    <n v="32.200000000000003"/>
    <n v="4008.42"/>
    <x v="2"/>
    <n v="4000.2138"/>
    <s v="12-2019"/>
  </r>
  <r>
    <n v="54209"/>
    <x v="130"/>
    <s v="Medium"/>
    <x v="5"/>
    <x v="4"/>
    <x v="4"/>
    <n v="711.53819999999996"/>
    <x v="0"/>
    <n v="0"/>
    <n v="711.53819999999996"/>
    <n v="6.4"/>
    <n v="711.53819999999996"/>
    <x v="0"/>
    <n v="711.53819999999996"/>
    <s v="08-2019"/>
  </r>
  <r>
    <n v="6500"/>
    <x v="18"/>
    <s v="Critical"/>
    <x v="32"/>
    <x v="8"/>
    <x v="8"/>
    <n v="40.97"/>
    <x v="0"/>
    <n v="0"/>
    <n v="40.97"/>
    <n v="1.7"/>
    <n v="40.97"/>
    <x v="0"/>
    <n v="40.97"/>
    <s v="10-2019"/>
  </r>
  <r>
    <n v="9861"/>
    <x v="58"/>
    <s v="Low"/>
    <x v="12"/>
    <x v="2"/>
    <x v="2"/>
    <n v="756.15"/>
    <x v="1"/>
    <n v="7.5614999999999997"/>
    <n v="748.58849999999995"/>
    <n v="5.8"/>
    <n v="750.35"/>
    <x v="0"/>
    <n v="748.58849999999995"/>
    <s v="10-2019"/>
  </r>
  <r>
    <n v="7458"/>
    <x v="302"/>
    <s v="Critical"/>
    <x v="27"/>
    <x v="2"/>
    <x v="2"/>
    <n v="546.84"/>
    <x v="1"/>
    <n v="5.4684000000000008"/>
    <n v="541.37160000000006"/>
    <n v="7"/>
    <n v="539.84"/>
    <x v="0"/>
    <n v="539.84"/>
    <s v="04-2019"/>
  </r>
  <r>
    <n v="16804"/>
    <x v="204"/>
    <s v="High"/>
    <x v="34"/>
    <x v="5"/>
    <x v="5"/>
    <n v="233.9"/>
    <x v="1"/>
    <n v="2.339"/>
    <n v="231.56100000000001"/>
    <n v="5.3"/>
    <n v="228.6"/>
    <x v="1"/>
    <n v="228.6"/>
    <s v="03-2019"/>
  </r>
  <r>
    <n v="37765"/>
    <x v="219"/>
    <s v="Low"/>
    <x v="29"/>
    <x v="9"/>
    <x v="9"/>
    <n v="45.65"/>
    <x v="0"/>
    <n v="0"/>
    <n v="45.65"/>
    <n v="7.4"/>
    <n v="45.65"/>
    <x v="1"/>
    <n v="45.65"/>
    <s v="11-2019"/>
  </r>
  <r>
    <n v="59492"/>
    <x v="259"/>
    <s v="Not Specified"/>
    <x v="31"/>
    <x v="4"/>
    <x v="4"/>
    <n v="182.33"/>
    <x v="0"/>
    <n v="0"/>
    <n v="182.33"/>
    <n v="10.8"/>
    <n v="182.33"/>
    <x v="0"/>
    <n v="182.33"/>
    <s v="10-2019"/>
  </r>
  <r>
    <n v="3014"/>
    <x v="115"/>
    <s v="Not Specified"/>
    <x v="13"/>
    <x v="7"/>
    <x v="7"/>
    <n v="4282.29"/>
    <x v="0"/>
    <n v="0"/>
    <n v="4282.29"/>
    <n v="21.4"/>
    <n v="4282.29"/>
    <x v="0"/>
    <n v="4282.29"/>
    <s v="10-2019"/>
  </r>
  <r>
    <n v="50721"/>
    <x v="224"/>
    <s v="High"/>
    <x v="0"/>
    <x v="0"/>
    <x v="0"/>
    <n v="10441.81"/>
    <x v="0"/>
    <n v="0"/>
    <n v="10441.81"/>
    <n v="21.4"/>
    <n v="10441.81"/>
    <x v="0"/>
    <n v="10441.81"/>
    <s v="02-2019"/>
  </r>
  <r>
    <n v="57699"/>
    <x v="89"/>
    <s v="Low"/>
    <x v="32"/>
    <x v="8"/>
    <x v="8"/>
    <n v="47.02"/>
    <x v="0"/>
    <n v="0"/>
    <n v="47.02"/>
    <n v="5.7"/>
    <n v="47.02"/>
    <x v="0"/>
    <n v="47.02"/>
    <s v="11-2019"/>
  </r>
  <r>
    <n v="56224"/>
    <x v="106"/>
    <s v="Medium"/>
    <x v="35"/>
    <x v="9"/>
    <x v="9"/>
    <n v="965.17"/>
    <x v="0"/>
    <n v="0"/>
    <n v="965.17"/>
    <n v="55.6"/>
    <n v="965.17"/>
    <x v="2"/>
    <n v="965.17"/>
    <s v="10-2019"/>
  </r>
  <r>
    <n v="17831"/>
    <x v="106"/>
    <s v="Critical"/>
    <x v="1"/>
    <x v="0"/>
    <x v="0"/>
    <n v="256.05"/>
    <x v="0"/>
    <n v="0"/>
    <n v="256.05"/>
    <n v="3"/>
    <n v="256.05"/>
    <x v="0"/>
    <n v="256.05"/>
    <s v="10-2019"/>
  </r>
  <r>
    <n v="32871"/>
    <x v="246"/>
    <s v="High"/>
    <x v="15"/>
    <x v="1"/>
    <x v="1"/>
    <n v="1005.55"/>
    <x v="1"/>
    <n v="10.0555"/>
    <n v="995.4944999999999"/>
    <n v="4.3"/>
    <n v="1001.25"/>
    <x v="1"/>
    <n v="995.4944999999999"/>
    <s v="10-2019"/>
  </r>
  <r>
    <n v="41345"/>
    <x v="123"/>
    <s v="Medium"/>
    <x v="34"/>
    <x v="5"/>
    <x v="5"/>
    <n v="71.06"/>
    <x v="1"/>
    <n v="0.71060000000000001"/>
    <n v="70.349400000000003"/>
    <n v="0.8"/>
    <n v="70.260000000000005"/>
    <x v="0"/>
    <n v="70.260000000000005"/>
    <s v="02-2019"/>
  </r>
  <r>
    <n v="25767"/>
    <x v="101"/>
    <s v="High"/>
    <x v="47"/>
    <x v="7"/>
    <x v="7"/>
    <n v="635.29"/>
    <x v="0"/>
    <n v="0"/>
    <n v="635.29"/>
    <n v="14.2"/>
    <n v="635.29"/>
    <x v="0"/>
    <n v="635.29"/>
    <s v="03-2019"/>
  </r>
  <r>
    <n v="58658"/>
    <x v="68"/>
    <s v="Medium"/>
    <x v="27"/>
    <x v="2"/>
    <x v="2"/>
    <n v="814.06"/>
    <x v="1"/>
    <n v="8.1405999999999992"/>
    <n v="805.91939999999988"/>
    <n v="1.1000000000000001"/>
    <n v="812.95999999999992"/>
    <x v="0"/>
    <n v="805.91939999999988"/>
    <s v="06-2019"/>
  </r>
  <r>
    <n v="52230"/>
    <x v="139"/>
    <s v="Critical"/>
    <x v="48"/>
    <x v="6"/>
    <x v="6"/>
    <n v="2889.8346000000001"/>
    <x v="0"/>
    <n v="0"/>
    <n v="2889.8346000000001"/>
    <n v="62.3"/>
    <n v="2889.8346000000001"/>
    <x v="2"/>
    <n v="2889.8346000000001"/>
    <s v="08-2019"/>
  </r>
  <r>
    <n v="49634"/>
    <x v="129"/>
    <s v="Not Specified"/>
    <x v="4"/>
    <x v="3"/>
    <x v="3"/>
    <n v="92.93"/>
    <x v="0"/>
    <n v="0"/>
    <n v="92.93"/>
    <n v="2.1"/>
    <n v="92.93"/>
    <x v="0"/>
    <n v="92.93"/>
    <s v="03-2019"/>
  </r>
  <r>
    <n v="29473"/>
    <x v="142"/>
    <s v="Medium"/>
    <x v="7"/>
    <x v="0"/>
    <x v="0"/>
    <n v="220.73"/>
    <x v="0"/>
    <n v="0"/>
    <n v="220.73"/>
    <n v="5.4"/>
    <n v="220.73"/>
    <x v="0"/>
    <n v="220.73"/>
    <s v="02-2019"/>
  </r>
  <r>
    <n v="8005"/>
    <x v="303"/>
    <s v="Critical"/>
    <x v="10"/>
    <x v="4"/>
    <x v="4"/>
    <n v="845.97"/>
    <x v="0"/>
    <n v="0"/>
    <n v="845.97"/>
    <n v="15.8"/>
    <n v="845.97"/>
    <x v="0"/>
    <n v="845.97"/>
    <s v="04-2019"/>
  </r>
  <r>
    <n v="15651"/>
    <x v="103"/>
    <s v="Critical"/>
    <x v="30"/>
    <x v="9"/>
    <x v="9"/>
    <n v="1601.61"/>
    <x v="0"/>
    <n v="0"/>
    <n v="1601.61"/>
    <n v="60.1"/>
    <n v="1601.61"/>
    <x v="2"/>
    <n v="1601.61"/>
    <s v="10-2019"/>
  </r>
  <r>
    <n v="58369"/>
    <x v="139"/>
    <s v="High"/>
    <x v="27"/>
    <x v="2"/>
    <x v="2"/>
    <n v="343.00990000000002"/>
    <x v="1"/>
    <n v="3.4300990000000002"/>
    <n v="339.57980100000003"/>
    <n v="6.5"/>
    <n v="336.50990000000002"/>
    <x v="0"/>
    <n v="336.50990000000002"/>
    <s v="08-2019"/>
  </r>
  <r>
    <n v="37412"/>
    <x v="304"/>
    <s v="High"/>
    <x v="45"/>
    <x v="8"/>
    <x v="8"/>
    <n v="205.09"/>
    <x v="0"/>
    <n v="0"/>
    <n v="205.09"/>
    <n v="3.6"/>
    <n v="205.09"/>
    <x v="0"/>
    <n v="205.09"/>
    <s v="08-2019"/>
  </r>
  <r>
    <n v="28899"/>
    <x v="15"/>
    <s v="Low"/>
    <x v="40"/>
    <x v="6"/>
    <x v="6"/>
    <n v="4802.4399999999996"/>
    <x v="0"/>
    <n v="0"/>
    <n v="4802.4399999999996"/>
    <n v="5.4"/>
    <n v="4802.4399999999996"/>
    <x v="0"/>
    <n v="4802.4399999999996"/>
    <s v="06-2019"/>
  </r>
  <r>
    <n v="56358"/>
    <x v="305"/>
    <s v="Not Specified"/>
    <x v="43"/>
    <x v="3"/>
    <x v="3"/>
    <n v="12.52"/>
    <x v="0"/>
    <n v="0"/>
    <n v="12.52"/>
    <n v="6"/>
    <n v="12.52"/>
    <x v="0"/>
    <n v="12.52"/>
    <s v="03-2019"/>
  </r>
  <r>
    <n v="55462"/>
    <x v="278"/>
    <s v="Medium"/>
    <x v="13"/>
    <x v="7"/>
    <x v="7"/>
    <n v="80.540000000000006"/>
    <x v="0"/>
    <n v="0"/>
    <n v="80.540000000000006"/>
    <n v="3.2"/>
    <n v="80.540000000000006"/>
    <x v="0"/>
    <n v="80.540000000000006"/>
    <s v="03-2019"/>
  </r>
  <r>
    <n v="54115"/>
    <x v="300"/>
    <s v="Low"/>
    <x v="10"/>
    <x v="4"/>
    <x v="4"/>
    <n v="122.16"/>
    <x v="0"/>
    <n v="0"/>
    <n v="122.16"/>
    <n v="5.5"/>
    <n v="122.16"/>
    <x v="0"/>
    <n v="122.16"/>
    <s v="01-2019"/>
  </r>
  <r>
    <n v="57537"/>
    <x v="109"/>
    <s v="Medium"/>
    <x v="48"/>
    <x v="6"/>
    <x v="6"/>
    <n v="3155.03"/>
    <x v="0"/>
    <n v="0"/>
    <n v="3155.03"/>
    <n v="7.7"/>
    <n v="3155.03"/>
    <x v="0"/>
    <n v="3155.03"/>
    <s v="09-2019"/>
  </r>
  <r>
    <n v="37158"/>
    <x v="30"/>
    <s v="Low"/>
    <x v="31"/>
    <x v="4"/>
    <x v="4"/>
    <n v="184.08"/>
    <x v="0"/>
    <n v="0"/>
    <n v="184.08"/>
    <n v="7.9"/>
    <n v="184.08"/>
    <x v="0"/>
    <n v="184.08"/>
    <s v="09-2019"/>
  </r>
  <r>
    <n v="32902"/>
    <x v="101"/>
    <s v="High"/>
    <x v="42"/>
    <x v="4"/>
    <x v="4"/>
    <n v="1753.38"/>
    <x v="0"/>
    <n v="0"/>
    <n v="1753.38"/>
    <n v="64.2"/>
    <n v="1753.38"/>
    <x v="2"/>
    <n v="1753.38"/>
    <s v="03-2019"/>
  </r>
  <r>
    <n v="9602"/>
    <x v="89"/>
    <s v="Critical"/>
    <x v="47"/>
    <x v="7"/>
    <x v="7"/>
    <n v="1843.24"/>
    <x v="0"/>
    <n v="0"/>
    <n v="1843.24"/>
    <n v="55"/>
    <n v="1843.24"/>
    <x v="2"/>
    <n v="1843.24"/>
    <s v="11-2019"/>
  </r>
  <r>
    <n v="15616"/>
    <x v="129"/>
    <s v="Critical"/>
    <x v="1"/>
    <x v="0"/>
    <x v="0"/>
    <n v="143.44"/>
    <x v="0"/>
    <n v="0"/>
    <n v="143.44"/>
    <n v="1.3"/>
    <n v="143.44"/>
    <x v="0"/>
    <n v="143.44"/>
    <s v="03-2019"/>
  </r>
  <r>
    <n v="3685"/>
    <x v="280"/>
    <s v="Medium"/>
    <x v="48"/>
    <x v="6"/>
    <x v="6"/>
    <n v="114.25"/>
    <x v="0"/>
    <n v="0"/>
    <n v="114.25"/>
    <n v="5.4"/>
    <n v="114.25"/>
    <x v="0"/>
    <n v="114.25"/>
    <s v="01-2019"/>
  </r>
  <r>
    <n v="24672"/>
    <x v="107"/>
    <s v="Medium"/>
    <x v="37"/>
    <x v="5"/>
    <x v="5"/>
    <n v="206.42"/>
    <x v="1"/>
    <n v="2.0642"/>
    <n v="204.35579999999999"/>
    <n v="1"/>
    <n v="205.42"/>
    <x v="0"/>
    <n v="204.35579999999999"/>
    <s v="03-2019"/>
  </r>
  <r>
    <n v="23140"/>
    <x v="64"/>
    <s v="High"/>
    <x v="38"/>
    <x v="8"/>
    <x v="8"/>
    <n v="1833.77"/>
    <x v="0"/>
    <n v="0"/>
    <n v="1833.77"/>
    <n v="9.6"/>
    <n v="1833.77"/>
    <x v="0"/>
    <n v="1833.77"/>
    <s v="02-2019"/>
  </r>
  <r>
    <n v="59361"/>
    <x v="298"/>
    <s v="High"/>
    <x v="9"/>
    <x v="1"/>
    <x v="1"/>
    <n v="1078.92"/>
    <x v="1"/>
    <n v="10.789200000000001"/>
    <n v="1068.1308000000001"/>
    <n v="6.7"/>
    <n v="1072.22"/>
    <x v="0"/>
    <n v="1068.1308000000001"/>
    <s v="08-2019"/>
  </r>
  <r>
    <n v="29761"/>
    <x v="78"/>
    <s v="Medium"/>
    <x v="49"/>
    <x v="2"/>
    <x v="2"/>
    <n v="1565.52"/>
    <x v="1"/>
    <n v="15.655200000000001"/>
    <n v="1549.8648000000001"/>
    <n v="1.3"/>
    <n v="1564.22"/>
    <x v="0"/>
    <n v="1549.8648000000001"/>
    <s v="07-2019"/>
  </r>
  <r>
    <n v="50403"/>
    <x v="91"/>
    <s v="Not Specified"/>
    <x v="6"/>
    <x v="4"/>
    <x v="4"/>
    <n v="152.88"/>
    <x v="0"/>
    <n v="0"/>
    <n v="152.88"/>
    <n v="1.7"/>
    <n v="152.88"/>
    <x v="0"/>
    <n v="152.88"/>
    <s v="05-2019"/>
  </r>
  <r>
    <n v="612"/>
    <x v="260"/>
    <s v="Medium"/>
    <x v="3"/>
    <x v="2"/>
    <x v="2"/>
    <n v="281.27"/>
    <x v="1"/>
    <n v="2.8127"/>
    <n v="278.45729999999998"/>
    <n v="6.7"/>
    <n v="274.57"/>
    <x v="0"/>
    <n v="274.57"/>
    <s v="10-2019"/>
  </r>
  <r>
    <n v="32292"/>
    <x v="142"/>
    <s v="Low"/>
    <x v="21"/>
    <x v="2"/>
    <x v="2"/>
    <n v="5359.3743000000004"/>
    <x v="1"/>
    <n v="53.593743000000003"/>
    <n v="5305.780557"/>
    <n v="6.4"/>
    <n v="5352.9743000000008"/>
    <x v="0"/>
    <n v="5305.780557"/>
    <s v="02-2019"/>
  </r>
  <r>
    <n v="42951"/>
    <x v="110"/>
    <s v="Critical"/>
    <x v="32"/>
    <x v="8"/>
    <x v="8"/>
    <n v="2252.34"/>
    <x v="0"/>
    <n v="0"/>
    <n v="2252.34"/>
    <n v="9.4"/>
    <n v="2252.34"/>
    <x v="0"/>
    <n v="2252.34"/>
    <s v="09-2019"/>
  </r>
  <r>
    <n v="49634"/>
    <x v="129"/>
    <s v="Not Specified"/>
    <x v="41"/>
    <x v="5"/>
    <x v="5"/>
    <n v="431.99"/>
    <x v="1"/>
    <n v="4.3199000000000005"/>
    <n v="427.67009999999999"/>
    <n v="4.8"/>
    <n v="427.19"/>
    <x v="0"/>
    <n v="427.19"/>
    <s v="03-2019"/>
  </r>
  <r>
    <n v="58210"/>
    <x v="306"/>
    <s v="Medium"/>
    <x v="8"/>
    <x v="5"/>
    <x v="5"/>
    <n v="154.11000000000001"/>
    <x v="1"/>
    <n v="1.5411000000000001"/>
    <n v="152.56890000000001"/>
    <n v="5.9"/>
    <n v="148.21"/>
    <x v="0"/>
    <n v="148.21"/>
    <s v="12-2019"/>
  </r>
  <r>
    <n v="53026"/>
    <x v="70"/>
    <s v="Low"/>
    <x v="16"/>
    <x v="0"/>
    <x v="0"/>
    <n v="345.42"/>
    <x v="0"/>
    <n v="0"/>
    <n v="345.42"/>
    <n v="4.3"/>
    <n v="345.42"/>
    <x v="0"/>
    <n v="345.42"/>
    <s v="02-2019"/>
  </r>
  <r>
    <n v="35811"/>
    <x v="282"/>
    <s v="Critical"/>
    <x v="21"/>
    <x v="2"/>
    <x v="2"/>
    <n v="793.48"/>
    <x v="1"/>
    <n v="7.9348000000000001"/>
    <n v="785.54520000000002"/>
    <n v="1.5"/>
    <n v="791.98"/>
    <x v="0"/>
    <n v="785.54520000000002"/>
    <s v="01-2019"/>
  </r>
  <r>
    <n v="8293"/>
    <x v="25"/>
    <s v="Low"/>
    <x v="3"/>
    <x v="2"/>
    <x v="2"/>
    <n v="1602.6"/>
    <x v="1"/>
    <n v="16.026"/>
    <n v="1586.5739999999998"/>
    <n v="1.2"/>
    <n v="1601.3999999999999"/>
    <x v="0"/>
    <n v="1586.5739999999998"/>
    <s v="08-2019"/>
  </r>
  <r>
    <n v="55296"/>
    <x v="93"/>
    <s v="Low"/>
    <x v="25"/>
    <x v="0"/>
    <x v="0"/>
    <n v="339.25420000000003"/>
    <x v="0"/>
    <n v="0"/>
    <n v="339.25420000000003"/>
    <n v="2.2000000000000002"/>
    <n v="339.25420000000003"/>
    <x v="0"/>
    <n v="339.25420000000003"/>
    <s v="10-2019"/>
  </r>
  <r>
    <n v="45315"/>
    <x v="307"/>
    <s v="Medium"/>
    <x v="25"/>
    <x v="0"/>
    <x v="0"/>
    <n v="1221.83"/>
    <x v="0"/>
    <n v="0"/>
    <n v="1221.83"/>
    <n v="8.8000000000000007"/>
    <n v="1221.83"/>
    <x v="0"/>
    <n v="1221.83"/>
    <s v="04-2019"/>
  </r>
  <r>
    <n v="1221"/>
    <x v="172"/>
    <s v="Not Specified"/>
    <x v="22"/>
    <x v="7"/>
    <x v="7"/>
    <n v="10855.3"/>
    <x v="0"/>
    <n v="0"/>
    <n v="10855.3"/>
    <n v="21.4"/>
    <n v="10855.3"/>
    <x v="0"/>
    <n v="10855.3"/>
    <s v="04-2019"/>
  </r>
  <r>
    <n v="14016"/>
    <x v="56"/>
    <s v="Low"/>
    <x v="35"/>
    <x v="9"/>
    <x v="9"/>
    <n v="1217.25"/>
    <x v="0"/>
    <n v="0"/>
    <n v="1217.25"/>
    <n v="55.6"/>
    <n v="1217.25"/>
    <x v="2"/>
    <n v="1217.25"/>
    <s v="07-2019"/>
  </r>
  <r>
    <n v="23619"/>
    <x v="182"/>
    <s v="Medium"/>
    <x v="49"/>
    <x v="2"/>
    <x v="2"/>
    <n v="2794.63"/>
    <x v="1"/>
    <n v="27.946300000000001"/>
    <n v="2766.6837"/>
    <n v="6.3"/>
    <n v="2788.33"/>
    <x v="0"/>
    <n v="2766.6837"/>
    <s v="12-2019"/>
  </r>
  <r>
    <n v="24743"/>
    <x v="118"/>
    <s v="Low"/>
    <x v="11"/>
    <x v="6"/>
    <x v="6"/>
    <n v="4021.88"/>
    <x v="0"/>
    <n v="0"/>
    <n v="4021.88"/>
    <n v="26.2"/>
    <n v="4021.88"/>
    <x v="0"/>
    <n v="4021.88"/>
    <s v="06-2019"/>
  </r>
  <r>
    <n v="20642"/>
    <x v="94"/>
    <s v="High"/>
    <x v="25"/>
    <x v="0"/>
    <x v="0"/>
    <n v="144.66"/>
    <x v="0"/>
    <n v="0"/>
    <n v="144.66"/>
    <n v="0.5"/>
    <n v="144.66"/>
    <x v="0"/>
    <n v="144.66"/>
    <s v="05-2019"/>
  </r>
  <r>
    <n v="41921"/>
    <x v="207"/>
    <s v="Medium"/>
    <x v="48"/>
    <x v="6"/>
    <x v="6"/>
    <n v="361"/>
    <x v="0"/>
    <n v="0"/>
    <n v="361"/>
    <n v="7.5"/>
    <n v="361"/>
    <x v="1"/>
    <n v="361"/>
    <s v="02-2019"/>
  </r>
  <r>
    <n v="54371"/>
    <x v="142"/>
    <s v="Not Specified"/>
    <x v="23"/>
    <x v="6"/>
    <x v="6"/>
    <n v="123.07"/>
    <x v="0"/>
    <n v="0"/>
    <n v="123.07"/>
    <n v="0.8"/>
    <n v="123.07"/>
    <x v="0"/>
    <n v="123.07"/>
    <s v="02-2019"/>
  </r>
  <r>
    <n v="8450"/>
    <x v="27"/>
    <s v="Not Specified"/>
    <x v="6"/>
    <x v="4"/>
    <x v="4"/>
    <n v="44.29"/>
    <x v="0"/>
    <n v="0"/>
    <n v="44.29"/>
    <n v="1.6"/>
    <n v="44.29"/>
    <x v="0"/>
    <n v="44.29"/>
    <s v="04-2019"/>
  </r>
  <r>
    <n v="13991"/>
    <x v="308"/>
    <s v="High"/>
    <x v="5"/>
    <x v="4"/>
    <x v="4"/>
    <n v="1968.21"/>
    <x v="0"/>
    <n v="0"/>
    <n v="1968.21"/>
    <n v="73.8"/>
    <n v="1968.21"/>
    <x v="0"/>
    <n v="1968.21"/>
    <s v="03-2019"/>
  </r>
  <r>
    <n v="59329"/>
    <x v="88"/>
    <s v="Critical"/>
    <x v="16"/>
    <x v="0"/>
    <x v="0"/>
    <n v="137.09"/>
    <x v="0"/>
    <n v="0"/>
    <n v="137.09"/>
    <n v="5.8"/>
    <n v="137.09"/>
    <x v="0"/>
    <n v="137.09"/>
    <s v="12-2019"/>
  </r>
  <r>
    <n v="16257"/>
    <x v="184"/>
    <s v="Not Specified"/>
    <x v="36"/>
    <x v="8"/>
    <x v="8"/>
    <n v="109.92"/>
    <x v="0"/>
    <n v="0"/>
    <n v="109.92"/>
    <n v="2.7"/>
    <n v="109.92"/>
    <x v="0"/>
    <n v="109.92"/>
    <s v="05-2019"/>
  </r>
  <r>
    <n v="48003"/>
    <x v="226"/>
    <s v="Medium"/>
    <x v="14"/>
    <x v="7"/>
    <x v="7"/>
    <n v="94.22"/>
    <x v="0"/>
    <n v="0"/>
    <n v="94.22"/>
    <n v="10.4"/>
    <n v="94.22"/>
    <x v="0"/>
    <n v="94.22"/>
    <s v="01-2019"/>
  </r>
  <r>
    <n v="47971"/>
    <x v="115"/>
    <s v="High"/>
    <x v="10"/>
    <x v="4"/>
    <x v="4"/>
    <n v="121.37"/>
    <x v="0"/>
    <n v="0"/>
    <n v="121.37"/>
    <n v="5.7"/>
    <n v="121.37"/>
    <x v="0"/>
    <n v="121.37"/>
    <s v="10-2019"/>
  </r>
  <r>
    <n v="39943"/>
    <x v="51"/>
    <s v="High"/>
    <x v="14"/>
    <x v="7"/>
    <x v="7"/>
    <n v="215.64"/>
    <x v="0"/>
    <n v="0"/>
    <n v="215.64"/>
    <n v="3.5"/>
    <n v="215.64"/>
    <x v="0"/>
    <n v="215.64"/>
    <s v="06-2019"/>
  </r>
  <r>
    <n v="24743"/>
    <x v="118"/>
    <s v="Low"/>
    <x v="12"/>
    <x v="2"/>
    <x v="2"/>
    <n v="10307.94"/>
    <x v="1"/>
    <n v="103.07940000000001"/>
    <n v="10204.8606"/>
    <n v="68.7"/>
    <n v="10239.24"/>
    <x v="2"/>
    <n v="10204.8606"/>
    <s v="06-2019"/>
  </r>
  <r>
    <n v="26981"/>
    <x v="139"/>
    <s v="Medium"/>
    <x v="2"/>
    <x v="1"/>
    <x v="1"/>
    <n v="824.47"/>
    <x v="1"/>
    <n v="8.2446999999999999"/>
    <n v="816.22530000000006"/>
    <n v="6.7"/>
    <n v="817.77"/>
    <x v="0"/>
    <n v="816.22530000000006"/>
    <s v="08-2019"/>
  </r>
  <r>
    <n v="40611"/>
    <x v="29"/>
    <s v="Not Specified"/>
    <x v="14"/>
    <x v="7"/>
    <x v="7"/>
    <n v="71.510000000000005"/>
    <x v="0"/>
    <n v="0"/>
    <n v="71.510000000000005"/>
    <n v="5.5"/>
    <n v="71.510000000000005"/>
    <x v="1"/>
    <n v="71.510000000000005"/>
    <s v="03-2019"/>
  </r>
  <r>
    <n v="28611"/>
    <x v="134"/>
    <s v="Low"/>
    <x v="15"/>
    <x v="1"/>
    <x v="1"/>
    <n v="4155.3100000000004"/>
    <x v="1"/>
    <n v="41.553100000000008"/>
    <n v="4113.7569000000003"/>
    <n v="9.6"/>
    <n v="4145.71"/>
    <x v="0"/>
    <n v="4113.7569000000003"/>
    <s v="12-2019"/>
  </r>
  <r>
    <n v="25635"/>
    <x v="309"/>
    <s v="Critical"/>
    <x v="6"/>
    <x v="4"/>
    <x v="4"/>
    <n v="118.15"/>
    <x v="0"/>
    <n v="0"/>
    <n v="118.15"/>
    <n v="3.9"/>
    <n v="118.15"/>
    <x v="0"/>
    <n v="118.15"/>
    <s v="05-2019"/>
  </r>
  <r>
    <n v="26981"/>
    <x v="139"/>
    <s v="Medium"/>
    <x v="13"/>
    <x v="7"/>
    <x v="7"/>
    <n v="645.58000000000004"/>
    <x v="0"/>
    <n v="0"/>
    <n v="645.58000000000004"/>
    <n v="1.3"/>
    <n v="645.58000000000004"/>
    <x v="0"/>
    <n v="645.58000000000004"/>
    <s v="08-2019"/>
  </r>
  <r>
    <n v="59781"/>
    <x v="268"/>
    <s v="Not Specified"/>
    <x v="38"/>
    <x v="8"/>
    <x v="8"/>
    <n v="1966.6"/>
    <x v="0"/>
    <n v="0"/>
    <n v="1966.6"/>
    <n v="9.6"/>
    <n v="1966.6"/>
    <x v="0"/>
    <n v="1966.6"/>
    <s v="12-2019"/>
  </r>
  <r>
    <n v="14630"/>
    <x v="69"/>
    <s v="Low"/>
    <x v="45"/>
    <x v="8"/>
    <x v="8"/>
    <n v="388.98779999999999"/>
    <x v="0"/>
    <n v="0"/>
    <n v="388.98779999999999"/>
    <n v="5.9"/>
    <n v="388.98779999999999"/>
    <x v="0"/>
    <n v="388.98779999999999"/>
    <s v="10-2019"/>
  </r>
  <r>
    <n v="6339"/>
    <x v="144"/>
    <s v="Critical"/>
    <x v="32"/>
    <x v="8"/>
    <x v="8"/>
    <n v="324.95"/>
    <x v="0"/>
    <n v="0"/>
    <n v="324.95"/>
    <n v="8.1999999999999993"/>
    <n v="324.95"/>
    <x v="0"/>
    <n v="324.95"/>
    <s v="12-2019"/>
  </r>
  <r>
    <n v="25985"/>
    <x v="42"/>
    <s v="Low"/>
    <x v="6"/>
    <x v="4"/>
    <x v="4"/>
    <n v="86.45"/>
    <x v="0"/>
    <n v="0"/>
    <n v="86.45"/>
    <n v="0.8"/>
    <n v="86.45"/>
    <x v="0"/>
    <n v="86.45"/>
    <s v="09-2019"/>
  </r>
  <r>
    <n v="52519"/>
    <x v="20"/>
    <s v="High"/>
    <x v="44"/>
    <x v="9"/>
    <x v="9"/>
    <n v="128.81"/>
    <x v="0"/>
    <n v="0"/>
    <n v="128.81"/>
    <n v="6.8"/>
    <n v="128.81"/>
    <x v="0"/>
    <n v="128.81"/>
    <s v="04-2019"/>
  </r>
  <r>
    <n v="1282"/>
    <x v="224"/>
    <s v="Not Specified"/>
    <x v="11"/>
    <x v="6"/>
    <x v="6"/>
    <n v="954.84659999999997"/>
    <x v="0"/>
    <n v="0"/>
    <n v="954.84659999999997"/>
    <n v="2.1"/>
    <n v="954.84659999999997"/>
    <x v="0"/>
    <n v="954.84659999999997"/>
    <s v="02-2019"/>
  </r>
  <r>
    <n v="3654"/>
    <x v="75"/>
    <s v="Low"/>
    <x v="12"/>
    <x v="2"/>
    <x v="2"/>
    <n v="13449.16"/>
    <x v="1"/>
    <n v="134.49160000000001"/>
    <n v="13314.6684"/>
    <n v="24.8"/>
    <n v="13424.36"/>
    <x v="2"/>
    <n v="13314.6684"/>
    <s v="06-2019"/>
  </r>
  <r>
    <n v="7107"/>
    <x v="39"/>
    <s v="Not Specified"/>
    <x v="4"/>
    <x v="3"/>
    <x v="3"/>
    <n v="121.06"/>
    <x v="0"/>
    <n v="0"/>
    <n v="121.06"/>
    <n v="5.4"/>
    <n v="121.06"/>
    <x v="0"/>
    <n v="121.06"/>
    <s v="01-2019"/>
  </r>
  <r>
    <n v="15651"/>
    <x v="103"/>
    <s v="Critical"/>
    <x v="28"/>
    <x v="5"/>
    <x v="5"/>
    <n v="2335.71"/>
    <x v="1"/>
    <n v="23.357099999999999"/>
    <n v="2312.3528999999999"/>
    <n v="3.7"/>
    <n v="2332.0100000000002"/>
    <x v="1"/>
    <n v="2312.3528999999999"/>
    <s v="10-2019"/>
  </r>
  <r>
    <n v="38914"/>
    <x v="196"/>
    <s v="Medium"/>
    <x v="20"/>
    <x v="1"/>
    <x v="1"/>
    <n v="478.42"/>
    <x v="1"/>
    <n v="4.7842000000000002"/>
    <n v="473.63580000000002"/>
    <n v="5.5"/>
    <n v="472.92"/>
    <x v="0"/>
    <n v="472.92"/>
    <s v="05-2019"/>
  </r>
  <r>
    <n v="17447"/>
    <x v="95"/>
    <s v="Low"/>
    <x v="15"/>
    <x v="1"/>
    <x v="1"/>
    <n v="921.71"/>
    <x v="1"/>
    <n v="9.2171000000000003"/>
    <n v="912.49290000000008"/>
    <n v="10.199999999999999"/>
    <n v="911.51"/>
    <x v="0"/>
    <n v="911.51"/>
    <s v="05-2019"/>
  </r>
  <r>
    <n v="48868"/>
    <x v="296"/>
    <s v="Not Specified"/>
    <x v="20"/>
    <x v="1"/>
    <x v="1"/>
    <n v="7342.18"/>
    <x v="1"/>
    <n v="73.421800000000005"/>
    <n v="7268.7582000000002"/>
    <n v="4.3"/>
    <n v="7337.88"/>
    <x v="0"/>
    <n v="7268.7582000000002"/>
    <s v="06-2019"/>
  </r>
  <r>
    <n v="52999"/>
    <x v="230"/>
    <s v="Not Specified"/>
    <x v="41"/>
    <x v="5"/>
    <x v="5"/>
    <n v="367.06"/>
    <x v="1"/>
    <n v="3.6706000000000003"/>
    <n v="363.38940000000002"/>
    <n v="2.2999999999999998"/>
    <n v="364.76"/>
    <x v="0"/>
    <n v="363.38940000000002"/>
    <s v="04-2019"/>
  </r>
  <r>
    <n v="9826"/>
    <x v="132"/>
    <s v="Medium"/>
    <x v="29"/>
    <x v="9"/>
    <x v="9"/>
    <n v="140.82"/>
    <x v="0"/>
    <n v="0"/>
    <n v="140.82"/>
    <n v="2.1"/>
    <n v="140.82"/>
    <x v="0"/>
    <n v="140.82"/>
    <s v="03-2019"/>
  </r>
  <r>
    <n v="18950"/>
    <x v="224"/>
    <s v="Low"/>
    <x v="0"/>
    <x v="0"/>
    <x v="0"/>
    <n v="3219.1"/>
    <x v="0"/>
    <n v="0"/>
    <n v="3219.1"/>
    <n v="15"/>
    <n v="3219.1"/>
    <x v="2"/>
    <n v="3219.1"/>
    <s v="02-2019"/>
  </r>
  <r>
    <n v="30343"/>
    <x v="16"/>
    <s v="Critical"/>
    <x v="23"/>
    <x v="6"/>
    <x v="6"/>
    <n v="139.4"/>
    <x v="0"/>
    <n v="0"/>
    <n v="139.4"/>
    <n v="0.5"/>
    <n v="139.4"/>
    <x v="0"/>
    <n v="139.4"/>
    <s v="05-2019"/>
  </r>
  <r>
    <n v="52645"/>
    <x v="85"/>
    <s v="Low"/>
    <x v="46"/>
    <x v="9"/>
    <x v="9"/>
    <n v="741.53"/>
    <x v="0"/>
    <n v="0"/>
    <n v="741.53"/>
    <n v="3.7"/>
    <n v="741.53"/>
    <x v="0"/>
    <n v="741.53"/>
    <s v="03-2019"/>
  </r>
  <r>
    <n v="8293"/>
    <x v="25"/>
    <s v="Low"/>
    <x v="6"/>
    <x v="4"/>
    <x v="4"/>
    <n v="80.28"/>
    <x v="0"/>
    <n v="0"/>
    <n v="80.28"/>
    <n v="2.1"/>
    <n v="80.28"/>
    <x v="0"/>
    <n v="80.28"/>
    <s v="08-2019"/>
  </r>
  <r>
    <n v="18208"/>
    <x v="54"/>
    <s v="Not Specified"/>
    <x v="34"/>
    <x v="5"/>
    <x v="5"/>
    <n v="88.79"/>
    <x v="1"/>
    <n v="0.88790000000000013"/>
    <n v="87.902100000000004"/>
    <n v="5.6"/>
    <n v="83.190000000000012"/>
    <x v="0"/>
    <n v="83.190000000000012"/>
    <s v="04-2019"/>
  </r>
  <r>
    <n v="44646"/>
    <x v="39"/>
    <s v="Low"/>
    <x v="12"/>
    <x v="2"/>
    <x v="2"/>
    <n v="13614.63"/>
    <x v="1"/>
    <n v="136.1463"/>
    <n v="13478.483699999999"/>
    <n v="37.5"/>
    <n v="13577.13"/>
    <x v="0"/>
    <n v="13478.483699999999"/>
    <s v="01-2019"/>
  </r>
  <r>
    <n v="26756"/>
    <x v="6"/>
    <s v="Medium"/>
    <x v="31"/>
    <x v="4"/>
    <x v="4"/>
    <n v="820.97"/>
    <x v="0"/>
    <n v="0"/>
    <n v="820.97"/>
    <n v="4.3"/>
    <n v="820.97"/>
    <x v="0"/>
    <n v="820.97"/>
    <s v="05-2019"/>
  </r>
  <r>
    <n v="40067"/>
    <x v="294"/>
    <s v="Low"/>
    <x v="8"/>
    <x v="5"/>
    <x v="5"/>
    <n v="2308.3200000000002"/>
    <x v="1"/>
    <n v="23.083200000000001"/>
    <n v="2285.2368000000001"/>
    <n v="5.7"/>
    <n v="2302.6200000000003"/>
    <x v="0"/>
    <n v="2285.2368000000001"/>
    <s v="02-2019"/>
  </r>
  <r>
    <n v="5954"/>
    <x v="116"/>
    <s v="Critical"/>
    <x v="25"/>
    <x v="0"/>
    <x v="0"/>
    <n v="19598.440999999999"/>
    <x v="0"/>
    <n v="0"/>
    <n v="19598.440999999999"/>
    <n v="15.7"/>
    <n v="19598.440999999999"/>
    <x v="2"/>
    <n v="19598.440999999999"/>
    <s v="12-2019"/>
  </r>
  <r>
    <n v="40007"/>
    <x v="139"/>
    <s v="Not Specified"/>
    <x v="9"/>
    <x v="1"/>
    <x v="1"/>
    <n v="201.98"/>
    <x v="1"/>
    <n v="2.0198"/>
    <n v="199.96019999999999"/>
    <n v="1.3"/>
    <n v="200.67999999999998"/>
    <x v="0"/>
    <n v="199.96019999999999"/>
    <s v="08-2019"/>
  </r>
  <r>
    <n v="31586"/>
    <x v="272"/>
    <s v="Low"/>
    <x v="6"/>
    <x v="4"/>
    <x v="4"/>
    <n v="1030.8900000000001"/>
    <x v="0"/>
    <n v="0"/>
    <n v="1030.8900000000001"/>
    <n v="4.3"/>
    <n v="1030.8900000000001"/>
    <x v="1"/>
    <n v="1030.8900000000001"/>
    <s v="03-2019"/>
  </r>
  <r>
    <n v="34754"/>
    <x v="299"/>
    <s v="Critical"/>
    <x v="36"/>
    <x v="8"/>
    <x v="8"/>
    <n v="666.98"/>
    <x v="0"/>
    <n v="0"/>
    <n v="666.98"/>
    <n v="5.4"/>
    <n v="666.98"/>
    <x v="0"/>
    <n v="666.98"/>
    <s v="06-2019"/>
  </r>
  <r>
    <n v="9761"/>
    <x v="111"/>
    <s v="Not Specified"/>
    <x v="33"/>
    <x v="3"/>
    <x v="3"/>
    <n v="216.82"/>
    <x v="0"/>
    <n v="0"/>
    <n v="216.82"/>
    <n v="15"/>
    <n v="216.82"/>
    <x v="2"/>
    <n v="216.82"/>
    <s v="01-2019"/>
  </r>
  <r>
    <n v="59395"/>
    <x v="291"/>
    <s v="Critical"/>
    <x v="32"/>
    <x v="8"/>
    <x v="8"/>
    <n v="1030.73"/>
    <x v="0"/>
    <n v="0"/>
    <n v="1030.73"/>
    <n v="7.7"/>
    <n v="1030.73"/>
    <x v="1"/>
    <n v="1030.73"/>
    <s v="04-2019"/>
  </r>
  <r>
    <n v="43332"/>
    <x v="53"/>
    <s v="High"/>
    <x v="7"/>
    <x v="0"/>
    <x v="0"/>
    <n v="1872.5"/>
    <x v="0"/>
    <n v="0"/>
    <n v="1872.5"/>
    <n v="15.3"/>
    <n v="1872.5"/>
    <x v="1"/>
    <n v="1872.5"/>
    <s v="09-2019"/>
  </r>
  <r>
    <n v="7783"/>
    <x v="61"/>
    <s v="Medium"/>
    <x v="4"/>
    <x v="3"/>
    <x v="3"/>
    <n v="33.544499999999999"/>
    <x v="0"/>
    <n v="0"/>
    <n v="33.544499999999999"/>
    <n v="6"/>
    <n v="33.544499999999999"/>
    <x v="0"/>
    <n v="33.544499999999999"/>
    <s v="01-2019"/>
  </r>
  <r>
    <n v="3907"/>
    <x v="244"/>
    <s v="Medium"/>
    <x v="34"/>
    <x v="5"/>
    <x v="5"/>
    <n v="1159.01"/>
    <x v="1"/>
    <n v="11.5901"/>
    <n v="1147.4198999999999"/>
    <n v="5.9"/>
    <n v="1153.1099999999999"/>
    <x v="1"/>
    <n v="1147.4198999999999"/>
    <s v="08-2019"/>
  </r>
  <r>
    <n v="33029"/>
    <x v="189"/>
    <s v="High"/>
    <x v="41"/>
    <x v="5"/>
    <x v="5"/>
    <n v="17150.240000000002"/>
    <x v="1"/>
    <n v="171.50240000000002"/>
    <n v="16978.7376"/>
    <n v="80.5"/>
    <n v="17069.740000000002"/>
    <x v="2"/>
    <n v="16978.7376"/>
    <s v="05-2019"/>
  </r>
  <r>
    <n v="16864"/>
    <x v="115"/>
    <s v="Not Specified"/>
    <x v="15"/>
    <x v="1"/>
    <x v="1"/>
    <n v="13735.71"/>
    <x v="1"/>
    <n v="137.3571"/>
    <n v="13598.3529"/>
    <n v="46.6"/>
    <n v="13689.109999999999"/>
    <x v="2"/>
    <n v="13598.3529"/>
    <s v="10-2019"/>
  </r>
  <r>
    <n v="8677"/>
    <x v="112"/>
    <s v="High"/>
    <x v="8"/>
    <x v="5"/>
    <x v="5"/>
    <n v="1723.51"/>
    <x v="1"/>
    <n v="17.235099999999999"/>
    <n v="1706.2748999999999"/>
    <n v="17.5"/>
    <n v="1706.01"/>
    <x v="0"/>
    <n v="1706.01"/>
    <s v="10-2019"/>
  </r>
  <r>
    <n v="24801"/>
    <x v="4"/>
    <s v="High"/>
    <x v="29"/>
    <x v="9"/>
    <x v="9"/>
    <n v="733.7"/>
    <x v="0"/>
    <n v="0"/>
    <n v="733.7"/>
    <n v="22.2"/>
    <n v="733.7"/>
    <x v="0"/>
    <n v="733.7"/>
    <s v="11-2019"/>
  </r>
  <r>
    <n v="29856"/>
    <x v="153"/>
    <s v="Medium"/>
    <x v="10"/>
    <x v="4"/>
    <x v="4"/>
    <n v="123.63"/>
    <x v="0"/>
    <n v="0"/>
    <n v="123.63"/>
    <n v="0.9"/>
    <n v="123.63"/>
    <x v="0"/>
    <n v="123.63"/>
    <s v="06-2019"/>
  </r>
  <r>
    <n v="3333"/>
    <x v="57"/>
    <s v="Not Specified"/>
    <x v="35"/>
    <x v="9"/>
    <x v="9"/>
    <n v="63.18"/>
    <x v="0"/>
    <n v="0"/>
    <n v="63.18"/>
    <n v="5.8"/>
    <n v="63.18"/>
    <x v="0"/>
    <n v="63.18"/>
    <s v="09-2019"/>
  </r>
  <r>
    <n v="49190"/>
    <x v="144"/>
    <s v="High"/>
    <x v="39"/>
    <x v="3"/>
    <x v="3"/>
    <n v="30"/>
    <x v="0"/>
    <n v="0"/>
    <n v="30"/>
    <n v="2.1"/>
    <n v="30"/>
    <x v="0"/>
    <n v="30"/>
    <s v="12-2019"/>
  </r>
  <r>
    <n v="21344"/>
    <x v="160"/>
    <s v="Low"/>
    <x v="48"/>
    <x v="6"/>
    <x v="6"/>
    <n v="628.29999999999995"/>
    <x v="0"/>
    <n v="0"/>
    <n v="628.29999999999995"/>
    <n v="2.1"/>
    <n v="628.29999999999995"/>
    <x v="0"/>
    <n v="628.29999999999995"/>
    <s v="12-2019"/>
  </r>
  <r>
    <n v="55651"/>
    <x v="85"/>
    <s v="Medium"/>
    <x v="19"/>
    <x v="1"/>
    <x v="1"/>
    <n v="888.67"/>
    <x v="1"/>
    <n v="8.8866999999999994"/>
    <n v="879.78329999999994"/>
    <n v="9.6"/>
    <n v="879.06999999999994"/>
    <x v="0"/>
    <n v="879.06999999999994"/>
    <s v="03-2019"/>
  </r>
  <r>
    <n v="50564"/>
    <x v="251"/>
    <s v="High"/>
    <x v="17"/>
    <x v="6"/>
    <x v="6"/>
    <n v="11814.32"/>
    <x v="0"/>
    <n v="0"/>
    <n v="11814.32"/>
    <n v="21.4"/>
    <n v="11814.32"/>
    <x v="0"/>
    <n v="11814.32"/>
    <s v="03-2019"/>
  </r>
  <r>
    <n v="47456"/>
    <x v="189"/>
    <s v="Low"/>
    <x v="20"/>
    <x v="1"/>
    <x v="1"/>
    <n v="296.48"/>
    <x v="1"/>
    <n v="2.9648000000000003"/>
    <n v="293.51519999999999"/>
    <n v="8.5"/>
    <n v="287.98"/>
    <x v="0"/>
    <n v="287.98"/>
    <s v="05-2019"/>
  </r>
  <r>
    <n v="29985"/>
    <x v="56"/>
    <s v="Critical"/>
    <x v="6"/>
    <x v="4"/>
    <x v="4"/>
    <n v="210.52250000000001"/>
    <x v="0"/>
    <n v="0"/>
    <n v="210.52250000000001"/>
    <n v="5.3"/>
    <n v="210.52250000000001"/>
    <x v="1"/>
    <n v="210.52250000000001"/>
    <s v="07-2019"/>
  </r>
  <r>
    <n v="38690"/>
    <x v="310"/>
    <s v="Low"/>
    <x v="23"/>
    <x v="6"/>
    <x v="6"/>
    <n v="746.33"/>
    <x v="0"/>
    <n v="0"/>
    <n v="746.33"/>
    <n v="6.7"/>
    <n v="746.33"/>
    <x v="0"/>
    <n v="746.33"/>
    <s v="01-2019"/>
  </r>
  <r>
    <n v="11650"/>
    <x v="266"/>
    <s v="Not Specified"/>
    <x v="11"/>
    <x v="6"/>
    <x v="6"/>
    <n v="1166.73"/>
    <x v="0"/>
    <n v="0"/>
    <n v="1166.73"/>
    <n v="9.6"/>
    <n v="1166.73"/>
    <x v="0"/>
    <n v="1166.73"/>
    <s v="09-2019"/>
  </r>
  <r>
    <n v="384"/>
    <x v="251"/>
    <s v="Low"/>
    <x v="3"/>
    <x v="2"/>
    <x v="2"/>
    <n v="8202.6628000000001"/>
    <x v="1"/>
    <n v="82.026628000000002"/>
    <n v="8120.6361720000004"/>
    <n v="85.8"/>
    <n v="8116.8627999999999"/>
    <x v="2"/>
    <n v="8116.8627999999999"/>
    <s v="03-2019"/>
  </r>
  <r>
    <n v="19332"/>
    <x v="224"/>
    <s v="High"/>
    <x v="27"/>
    <x v="2"/>
    <x v="2"/>
    <n v="8824.14"/>
    <x v="1"/>
    <n v="88.241399999999999"/>
    <n v="8735.8985999999986"/>
    <n v="31.3"/>
    <n v="8792.84"/>
    <x v="2"/>
    <n v="8735.8985999999986"/>
    <s v="02-2019"/>
  </r>
  <r>
    <n v="41760"/>
    <x v="297"/>
    <s v="Low"/>
    <x v="28"/>
    <x v="5"/>
    <x v="5"/>
    <n v="3458.38"/>
    <x v="1"/>
    <n v="34.583800000000004"/>
    <n v="3423.7962000000002"/>
    <n v="9.6"/>
    <n v="3448.78"/>
    <x v="0"/>
    <n v="3423.7962000000002"/>
    <s v="01-2019"/>
  </r>
  <r>
    <n v="9350"/>
    <x v="259"/>
    <s v="Critical"/>
    <x v="33"/>
    <x v="3"/>
    <x v="3"/>
    <n v="361.23"/>
    <x v="0"/>
    <n v="0"/>
    <n v="361.23"/>
    <n v="21.4"/>
    <n v="361.23"/>
    <x v="0"/>
    <n v="361.23"/>
    <s v="10-2019"/>
  </r>
  <r>
    <n v="33445"/>
    <x v="176"/>
    <s v="Low"/>
    <x v="36"/>
    <x v="8"/>
    <x v="8"/>
    <n v="3191.28"/>
    <x v="0"/>
    <n v="0"/>
    <n v="3191.28"/>
    <n v="73.8"/>
    <n v="3191.28"/>
    <x v="0"/>
    <n v="3191.28"/>
    <s v="08-2019"/>
  </r>
  <r>
    <n v="43109"/>
    <x v="182"/>
    <s v="Critical"/>
    <x v="31"/>
    <x v="4"/>
    <x v="4"/>
    <n v="545.18640000000005"/>
    <x v="0"/>
    <n v="0"/>
    <n v="545.18640000000005"/>
    <n v="7"/>
    <n v="545.18640000000005"/>
    <x v="0"/>
    <n v="545.18640000000005"/>
    <s v="12-2019"/>
  </r>
  <r>
    <n v="30401"/>
    <x v="93"/>
    <s v="Medium"/>
    <x v="41"/>
    <x v="5"/>
    <x v="5"/>
    <n v="256.16000000000003"/>
    <x v="1"/>
    <n v="2.5616000000000003"/>
    <n v="253.59840000000003"/>
    <n v="5.5"/>
    <n v="250.66000000000003"/>
    <x v="0"/>
    <n v="250.66000000000003"/>
    <s v="10-2019"/>
  </r>
  <r>
    <n v="20003"/>
    <x v="32"/>
    <s v="Medium"/>
    <x v="41"/>
    <x v="5"/>
    <x v="5"/>
    <n v="851.80560000000003"/>
    <x v="1"/>
    <n v="8.5180559999999996"/>
    <n v="843.28754400000003"/>
    <n v="4.3"/>
    <n v="847.50560000000007"/>
    <x v="0"/>
    <n v="843.28754400000003"/>
    <s v="01-2019"/>
  </r>
  <r>
    <n v="19361"/>
    <x v="26"/>
    <s v="Low"/>
    <x v="5"/>
    <x v="4"/>
    <x v="4"/>
    <n v="573.05999999999995"/>
    <x v="0"/>
    <n v="0"/>
    <n v="573.05999999999995"/>
    <n v="9.6"/>
    <n v="573.05999999999995"/>
    <x v="0"/>
    <n v="573.05999999999995"/>
    <s v="09-2019"/>
  </r>
  <r>
    <n v="31173"/>
    <x v="244"/>
    <s v="Low"/>
    <x v="10"/>
    <x v="4"/>
    <x v="4"/>
    <n v="181.21"/>
    <x v="0"/>
    <n v="0"/>
    <n v="181.21"/>
    <n v="5.4"/>
    <n v="181.21"/>
    <x v="1"/>
    <n v="181.21"/>
    <s v="08-2019"/>
  </r>
  <r>
    <n v="46243"/>
    <x v="247"/>
    <s v="Low"/>
    <x v="7"/>
    <x v="0"/>
    <x v="0"/>
    <n v="657.35"/>
    <x v="0"/>
    <n v="0"/>
    <n v="657.35"/>
    <n v="9.6999999999999993"/>
    <n v="657.35"/>
    <x v="1"/>
    <n v="657.35"/>
    <s v="01-2019"/>
  </r>
  <r>
    <n v="58278"/>
    <x v="53"/>
    <s v="High"/>
    <x v="39"/>
    <x v="3"/>
    <x v="3"/>
    <n v="301.25"/>
    <x v="0"/>
    <n v="0"/>
    <n v="301.25"/>
    <n v="1.1000000000000001"/>
    <n v="301.25"/>
    <x v="0"/>
    <n v="301.25"/>
    <s v="09-2019"/>
  </r>
  <r>
    <n v="2500"/>
    <x v="50"/>
    <s v="High"/>
    <x v="18"/>
    <x v="3"/>
    <x v="3"/>
    <n v="24.14"/>
    <x v="0"/>
    <n v="0"/>
    <n v="24.14"/>
    <n v="6.7"/>
    <n v="24.14"/>
    <x v="0"/>
    <n v="24.14"/>
    <s v="08-2019"/>
  </r>
  <r>
    <n v="4741"/>
    <x v="311"/>
    <s v="Not Specified"/>
    <x v="28"/>
    <x v="5"/>
    <x v="5"/>
    <n v="366.98"/>
    <x v="1"/>
    <n v="3.6698000000000004"/>
    <n v="363.31020000000001"/>
    <n v="9.1"/>
    <n v="357.88"/>
    <x v="0"/>
    <n v="357.88"/>
    <s v="07-2019"/>
  </r>
  <r>
    <n v="23297"/>
    <x v="60"/>
    <s v="Critical"/>
    <x v="32"/>
    <x v="8"/>
    <x v="8"/>
    <n v="533.59"/>
    <x v="0"/>
    <n v="0"/>
    <n v="533.59"/>
    <n v="5.7"/>
    <n v="533.59"/>
    <x v="0"/>
    <n v="533.59"/>
    <s v="07-2019"/>
  </r>
  <r>
    <n v="9253"/>
    <x v="32"/>
    <s v="Critical"/>
    <x v="34"/>
    <x v="5"/>
    <x v="5"/>
    <n v="1759.3154"/>
    <x v="1"/>
    <n v="17.593153999999998"/>
    <n v="1741.722246"/>
    <n v="7.2"/>
    <n v="1752.1153999999999"/>
    <x v="0"/>
    <n v="1741.722246"/>
    <s v="01-2019"/>
  </r>
  <r>
    <n v="19074"/>
    <x v="312"/>
    <s v="Critical"/>
    <x v="45"/>
    <x v="8"/>
    <x v="8"/>
    <n v="4083.75"/>
    <x v="0"/>
    <n v="0"/>
    <n v="4083.75"/>
    <n v="72.8"/>
    <n v="4083.75"/>
    <x v="2"/>
    <n v="4083.75"/>
    <s v="06-2019"/>
  </r>
  <r>
    <n v="44737"/>
    <x v="12"/>
    <s v="Medium"/>
    <x v="22"/>
    <x v="7"/>
    <x v="7"/>
    <n v="827.9"/>
    <x v="0"/>
    <n v="0"/>
    <n v="827.9"/>
    <n v="37.5"/>
    <n v="827.9"/>
    <x v="0"/>
    <n v="827.9"/>
    <s v="11-2019"/>
  </r>
  <r>
    <n v="2497"/>
    <x v="77"/>
    <s v="Critical"/>
    <x v="5"/>
    <x v="4"/>
    <x v="4"/>
    <n v="3883.16"/>
    <x v="0"/>
    <n v="0"/>
    <n v="3883.16"/>
    <n v="5.6"/>
    <n v="3883.16"/>
    <x v="0"/>
    <n v="3883.16"/>
    <s v="08-2019"/>
  </r>
  <r>
    <n v="29216"/>
    <x v="119"/>
    <s v="Critical"/>
    <x v="45"/>
    <x v="8"/>
    <x v="8"/>
    <n v="3970.81"/>
    <x v="0"/>
    <n v="0"/>
    <n v="3970.81"/>
    <n v="74.5"/>
    <n v="3970.81"/>
    <x v="2"/>
    <n v="3970.81"/>
    <s v="12-2019"/>
  </r>
  <r>
    <n v="25797"/>
    <x v="138"/>
    <s v="Not Specified"/>
    <x v="23"/>
    <x v="6"/>
    <x v="6"/>
    <n v="990.21"/>
    <x v="0"/>
    <n v="0"/>
    <n v="990.21"/>
    <n v="2.1"/>
    <n v="990.21"/>
    <x v="0"/>
    <n v="990.21"/>
    <s v="09-2019"/>
  </r>
  <r>
    <n v="59685"/>
    <x v="73"/>
    <s v="Critical"/>
    <x v="27"/>
    <x v="2"/>
    <x v="2"/>
    <n v="602.30999999999995"/>
    <x v="1"/>
    <n v="6.0230999999999995"/>
    <n v="596.28689999999995"/>
    <n v="15.4"/>
    <n v="586.91"/>
    <x v="0"/>
    <n v="586.91"/>
    <s v="12-2019"/>
  </r>
  <r>
    <n v="32966"/>
    <x v="226"/>
    <s v="Low"/>
    <x v="20"/>
    <x v="1"/>
    <x v="1"/>
    <n v="79.36"/>
    <x v="1"/>
    <n v="0.79359999999999997"/>
    <n v="78.566400000000002"/>
    <n v="1.4"/>
    <n v="77.959999999999994"/>
    <x v="0"/>
    <n v="77.959999999999994"/>
    <s v="01-2019"/>
  </r>
  <r>
    <n v="21607"/>
    <x v="108"/>
    <s v="Not Specified"/>
    <x v="45"/>
    <x v="8"/>
    <x v="8"/>
    <n v="662.22"/>
    <x v="0"/>
    <n v="0"/>
    <n v="662.22"/>
    <n v="14.9"/>
    <n v="662.22"/>
    <x v="0"/>
    <n v="662.22"/>
    <s v="03-2019"/>
  </r>
  <r>
    <n v="33606"/>
    <x v="305"/>
    <s v="High"/>
    <x v="27"/>
    <x v="2"/>
    <x v="2"/>
    <n v="438.7321"/>
    <x v="1"/>
    <n v="4.387321"/>
    <n v="434.34477900000002"/>
    <n v="9.1"/>
    <n v="429.63209999999998"/>
    <x v="0"/>
    <n v="429.63209999999998"/>
    <s v="03-2019"/>
  </r>
  <r>
    <n v="52039"/>
    <x v="176"/>
    <s v="Critical"/>
    <x v="49"/>
    <x v="2"/>
    <x v="2"/>
    <n v="2146.83"/>
    <x v="1"/>
    <n v="21.468299999999999"/>
    <n v="2125.3616999999999"/>
    <n v="2.1"/>
    <n v="2144.73"/>
    <x v="0"/>
    <n v="2125.3616999999999"/>
    <s v="08-2019"/>
  </r>
  <r>
    <n v="4099"/>
    <x v="37"/>
    <s v="Critical"/>
    <x v="39"/>
    <x v="3"/>
    <x v="3"/>
    <n v="51.21"/>
    <x v="0"/>
    <n v="0"/>
    <n v="51.21"/>
    <n v="7.8"/>
    <n v="51.21"/>
    <x v="0"/>
    <n v="51.21"/>
    <s v="08-2019"/>
  </r>
  <r>
    <n v="17507"/>
    <x v="22"/>
    <s v="Medium"/>
    <x v="40"/>
    <x v="6"/>
    <x v="6"/>
    <n v="427.74"/>
    <x v="0"/>
    <n v="0"/>
    <n v="427.74"/>
    <n v="3.7"/>
    <n v="427.74"/>
    <x v="0"/>
    <n v="427.74"/>
    <s v="06-2019"/>
  </r>
  <r>
    <n v="43488"/>
    <x v="273"/>
    <s v="Critical"/>
    <x v="13"/>
    <x v="7"/>
    <x v="7"/>
    <n v="205.91"/>
    <x v="0"/>
    <n v="0"/>
    <n v="205.91"/>
    <n v="6.9"/>
    <n v="205.91"/>
    <x v="0"/>
    <n v="205.91"/>
    <s v="06-2019"/>
  </r>
  <r>
    <n v="27780"/>
    <x v="260"/>
    <s v="Critical"/>
    <x v="38"/>
    <x v="8"/>
    <x v="8"/>
    <n v="60.36"/>
    <x v="0"/>
    <n v="0"/>
    <n v="60.36"/>
    <n v="1.1000000000000001"/>
    <n v="60.36"/>
    <x v="0"/>
    <n v="60.36"/>
    <s v="10-2019"/>
  </r>
  <r>
    <n v="5028"/>
    <x v="313"/>
    <s v="High"/>
    <x v="46"/>
    <x v="9"/>
    <x v="9"/>
    <n v="85.26"/>
    <x v="0"/>
    <n v="0"/>
    <n v="85.26"/>
    <n v="3.9"/>
    <n v="85.26"/>
    <x v="0"/>
    <n v="85.26"/>
    <s v="04-2019"/>
  </r>
  <r>
    <n v="24546"/>
    <x v="269"/>
    <s v="Critical"/>
    <x v="29"/>
    <x v="9"/>
    <x v="9"/>
    <n v="87.290599999999998"/>
    <x v="0"/>
    <n v="0"/>
    <n v="87.290599999999998"/>
    <n v="3.6"/>
    <n v="87.290599999999998"/>
    <x v="0"/>
    <n v="87.290599999999998"/>
    <s v="03-2019"/>
  </r>
  <r>
    <n v="25447"/>
    <x v="232"/>
    <s v="Not Specified"/>
    <x v="31"/>
    <x v="4"/>
    <x v="4"/>
    <n v="573.74"/>
    <x v="0"/>
    <n v="0"/>
    <n v="573.74"/>
    <n v="9.6"/>
    <n v="573.74"/>
    <x v="0"/>
    <n v="573.74"/>
    <s v="05-2019"/>
  </r>
  <r>
    <n v="41504"/>
    <x v="58"/>
    <s v="Critical"/>
    <x v="32"/>
    <x v="8"/>
    <x v="8"/>
    <n v="324.14999999999998"/>
    <x v="0"/>
    <n v="0"/>
    <n v="324.14999999999998"/>
    <n v="6.2"/>
    <n v="324.14999999999998"/>
    <x v="0"/>
    <n v="324.14999999999998"/>
    <s v="10-2019"/>
  </r>
  <r>
    <n v="59909"/>
    <x v="36"/>
    <s v="Low"/>
    <x v="27"/>
    <x v="2"/>
    <x v="2"/>
    <n v="440.37"/>
    <x v="1"/>
    <n v="4.4036999999999997"/>
    <n v="435.96629999999999"/>
    <n v="7.8"/>
    <n v="432.57"/>
    <x v="1"/>
    <n v="432.57"/>
    <s v="08-2019"/>
  </r>
  <r>
    <n v="24450"/>
    <x v="156"/>
    <s v="Critical"/>
    <x v="19"/>
    <x v="1"/>
    <x v="1"/>
    <n v="420.09"/>
    <x v="1"/>
    <n v="4.2008999999999999"/>
    <n v="415.88909999999998"/>
    <n v="7.8"/>
    <n v="412.28999999999996"/>
    <x v="1"/>
    <n v="412.28999999999996"/>
    <s v="07-2019"/>
  </r>
  <r>
    <n v="10470"/>
    <x v="201"/>
    <s v="Critical"/>
    <x v="16"/>
    <x v="0"/>
    <x v="0"/>
    <n v="264.27"/>
    <x v="0"/>
    <n v="0"/>
    <n v="264.27"/>
    <n v="5.6"/>
    <n v="264.27"/>
    <x v="0"/>
    <n v="264.27"/>
    <s v="05-2019"/>
  </r>
  <r>
    <n v="39686"/>
    <x v="153"/>
    <s v="Not Specified"/>
    <x v="33"/>
    <x v="3"/>
    <x v="3"/>
    <n v="790.52"/>
    <x v="0"/>
    <n v="0"/>
    <n v="790.52"/>
    <n v="97.4"/>
    <n v="790.52"/>
    <x v="2"/>
    <n v="790.52"/>
    <s v="06-2019"/>
  </r>
  <r>
    <n v="30499"/>
    <x v="34"/>
    <s v="High"/>
    <x v="36"/>
    <x v="8"/>
    <x v="8"/>
    <n v="98.504199999999997"/>
    <x v="0"/>
    <n v="0"/>
    <n v="98.504199999999997"/>
    <n v="2.7"/>
    <n v="98.504199999999997"/>
    <x v="0"/>
    <n v="98.504199999999997"/>
    <s v="10-2019"/>
  </r>
  <r>
    <n v="19777"/>
    <x v="102"/>
    <s v="Not Specified"/>
    <x v="33"/>
    <x v="3"/>
    <x v="3"/>
    <n v="142.2672"/>
    <x v="0"/>
    <n v="0"/>
    <n v="142.2672"/>
    <n v="11"/>
    <n v="142.2672"/>
    <x v="0"/>
    <n v="142.2672"/>
    <s v="10-2019"/>
  </r>
  <r>
    <n v="58145"/>
    <x v="215"/>
    <s v="Medium"/>
    <x v="0"/>
    <x v="0"/>
    <x v="0"/>
    <n v="217.73"/>
    <x v="0"/>
    <n v="0"/>
    <n v="217.73"/>
    <n v="1.3"/>
    <n v="217.73"/>
    <x v="1"/>
    <n v="217.73"/>
    <s v="05-2019"/>
  </r>
  <r>
    <n v="19745"/>
    <x v="314"/>
    <s v="High"/>
    <x v="31"/>
    <x v="4"/>
    <x v="4"/>
    <n v="1146.79"/>
    <x v="0"/>
    <n v="0"/>
    <n v="1146.79"/>
    <n v="5.0999999999999996"/>
    <n v="1146.79"/>
    <x v="0"/>
    <n v="1146.79"/>
    <s v="12-2019"/>
  </r>
  <r>
    <n v="30660"/>
    <x v="183"/>
    <s v="Critical"/>
    <x v="36"/>
    <x v="8"/>
    <x v="8"/>
    <n v="1055.31"/>
    <x v="0"/>
    <n v="0"/>
    <n v="1055.31"/>
    <n v="73.8"/>
    <n v="1055.31"/>
    <x v="0"/>
    <n v="1055.31"/>
    <s v="09-2019"/>
  </r>
  <r>
    <n v="23777"/>
    <x v="315"/>
    <s v="Not Specified"/>
    <x v="36"/>
    <x v="8"/>
    <x v="8"/>
    <n v="521.84"/>
    <x v="0"/>
    <n v="0"/>
    <n v="521.84"/>
    <n v="7.2"/>
    <n v="521.84"/>
    <x v="0"/>
    <n v="521.84"/>
    <s v="11-2019"/>
  </r>
  <r>
    <n v="31845"/>
    <x v="316"/>
    <s v="Low"/>
    <x v="22"/>
    <x v="7"/>
    <x v="7"/>
    <n v="122.57"/>
    <x v="0"/>
    <n v="0"/>
    <n v="122.57"/>
    <n v="2.2000000000000002"/>
    <n v="122.57"/>
    <x v="0"/>
    <n v="122.57"/>
    <s v="10-2019"/>
  </r>
  <r>
    <n v="40132"/>
    <x v="207"/>
    <s v="Low"/>
    <x v="36"/>
    <x v="8"/>
    <x v="8"/>
    <n v="371.79289999999997"/>
    <x v="0"/>
    <n v="0"/>
    <n v="371.79289999999997"/>
    <n v="16.2"/>
    <n v="371.79289999999997"/>
    <x v="0"/>
    <n v="371.79289999999997"/>
    <s v="02-2019"/>
  </r>
  <r>
    <n v="36901"/>
    <x v="100"/>
    <s v="Critical"/>
    <x v="17"/>
    <x v="6"/>
    <x v="6"/>
    <n v="215.17"/>
    <x v="0"/>
    <n v="0"/>
    <n v="215.17"/>
    <n v="6.1"/>
    <n v="215.17"/>
    <x v="0"/>
    <n v="215.17"/>
    <s v="09-2019"/>
  </r>
  <r>
    <n v="43556"/>
    <x v="148"/>
    <s v="Low"/>
    <x v="7"/>
    <x v="0"/>
    <x v="0"/>
    <n v="510.56"/>
    <x v="0"/>
    <n v="0"/>
    <n v="510.56"/>
    <n v="2.1"/>
    <n v="510.56"/>
    <x v="0"/>
    <n v="510.56"/>
    <s v="07-2019"/>
  </r>
  <r>
    <n v="40100"/>
    <x v="317"/>
    <s v="Low"/>
    <x v="12"/>
    <x v="2"/>
    <x v="2"/>
    <n v="1071.25"/>
    <x v="1"/>
    <n v="10.7125"/>
    <n v="1060.5374999999999"/>
    <n v="6.2"/>
    <n v="1065.05"/>
    <x v="0"/>
    <n v="1060.5374999999999"/>
    <s v="02-2019"/>
  </r>
  <r>
    <n v="25895"/>
    <x v="261"/>
    <s v="Medium"/>
    <x v="37"/>
    <x v="5"/>
    <x v="5"/>
    <n v="759.6"/>
    <x v="1"/>
    <n v="7.5960000000000001"/>
    <n v="752.00400000000002"/>
    <n v="13.7"/>
    <n v="745.9"/>
    <x v="0"/>
    <n v="745.9"/>
    <s v="04-2019"/>
  </r>
  <r>
    <n v="52673"/>
    <x v="158"/>
    <s v="Medium"/>
    <x v="39"/>
    <x v="3"/>
    <x v="3"/>
    <n v="28.26"/>
    <x v="0"/>
    <n v="0"/>
    <n v="28.26"/>
    <n v="6.1"/>
    <n v="28.26"/>
    <x v="0"/>
    <n v="28.26"/>
    <s v="05-2019"/>
  </r>
  <r>
    <n v="1154"/>
    <x v="55"/>
    <s v="Critical"/>
    <x v="42"/>
    <x v="4"/>
    <x v="4"/>
    <n v="123.16"/>
    <x v="0"/>
    <n v="0"/>
    <n v="123.16"/>
    <n v="0.5"/>
    <n v="123.16"/>
    <x v="0"/>
    <n v="123.16"/>
    <s v="02-2019"/>
  </r>
  <r>
    <n v="55462"/>
    <x v="278"/>
    <s v="Medium"/>
    <x v="7"/>
    <x v="0"/>
    <x v="0"/>
    <n v="1267.45"/>
    <x v="0"/>
    <n v="0"/>
    <n v="1267.45"/>
    <n v="7.6"/>
    <n v="1267.45"/>
    <x v="0"/>
    <n v="1267.45"/>
    <s v="03-2019"/>
  </r>
  <r>
    <n v="16454"/>
    <x v="169"/>
    <s v="Medium"/>
    <x v="14"/>
    <x v="7"/>
    <x v="7"/>
    <n v="101"/>
    <x v="0"/>
    <n v="0"/>
    <n v="101"/>
    <n v="6.5"/>
    <n v="101"/>
    <x v="0"/>
    <n v="101"/>
    <s v="05-2019"/>
  </r>
  <r>
    <n v="59456"/>
    <x v="33"/>
    <s v="Low"/>
    <x v="17"/>
    <x v="6"/>
    <x v="6"/>
    <n v="195.72"/>
    <x v="0"/>
    <n v="0"/>
    <n v="195.72"/>
    <n v="52.4"/>
    <n v="195.72"/>
    <x v="0"/>
    <n v="195.72"/>
    <s v="01-2019"/>
  </r>
  <r>
    <n v="11782"/>
    <x v="8"/>
    <s v="Low"/>
    <x v="27"/>
    <x v="2"/>
    <x v="2"/>
    <n v="264.51"/>
    <x v="1"/>
    <n v="2.6450999999999998"/>
    <n v="261.86489999999998"/>
    <n v="5.0999999999999996"/>
    <n v="259.40999999999997"/>
    <x v="0"/>
    <n v="259.40999999999997"/>
    <s v="07-2019"/>
  </r>
  <r>
    <n v="45127"/>
    <x v="236"/>
    <s v="Medium"/>
    <x v="46"/>
    <x v="9"/>
    <x v="9"/>
    <n v="15.140499999999999"/>
    <x v="0"/>
    <n v="0"/>
    <n v="15.140499999999999"/>
    <n v="0.7"/>
    <n v="15.140499999999999"/>
    <x v="0"/>
    <n v="15.140499999999999"/>
    <s v="12-2019"/>
  </r>
  <r>
    <n v="9409"/>
    <x v="184"/>
    <s v="Critical"/>
    <x v="14"/>
    <x v="7"/>
    <x v="7"/>
    <n v="1832.55"/>
    <x v="0"/>
    <n v="0"/>
    <n v="1832.55"/>
    <n v="4.3"/>
    <n v="1832.55"/>
    <x v="0"/>
    <n v="1832.55"/>
    <s v="05-2019"/>
  </r>
  <r>
    <n v="36132"/>
    <x v="104"/>
    <s v="Low"/>
    <x v="4"/>
    <x v="3"/>
    <x v="3"/>
    <n v="646.9"/>
    <x v="0"/>
    <n v="0"/>
    <n v="646.9"/>
    <n v="63.4"/>
    <n v="646.9"/>
    <x v="2"/>
    <n v="646.9"/>
    <s v="04-2019"/>
  </r>
  <r>
    <n v="30913"/>
    <x v="30"/>
    <s v="Medium"/>
    <x v="34"/>
    <x v="5"/>
    <x v="5"/>
    <n v="851.21"/>
    <x v="1"/>
    <n v="8.5121000000000002"/>
    <n v="842.6979"/>
    <n v="2.1"/>
    <n v="849.11"/>
    <x v="0"/>
    <n v="842.6979"/>
    <s v="09-2019"/>
  </r>
  <r>
    <n v="5767"/>
    <x v="206"/>
    <s v="High"/>
    <x v="34"/>
    <x v="5"/>
    <x v="5"/>
    <n v="174.99"/>
    <x v="1"/>
    <n v="1.7499000000000002"/>
    <n v="173.24010000000001"/>
    <n v="5.4"/>
    <n v="169.59"/>
    <x v="1"/>
    <n v="169.59"/>
    <s v="04-2019"/>
  </r>
  <r>
    <n v="36803"/>
    <x v="113"/>
    <s v="Not Specified"/>
    <x v="33"/>
    <x v="3"/>
    <x v="3"/>
    <n v="20.350000000000001"/>
    <x v="0"/>
    <n v="0"/>
    <n v="20.350000000000001"/>
    <n v="5.7"/>
    <n v="20.350000000000001"/>
    <x v="1"/>
    <n v="20.350000000000001"/>
    <s v="08-2019"/>
  </r>
  <r>
    <n v="23489"/>
    <x v="28"/>
    <s v="High"/>
    <x v="15"/>
    <x v="1"/>
    <x v="1"/>
    <n v="2144.92"/>
    <x v="1"/>
    <n v="21.449200000000001"/>
    <n v="2123.4708000000001"/>
    <n v="3.9"/>
    <n v="2141.02"/>
    <x v="1"/>
    <n v="2123.4708000000001"/>
    <s v="08-2019"/>
  </r>
  <r>
    <n v="19652"/>
    <x v="75"/>
    <s v="Critical"/>
    <x v="23"/>
    <x v="6"/>
    <x v="6"/>
    <n v="2900.92"/>
    <x v="0"/>
    <n v="0"/>
    <n v="2900.92"/>
    <n v="44.9"/>
    <n v="2900.92"/>
    <x v="2"/>
    <n v="2900.92"/>
    <s v="06-2019"/>
  </r>
  <r>
    <n v="3650"/>
    <x v="239"/>
    <s v="Not Specified"/>
    <x v="10"/>
    <x v="4"/>
    <x v="4"/>
    <n v="5572.03"/>
    <x v="0"/>
    <n v="0"/>
    <n v="5572.03"/>
    <n v="68.7"/>
    <n v="5572.03"/>
    <x v="2"/>
    <n v="5572.03"/>
    <s v="05-2019"/>
  </r>
  <r>
    <n v="23648"/>
    <x v="266"/>
    <s v="Critical"/>
    <x v="39"/>
    <x v="3"/>
    <x v="3"/>
    <n v="11.4"/>
    <x v="0"/>
    <n v="0"/>
    <n v="11.4"/>
    <n v="0.5"/>
    <n v="11.4"/>
    <x v="0"/>
    <n v="11.4"/>
    <s v="09-2019"/>
  </r>
  <r>
    <n v="4230"/>
    <x v="101"/>
    <s v="Critical"/>
    <x v="38"/>
    <x v="8"/>
    <x v="8"/>
    <n v="437.8"/>
    <x v="0"/>
    <n v="0"/>
    <n v="437.8"/>
    <n v="9.6"/>
    <n v="437.8"/>
    <x v="0"/>
    <n v="437.8"/>
    <s v="03-2019"/>
  </r>
  <r>
    <n v="13158"/>
    <x v="208"/>
    <s v="Critical"/>
    <x v="11"/>
    <x v="6"/>
    <x v="6"/>
    <n v="200.26"/>
    <x v="0"/>
    <n v="0"/>
    <n v="200.26"/>
    <n v="3.2"/>
    <n v="200.26"/>
    <x v="0"/>
    <n v="200.26"/>
    <s v="11-2019"/>
  </r>
  <r>
    <n v="8039"/>
    <x v="265"/>
    <s v="Medium"/>
    <x v="37"/>
    <x v="5"/>
    <x v="5"/>
    <n v="1283.68"/>
    <x v="1"/>
    <n v="12.8368"/>
    <n v="1270.8432"/>
    <n v="20.9"/>
    <n v="1262.78"/>
    <x v="0"/>
    <n v="1262.78"/>
    <s v="08-2019"/>
  </r>
  <r>
    <n v="7106"/>
    <x v="6"/>
    <s v="Low"/>
    <x v="30"/>
    <x v="9"/>
    <x v="9"/>
    <n v="127.31"/>
    <x v="0"/>
    <n v="0"/>
    <n v="127.31"/>
    <n v="7.8"/>
    <n v="127.31"/>
    <x v="0"/>
    <n v="127.31"/>
    <s v="05-2019"/>
  </r>
  <r>
    <n v="29218"/>
    <x v="309"/>
    <s v="Low"/>
    <x v="11"/>
    <x v="6"/>
    <x v="6"/>
    <n v="79.2"/>
    <x v="0"/>
    <n v="0"/>
    <n v="79.2"/>
    <n v="0.7"/>
    <n v="79.2"/>
    <x v="0"/>
    <n v="79.2"/>
    <s v="05-2019"/>
  </r>
  <r>
    <n v="17543"/>
    <x v="1"/>
    <s v="Critical"/>
    <x v="11"/>
    <x v="6"/>
    <x v="6"/>
    <n v="4601.67"/>
    <x v="0"/>
    <n v="0"/>
    <n v="4601.67"/>
    <n v="8.6"/>
    <n v="4601.67"/>
    <x v="0"/>
    <n v="4601.67"/>
    <s v="05-2019"/>
  </r>
  <r>
    <n v="17953"/>
    <x v="37"/>
    <s v="High"/>
    <x v="45"/>
    <x v="8"/>
    <x v="8"/>
    <n v="112.82"/>
    <x v="0"/>
    <n v="0"/>
    <n v="112.82"/>
    <n v="1.3"/>
    <n v="112.82"/>
    <x v="0"/>
    <n v="112.82"/>
    <s v="08-2019"/>
  </r>
  <r>
    <n v="3361"/>
    <x v="23"/>
    <s v="Not Specified"/>
    <x v="21"/>
    <x v="2"/>
    <x v="2"/>
    <n v="228.67"/>
    <x v="1"/>
    <n v="2.2866999999999997"/>
    <n v="226.38329999999999"/>
    <n v="7.2"/>
    <n v="221.47"/>
    <x v="0"/>
    <n v="221.47"/>
    <s v="08-2019"/>
  </r>
  <r>
    <n v="55749"/>
    <x v="202"/>
    <s v="Critical"/>
    <x v="15"/>
    <x v="1"/>
    <x v="1"/>
    <n v="390.34"/>
    <x v="1"/>
    <n v="3.9034"/>
    <n v="386.4366"/>
    <n v="1.5"/>
    <n v="388.84"/>
    <x v="0"/>
    <n v="386.4366"/>
    <s v="05-2019"/>
  </r>
  <r>
    <n v="56291"/>
    <x v="283"/>
    <s v="Not Specified"/>
    <x v="6"/>
    <x v="4"/>
    <x v="4"/>
    <n v="11794.11"/>
    <x v="0"/>
    <n v="0"/>
    <n v="11794.11"/>
    <n v="17.8"/>
    <n v="11794.11"/>
    <x v="2"/>
    <n v="11794.11"/>
    <s v="09-2019"/>
  </r>
  <r>
    <n v="24450"/>
    <x v="156"/>
    <s v="Critical"/>
    <x v="37"/>
    <x v="5"/>
    <x v="5"/>
    <n v="474.38"/>
    <x v="1"/>
    <n v="4.7438000000000002"/>
    <n v="469.63619999999997"/>
    <n v="5.3"/>
    <n v="469.08"/>
    <x v="0"/>
    <n v="469.08"/>
    <s v="07-2019"/>
  </r>
  <r>
    <n v="868"/>
    <x v="153"/>
    <s v="Not Specified"/>
    <x v="7"/>
    <x v="0"/>
    <x v="0"/>
    <n v="1577.5331000000001"/>
    <x v="0"/>
    <n v="0"/>
    <n v="1577.5331000000001"/>
    <n v="3.9"/>
    <n v="1577.5331000000001"/>
    <x v="0"/>
    <n v="1577.5331000000001"/>
    <s v="06-2019"/>
  </r>
  <r>
    <n v="134"/>
    <x v="318"/>
    <s v="Not Specified"/>
    <x v="22"/>
    <x v="7"/>
    <x v="7"/>
    <n v="1211.8800000000001"/>
    <x v="0"/>
    <n v="0"/>
    <n v="1211.8800000000001"/>
    <n v="37.5"/>
    <n v="1211.8800000000001"/>
    <x v="0"/>
    <n v="1211.8800000000001"/>
    <s v="04-2019"/>
  </r>
  <r>
    <n v="38912"/>
    <x v="58"/>
    <s v="Low"/>
    <x v="11"/>
    <x v="6"/>
    <x v="6"/>
    <n v="1621.01"/>
    <x v="0"/>
    <n v="0"/>
    <n v="1621.01"/>
    <n v="5.3"/>
    <n v="1621.01"/>
    <x v="0"/>
    <n v="1621.01"/>
    <s v="10-2019"/>
  </r>
  <r>
    <n v="48993"/>
    <x v="189"/>
    <s v="Low"/>
    <x v="45"/>
    <x v="8"/>
    <x v="8"/>
    <n v="130.99"/>
    <x v="0"/>
    <n v="0"/>
    <n v="130.99"/>
    <n v="6.7"/>
    <n v="130.99"/>
    <x v="1"/>
    <n v="130.99"/>
    <s v="05-2019"/>
  </r>
  <r>
    <n v="9347"/>
    <x v="137"/>
    <s v="Low"/>
    <x v="7"/>
    <x v="0"/>
    <x v="0"/>
    <n v="140.38"/>
    <x v="0"/>
    <n v="0"/>
    <n v="140.38"/>
    <n v="5.5"/>
    <n v="140.38"/>
    <x v="0"/>
    <n v="140.38"/>
    <s v="08-2019"/>
  </r>
  <r>
    <n v="42887"/>
    <x v="74"/>
    <s v="Medium"/>
    <x v="4"/>
    <x v="3"/>
    <x v="3"/>
    <n v="38.18"/>
    <x v="0"/>
    <n v="0"/>
    <n v="38.18"/>
    <n v="6.2"/>
    <n v="38.18"/>
    <x v="0"/>
    <n v="38.18"/>
    <s v="06-2019"/>
  </r>
  <r>
    <n v="32642"/>
    <x v="92"/>
    <s v="Medium"/>
    <x v="3"/>
    <x v="2"/>
    <x v="2"/>
    <n v="1612.66"/>
    <x v="1"/>
    <n v="16.1266"/>
    <n v="1596.5334"/>
    <n v="2.1"/>
    <n v="1610.5600000000002"/>
    <x v="0"/>
    <n v="1596.5334"/>
    <s v="03-2019"/>
  </r>
  <r>
    <n v="57574"/>
    <x v="319"/>
    <s v="Critical"/>
    <x v="32"/>
    <x v="8"/>
    <x v="8"/>
    <n v="499.01"/>
    <x v="0"/>
    <n v="0"/>
    <n v="499.01"/>
    <n v="16.8"/>
    <n v="499.01"/>
    <x v="2"/>
    <n v="499.01"/>
    <s v="07-2019"/>
  </r>
  <r>
    <n v="9952"/>
    <x v="320"/>
    <s v="High"/>
    <x v="12"/>
    <x v="2"/>
    <x v="2"/>
    <n v="8443.25"/>
    <x v="1"/>
    <n v="84.432500000000005"/>
    <n v="8358.8174999999992"/>
    <n v="37.5"/>
    <n v="8405.75"/>
    <x v="1"/>
    <n v="8358.8174999999992"/>
    <s v="05-2019"/>
  </r>
  <r>
    <n v="2848"/>
    <x v="263"/>
    <s v="Critical"/>
    <x v="30"/>
    <x v="9"/>
    <x v="9"/>
    <n v="924.03"/>
    <x v="0"/>
    <n v="0"/>
    <n v="924.03"/>
    <n v="9.6"/>
    <n v="924.03"/>
    <x v="0"/>
    <n v="924.03"/>
    <s v="03-2019"/>
  </r>
  <r>
    <n v="59015"/>
    <x v="155"/>
    <s v="Medium"/>
    <x v="25"/>
    <x v="0"/>
    <x v="0"/>
    <n v="272.27"/>
    <x v="0"/>
    <n v="0"/>
    <n v="272.27"/>
    <n v="2.1"/>
    <n v="272.27"/>
    <x v="0"/>
    <n v="272.27"/>
    <s v="05-2019"/>
  </r>
  <r>
    <n v="16359"/>
    <x v="63"/>
    <s v="Critical"/>
    <x v="30"/>
    <x v="9"/>
    <x v="9"/>
    <n v="37.749600000000001"/>
    <x v="0"/>
    <n v="0"/>
    <n v="37.749600000000001"/>
    <n v="8"/>
    <n v="37.749600000000001"/>
    <x v="0"/>
    <n v="37.749600000000001"/>
    <s v="05-2019"/>
  </r>
  <r>
    <n v="56224"/>
    <x v="106"/>
    <s v="Medium"/>
    <x v="27"/>
    <x v="2"/>
    <x v="2"/>
    <n v="363.02"/>
    <x v="1"/>
    <n v="3.6301999999999999"/>
    <n v="359.38979999999998"/>
    <n v="3"/>
    <n v="360.02"/>
    <x v="0"/>
    <n v="359.38979999999998"/>
    <s v="10-2019"/>
  </r>
  <r>
    <n v="59781"/>
    <x v="268"/>
    <s v="Not Specified"/>
    <x v="10"/>
    <x v="4"/>
    <x v="4"/>
    <n v="4716.8500000000004"/>
    <x v="0"/>
    <n v="0"/>
    <n v="4716.8500000000004"/>
    <n v="32.1"/>
    <n v="4716.8500000000004"/>
    <x v="2"/>
    <n v="4716.8500000000004"/>
    <s v="12-2019"/>
  </r>
  <r>
    <n v="43043"/>
    <x v="9"/>
    <s v="Critical"/>
    <x v="39"/>
    <x v="3"/>
    <x v="3"/>
    <n v="967.41"/>
    <x v="0"/>
    <n v="0"/>
    <n v="967.41"/>
    <n v="12.6"/>
    <n v="967.41"/>
    <x v="0"/>
    <n v="967.41"/>
    <s v="04-2019"/>
  </r>
  <r>
    <n v="6016"/>
    <x v="310"/>
    <s v="High"/>
    <x v="24"/>
    <x v="8"/>
    <x v="8"/>
    <n v="222.8596"/>
    <x v="0"/>
    <n v="0"/>
    <n v="222.8596"/>
    <n v="5.8"/>
    <n v="222.8596"/>
    <x v="0"/>
    <n v="222.8596"/>
    <s v="01-2019"/>
  </r>
  <r>
    <n v="54020"/>
    <x v="257"/>
    <s v="Low"/>
    <x v="20"/>
    <x v="1"/>
    <x v="1"/>
    <n v="289.5"/>
    <x v="1"/>
    <n v="2.895"/>
    <n v="286.60500000000002"/>
    <n v="7.3"/>
    <n v="282.2"/>
    <x v="0"/>
    <n v="282.2"/>
    <s v="01-2019"/>
  </r>
  <r>
    <n v="57025"/>
    <x v="127"/>
    <s v="Medium"/>
    <x v="30"/>
    <x v="9"/>
    <x v="9"/>
    <n v="76.08"/>
    <x v="0"/>
    <n v="0"/>
    <n v="76.08"/>
    <n v="3.2"/>
    <n v="76.08"/>
    <x v="0"/>
    <n v="76.08"/>
    <s v="06-2019"/>
  </r>
  <r>
    <n v="7107"/>
    <x v="39"/>
    <s v="Not Specified"/>
    <x v="25"/>
    <x v="0"/>
    <x v="0"/>
    <n v="1845.56"/>
    <x v="0"/>
    <n v="0"/>
    <n v="1845.56"/>
    <n v="5.4"/>
    <n v="1845.56"/>
    <x v="0"/>
    <n v="1845.56"/>
    <s v="01-2019"/>
  </r>
  <r>
    <n v="7488"/>
    <x v="202"/>
    <s v="Critical"/>
    <x v="35"/>
    <x v="9"/>
    <x v="9"/>
    <n v="27.92"/>
    <x v="0"/>
    <n v="0"/>
    <n v="27.92"/>
    <n v="1"/>
    <n v="27.92"/>
    <x v="0"/>
    <n v="27.92"/>
    <s v="05-2019"/>
  </r>
  <r>
    <n v="40357"/>
    <x v="167"/>
    <s v="Not Specified"/>
    <x v="39"/>
    <x v="3"/>
    <x v="3"/>
    <n v="257.32"/>
    <x v="0"/>
    <n v="0"/>
    <n v="257.32"/>
    <n v="14.1"/>
    <n v="257.32"/>
    <x v="0"/>
    <n v="257.32"/>
    <s v="07-2019"/>
  </r>
  <r>
    <n v="11969"/>
    <x v="81"/>
    <s v="Not Specified"/>
    <x v="35"/>
    <x v="9"/>
    <x v="9"/>
    <n v="1778.39"/>
    <x v="0"/>
    <n v="0"/>
    <n v="1778.39"/>
    <n v="117.9"/>
    <n v="1778.39"/>
    <x v="2"/>
    <n v="1778.39"/>
    <s v="01-2019"/>
  </r>
  <r>
    <n v="16134"/>
    <x v="12"/>
    <s v="High"/>
    <x v="20"/>
    <x v="1"/>
    <x v="1"/>
    <n v="23455.77"/>
    <x v="1"/>
    <n v="234.55770000000001"/>
    <n v="23221.212299999999"/>
    <n v="30.1"/>
    <n v="23425.670000000002"/>
    <x v="2"/>
    <n v="23221.212299999999"/>
    <s v="11-2019"/>
  </r>
  <r>
    <n v="28835"/>
    <x v="321"/>
    <s v="Not Specified"/>
    <x v="43"/>
    <x v="3"/>
    <x v="3"/>
    <n v="197.07"/>
    <x v="0"/>
    <n v="0"/>
    <n v="197.07"/>
    <n v="21.4"/>
    <n v="197.07"/>
    <x v="0"/>
    <n v="197.07"/>
    <s v="03-2019"/>
  </r>
  <r>
    <n v="30208"/>
    <x v="47"/>
    <s v="Low"/>
    <x v="27"/>
    <x v="2"/>
    <x v="2"/>
    <n v="1874.74"/>
    <x v="1"/>
    <n v="18.747399999999999"/>
    <n v="1855.9926"/>
    <n v="5.3"/>
    <n v="1869.44"/>
    <x v="0"/>
    <n v="1855.9926"/>
    <s v="07-2019"/>
  </r>
  <r>
    <n v="31744"/>
    <x v="87"/>
    <s v="Medium"/>
    <x v="14"/>
    <x v="7"/>
    <x v="7"/>
    <n v="92.76"/>
    <x v="0"/>
    <n v="0"/>
    <n v="92.76"/>
    <n v="7.9"/>
    <n v="92.76"/>
    <x v="0"/>
    <n v="92.76"/>
    <s v="09-2019"/>
  </r>
  <r>
    <n v="16164"/>
    <x v="282"/>
    <s v="Low"/>
    <x v="11"/>
    <x v="6"/>
    <x v="6"/>
    <n v="2518.94"/>
    <x v="0"/>
    <n v="0"/>
    <n v="2518.94"/>
    <n v="15"/>
    <n v="2518.94"/>
    <x v="2"/>
    <n v="2518.94"/>
    <s v="01-2019"/>
  </r>
  <r>
    <n v="53667"/>
    <x v="141"/>
    <s v="Medium"/>
    <x v="0"/>
    <x v="0"/>
    <x v="0"/>
    <n v="120.23"/>
    <x v="0"/>
    <n v="0"/>
    <n v="120.23"/>
    <n v="6.7"/>
    <n v="120.23"/>
    <x v="0"/>
    <n v="120.23"/>
    <s v="05-2019"/>
  </r>
  <r>
    <n v="43045"/>
    <x v="15"/>
    <s v="Medium"/>
    <x v="14"/>
    <x v="7"/>
    <x v="7"/>
    <n v="447.73"/>
    <x v="0"/>
    <n v="0"/>
    <n v="447.73"/>
    <n v="48.7"/>
    <n v="447.73"/>
    <x v="2"/>
    <n v="447.73"/>
    <s v="06-2019"/>
  </r>
  <r>
    <n v="24448"/>
    <x v="253"/>
    <s v="High"/>
    <x v="27"/>
    <x v="2"/>
    <x v="2"/>
    <n v="11808.69"/>
    <x v="1"/>
    <n v="118.08690000000001"/>
    <n v="11690.6031"/>
    <n v="63.4"/>
    <n v="11745.29"/>
    <x v="2"/>
    <n v="11690.6031"/>
    <s v="02-2019"/>
  </r>
  <r>
    <n v="13345"/>
    <x v="42"/>
    <s v="Not Specified"/>
    <x v="10"/>
    <x v="4"/>
    <x v="4"/>
    <n v="125"/>
    <x v="0"/>
    <n v="0"/>
    <n v="125"/>
    <n v="2.6"/>
    <n v="125"/>
    <x v="0"/>
    <n v="125"/>
    <s v="09-2019"/>
  </r>
  <r>
    <n v="51267"/>
    <x v="202"/>
    <s v="Low"/>
    <x v="27"/>
    <x v="2"/>
    <x v="2"/>
    <n v="4702.41"/>
    <x v="1"/>
    <n v="47.024099999999997"/>
    <n v="4655.3859000000002"/>
    <n v="38.299999999999997"/>
    <n v="4664.1099999999997"/>
    <x v="2"/>
    <n v="4655.3859000000002"/>
    <s v="05-2019"/>
  </r>
  <r>
    <n v="26272"/>
    <x v="286"/>
    <s v="Low"/>
    <x v="44"/>
    <x v="9"/>
    <x v="9"/>
    <n v="969.36"/>
    <x v="0"/>
    <n v="0"/>
    <n v="969.36"/>
    <n v="26.2"/>
    <n v="969.36"/>
    <x v="1"/>
    <n v="969.36"/>
    <s v="06-2019"/>
  </r>
  <r>
    <n v="13284"/>
    <x v="83"/>
    <s v="High"/>
    <x v="6"/>
    <x v="4"/>
    <x v="4"/>
    <n v="9696.81"/>
    <x v="0"/>
    <n v="0"/>
    <n v="9696.81"/>
    <n v="21.4"/>
    <n v="9696.81"/>
    <x v="0"/>
    <n v="9696.81"/>
    <s v="08-2019"/>
  </r>
  <r>
    <n v="23745"/>
    <x v="249"/>
    <s v="Low"/>
    <x v="12"/>
    <x v="2"/>
    <x v="2"/>
    <n v="11707.12"/>
    <x v="1"/>
    <n v="117.0712"/>
    <n v="11590.0488"/>
    <n v="34.799999999999997"/>
    <n v="11672.320000000002"/>
    <x v="2"/>
    <n v="11590.0488"/>
    <s v="12-2019"/>
  </r>
  <r>
    <n v="26979"/>
    <x v="29"/>
    <s v="Medium"/>
    <x v="20"/>
    <x v="1"/>
    <x v="1"/>
    <n v="360.6"/>
    <x v="1"/>
    <n v="3.6060000000000003"/>
    <n v="356.99400000000003"/>
    <n v="1.3"/>
    <n v="359.3"/>
    <x v="0"/>
    <n v="356.99400000000003"/>
    <s v="03-2019"/>
  </r>
  <r>
    <n v="55938"/>
    <x v="60"/>
    <s v="Not Specified"/>
    <x v="15"/>
    <x v="1"/>
    <x v="1"/>
    <n v="858.63"/>
    <x v="1"/>
    <n v="8.5862999999999996"/>
    <n v="850.04369999999994"/>
    <n v="6.4"/>
    <n v="852.23"/>
    <x v="1"/>
    <n v="850.04369999999994"/>
    <s v="07-2019"/>
  </r>
  <r>
    <n v="33670"/>
    <x v="3"/>
    <s v="High"/>
    <x v="39"/>
    <x v="3"/>
    <x v="3"/>
    <n v="18.54"/>
    <x v="0"/>
    <n v="0"/>
    <n v="18.54"/>
    <n v="5.4"/>
    <n v="18.54"/>
    <x v="0"/>
    <n v="18.54"/>
    <s v="04-2019"/>
  </r>
  <r>
    <n v="18113"/>
    <x v="28"/>
    <s v="Not Specified"/>
    <x v="40"/>
    <x v="6"/>
    <x v="6"/>
    <n v="3548.21"/>
    <x v="0"/>
    <n v="0"/>
    <n v="3548.21"/>
    <n v="32.1"/>
    <n v="3548.21"/>
    <x v="2"/>
    <n v="3548.21"/>
    <s v="08-2019"/>
  </r>
  <r>
    <n v="9509"/>
    <x v="112"/>
    <s v="Not Specified"/>
    <x v="18"/>
    <x v="3"/>
    <x v="3"/>
    <n v="108.29"/>
    <x v="0"/>
    <n v="0"/>
    <n v="108.29"/>
    <n v="5.6"/>
    <n v="108.29"/>
    <x v="1"/>
    <n v="108.29"/>
    <s v="10-2019"/>
  </r>
  <r>
    <n v="10053"/>
    <x v="154"/>
    <s v="High"/>
    <x v="7"/>
    <x v="0"/>
    <x v="0"/>
    <n v="173.96"/>
    <x v="0"/>
    <n v="0"/>
    <n v="173.96"/>
    <n v="5.3"/>
    <n v="173.96"/>
    <x v="0"/>
    <n v="173.96"/>
    <s v="01-2019"/>
  </r>
  <r>
    <n v="41760"/>
    <x v="297"/>
    <s v="Low"/>
    <x v="29"/>
    <x v="9"/>
    <x v="9"/>
    <n v="733.72"/>
    <x v="0"/>
    <n v="0"/>
    <n v="733.72"/>
    <n v="2.7"/>
    <n v="733.72"/>
    <x v="0"/>
    <n v="733.72"/>
    <s v="01-2019"/>
  </r>
  <r>
    <n v="56548"/>
    <x v="183"/>
    <s v="Medium"/>
    <x v="29"/>
    <x v="9"/>
    <x v="9"/>
    <n v="1432.76"/>
    <x v="0"/>
    <n v="0"/>
    <n v="1432.76"/>
    <n v="74.5"/>
    <n v="1432.76"/>
    <x v="2"/>
    <n v="1432.76"/>
    <s v="09-2019"/>
  </r>
  <r>
    <n v="46055"/>
    <x v="75"/>
    <s v="Medium"/>
    <x v="31"/>
    <x v="4"/>
    <x v="4"/>
    <n v="1381.5840000000001"/>
    <x v="0"/>
    <n v="0"/>
    <n v="1381.5840000000001"/>
    <n v="7"/>
    <n v="1381.5840000000001"/>
    <x v="0"/>
    <n v="1381.5840000000001"/>
    <s v="06-2019"/>
  </r>
  <r>
    <n v="43815"/>
    <x v="296"/>
    <s v="Not Specified"/>
    <x v="9"/>
    <x v="1"/>
    <x v="1"/>
    <n v="3828.26"/>
    <x v="1"/>
    <n v="38.282600000000002"/>
    <n v="3789.9774000000002"/>
    <n v="37.5"/>
    <n v="3790.76"/>
    <x v="0"/>
    <n v="3789.9774000000002"/>
    <s v="06-2019"/>
  </r>
  <r>
    <n v="2054"/>
    <x v="51"/>
    <s v="Not Specified"/>
    <x v="43"/>
    <x v="3"/>
    <x v="3"/>
    <n v="367.84"/>
    <x v="0"/>
    <n v="0"/>
    <n v="367.84"/>
    <n v="21.4"/>
    <n v="367.84"/>
    <x v="0"/>
    <n v="367.84"/>
    <s v="06-2019"/>
  </r>
  <r>
    <n v="50950"/>
    <x v="236"/>
    <s v="Not Specified"/>
    <x v="16"/>
    <x v="0"/>
    <x v="0"/>
    <n v="479.46699999999998"/>
    <x v="0"/>
    <n v="0"/>
    <n v="479.46699999999998"/>
    <n v="4.8"/>
    <n v="479.46699999999998"/>
    <x v="1"/>
    <n v="479.46699999999998"/>
    <s v="12-2019"/>
  </r>
  <r>
    <n v="22434"/>
    <x v="298"/>
    <s v="Critical"/>
    <x v="41"/>
    <x v="5"/>
    <x v="5"/>
    <n v="150.59"/>
    <x v="1"/>
    <n v="1.5059"/>
    <n v="149.08410000000001"/>
    <n v="4.2"/>
    <n v="146.39000000000001"/>
    <x v="0"/>
    <n v="146.39000000000001"/>
    <s v="08-2019"/>
  </r>
  <r>
    <n v="54177"/>
    <x v="322"/>
    <s v="Critical"/>
    <x v="14"/>
    <x v="7"/>
    <x v="7"/>
    <n v="514.38"/>
    <x v="0"/>
    <n v="0"/>
    <n v="514.38"/>
    <n v="3.2"/>
    <n v="514.38"/>
    <x v="0"/>
    <n v="514.38"/>
    <s v="01-2019"/>
  </r>
  <r>
    <n v="29607"/>
    <x v="276"/>
    <s v="Medium"/>
    <x v="32"/>
    <x v="8"/>
    <x v="8"/>
    <n v="257.58999999999997"/>
    <x v="0"/>
    <n v="0"/>
    <n v="257.58999999999997"/>
    <n v="5.4"/>
    <n v="257.58999999999997"/>
    <x v="0"/>
    <n v="257.58999999999997"/>
    <s v="03-2019"/>
  </r>
  <r>
    <n v="12352"/>
    <x v="129"/>
    <s v="Medium"/>
    <x v="18"/>
    <x v="3"/>
    <x v="3"/>
    <n v="39.44"/>
    <x v="0"/>
    <n v="0"/>
    <n v="39.44"/>
    <n v="9.1"/>
    <n v="39.44"/>
    <x v="0"/>
    <n v="39.44"/>
    <s v="03-2019"/>
  </r>
  <r>
    <n v="4230"/>
    <x v="101"/>
    <s v="Critical"/>
    <x v="27"/>
    <x v="2"/>
    <x v="2"/>
    <n v="2683.9"/>
    <x v="1"/>
    <n v="26.839000000000002"/>
    <n v="2657.0610000000001"/>
    <n v="9.6"/>
    <n v="2674.3"/>
    <x v="1"/>
    <n v="2657.0610000000001"/>
    <s v="03-2019"/>
  </r>
  <r>
    <n v="31106"/>
    <x v="10"/>
    <s v="Low"/>
    <x v="29"/>
    <x v="9"/>
    <x v="9"/>
    <n v="200.44"/>
    <x v="0"/>
    <n v="0"/>
    <n v="200.44"/>
    <n v="10.6"/>
    <n v="200.44"/>
    <x v="0"/>
    <n v="200.44"/>
    <s v="02-2019"/>
  </r>
  <r>
    <n v="44000"/>
    <x v="103"/>
    <s v="Not Specified"/>
    <x v="47"/>
    <x v="7"/>
    <x v="7"/>
    <n v="538"/>
    <x v="0"/>
    <n v="0"/>
    <n v="538"/>
    <n v="20.9"/>
    <n v="538"/>
    <x v="0"/>
    <n v="538"/>
    <s v="10-2019"/>
  </r>
  <r>
    <n v="37315"/>
    <x v="301"/>
    <s v="Low"/>
    <x v="20"/>
    <x v="1"/>
    <x v="1"/>
    <n v="182.77"/>
    <x v="1"/>
    <n v="1.8277000000000001"/>
    <n v="180.94230000000002"/>
    <n v="5.5"/>
    <n v="177.27"/>
    <x v="0"/>
    <n v="177.27"/>
    <s v="06-2019"/>
  </r>
  <r>
    <n v="16036"/>
    <x v="38"/>
    <s v="Medium"/>
    <x v="23"/>
    <x v="6"/>
    <x v="6"/>
    <n v="181.06540000000001"/>
    <x v="0"/>
    <n v="0"/>
    <n v="181.06540000000001"/>
    <n v="9.1"/>
    <n v="181.06540000000001"/>
    <x v="0"/>
    <n v="181.06540000000001"/>
    <s v="01-2019"/>
  </r>
  <r>
    <n v="53445"/>
    <x v="188"/>
    <s v="High"/>
    <x v="30"/>
    <x v="9"/>
    <x v="9"/>
    <n v="113.3665"/>
    <x v="0"/>
    <n v="0"/>
    <n v="113.3665"/>
    <n v="9.6"/>
    <n v="113.3665"/>
    <x v="0"/>
    <n v="113.3665"/>
    <s v="10-2019"/>
  </r>
  <r>
    <n v="8167"/>
    <x v="113"/>
    <s v="Critical"/>
    <x v="49"/>
    <x v="2"/>
    <x v="2"/>
    <n v="1550.75"/>
    <x v="1"/>
    <n v="15.5075"/>
    <n v="1535.2425000000001"/>
    <n v="1.3"/>
    <n v="1549.45"/>
    <x v="0"/>
    <n v="1535.2425000000001"/>
    <s v="08-2019"/>
  </r>
  <r>
    <n v="10439"/>
    <x v="29"/>
    <s v="Not Specified"/>
    <x v="27"/>
    <x v="2"/>
    <x v="2"/>
    <n v="240.89"/>
    <x v="1"/>
    <n v="2.4089"/>
    <n v="238.4811"/>
    <n v="7.7"/>
    <n v="233.19"/>
    <x v="1"/>
    <n v="233.19"/>
    <s v="03-2019"/>
  </r>
  <r>
    <n v="26310"/>
    <x v="76"/>
    <s v="Not Specified"/>
    <x v="24"/>
    <x v="8"/>
    <x v="8"/>
    <n v="120.56"/>
    <x v="0"/>
    <n v="0"/>
    <n v="120.56"/>
    <n v="5.5"/>
    <n v="120.56"/>
    <x v="0"/>
    <n v="120.56"/>
    <s v="07-2019"/>
  </r>
  <r>
    <n v="33414"/>
    <x v="52"/>
    <s v="Not Specified"/>
    <x v="35"/>
    <x v="9"/>
    <x v="9"/>
    <n v="39.83"/>
    <x v="0"/>
    <n v="0"/>
    <n v="39.83"/>
    <n v="1.3"/>
    <n v="39.83"/>
    <x v="0"/>
    <n v="39.83"/>
    <s v="02-2019"/>
  </r>
  <r>
    <n v="30786"/>
    <x v="47"/>
    <s v="Medium"/>
    <x v="42"/>
    <x v="4"/>
    <x v="4"/>
    <n v="70.523700000000005"/>
    <x v="0"/>
    <n v="0"/>
    <n v="70.523700000000005"/>
    <n v="1.4"/>
    <n v="70.523700000000005"/>
    <x v="0"/>
    <n v="70.523700000000005"/>
    <s v="07-2019"/>
  </r>
  <r>
    <n v="46048"/>
    <x v="144"/>
    <s v="Medium"/>
    <x v="46"/>
    <x v="9"/>
    <x v="9"/>
    <n v="145.27000000000001"/>
    <x v="0"/>
    <n v="0"/>
    <n v="145.27000000000001"/>
    <n v="3.4"/>
    <n v="145.27000000000001"/>
    <x v="1"/>
    <n v="145.27000000000001"/>
    <s v="12-2019"/>
  </r>
  <r>
    <n v="46979"/>
    <x v="47"/>
    <s v="Low"/>
    <x v="17"/>
    <x v="6"/>
    <x v="6"/>
    <n v="9328.75"/>
    <x v="0"/>
    <n v="0"/>
    <n v="9328.75"/>
    <n v="28.4"/>
    <n v="9328.75"/>
    <x v="2"/>
    <n v="9328.75"/>
    <s v="07-2019"/>
  </r>
  <r>
    <n v="29216"/>
    <x v="119"/>
    <s v="Critical"/>
    <x v="27"/>
    <x v="2"/>
    <x v="2"/>
    <n v="2072"/>
    <x v="1"/>
    <n v="20.72"/>
    <n v="2051.2800000000002"/>
    <n v="4.3"/>
    <n v="2067.6999999999998"/>
    <x v="0"/>
    <n v="2051.2800000000002"/>
    <s v="12-2019"/>
  </r>
  <r>
    <n v="46852"/>
    <x v="235"/>
    <s v="Not Specified"/>
    <x v="2"/>
    <x v="1"/>
    <x v="1"/>
    <n v="235.47"/>
    <x v="1"/>
    <n v="2.3547000000000002"/>
    <n v="233.11529999999999"/>
    <n v="5.3"/>
    <n v="230.17"/>
    <x v="0"/>
    <n v="230.17"/>
    <s v="01-2019"/>
  </r>
  <r>
    <n v="56514"/>
    <x v="245"/>
    <s v="Low"/>
    <x v="4"/>
    <x v="3"/>
    <x v="3"/>
    <n v="117.7"/>
    <x v="0"/>
    <n v="0"/>
    <n v="117.7"/>
    <n v="12.4"/>
    <n v="117.7"/>
    <x v="0"/>
    <n v="117.7"/>
    <s v="02-2019"/>
  </r>
  <r>
    <n v="33731"/>
    <x v="287"/>
    <s v="High"/>
    <x v="25"/>
    <x v="0"/>
    <x v="0"/>
    <n v="116.64"/>
    <x v="0"/>
    <n v="0"/>
    <n v="116.64"/>
    <n v="1.7"/>
    <n v="116.64"/>
    <x v="0"/>
    <n v="116.64"/>
    <s v="10-2019"/>
  </r>
  <r>
    <n v="30436"/>
    <x v="255"/>
    <s v="Low"/>
    <x v="17"/>
    <x v="6"/>
    <x v="6"/>
    <n v="129.67330000000001"/>
    <x v="0"/>
    <n v="0"/>
    <n v="129.67330000000001"/>
    <n v="7.5"/>
    <n v="129.67330000000001"/>
    <x v="1"/>
    <n v="129.67330000000001"/>
    <s v="07-2019"/>
  </r>
  <r>
    <n v="10982"/>
    <x v="73"/>
    <s v="Not Specified"/>
    <x v="48"/>
    <x v="6"/>
    <x v="6"/>
    <n v="575.95000000000005"/>
    <x v="0"/>
    <n v="0"/>
    <n v="575.95000000000005"/>
    <n v="1.6"/>
    <n v="575.95000000000005"/>
    <x v="0"/>
    <n v="575.95000000000005"/>
    <s v="12-2019"/>
  </r>
  <r>
    <n v="1701"/>
    <x v="95"/>
    <s v="High"/>
    <x v="43"/>
    <x v="3"/>
    <x v="3"/>
    <n v="60.57"/>
    <x v="0"/>
    <n v="0"/>
    <n v="60.57"/>
    <n v="15.5"/>
    <n v="60.57"/>
    <x v="0"/>
    <n v="60.57"/>
    <s v="05-2019"/>
  </r>
  <r>
    <n v="22432"/>
    <x v="72"/>
    <s v="Not Specified"/>
    <x v="9"/>
    <x v="1"/>
    <x v="1"/>
    <n v="2919.4094"/>
    <x v="1"/>
    <n v="29.194094"/>
    <n v="2890.2153060000001"/>
    <n v="21.4"/>
    <n v="2898.0093999999999"/>
    <x v="0"/>
    <n v="2890.2153060000001"/>
    <s v="11-2019"/>
  </r>
  <r>
    <n v="22085"/>
    <x v="263"/>
    <s v="Low"/>
    <x v="19"/>
    <x v="1"/>
    <x v="1"/>
    <n v="284.2"/>
    <x v="1"/>
    <n v="2.8420000000000001"/>
    <n v="281.358"/>
    <n v="7.9"/>
    <n v="276.3"/>
    <x v="0"/>
    <n v="276.3"/>
    <s v="03-2019"/>
  </r>
  <r>
    <n v="59685"/>
    <x v="73"/>
    <s v="Critical"/>
    <x v="14"/>
    <x v="7"/>
    <x v="7"/>
    <n v="540.55999999999995"/>
    <x v="0"/>
    <n v="0"/>
    <n v="540.55999999999995"/>
    <n v="5.7"/>
    <n v="540.55999999999995"/>
    <x v="0"/>
    <n v="540.55999999999995"/>
    <s v="12-2019"/>
  </r>
  <r>
    <n v="40901"/>
    <x v="76"/>
    <s v="Medium"/>
    <x v="28"/>
    <x v="5"/>
    <x v="5"/>
    <n v="292.25979999999998"/>
    <x v="1"/>
    <n v="2.9225979999999998"/>
    <n v="289.33720199999999"/>
    <n v="4.4000000000000004"/>
    <n v="287.85980000000001"/>
    <x v="0"/>
    <n v="287.85980000000001"/>
    <s v="07-2019"/>
  </r>
  <r>
    <n v="21223"/>
    <x v="108"/>
    <s v="Not Specified"/>
    <x v="30"/>
    <x v="9"/>
    <x v="9"/>
    <n v="465.76"/>
    <x v="0"/>
    <n v="0"/>
    <n v="465.76"/>
    <n v="19.7"/>
    <n v="465.76"/>
    <x v="0"/>
    <n v="465.76"/>
    <s v="03-2019"/>
  </r>
  <r>
    <n v="57093"/>
    <x v="80"/>
    <s v="Low"/>
    <x v="4"/>
    <x v="3"/>
    <x v="3"/>
    <n v="20.3"/>
    <x v="0"/>
    <n v="0"/>
    <n v="20.3"/>
    <n v="3.2"/>
    <n v="20.3"/>
    <x v="0"/>
    <n v="20.3"/>
    <s v="05-2019"/>
  </r>
  <r>
    <n v="55170"/>
    <x v="323"/>
    <s v="Critical"/>
    <x v="6"/>
    <x v="4"/>
    <x v="4"/>
    <n v="1054.26"/>
    <x v="0"/>
    <n v="0"/>
    <n v="1054.26"/>
    <n v="9.6"/>
    <n v="1054.26"/>
    <x v="1"/>
    <n v="1054.26"/>
    <s v="09-2019"/>
  </r>
  <r>
    <n v="55239"/>
    <x v="200"/>
    <s v="Critical"/>
    <x v="13"/>
    <x v="7"/>
    <x v="7"/>
    <n v="102.38"/>
    <x v="0"/>
    <n v="0"/>
    <n v="102.38"/>
    <n v="5.5"/>
    <n v="102.38"/>
    <x v="1"/>
    <n v="102.38"/>
    <s v="12-2019"/>
  </r>
  <r>
    <n v="11362"/>
    <x v="53"/>
    <s v="Low"/>
    <x v="31"/>
    <x v="4"/>
    <x v="4"/>
    <n v="2576.23"/>
    <x v="0"/>
    <n v="0"/>
    <n v="2576.23"/>
    <n v="9.6"/>
    <n v="2576.23"/>
    <x v="0"/>
    <n v="2576.23"/>
    <s v="09-2019"/>
  </r>
  <r>
    <n v="15712"/>
    <x v="88"/>
    <s v="High"/>
    <x v="43"/>
    <x v="3"/>
    <x v="3"/>
    <n v="110.1"/>
    <x v="0"/>
    <n v="0"/>
    <n v="110.1"/>
    <n v="57.9"/>
    <n v="110.1"/>
    <x v="2"/>
    <n v="110.1"/>
    <s v="12-2019"/>
  </r>
  <r>
    <n v="43523"/>
    <x v="232"/>
    <s v="Medium"/>
    <x v="3"/>
    <x v="2"/>
    <x v="2"/>
    <n v="316.05"/>
    <x v="1"/>
    <n v="3.1605000000000003"/>
    <n v="312.8895"/>
    <n v="5.8"/>
    <n v="310.25"/>
    <x v="0"/>
    <n v="310.25"/>
    <s v="05-2019"/>
  </r>
  <r>
    <n v="5860"/>
    <x v="241"/>
    <s v="Not Specified"/>
    <x v="14"/>
    <x v="7"/>
    <x v="7"/>
    <n v="60.7"/>
    <x v="0"/>
    <n v="0"/>
    <n v="60.7"/>
    <n v="0.8"/>
    <n v="60.7"/>
    <x v="0"/>
    <n v="60.7"/>
    <s v="02-2019"/>
  </r>
  <r>
    <n v="130"/>
    <x v="105"/>
    <s v="High"/>
    <x v="4"/>
    <x v="3"/>
    <x v="3"/>
    <n v="494.22"/>
    <x v="0"/>
    <n v="0"/>
    <n v="494.22"/>
    <n v="15"/>
    <n v="494.22"/>
    <x v="1"/>
    <n v="494.22"/>
    <s v="05-2019"/>
  </r>
  <r>
    <n v="33541"/>
    <x v="192"/>
    <s v="Critical"/>
    <x v="20"/>
    <x v="1"/>
    <x v="1"/>
    <n v="548.66999999999996"/>
    <x v="1"/>
    <n v="5.4866999999999999"/>
    <n v="543.18329999999992"/>
    <n v="6.4"/>
    <n v="542.27"/>
    <x v="0"/>
    <n v="542.27"/>
    <s v="06-2019"/>
  </r>
  <r>
    <n v="37895"/>
    <x v="120"/>
    <s v="Critical"/>
    <x v="26"/>
    <x v="7"/>
    <x v="7"/>
    <n v="325.98"/>
    <x v="0"/>
    <n v="0"/>
    <n v="325.98"/>
    <n v="8.9"/>
    <n v="325.98"/>
    <x v="0"/>
    <n v="325.98"/>
    <s v="03-2019"/>
  </r>
  <r>
    <n v="46566"/>
    <x v="104"/>
    <s v="Medium"/>
    <x v="21"/>
    <x v="2"/>
    <x v="2"/>
    <n v="1642.13"/>
    <x v="1"/>
    <n v="16.421300000000002"/>
    <n v="1625.7087000000001"/>
    <n v="3.9"/>
    <n v="1638.23"/>
    <x v="0"/>
    <n v="1625.7087000000001"/>
    <s v="04-2019"/>
  </r>
  <r>
    <n v="4705"/>
    <x v="272"/>
    <s v="Not Specified"/>
    <x v="36"/>
    <x v="8"/>
    <x v="8"/>
    <n v="132.52000000000001"/>
    <x v="0"/>
    <n v="0"/>
    <n v="132.52000000000001"/>
    <n v="7"/>
    <n v="132.52000000000001"/>
    <x v="0"/>
    <n v="132.52000000000001"/>
    <s v="03-2019"/>
  </r>
  <r>
    <n v="27780"/>
    <x v="260"/>
    <s v="Critical"/>
    <x v="41"/>
    <x v="5"/>
    <x v="5"/>
    <n v="1795.82"/>
    <x v="1"/>
    <n v="17.958200000000001"/>
    <n v="1777.8617999999999"/>
    <n v="2.1"/>
    <n v="1793.72"/>
    <x v="0"/>
    <n v="1777.8617999999999"/>
    <s v="10-2019"/>
  </r>
  <r>
    <n v="2630"/>
    <x v="82"/>
    <s v="Low"/>
    <x v="7"/>
    <x v="0"/>
    <x v="0"/>
    <n v="156.77000000000001"/>
    <x v="0"/>
    <n v="0"/>
    <n v="156.77000000000001"/>
    <n v="1.6"/>
    <n v="156.77000000000001"/>
    <x v="0"/>
    <n v="156.77000000000001"/>
    <s v="10-2019"/>
  </r>
  <r>
    <n v="50532"/>
    <x v="50"/>
    <s v="Medium"/>
    <x v="46"/>
    <x v="9"/>
    <x v="9"/>
    <n v="285.75"/>
    <x v="0"/>
    <n v="0"/>
    <n v="285.75"/>
    <n v="3.2"/>
    <n v="285.75"/>
    <x v="0"/>
    <n v="285.75"/>
    <s v="08-2019"/>
  </r>
  <r>
    <n v="23649"/>
    <x v="183"/>
    <s v="Not Specified"/>
    <x v="17"/>
    <x v="6"/>
    <x v="6"/>
    <n v="4909.08"/>
    <x v="0"/>
    <n v="0"/>
    <n v="4909.08"/>
    <n v="4.5"/>
    <n v="4909.08"/>
    <x v="0"/>
    <n v="4909.08"/>
    <s v="09-2019"/>
  </r>
  <r>
    <n v="1221"/>
    <x v="172"/>
    <s v="Not Specified"/>
    <x v="36"/>
    <x v="8"/>
    <x v="8"/>
    <n v="73.239999999999995"/>
    <x v="0"/>
    <n v="0"/>
    <n v="73.239999999999995"/>
    <n v="5.8"/>
    <n v="73.239999999999995"/>
    <x v="0"/>
    <n v="73.239999999999995"/>
    <s v="04-2019"/>
  </r>
  <r>
    <n v="39686"/>
    <x v="153"/>
    <s v="Not Specified"/>
    <x v="49"/>
    <x v="2"/>
    <x v="2"/>
    <n v="2943.26"/>
    <x v="1"/>
    <n v="29.432600000000004"/>
    <n v="2913.8274000000001"/>
    <n v="5.6"/>
    <n v="2937.6600000000003"/>
    <x v="0"/>
    <n v="2913.8274000000001"/>
    <s v="06-2019"/>
  </r>
  <r>
    <n v="16231"/>
    <x v="254"/>
    <s v="Low"/>
    <x v="32"/>
    <x v="8"/>
    <x v="8"/>
    <n v="2681.83"/>
    <x v="0"/>
    <n v="0"/>
    <n v="2681.83"/>
    <n v="55.6"/>
    <n v="2681.83"/>
    <x v="2"/>
    <n v="2681.83"/>
    <s v="09-2019"/>
  </r>
  <r>
    <n v="45767"/>
    <x v="45"/>
    <s v="High"/>
    <x v="21"/>
    <x v="2"/>
    <x v="2"/>
    <n v="900.42"/>
    <x v="1"/>
    <n v="9.0041999999999991"/>
    <n v="891.41579999999999"/>
    <n v="6.7"/>
    <n v="893.71999999999991"/>
    <x v="1"/>
    <n v="891.41579999999999"/>
    <s v="07-2019"/>
  </r>
  <r>
    <n v="6"/>
    <x v="324"/>
    <s v="Not Specified"/>
    <x v="33"/>
    <x v="3"/>
    <x v="3"/>
    <n v="7.4150999999999998"/>
    <x v="0"/>
    <n v="0"/>
    <n v="7.4150999999999998"/>
    <n v="2.7"/>
    <n v="7.4150999999999998"/>
    <x v="0"/>
    <n v="7.4150999999999998"/>
    <s v="02-2019"/>
  </r>
  <r>
    <n v="37313"/>
    <x v="60"/>
    <s v="Not Specified"/>
    <x v="45"/>
    <x v="8"/>
    <x v="8"/>
    <n v="972"/>
    <x v="0"/>
    <n v="0"/>
    <n v="972"/>
    <n v="9.6"/>
    <n v="972"/>
    <x v="1"/>
    <n v="972"/>
    <s v="07-2019"/>
  </r>
  <r>
    <n v="24039"/>
    <x v="121"/>
    <s v="Not Specified"/>
    <x v="18"/>
    <x v="3"/>
    <x v="3"/>
    <n v="213.10120000000001"/>
    <x v="0"/>
    <n v="0"/>
    <n v="213.10120000000001"/>
    <n v="2.1"/>
    <n v="213.10120000000001"/>
    <x v="0"/>
    <n v="213.10120000000001"/>
    <s v="07-2019"/>
  </r>
  <r>
    <n v="59425"/>
    <x v="141"/>
    <s v="Medium"/>
    <x v="10"/>
    <x v="4"/>
    <x v="4"/>
    <n v="2240.7084"/>
    <x v="0"/>
    <n v="0"/>
    <n v="2240.7084"/>
    <n v="6.6"/>
    <n v="2240.7084"/>
    <x v="0"/>
    <n v="2240.7084"/>
    <s v="05-2019"/>
  </r>
  <r>
    <n v="46053"/>
    <x v="100"/>
    <s v="High"/>
    <x v="31"/>
    <x v="4"/>
    <x v="4"/>
    <n v="1560.95"/>
    <x v="0"/>
    <n v="0"/>
    <n v="1560.95"/>
    <n v="3.7"/>
    <n v="1560.95"/>
    <x v="0"/>
    <n v="1560.95"/>
    <s v="09-2019"/>
  </r>
  <r>
    <n v="41830"/>
    <x v="294"/>
    <s v="Low"/>
    <x v="15"/>
    <x v="1"/>
    <x v="1"/>
    <n v="5736.3555999999999"/>
    <x v="1"/>
    <n v="57.363556000000003"/>
    <n v="5678.9920439999996"/>
    <n v="28.1"/>
    <n v="5708.2555999999995"/>
    <x v="2"/>
    <n v="5678.9920439999996"/>
    <s v="02-2019"/>
  </r>
  <r>
    <n v="15329"/>
    <x v="3"/>
    <s v="High"/>
    <x v="1"/>
    <x v="0"/>
    <x v="0"/>
    <n v="1085.9100000000001"/>
    <x v="0"/>
    <n v="0"/>
    <n v="1085.9100000000001"/>
    <n v="2.1"/>
    <n v="1085.9100000000001"/>
    <x v="1"/>
    <n v="1085.9100000000001"/>
    <s v="04-2019"/>
  </r>
  <r>
    <n v="11168"/>
    <x v="325"/>
    <s v="Critical"/>
    <x v="16"/>
    <x v="0"/>
    <x v="0"/>
    <n v="195.66"/>
    <x v="0"/>
    <n v="0"/>
    <n v="195.66"/>
    <n v="6.1"/>
    <n v="195.66"/>
    <x v="0"/>
    <n v="195.66"/>
    <s v="10-2019"/>
  </r>
  <r>
    <n v="56069"/>
    <x v="262"/>
    <s v="Low"/>
    <x v="46"/>
    <x v="9"/>
    <x v="9"/>
    <n v="59.56"/>
    <x v="0"/>
    <n v="0"/>
    <n v="59.56"/>
    <n v="1.5"/>
    <n v="59.56"/>
    <x v="0"/>
    <n v="59.56"/>
    <s v="10-2019"/>
  </r>
  <r>
    <n v="16164"/>
    <x v="282"/>
    <s v="Low"/>
    <x v="11"/>
    <x v="6"/>
    <x v="6"/>
    <n v="74.239999999999995"/>
    <x v="0"/>
    <n v="0"/>
    <n v="74.239999999999995"/>
    <n v="4.5999999999999996"/>
    <n v="74.239999999999995"/>
    <x v="0"/>
    <n v="74.239999999999995"/>
    <s v="01-2019"/>
  </r>
  <r>
    <n v="58278"/>
    <x v="53"/>
    <s v="High"/>
    <x v="37"/>
    <x v="5"/>
    <x v="5"/>
    <n v="3758.8"/>
    <x v="1"/>
    <n v="37.588000000000001"/>
    <n v="3721.212"/>
    <n v="9.6"/>
    <n v="3749.2000000000003"/>
    <x v="0"/>
    <n v="3721.212"/>
    <s v="09-2019"/>
  </r>
  <r>
    <n v="16036"/>
    <x v="38"/>
    <s v="Medium"/>
    <x v="23"/>
    <x v="6"/>
    <x v="6"/>
    <n v="2311.4899999999998"/>
    <x v="0"/>
    <n v="0"/>
    <n v="2311.4899999999998"/>
    <n v="37.5"/>
    <n v="2311.4899999999998"/>
    <x v="0"/>
    <n v="2311.4899999999998"/>
    <s v="01-2019"/>
  </r>
  <r>
    <n v="25635"/>
    <x v="309"/>
    <s v="Critical"/>
    <x v="26"/>
    <x v="7"/>
    <x v="7"/>
    <n v="677.39559999999994"/>
    <x v="0"/>
    <n v="0"/>
    <n v="677.39559999999994"/>
    <n v="4.9000000000000004"/>
    <n v="677.39559999999994"/>
    <x v="1"/>
    <n v="677.39559999999994"/>
    <s v="05-2019"/>
  </r>
  <r>
    <n v="56418"/>
    <x v="211"/>
    <s v="Critical"/>
    <x v="12"/>
    <x v="2"/>
    <x v="2"/>
    <n v="1726.81"/>
    <x v="1"/>
    <n v="17.2681"/>
    <n v="1709.5418999999999"/>
    <n v="8.8000000000000007"/>
    <n v="1718.01"/>
    <x v="0"/>
    <n v="1709.5418999999999"/>
    <s v="04-2019"/>
  </r>
  <r>
    <n v="57058"/>
    <x v="223"/>
    <s v="Medium"/>
    <x v="23"/>
    <x v="6"/>
    <x v="6"/>
    <n v="219.81"/>
    <x v="0"/>
    <n v="0"/>
    <n v="219.81"/>
    <n v="5.6"/>
    <n v="219.81"/>
    <x v="1"/>
    <n v="219.81"/>
    <s v="05-2019"/>
  </r>
  <r>
    <n v="53698"/>
    <x v="205"/>
    <s v="Medium"/>
    <x v="46"/>
    <x v="9"/>
    <x v="9"/>
    <n v="59.2"/>
    <x v="0"/>
    <n v="0"/>
    <n v="59.2"/>
    <n v="0.8"/>
    <n v="59.2"/>
    <x v="1"/>
    <n v="59.2"/>
    <s v="06-2019"/>
  </r>
  <r>
    <n v="44000"/>
    <x v="103"/>
    <s v="Not Specified"/>
    <x v="24"/>
    <x v="8"/>
    <x v="8"/>
    <n v="355.64659999999998"/>
    <x v="0"/>
    <n v="0"/>
    <n v="355.64659999999998"/>
    <n v="5.4"/>
    <n v="355.64659999999998"/>
    <x v="0"/>
    <n v="355.64659999999998"/>
    <s v="10-2019"/>
  </r>
  <r>
    <n v="39266"/>
    <x v="279"/>
    <s v="High"/>
    <x v="26"/>
    <x v="7"/>
    <x v="7"/>
    <n v="38.96"/>
    <x v="0"/>
    <n v="0"/>
    <n v="38.96"/>
    <n v="0.5"/>
    <n v="38.96"/>
    <x v="0"/>
    <n v="38.96"/>
    <s v="08-2019"/>
  </r>
  <r>
    <n v="22182"/>
    <x v="183"/>
    <s v="Medium"/>
    <x v="35"/>
    <x v="9"/>
    <x v="9"/>
    <n v="186.95"/>
    <x v="0"/>
    <n v="0"/>
    <n v="186.95"/>
    <n v="4.3"/>
    <n v="186.95"/>
    <x v="0"/>
    <n v="186.95"/>
    <s v="09-2019"/>
  </r>
  <r>
    <n v="13988"/>
    <x v="96"/>
    <s v="Not Specified"/>
    <x v="38"/>
    <x v="8"/>
    <x v="8"/>
    <n v="252.85"/>
    <x v="0"/>
    <n v="0"/>
    <n v="252.85"/>
    <n v="5.3"/>
    <n v="252.85"/>
    <x v="1"/>
    <n v="252.85"/>
    <s v="08-2019"/>
  </r>
  <r>
    <n v="32610"/>
    <x v="19"/>
    <s v="Not Specified"/>
    <x v="32"/>
    <x v="8"/>
    <x v="8"/>
    <n v="2131.3314"/>
    <x v="0"/>
    <n v="0"/>
    <n v="2131.3314"/>
    <n v="8.1999999999999993"/>
    <n v="2131.3314"/>
    <x v="0"/>
    <n v="2131.3314"/>
    <s v="08-2019"/>
  </r>
  <r>
    <n v="17543"/>
    <x v="1"/>
    <s v="Critical"/>
    <x v="43"/>
    <x v="3"/>
    <x v="3"/>
    <n v="16.829999999999998"/>
    <x v="0"/>
    <n v="0"/>
    <n v="16.829999999999998"/>
    <n v="10.199999999999999"/>
    <n v="16.829999999999998"/>
    <x v="0"/>
    <n v="16.829999999999998"/>
    <s v="05-2019"/>
  </r>
  <r>
    <n v="4706"/>
    <x v="295"/>
    <s v="Not Specified"/>
    <x v="17"/>
    <x v="6"/>
    <x v="6"/>
    <n v="2264.87"/>
    <x v="0"/>
    <n v="0"/>
    <n v="2264.87"/>
    <n v="21.4"/>
    <n v="2264.87"/>
    <x v="0"/>
    <n v="2264.87"/>
    <s v="12-2019"/>
  </r>
  <r>
    <n v="13894"/>
    <x v="159"/>
    <s v="Medium"/>
    <x v="7"/>
    <x v="0"/>
    <x v="0"/>
    <n v="95.42"/>
    <x v="0"/>
    <n v="0"/>
    <n v="95.42"/>
    <n v="0.9"/>
    <n v="95.42"/>
    <x v="0"/>
    <n v="95.42"/>
    <s v="04-2019"/>
  </r>
  <r>
    <n v="6885"/>
    <x v="192"/>
    <s v="Low"/>
    <x v="28"/>
    <x v="5"/>
    <x v="5"/>
    <n v="941.11"/>
    <x v="1"/>
    <n v="9.4111000000000011"/>
    <n v="931.69889999999998"/>
    <n v="6.7"/>
    <n v="934.41"/>
    <x v="0"/>
    <n v="931.69889999999998"/>
    <s v="06-2019"/>
  </r>
  <r>
    <n v="19652"/>
    <x v="75"/>
    <s v="Critical"/>
    <x v="1"/>
    <x v="0"/>
    <x v="0"/>
    <n v="1957.96"/>
    <x v="0"/>
    <n v="0"/>
    <n v="1957.96"/>
    <n v="4.3"/>
    <n v="1957.96"/>
    <x v="0"/>
    <n v="1957.96"/>
    <s v="06-2019"/>
  </r>
  <r>
    <n v="21028"/>
    <x v="51"/>
    <s v="Critical"/>
    <x v="8"/>
    <x v="5"/>
    <x v="5"/>
    <n v="468.5102"/>
    <x v="1"/>
    <n v="4.6851019999999997"/>
    <n v="463.82509799999997"/>
    <n v="7.5"/>
    <n v="461.0102"/>
    <x v="0"/>
    <n v="461.0102"/>
    <s v="06-2019"/>
  </r>
  <r>
    <n v="47846"/>
    <x v="48"/>
    <s v="High"/>
    <x v="18"/>
    <x v="3"/>
    <x v="3"/>
    <n v="71.08"/>
    <x v="0"/>
    <n v="0"/>
    <n v="71.08"/>
    <n v="14"/>
    <n v="71.08"/>
    <x v="0"/>
    <n v="71.08"/>
    <s v="08-2019"/>
  </r>
  <r>
    <n v="38661"/>
    <x v="218"/>
    <s v="High"/>
    <x v="44"/>
    <x v="9"/>
    <x v="9"/>
    <n v="182.3"/>
    <x v="0"/>
    <n v="0"/>
    <n v="182.3"/>
    <n v="1.1000000000000001"/>
    <n v="182.3"/>
    <x v="0"/>
    <n v="182.3"/>
    <s v="02-2019"/>
  </r>
  <r>
    <n v="55458"/>
    <x v="277"/>
    <s v="High"/>
    <x v="13"/>
    <x v="7"/>
    <x v="7"/>
    <n v="224.94"/>
    <x v="0"/>
    <n v="0"/>
    <n v="224.94"/>
    <n v="8.1999999999999993"/>
    <n v="224.94"/>
    <x v="0"/>
    <n v="224.94"/>
    <s v="03-2019"/>
  </r>
  <r>
    <n v="50977"/>
    <x v="68"/>
    <s v="Low"/>
    <x v="43"/>
    <x v="3"/>
    <x v="3"/>
    <n v="36.479999999999997"/>
    <x v="0"/>
    <n v="0"/>
    <n v="36.479999999999997"/>
    <n v="9.6999999999999993"/>
    <n v="36.479999999999997"/>
    <x v="1"/>
    <n v="36.479999999999997"/>
    <s v="06-2019"/>
  </r>
  <r>
    <n v="38178"/>
    <x v="298"/>
    <s v="Medium"/>
    <x v="25"/>
    <x v="0"/>
    <x v="0"/>
    <n v="164.76"/>
    <x v="0"/>
    <n v="0"/>
    <n v="164.76"/>
    <n v="0.5"/>
    <n v="164.76"/>
    <x v="0"/>
    <n v="164.76"/>
    <s v="08-2019"/>
  </r>
  <r>
    <n v="51107"/>
    <x v="227"/>
    <s v="Not Specified"/>
    <x v="34"/>
    <x v="5"/>
    <x v="5"/>
    <n v="826.76"/>
    <x v="1"/>
    <n v="8.2675999999999998"/>
    <n v="818.49239999999998"/>
    <n v="3.2"/>
    <n v="823.56"/>
    <x v="0"/>
    <n v="818.49239999999998"/>
    <s v="09-2019"/>
  </r>
  <r>
    <n v="26919"/>
    <x v="73"/>
    <s v="Low"/>
    <x v="25"/>
    <x v="0"/>
    <x v="0"/>
    <n v="166.14"/>
    <x v="0"/>
    <n v="0"/>
    <n v="166.14"/>
    <n v="8.1"/>
    <n v="166.14"/>
    <x v="0"/>
    <n v="166.14"/>
    <s v="12-2019"/>
  </r>
  <r>
    <n v="32100"/>
    <x v="232"/>
    <s v="Medium"/>
    <x v="48"/>
    <x v="6"/>
    <x v="6"/>
    <n v="1181.58"/>
    <x v="0"/>
    <n v="0"/>
    <n v="1181.58"/>
    <n v="2.1"/>
    <n v="1181.58"/>
    <x v="0"/>
    <n v="1181.58"/>
    <s v="05-2019"/>
  </r>
  <r>
    <n v="50017"/>
    <x v="208"/>
    <s v="Low"/>
    <x v="10"/>
    <x v="4"/>
    <x v="4"/>
    <n v="2155.12"/>
    <x v="0"/>
    <n v="0"/>
    <n v="2155.12"/>
    <n v="37.5"/>
    <n v="2155.12"/>
    <x v="0"/>
    <n v="2155.12"/>
    <s v="11-2019"/>
  </r>
  <r>
    <n v="2209"/>
    <x v="156"/>
    <s v="High"/>
    <x v="40"/>
    <x v="6"/>
    <x v="6"/>
    <n v="10078.040000000001"/>
    <x v="0"/>
    <n v="0"/>
    <n v="10078.040000000001"/>
    <n v="63.1"/>
    <n v="10078.040000000001"/>
    <x v="2"/>
    <n v="10078.040000000001"/>
    <s v="07-2019"/>
  </r>
  <r>
    <n v="57798"/>
    <x v="57"/>
    <s v="High"/>
    <x v="32"/>
    <x v="8"/>
    <x v="8"/>
    <n v="3264.37"/>
    <x v="0"/>
    <n v="0"/>
    <n v="3264.37"/>
    <n v="38.6"/>
    <n v="3264.37"/>
    <x v="2"/>
    <n v="3264.37"/>
    <s v="09-2019"/>
  </r>
  <r>
    <n v="47682"/>
    <x v="171"/>
    <s v="Not Specified"/>
    <x v="8"/>
    <x v="5"/>
    <x v="5"/>
    <n v="3414.6268"/>
    <x v="1"/>
    <n v="34.146267999999999"/>
    <n v="3380.480532"/>
    <n v="5.4"/>
    <n v="3409.2267999999999"/>
    <x v="0"/>
    <n v="3380.480532"/>
    <s v="11-2019"/>
  </r>
  <r>
    <n v="20642"/>
    <x v="94"/>
    <s v="High"/>
    <x v="12"/>
    <x v="2"/>
    <x v="2"/>
    <n v="1154.51"/>
    <x v="1"/>
    <n v="11.5451"/>
    <n v="1142.9648999999999"/>
    <n v="48.2"/>
    <n v="1106.31"/>
    <x v="2"/>
    <n v="1106.31"/>
    <s v="05-2019"/>
  </r>
  <r>
    <n v="56453"/>
    <x v="181"/>
    <s v="Critical"/>
    <x v="43"/>
    <x v="3"/>
    <x v="3"/>
    <n v="2919.66"/>
    <x v="0"/>
    <n v="0"/>
    <n v="2919.66"/>
    <n v="31.8"/>
    <n v="2919.66"/>
    <x v="2"/>
    <n v="2919.66"/>
    <s v="04-2019"/>
  </r>
  <r>
    <n v="59680"/>
    <x v="273"/>
    <s v="Critical"/>
    <x v="47"/>
    <x v="7"/>
    <x v="7"/>
    <n v="19.010000000000002"/>
    <x v="0"/>
    <n v="0"/>
    <n v="19.010000000000002"/>
    <n v="3.2"/>
    <n v="19.010000000000002"/>
    <x v="0"/>
    <n v="19.010000000000002"/>
    <s v="06-2019"/>
  </r>
  <r>
    <n v="15651"/>
    <x v="103"/>
    <s v="Critical"/>
    <x v="26"/>
    <x v="7"/>
    <x v="7"/>
    <n v="1224.45"/>
    <x v="0"/>
    <n v="0"/>
    <n v="1224.45"/>
    <n v="37.5"/>
    <n v="1224.45"/>
    <x v="0"/>
    <n v="1224.45"/>
    <s v="10-2019"/>
  </r>
  <r>
    <n v="51559"/>
    <x v="17"/>
    <s v="Low"/>
    <x v="1"/>
    <x v="0"/>
    <x v="0"/>
    <n v="881.66"/>
    <x v="0"/>
    <n v="0"/>
    <n v="881.66"/>
    <n v="4.4000000000000004"/>
    <n v="881.66"/>
    <x v="0"/>
    <n v="881.66"/>
    <s v="03-2019"/>
  </r>
  <r>
    <n v="19936"/>
    <x v="284"/>
    <s v="Critical"/>
    <x v="19"/>
    <x v="1"/>
    <x v="1"/>
    <n v="1193.26"/>
    <x v="1"/>
    <n v="11.932600000000001"/>
    <n v="1181.3273999999999"/>
    <n v="2.1"/>
    <n v="1191.1600000000001"/>
    <x v="0"/>
    <n v="1181.3273999999999"/>
    <s v="11-2019"/>
  </r>
  <r>
    <n v="26407"/>
    <x v="192"/>
    <s v="Critical"/>
    <x v="1"/>
    <x v="0"/>
    <x v="0"/>
    <n v="10188.67"/>
    <x v="0"/>
    <n v="0"/>
    <n v="10188.67"/>
    <n v="37.5"/>
    <n v="10188.67"/>
    <x v="0"/>
    <n v="10188.67"/>
    <s v="06-2019"/>
  </r>
  <r>
    <n v="34182"/>
    <x v="326"/>
    <s v="Critical"/>
    <x v="7"/>
    <x v="0"/>
    <x v="0"/>
    <n v="359.88"/>
    <x v="0"/>
    <n v="0"/>
    <n v="359.88"/>
    <n v="8.5"/>
    <n v="359.88"/>
    <x v="0"/>
    <n v="359.88"/>
    <s v="10-2019"/>
  </r>
  <r>
    <n v="54053"/>
    <x v="55"/>
    <s v="High"/>
    <x v="1"/>
    <x v="0"/>
    <x v="0"/>
    <n v="6028.76"/>
    <x v="0"/>
    <n v="0"/>
    <n v="6028.76"/>
    <n v="8.6"/>
    <n v="6028.76"/>
    <x v="0"/>
    <n v="6028.76"/>
    <s v="02-2019"/>
  </r>
  <r>
    <n v="52320"/>
    <x v="266"/>
    <s v="Low"/>
    <x v="19"/>
    <x v="1"/>
    <x v="1"/>
    <n v="120.48"/>
    <x v="1"/>
    <n v="1.2048000000000001"/>
    <n v="119.2752"/>
    <n v="1.1000000000000001"/>
    <n v="119.38000000000001"/>
    <x v="0"/>
    <n v="119.2752"/>
    <s v="09-2019"/>
  </r>
  <r>
    <n v="24613"/>
    <x v="47"/>
    <s v="Low"/>
    <x v="36"/>
    <x v="8"/>
    <x v="8"/>
    <n v="10374.549999999999"/>
    <x v="0"/>
    <n v="0"/>
    <n v="10374.549999999999"/>
    <n v="26.2"/>
    <n v="10374.549999999999"/>
    <x v="0"/>
    <n v="10374.549999999999"/>
    <s v="07-2019"/>
  </r>
  <r>
    <n v="42944"/>
    <x v="327"/>
    <s v="Critical"/>
    <x v="20"/>
    <x v="1"/>
    <x v="1"/>
    <n v="10433.09"/>
    <x v="1"/>
    <n v="104.3309"/>
    <n v="10328.759099999999"/>
    <n v="68.7"/>
    <n v="10364.39"/>
    <x v="2"/>
    <n v="10328.759099999999"/>
    <s v="11-2019"/>
  </r>
  <r>
    <n v="57638"/>
    <x v="291"/>
    <s v="Low"/>
    <x v="21"/>
    <x v="2"/>
    <x v="2"/>
    <n v="107.09"/>
    <x v="1"/>
    <n v="1.0709"/>
    <n v="106.01910000000001"/>
    <n v="2.7"/>
    <n v="104.39"/>
    <x v="0"/>
    <n v="104.39"/>
    <s v="04-2019"/>
  </r>
  <r>
    <n v="14210"/>
    <x v="127"/>
    <s v="Not Specified"/>
    <x v="24"/>
    <x v="8"/>
    <x v="8"/>
    <n v="724.17"/>
    <x v="0"/>
    <n v="0"/>
    <n v="724.17"/>
    <n v="2.1"/>
    <n v="724.17"/>
    <x v="0"/>
    <n v="724.17"/>
    <s v="06-2019"/>
  </r>
  <r>
    <n v="55655"/>
    <x v="266"/>
    <s v="Low"/>
    <x v="0"/>
    <x v="0"/>
    <x v="0"/>
    <n v="3928.12"/>
    <x v="0"/>
    <n v="0"/>
    <n v="3928.12"/>
    <n v="9.6"/>
    <n v="3928.12"/>
    <x v="0"/>
    <n v="3928.12"/>
    <s v="09-2019"/>
  </r>
  <r>
    <n v="6535"/>
    <x v="22"/>
    <s v="Critical"/>
    <x v="22"/>
    <x v="7"/>
    <x v="7"/>
    <n v="334.23"/>
    <x v="0"/>
    <n v="0"/>
    <n v="334.23"/>
    <n v="9.6"/>
    <n v="334.23"/>
    <x v="1"/>
    <n v="334.23"/>
    <s v="06-2019"/>
  </r>
  <r>
    <n v="49953"/>
    <x v="107"/>
    <s v="Not Specified"/>
    <x v="34"/>
    <x v="5"/>
    <x v="5"/>
    <n v="259.08"/>
    <x v="1"/>
    <n v="2.5907999999999998"/>
    <n v="256.48919999999998"/>
    <n v="7.1"/>
    <n v="251.98"/>
    <x v="1"/>
    <n v="251.98"/>
    <s v="03-2019"/>
  </r>
  <r>
    <n v="43460"/>
    <x v="68"/>
    <s v="Medium"/>
    <x v="33"/>
    <x v="3"/>
    <x v="3"/>
    <n v="26.85"/>
    <x v="0"/>
    <n v="0"/>
    <n v="26.85"/>
    <n v="9.6"/>
    <n v="26.85"/>
    <x v="0"/>
    <n v="26.85"/>
    <s v="06-2019"/>
  </r>
  <r>
    <n v="36832"/>
    <x v="149"/>
    <s v="Low"/>
    <x v="20"/>
    <x v="1"/>
    <x v="1"/>
    <n v="570.19000000000005"/>
    <x v="1"/>
    <n v="5.7019000000000011"/>
    <n v="564.48810000000003"/>
    <n v="1.6"/>
    <n v="568.59"/>
    <x v="0"/>
    <n v="564.48810000000003"/>
    <s v="06-2019"/>
  </r>
  <r>
    <n v="43203"/>
    <x v="55"/>
    <s v="Not Specified"/>
    <x v="25"/>
    <x v="0"/>
    <x v="0"/>
    <n v="240.92"/>
    <x v="0"/>
    <n v="0"/>
    <n v="240.92"/>
    <n v="5.6"/>
    <n v="240.92"/>
    <x v="0"/>
    <n v="240.92"/>
    <s v="02-2019"/>
  </r>
  <r>
    <n v="32325"/>
    <x v="126"/>
    <s v="Critical"/>
    <x v="9"/>
    <x v="1"/>
    <x v="1"/>
    <n v="1180.99"/>
    <x v="1"/>
    <n v="11.809900000000001"/>
    <n v="1169.1801"/>
    <n v="8.1"/>
    <n v="1172.8900000000001"/>
    <x v="0"/>
    <n v="1169.1801"/>
    <s v="11-2019"/>
  </r>
  <r>
    <n v="22465"/>
    <x v="167"/>
    <s v="Not Specified"/>
    <x v="39"/>
    <x v="3"/>
    <x v="3"/>
    <n v="1200.3"/>
    <x v="0"/>
    <n v="0"/>
    <n v="1200.3"/>
    <n v="53.5"/>
    <n v="1200.3"/>
    <x v="2"/>
    <n v="1200.3"/>
    <s v="07-2019"/>
  </r>
  <r>
    <n v="5095"/>
    <x v="11"/>
    <s v="High"/>
    <x v="29"/>
    <x v="9"/>
    <x v="9"/>
    <n v="841.74"/>
    <x v="0"/>
    <n v="0"/>
    <n v="841.74"/>
    <n v="9.4"/>
    <n v="841.74"/>
    <x v="0"/>
    <n v="841.74"/>
    <s v="04-2019"/>
  </r>
  <r>
    <n v="21634"/>
    <x v="58"/>
    <s v="Not Specified"/>
    <x v="30"/>
    <x v="9"/>
    <x v="9"/>
    <n v="1724.5510999999999"/>
    <x v="0"/>
    <n v="0"/>
    <n v="1724.5510999999999"/>
    <n v="72.8"/>
    <n v="1724.5510999999999"/>
    <x v="2"/>
    <n v="1724.5510999999999"/>
    <s v="10-2019"/>
  </r>
  <r>
    <n v="38848"/>
    <x v="79"/>
    <s v="High"/>
    <x v="44"/>
    <x v="9"/>
    <x v="9"/>
    <n v="277.69"/>
    <x v="0"/>
    <n v="0"/>
    <n v="277.69"/>
    <n v="3.2"/>
    <n v="277.69"/>
    <x v="0"/>
    <n v="277.69"/>
    <s v="12-2019"/>
  </r>
  <r>
    <n v="15399"/>
    <x v="152"/>
    <s v="Critical"/>
    <x v="27"/>
    <x v="2"/>
    <x v="2"/>
    <n v="2690.53"/>
    <x v="1"/>
    <n v="26.905300000000004"/>
    <n v="2663.6247000000003"/>
    <n v="5.3"/>
    <n v="2685.23"/>
    <x v="1"/>
    <n v="2663.6247000000003"/>
    <s v="05-2019"/>
  </r>
  <r>
    <n v="37253"/>
    <x v="138"/>
    <s v="High"/>
    <x v="27"/>
    <x v="2"/>
    <x v="2"/>
    <n v="1267.22"/>
    <x v="1"/>
    <n v="12.6722"/>
    <n v="1254.5478000000001"/>
    <n v="6.3"/>
    <n v="1260.92"/>
    <x v="0"/>
    <n v="1254.5478000000001"/>
    <s v="09-2019"/>
  </r>
  <r>
    <n v="21729"/>
    <x v="306"/>
    <s v="Low"/>
    <x v="23"/>
    <x v="6"/>
    <x v="6"/>
    <n v="129.44999999999999"/>
    <x v="0"/>
    <n v="0"/>
    <n v="129.44999999999999"/>
    <n v="5.7"/>
    <n v="129.44999999999999"/>
    <x v="0"/>
    <n v="129.44999999999999"/>
    <s v="12-2019"/>
  </r>
  <r>
    <n v="32966"/>
    <x v="226"/>
    <s v="Low"/>
    <x v="39"/>
    <x v="3"/>
    <x v="3"/>
    <n v="1107.664"/>
    <x v="0"/>
    <n v="0"/>
    <n v="1107.664"/>
    <n v="30"/>
    <n v="1107.664"/>
    <x v="2"/>
    <n v="1107.664"/>
    <s v="01-2019"/>
  </r>
  <r>
    <n v="51424"/>
    <x v="290"/>
    <s v="Not Specified"/>
    <x v="18"/>
    <x v="3"/>
    <x v="3"/>
    <n v="95.165800000000004"/>
    <x v="0"/>
    <n v="0"/>
    <n v="95.165800000000004"/>
    <n v="7.5"/>
    <n v="95.165800000000004"/>
    <x v="0"/>
    <n v="95.165800000000004"/>
    <s v="01-2019"/>
  </r>
  <r>
    <n v="8803"/>
    <x v="193"/>
    <s v="Not Specified"/>
    <x v="45"/>
    <x v="8"/>
    <x v="8"/>
    <n v="550.21540000000005"/>
    <x v="0"/>
    <n v="0"/>
    <n v="550.21540000000005"/>
    <n v="3.2"/>
    <n v="550.21540000000005"/>
    <x v="0"/>
    <n v="550.21540000000005"/>
    <s v="12-2019"/>
  </r>
  <r>
    <n v="43713"/>
    <x v="328"/>
    <s v="Medium"/>
    <x v="14"/>
    <x v="7"/>
    <x v="7"/>
    <n v="36.8187"/>
    <x v="0"/>
    <n v="0"/>
    <n v="36.8187"/>
    <n v="2.6"/>
    <n v="36.8187"/>
    <x v="0"/>
    <n v="36.8187"/>
    <s v="09-2019"/>
  </r>
  <r>
    <n v="14851"/>
    <x v="169"/>
    <s v="Not Specified"/>
    <x v="44"/>
    <x v="9"/>
    <x v="9"/>
    <n v="3614.65"/>
    <x v="0"/>
    <n v="0"/>
    <n v="3614.65"/>
    <n v="26.2"/>
    <n v="3614.65"/>
    <x v="0"/>
    <n v="3614.65"/>
    <s v="05-2019"/>
  </r>
  <r>
    <n v="8034"/>
    <x v="81"/>
    <s v="High"/>
    <x v="7"/>
    <x v="0"/>
    <x v="0"/>
    <n v="379.26"/>
    <x v="0"/>
    <n v="0"/>
    <n v="379.26"/>
    <n v="4.3"/>
    <n v="379.26"/>
    <x v="0"/>
    <n v="379.26"/>
    <s v="01-2019"/>
  </r>
  <r>
    <n v="3521"/>
    <x v="106"/>
    <s v="Low"/>
    <x v="3"/>
    <x v="2"/>
    <x v="2"/>
    <n v="218.4"/>
    <x v="1"/>
    <n v="2.1840000000000002"/>
    <n v="216.21600000000001"/>
    <n v="1"/>
    <n v="217.4"/>
    <x v="0"/>
    <n v="216.21600000000001"/>
    <s v="10-2019"/>
  </r>
  <r>
    <n v="40839"/>
    <x v="321"/>
    <s v="Medium"/>
    <x v="42"/>
    <x v="4"/>
    <x v="4"/>
    <n v="2923.25"/>
    <x v="0"/>
    <n v="0"/>
    <n v="2923.25"/>
    <n v="60.1"/>
    <n v="2923.25"/>
    <x v="2"/>
    <n v="2923.25"/>
    <s v="03-2019"/>
  </r>
  <r>
    <n v="44071"/>
    <x v="150"/>
    <s v="Not Specified"/>
    <x v="32"/>
    <x v="8"/>
    <x v="8"/>
    <n v="1244.54"/>
    <x v="0"/>
    <n v="0"/>
    <n v="1244.54"/>
    <n v="9.6"/>
    <n v="1244.54"/>
    <x v="0"/>
    <n v="1244.54"/>
    <s v="04-2019"/>
  </r>
  <r>
    <n v="59683"/>
    <x v="329"/>
    <s v="Not Specified"/>
    <x v="37"/>
    <x v="5"/>
    <x v="5"/>
    <n v="204.7552"/>
    <x v="1"/>
    <n v="2.047552"/>
    <n v="202.70764800000001"/>
    <n v="5.3"/>
    <n v="199.45519999999999"/>
    <x v="0"/>
    <n v="199.45519999999999"/>
    <s v="10-2019"/>
  </r>
  <r>
    <n v="17698"/>
    <x v="152"/>
    <s v="High"/>
    <x v="20"/>
    <x v="1"/>
    <x v="1"/>
    <n v="2015.69"/>
    <x v="1"/>
    <n v="20.1569"/>
    <n v="1995.5331000000001"/>
    <n v="3.7"/>
    <n v="2011.99"/>
    <x v="0"/>
    <n v="1995.5331000000001"/>
    <s v="05-2019"/>
  </r>
  <r>
    <n v="40901"/>
    <x v="76"/>
    <s v="Medium"/>
    <x v="6"/>
    <x v="4"/>
    <x v="4"/>
    <n v="3317.12"/>
    <x v="0"/>
    <n v="0"/>
    <n v="3317.12"/>
    <n v="8.6"/>
    <n v="3317.12"/>
    <x v="1"/>
    <n v="3317.12"/>
    <s v="07-2019"/>
  </r>
  <r>
    <n v="30343"/>
    <x v="16"/>
    <s v="Critical"/>
    <x v="30"/>
    <x v="9"/>
    <x v="9"/>
    <n v="44237.23"/>
    <x v="0"/>
    <n v="0"/>
    <n v="44237.23"/>
    <n v="26.2"/>
    <n v="44237.23"/>
    <x v="0"/>
    <n v="44237.23"/>
    <s v="05-2019"/>
  </r>
  <r>
    <n v="30051"/>
    <x v="41"/>
    <s v="Not Specified"/>
    <x v="15"/>
    <x v="1"/>
    <x v="1"/>
    <n v="260.07"/>
    <x v="1"/>
    <n v="2.6006999999999998"/>
    <n v="257.46929999999998"/>
    <n v="2.4"/>
    <n v="257.67"/>
    <x v="0"/>
    <n v="257.46929999999998"/>
    <s v="03-2019"/>
  </r>
  <r>
    <n v="27392"/>
    <x v="251"/>
    <s v="Low"/>
    <x v="37"/>
    <x v="5"/>
    <x v="5"/>
    <n v="6156.62"/>
    <x v="1"/>
    <n v="61.566200000000002"/>
    <n v="6095.0537999999997"/>
    <n v="15"/>
    <n v="6141.62"/>
    <x v="0"/>
    <n v="6095.0537999999997"/>
    <s v="03-2019"/>
  </r>
  <r>
    <n v="4581"/>
    <x v="330"/>
    <s v="Not Specified"/>
    <x v="31"/>
    <x v="4"/>
    <x v="4"/>
    <n v="2488.1994"/>
    <x v="0"/>
    <n v="0"/>
    <n v="2488.1994"/>
    <n v="21.4"/>
    <n v="2488.1994"/>
    <x v="0"/>
    <n v="2488.1994"/>
    <s v="09-2019"/>
  </r>
  <r>
    <n v="55618"/>
    <x v="331"/>
    <s v="Medium"/>
    <x v="49"/>
    <x v="2"/>
    <x v="2"/>
    <n v="1598.83"/>
    <x v="1"/>
    <n v="15.988299999999999"/>
    <n v="1582.8416999999999"/>
    <n v="1.3"/>
    <n v="1597.53"/>
    <x v="0"/>
    <n v="1582.8416999999999"/>
    <s v="01-2019"/>
  </r>
  <r>
    <n v="18464"/>
    <x v="29"/>
    <s v="High"/>
    <x v="7"/>
    <x v="0"/>
    <x v="0"/>
    <n v="220.94"/>
    <x v="0"/>
    <n v="0"/>
    <n v="220.94"/>
    <n v="1.4"/>
    <n v="220.94"/>
    <x v="0"/>
    <n v="220.94"/>
    <s v="03-2019"/>
  </r>
  <r>
    <n v="3202"/>
    <x v="332"/>
    <s v="Low"/>
    <x v="46"/>
    <x v="9"/>
    <x v="9"/>
    <n v="593"/>
    <x v="0"/>
    <n v="0"/>
    <n v="593"/>
    <n v="5.9"/>
    <n v="593"/>
    <x v="0"/>
    <n v="593"/>
    <s v="12-2019"/>
  </r>
  <r>
    <n v="30597"/>
    <x v="36"/>
    <s v="High"/>
    <x v="15"/>
    <x v="1"/>
    <x v="1"/>
    <n v="684.62879999999996"/>
    <x v="1"/>
    <n v="6.8462879999999995"/>
    <n v="677.782512"/>
    <n v="4.8"/>
    <n v="679.8288"/>
    <x v="0"/>
    <n v="677.782512"/>
    <s v="08-2019"/>
  </r>
  <r>
    <n v="44486"/>
    <x v="156"/>
    <s v="Critical"/>
    <x v="34"/>
    <x v="5"/>
    <x v="5"/>
    <n v="211.97"/>
    <x v="1"/>
    <n v="2.1196999999999999"/>
    <n v="209.8503"/>
    <n v="5.3"/>
    <n v="206.67"/>
    <x v="0"/>
    <n v="206.67"/>
    <s v="07-2019"/>
  </r>
  <r>
    <n v="53477"/>
    <x v="184"/>
    <s v="High"/>
    <x v="23"/>
    <x v="6"/>
    <x v="6"/>
    <n v="4792.7012000000004"/>
    <x v="0"/>
    <n v="0"/>
    <n v="4792.7012000000004"/>
    <n v="21.4"/>
    <n v="4792.7012000000004"/>
    <x v="0"/>
    <n v="4792.7012000000004"/>
    <s v="05-2019"/>
  </r>
  <r>
    <n v="49351"/>
    <x v="120"/>
    <s v="Low"/>
    <x v="40"/>
    <x v="6"/>
    <x v="6"/>
    <n v="117.61"/>
    <x v="0"/>
    <n v="0"/>
    <n v="117.61"/>
    <n v="0.9"/>
    <n v="117.61"/>
    <x v="0"/>
    <n v="117.61"/>
    <s v="03-2019"/>
  </r>
  <r>
    <n v="34406"/>
    <x v="333"/>
    <s v="Medium"/>
    <x v="48"/>
    <x v="6"/>
    <x v="6"/>
    <n v="152.57"/>
    <x v="0"/>
    <n v="0"/>
    <n v="152.57"/>
    <n v="0.7"/>
    <n v="152.57"/>
    <x v="0"/>
    <n v="152.57"/>
    <s v="09-2019"/>
  </r>
  <r>
    <n v="54339"/>
    <x v="80"/>
    <s v="Low"/>
    <x v="49"/>
    <x v="2"/>
    <x v="2"/>
    <n v="3216.14"/>
    <x v="1"/>
    <n v="32.1614"/>
    <n v="3183.9785999999999"/>
    <n v="4.3"/>
    <n v="3211.8399999999997"/>
    <x v="1"/>
    <n v="3183.9785999999999"/>
    <s v="05-2019"/>
  </r>
  <r>
    <n v="43874"/>
    <x v="74"/>
    <s v="High"/>
    <x v="27"/>
    <x v="2"/>
    <x v="2"/>
    <n v="164.01"/>
    <x v="1"/>
    <n v="1.6400999999999999"/>
    <n v="162.3699"/>
    <n v="5.4"/>
    <n v="158.60999999999999"/>
    <x v="0"/>
    <n v="158.60999999999999"/>
    <s v="06-2019"/>
  </r>
  <r>
    <n v="57280"/>
    <x v="257"/>
    <s v="Medium"/>
    <x v="2"/>
    <x v="1"/>
    <x v="1"/>
    <n v="320.83999999999997"/>
    <x v="1"/>
    <n v="3.2083999999999997"/>
    <n v="317.63159999999999"/>
    <n v="10.8"/>
    <n v="310.03999999999996"/>
    <x v="1"/>
    <n v="310.03999999999996"/>
    <s v="01-2019"/>
  </r>
  <r>
    <n v="17091"/>
    <x v="167"/>
    <s v="Medium"/>
    <x v="9"/>
    <x v="1"/>
    <x v="1"/>
    <n v="2786.6170999999999"/>
    <x v="1"/>
    <n v="27.866171000000001"/>
    <n v="2758.7509289999998"/>
    <n v="5.6"/>
    <n v="2781.0171"/>
    <x v="0"/>
    <n v="2758.7509289999998"/>
    <s v="07-2019"/>
  </r>
  <r>
    <n v="13507"/>
    <x v="119"/>
    <s v="Medium"/>
    <x v="40"/>
    <x v="6"/>
    <x v="6"/>
    <n v="188.43"/>
    <x v="0"/>
    <n v="0"/>
    <n v="188.43"/>
    <n v="6.6"/>
    <n v="188.43"/>
    <x v="0"/>
    <n v="188.43"/>
    <s v="12-2019"/>
  </r>
  <r>
    <n v="53378"/>
    <x v="199"/>
    <s v="Medium"/>
    <x v="8"/>
    <x v="5"/>
    <x v="5"/>
    <n v="1320.12"/>
    <x v="1"/>
    <n v="13.2012"/>
    <n v="1306.9187999999999"/>
    <n v="21.4"/>
    <n v="1298.7199999999998"/>
    <x v="0"/>
    <n v="1298.7199999999998"/>
    <s v="07-2019"/>
  </r>
  <r>
    <n v="59969"/>
    <x v="147"/>
    <s v="High"/>
    <x v="15"/>
    <x v="1"/>
    <x v="1"/>
    <n v="468.37"/>
    <x v="1"/>
    <n v="4.6837"/>
    <n v="463.68630000000002"/>
    <n v="1.5"/>
    <n v="466.87"/>
    <x v="0"/>
    <n v="463.68630000000002"/>
    <s v="01-2019"/>
  </r>
  <r>
    <n v="28387"/>
    <x v="286"/>
    <s v="Not Specified"/>
    <x v="13"/>
    <x v="7"/>
    <x v="7"/>
    <n v="313.45999999999998"/>
    <x v="0"/>
    <n v="0"/>
    <n v="313.45999999999998"/>
    <n v="5.9"/>
    <n v="313.45999999999998"/>
    <x v="0"/>
    <n v="313.45999999999998"/>
    <s v="06-2019"/>
  </r>
  <r>
    <n v="549"/>
    <x v="213"/>
    <s v="Critical"/>
    <x v="18"/>
    <x v="3"/>
    <x v="3"/>
    <n v="43.6"/>
    <x v="0"/>
    <n v="0"/>
    <n v="43.6"/>
    <n v="9.4"/>
    <n v="43.6"/>
    <x v="0"/>
    <n v="43.6"/>
    <s v="07-2019"/>
  </r>
  <r>
    <n v="32902"/>
    <x v="101"/>
    <s v="High"/>
    <x v="1"/>
    <x v="0"/>
    <x v="0"/>
    <n v="155.66"/>
    <x v="0"/>
    <n v="0"/>
    <n v="155.66"/>
    <n v="1.3"/>
    <n v="155.66"/>
    <x v="1"/>
    <n v="155.66"/>
    <s v="03-2019"/>
  </r>
  <r>
    <n v="51940"/>
    <x v="326"/>
    <s v="High"/>
    <x v="22"/>
    <x v="7"/>
    <x v="7"/>
    <n v="70.09"/>
    <x v="0"/>
    <n v="0"/>
    <n v="70.09"/>
    <n v="4.7"/>
    <n v="70.09"/>
    <x v="0"/>
    <n v="70.09"/>
    <s v="10-2019"/>
  </r>
  <r>
    <n v="31874"/>
    <x v="57"/>
    <s v="High"/>
    <x v="41"/>
    <x v="5"/>
    <x v="5"/>
    <n v="14171.12"/>
    <x v="1"/>
    <n v="141.71120000000002"/>
    <n v="14029.408800000001"/>
    <n v="90.8"/>
    <n v="14080.320000000002"/>
    <x v="2"/>
    <n v="14029.408800000001"/>
    <s v="09-2019"/>
  </r>
  <r>
    <n v="21478"/>
    <x v="251"/>
    <s v="Low"/>
    <x v="36"/>
    <x v="8"/>
    <x v="8"/>
    <n v="452.68"/>
    <x v="0"/>
    <n v="0"/>
    <n v="452.68"/>
    <n v="9.6"/>
    <n v="452.68"/>
    <x v="0"/>
    <n v="452.68"/>
    <s v="03-2019"/>
  </r>
  <r>
    <n v="48577"/>
    <x v="62"/>
    <s v="Medium"/>
    <x v="44"/>
    <x v="9"/>
    <x v="9"/>
    <n v="215.96"/>
    <x v="0"/>
    <n v="0"/>
    <n v="215.96"/>
    <n v="5.4"/>
    <n v="215.96"/>
    <x v="0"/>
    <n v="215.96"/>
    <s v="07-2019"/>
  </r>
  <r>
    <n v="6018"/>
    <x v="244"/>
    <s v="Low"/>
    <x v="33"/>
    <x v="3"/>
    <x v="3"/>
    <n v="132.94999999999999"/>
    <x v="0"/>
    <n v="0"/>
    <n v="132.94999999999999"/>
    <n v="14.9"/>
    <n v="132.94999999999999"/>
    <x v="0"/>
    <n v="132.94999999999999"/>
    <s v="08-2019"/>
  </r>
  <r>
    <n v="38437"/>
    <x v="158"/>
    <s v="Critical"/>
    <x v="45"/>
    <x v="8"/>
    <x v="8"/>
    <n v="59.56"/>
    <x v="0"/>
    <n v="0"/>
    <n v="59.56"/>
    <n v="2.5"/>
    <n v="59.56"/>
    <x v="0"/>
    <n v="59.56"/>
    <s v="05-2019"/>
  </r>
  <r>
    <n v="6182"/>
    <x v="167"/>
    <s v="Low"/>
    <x v="38"/>
    <x v="8"/>
    <x v="8"/>
    <n v="139.44"/>
    <x v="0"/>
    <n v="0"/>
    <n v="139.44"/>
    <n v="8.4"/>
    <n v="139.44"/>
    <x v="1"/>
    <n v="139.44"/>
    <s v="07-2019"/>
  </r>
  <r>
    <n v="45825"/>
    <x v="112"/>
    <s v="Medium"/>
    <x v="20"/>
    <x v="1"/>
    <x v="1"/>
    <n v="291.70999999999998"/>
    <x v="1"/>
    <n v="2.9171"/>
    <n v="288.79289999999997"/>
    <n v="5.5"/>
    <n v="286.20999999999998"/>
    <x v="0"/>
    <n v="286.20999999999998"/>
    <s v="10-2019"/>
  </r>
  <r>
    <n v="37763"/>
    <x v="64"/>
    <s v="Not Specified"/>
    <x v="10"/>
    <x v="4"/>
    <x v="4"/>
    <n v="1335.28"/>
    <x v="0"/>
    <n v="0"/>
    <n v="1335.28"/>
    <n v="2.7"/>
    <n v="1335.28"/>
    <x v="0"/>
    <n v="1335.28"/>
    <s v="02-2019"/>
  </r>
  <r>
    <n v="13444"/>
    <x v="38"/>
    <s v="High"/>
    <x v="0"/>
    <x v="0"/>
    <x v="0"/>
    <n v="165.2508"/>
    <x v="0"/>
    <n v="0"/>
    <n v="165.2508"/>
    <n v="0.9"/>
    <n v="165.2508"/>
    <x v="0"/>
    <n v="165.2508"/>
    <s v="01-2019"/>
  </r>
  <r>
    <n v="44386"/>
    <x v="104"/>
    <s v="Medium"/>
    <x v="20"/>
    <x v="1"/>
    <x v="1"/>
    <n v="1323.2"/>
    <x v="1"/>
    <n v="13.232000000000001"/>
    <n v="1309.9680000000001"/>
    <n v="2.1"/>
    <n v="1321.1000000000001"/>
    <x v="0"/>
    <n v="1309.9680000000001"/>
    <s v="04-2019"/>
  </r>
  <r>
    <n v="41441"/>
    <x v="166"/>
    <s v="Medium"/>
    <x v="19"/>
    <x v="1"/>
    <x v="1"/>
    <n v="236.56"/>
    <x v="1"/>
    <n v="2.3656000000000001"/>
    <n v="234.1944"/>
    <n v="6.1"/>
    <n v="230.46"/>
    <x v="0"/>
    <n v="230.46"/>
    <s v="01-2019"/>
  </r>
  <r>
    <n v="48423"/>
    <x v="259"/>
    <s v="High"/>
    <x v="21"/>
    <x v="2"/>
    <x v="2"/>
    <n v="443.1"/>
    <x v="1"/>
    <n v="4.431"/>
    <n v="438.66900000000004"/>
    <n v="8.9"/>
    <n v="434.20000000000005"/>
    <x v="0"/>
    <n v="434.20000000000005"/>
    <s v="10-2019"/>
  </r>
  <r>
    <n v="43109"/>
    <x v="182"/>
    <s v="Critical"/>
    <x v="24"/>
    <x v="8"/>
    <x v="8"/>
    <n v="301.57"/>
    <x v="0"/>
    <n v="0"/>
    <n v="301.57"/>
    <n v="9"/>
    <n v="301.57"/>
    <x v="0"/>
    <n v="301.57"/>
    <s v="12-2019"/>
  </r>
  <r>
    <n v="26021"/>
    <x v="170"/>
    <s v="Critical"/>
    <x v="45"/>
    <x v="8"/>
    <x v="8"/>
    <n v="351.63"/>
    <x v="0"/>
    <n v="0"/>
    <n v="351.63"/>
    <n v="5.0999999999999996"/>
    <n v="351.63"/>
    <x v="0"/>
    <n v="351.63"/>
    <s v="09-2019"/>
  </r>
  <r>
    <n v="40838"/>
    <x v="315"/>
    <s v="Not Specified"/>
    <x v="28"/>
    <x v="5"/>
    <x v="5"/>
    <n v="346.64"/>
    <x v="1"/>
    <n v="3.4664000000000001"/>
    <n v="343.17359999999996"/>
    <n v="8.5"/>
    <n v="338.14"/>
    <x v="0"/>
    <n v="338.14"/>
    <s v="11-2019"/>
  </r>
  <r>
    <n v="48742"/>
    <x v="261"/>
    <s v="Not Specified"/>
    <x v="15"/>
    <x v="1"/>
    <x v="1"/>
    <n v="883.42"/>
    <x v="1"/>
    <n v="8.8341999999999992"/>
    <n v="874.58579999999995"/>
    <n v="1.6"/>
    <n v="881.81999999999994"/>
    <x v="0"/>
    <n v="874.58579999999995"/>
    <s v="04-2019"/>
  </r>
  <r>
    <n v="16452"/>
    <x v="265"/>
    <s v="Medium"/>
    <x v="27"/>
    <x v="2"/>
    <x v="2"/>
    <n v="143.83000000000001"/>
    <x v="1"/>
    <n v="1.4383000000000001"/>
    <n v="142.39170000000001"/>
    <n v="1.1000000000000001"/>
    <n v="142.73000000000002"/>
    <x v="0"/>
    <n v="142.39170000000001"/>
    <s v="08-2019"/>
  </r>
  <r>
    <n v="21509"/>
    <x v="78"/>
    <s v="High"/>
    <x v="13"/>
    <x v="7"/>
    <x v="7"/>
    <n v="51.29"/>
    <x v="0"/>
    <n v="0"/>
    <n v="51.29"/>
    <n v="0.5"/>
    <n v="51.29"/>
    <x v="0"/>
    <n v="51.29"/>
    <s v="07-2019"/>
  </r>
  <r>
    <n v="33568"/>
    <x v="167"/>
    <s v="Medium"/>
    <x v="42"/>
    <x v="4"/>
    <x v="4"/>
    <n v="412.82"/>
    <x v="0"/>
    <n v="0"/>
    <n v="412.82"/>
    <n v="6.2"/>
    <n v="412.82"/>
    <x v="1"/>
    <n v="412.82"/>
    <s v="07-2019"/>
  </r>
  <r>
    <n v="3168"/>
    <x v="334"/>
    <s v="Low"/>
    <x v="26"/>
    <x v="7"/>
    <x v="7"/>
    <n v="86.242000000000004"/>
    <x v="0"/>
    <n v="0"/>
    <n v="86.242000000000004"/>
    <n v="4.2"/>
    <n v="86.242000000000004"/>
    <x v="0"/>
    <n v="86.242000000000004"/>
    <s v="01-2019"/>
  </r>
  <r>
    <n v="45664"/>
    <x v="335"/>
    <s v="Not Specified"/>
    <x v="10"/>
    <x v="4"/>
    <x v="4"/>
    <n v="506.14"/>
    <x v="0"/>
    <n v="0"/>
    <n v="506.14"/>
    <n v="11.2"/>
    <n v="506.14"/>
    <x v="0"/>
    <n v="506.14"/>
    <s v="06-2019"/>
  </r>
  <r>
    <n v="35938"/>
    <x v="240"/>
    <s v="Not Specified"/>
    <x v="49"/>
    <x v="2"/>
    <x v="2"/>
    <n v="672.31309999999996"/>
    <x v="1"/>
    <n v="6.7231309999999995"/>
    <n v="665.589969"/>
    <n v="10"/>
    <n v="662.31309999999996"/>
    <x v="0"/>
    <n v="662.31309999999996"/>
    <s v="11-2019"/>
  </r>
  <r>
    <n v="4261"/>
    <x v="157"/>
    <s v="Critical"/>
    <x v="0"/>
    <x v="0"/>
    <x v="0"/>
    <n v="209.7"/>
    <x v="0"/>
    <n v="0"/>
    <n v="209.7"/>
    <n v="5.7"/>
    <n v="209.7"/>
    <x v="0"/>
    <n v="209.7"/>
    <s v="10-2019"/>
  </r>
  <r>
    <n v="10053"/>
    <x v="154"/>
    <s v="High"/>
    <x v="2"/>
    <x v="1"/>
    <x v="1"/>
    <n v="7292.3"/>
    <x v="1"/>
    <n v="72.923000000000002"/>
    <n v="7219.3770000000004"/>
    <n v="42"/>
    <n v="7250.3"/>
    <x v="2"/>
    <n v="7219.3770000000004"/>
    <s v="01-2019"/>
  </r>
  <r>
    <n v="20995"/>
    <x v="278"/>
    <s v="Medium"/>
    <x v="37"/>
    <x v="5"/>
    <x v="5"/>
    <n v="6225.13"/>
    <x v="1"/>
    <n v="62.251300000000001"/>
    <n v="6162.8787000000002"/>
    <n v="70.900000000000006"/>
    <n v="6154.2300000000005"/>
    <x v="2"/>
    <n v="6154.2300000000005"/>
    <s v="03-2019"/>
  </r>
  <r>
    <n v="55431"/>
    <x v="153"/>
    <s v="Not Specified"/>
    <x v="13"/>
    <x v="7"/>
    <x v="7"/>
    <n v="3984.67"/>
    <x v="0"/>
    <n v="0"/>
    <n v="3984.67"/>
    <n v="21.4"/>
    <n v="3984.67"/>
    <x v="0"/>
    <n v="3984.67"/>
    <s v="06-2019"/>
  </r>
  <r>
    <n v="29536"/>
    <x v="328"/>
    <s v="Medium"/>
    <x v="11"/>
    <x v="6"/>
    <x v="6"/>
    <n v="1035.1300000000001"/>
    <x v="0"/>
    <n v="0"/>
    <n v="1035.1300000000001"/>
    <n v="21.4"/>
    <n v="1035.1300000000001"/>
    <x v="0"/>
    <n v="1035.1300000000001"/>
    <s v="09-2019"/>
  </r>
  <r>
    <n v="30786"/>
    <x v="47"/>
    <s v="Medium"/>
    <x v="39"/>
    <x v="3"/>
    <x v="3"/>
    <n v="77.81"/>
    <x v="0"/>
    <n v="0"/>
    <n v="77.81"/>
    <n v="11.4"/>
    <n v="77.81"/>
    <x v="0"/>
    <n v="77.81"/>
    <s v="07-2019"/>
  </r>
  <r>
    <n v="38182"/>
    <x v="177"/>
    <s v="High"/>
    <x v="9"/>
    <x v="1"/>
    <x v="1"/>
    <n v="3048.25"/>
    <x v="1"/>
    <n v="30.482500000000002"/>
    <n v="3017.7674999999999"/>
    <n v="37.5"/>
    <n v="3010.75"/>
    <x v="0"/>
    <n v="3010.75"/>
    <s v="05-2019"/>
  </r>
  <r>
    <n v="34022"/>
    <x v="336"/>
    <s v="Not Specified"/>
    <x v="44"/>
    <x v="9"/>
    <x v="9"/>
    <n v="46.97"/>
    <x v="0"/>
    <n v="0"/>
    <n v="46.97"/>
    <n v="5.3"/>
    <n v="46.97"/>
    <x v="0"/>
    <n v="46.97"/>
    <s v="11-2019"/>
  </r>
  <r>
    <n v="18849"/>
    <x v="36"/>
    <s v="High"/>
    <x v="20"/>
    <x v="1"/>
    <x v="1"/>
    <n v="504.9"/>
    <x v="1"/>
    <n v="5.0489999999999995"/>
    <n v="499.851"/>
    <n v="5.6"/>
    <n v="499.29999999999995"/>
    <x v="0"/>
    <n v="499.29999999999995"/>
    <s v="08-2019"/>
  </r>
  <r>
    <n v="18112"/>
    <x v="277"/>
    <s v="Not Specified"/>
    <x v="13"/>
    <x v="7"/>
    <x v="7"/>
    <n v="89.14"/>
    <x v="0"/>
    <n v="0"/>
    <n v="89.14"/>
    <n v="1.4"/>
    <n v="89.14"/>
    <x v="0"/>
    <n v="89.14"/>
    <s v="03-2019"/>
  </r>
  <r>
    <n v="58917"/>
    <x v="251"/>
    <s v="High"/>
    <x v="4"/>
    <x v="3"/>
    <x v="3"/>
    <n v="67.28"/>
    <x v="0"/>
    <n v="0"/>
    <n v="67.28"/>
    <n v="3.1"/>
    <n v="67.28"/>
    <x v="0"/>
    <n v="67.28"/>
    <s v="03-2019"/>
  </r>
  <r>
    <n v="25793"/>
    <x v="281"/>
    <s v="Low"/>
    <x v="40"/>
    <x v="6"/>
    <x v="6"/>
    <n v="3677.34"/>
    <x v="0"/>
    <n v="0"/>
    <n v="3677.34"/>
    <n v="9.6"/>
    <n v="3677.34"/>
    <x v="0"/>
    <n v="3677.34"/>
    <s v="04-2019"/>
  </r>
  <r>
    <n v="44423"/>
    <x v="76"/>
    <s v="Critical"/>
    <x v="41"/>
    <x v="5"/>
    <x v="5"/>
    <n v="266.04000000000002"/>
    <x v="1"/>
    <n v="2.6604000000000001"/>
    <n v="263.37960000000004"/>
    <n v="5.7"/>
    <n v="260.34000000000003"/>
    <x v="0"/>
    <n v="260.34000000000003"/>
    <s v="07-2019"/>
  </r>
  <r>
    <n v="1701"/>
    <x v="95"/>
    <s v="High"/>
    <x v="21"/>
    <x v="2"/>
    <x v="2"/>
    <n v="2190.91"/>
    <x v="1"/>
    <n v="21.909099999999999"/>
    <n v="2169.0009"/>
    <n v="2.1"/>
    <n v="2188.81"/>
    <x v="0"/>
    <n v="2169.0009"/>
    <s v="05-2019"/>
  </r>
  <r>
    <n v="35713"/>
    <x v="326"/>
    <s v="Medium"/>
    <x v="21"/>
    <x v="2"/>
    <x v="2"/>
    <n v="1450.35"/>
    <x v="1"/>
    <n v="14.503499999999999"/>
    <n v="1435.8464999999999"/>
    <n v="1.6"/>
    <n v="1448.75"/>
    <x v="0"/>
    <n v="1435.8464999999999"/>
    <s v="10-2019"/>
  </r>
  <r>
    <n v="22688"/>
    <x v="261"/>
    <s v="Medium"/>
    <x v="28"/>
    <x v="5"/>
    <x v="5"/>
    <n v="2187.37"/>
    <x v="1"/>
    <n v="21.873699999999999"/>
    <n v="2165.4962999999998"/>
    <n v="6"/>
    <n v="2181.37"/>
    <x v="0"/>
    <n v="2165.4962999999998"/>
    <s v="04-2019"/>
  </r>
  <r>
    <n v="57699"/>
    <x v="89"/>
    <s v="Low"/>
    <x v="34"/>
    <x v="5"/>
    <x v="5"/>
    <n v="2312.0880999999999"/>
    <x v="1"/>
    <n v="23.120881000000001"/>
    <n v="2288.9672190000001"/>
    <n v="21.4"/>
    <n v="2290.6880999999998"/>
    <x v="0"/>
    <n v="2288.9672190000001"/>
    <s v="11-2019"/>
  </r>
  <r>
    <n v="36229"/>
    <x v="323"/>
    <s v="Not Specified"/>
    <x v="10"/>
    <x v="4"/>
    <x v="4"/>
    <n v="3841.65"/>
    <x v="0"/>
    <n v="0"/>
    <n v="3841.65"/>
    <n v="46.8"/>
    <n v="3841.65"/>
    <x v="2"/>
    <n v="3841.65"/>
    <s v="09-2019"/>
  </r>
  <r>
    <n v="13923"/>
    <x v="62"/>
    <s v="High"/>
    <x v="23"/>
    <x v="6"/>
    <x v="6"/>
    <n v="4635.5609999999997"/>
    <x v="0"/>
    <n v="0"/>
    <n v="4635.5609999999997"/>
    <n v="16.7"/>
    <n v="4635.5609999999997"/>
    <x v="2"/>
    <n v="4635.5609999999997"/>
    <s v="07-2019"/>
  </r>
  <r>
    <n v="40801"/>
    <x v="337"/>
    <s v="Not Specified"/>
    <x v="32"/>
    <x v="8"/>
    <x v="8"/>
    <n v="138.19999999999999"/>
    <x v="0"/>
    <n v="0"/>
    <n v="138.19999999999999"/>
    <n v="6.7"/>
    <n v="138.19999999999999"/>
    <x v="0"/>
    <n v="138.19999999999999"/>
    <s v="07-2019"/>
  </r>
  <r>
    <n v="22663"/>
    <x v="147"/>
    <s v="Low"/>
    <x v="47"/>
    <x v="7"/>
    <x v="7"/>
    <n v="7693.3642"/>
    <x v="0"/>
    <n v="0"/>
    <n v="7693.3642"/>
    <n v="30.1"/>
    <n v="7693.3642"/>
    <x v="2"/>
    <n v="7693.3642"/>
    <s v="01-2019"/>
  </r>
  <r>
    <n v="4800"/>
    <x v="38"/>
    <s v="Low"/>
    <x v="29"/>
    <x v="9"/>
    <x v="9"/>
    <n v="85.4"/>
    <x v="0"/>
    <n v="0"/>
    <n v="85.4"/>
    <n v="2.5"/>
    <n v="85.4"/>
    <x v="0"/>
    <n v="85.4"/>
    <s v="01-2019"/>
  </r>
  <r>
    <n v="16098"/>
    <x v="167"/>
    <s v="Low"/>
    <x v="2"/>
    <x v="1"/>
    <x v="1"/>
    <n v="1072.1300000000001"/>
    <x v="1"/>
    <n v="10.721300000000001"/>
    <n v="1061.4087000000002"/>
    <n v="3.2"/>
    <n v="1068.93"/>
    <x v="0"/>
    <n v="1061.4087000000002"/>
    <s v="07-2019"/>
  </r>
  <r>
    <n v="17414"/>
    <x v="286"/>
    <s v="High"/>
    <x v="25"/>
    <x v="0"/>
    <x v="0"/>
    <n v="372.29"/>
    <x v="0"/>
    <n v="0"/>
    <n v="372.29"/>
    <n v="5.4"/>
    <n v="372.29"/>
    <x v="0"/>
    <n v="372.29"/>
    <s v="06-2019"/>
  </r>
  <r>
    <n v="54177"/>
    <x v="322"/>
    <s v="Critical"/>
    <x v="31"/>
    <x v="4"/>
    <x v="4"/>
    <n v="170.13"/>
    <x v="0"/>
    <n v="0"/>
    <n v="170.13"/>
    <n v="7.9"/>
    <n v="170.13"/>
    <x v="0"/>
    <n v="170.13"/>
    <s v="01-2019"/>
  </r>
  <r>
    <n v="8294"/>
    <x v="288"/>
    <s v="Medium"/>
    <x v="23"/>
    <x v="6"/>
    <x v="6"/>
    <n v="211.4"/>
    <x v="0"/>
    <n v="0"/>
    <n v="211.4"/>
    <n v="5.4"/>
    <n v="211.4"/>
    <x v="0"/>
    <n v="211.4"/>
    <s v="06-2019"/>
  </r>
  <r>
    <n v="19874"/>
    <x v="153"/>
    <s v="High"/>
    <x v="7"/>
    <x v="0"/>
    <x v="0"/>
    <n v="332.19"/>
    <x v="0"/>
    <n v="0"/>
    <n v="332.19"/>
    <n v="10.1"/>
    <n v="332.19"/>
    <x v="0"/>
    <n v="332.19"/>
    <s v="06-2019"/>
  </r>
  <r>
    <n v="58658"/>
    <x v="68"/>
    <s v="Medium"/>
    <x v="29"/>
    <x v="9"/>
    <x v="9"/>
    <n v="945.06"/>
    <x v="0"/>
    <n v="0"/>
    <n v="945.06"/>
    <n v="62.7"/>
    <n v="945.06"/>
    <x v="2"/>
    <n v="945.06"/>
    <s v="06-2019"/>
  </r>
  <r>
    <n v="23618"/>
    <x v="338"/>
    <s v="Medium"/>
    <x v="9"/>
    <x v="1"/>
    <x v="1"/>
    <n v="2783.92"/>
    <x v="1"/>
    <n v="27.839200000000002"/>
    <n v="2756.0808000000002"/>
    <n v="5.6"/>
    <n v="2778.32"/>
    <x v="0"/>
    <n v="2756.0808000000002"/>
    <s v="11-2019"/>
  </r>
  <r>
    <n v="31874"/>
    <x v="57"/>
    <s v="High"/>
    <x v="48"/>
    <x v="6"/>
    <x v="6"/>
    <n v="344.48649999999998"/>
    <x v="0"/>
    <n v="0"/>
    <n v="344.48649999999998"/>
    <n v="3.6"/>
    <n v="344.48649999999998"/>
    <x v="1"/>
    <n v="344.48649999999998"/>
    <s v="09-2019"/>
  </r>
  <r>
    <n v="21638"/>
    <x v="313"/>
    <s v="High"/>
    <x v="13"/>
    <x v="7"/>
    <x v="7"/>
    <n v="448.25510000000003"/>
    <x v="0"/>
    <n v="0"/>
    <n v="448.25510000000003"/>
    <n v="9.4"/>
    <n v="448.25510000000003"/>
    <x v="0"/>
    <n v="448.25510000000003"/>
    <s v="04-2019"/>
  </r>
  <r>
    <n v="41063"/>
    <x v="339"/>
    <s v="Low"/>
    <x v="6"/>
    <x v="4"/>
    <x v="4"/>
    <n v="517.84"/>
    <x v="0"/>
    <n v="0"/>
    <n v="517.84"/>
    <n v="9.6"/>
    <n v="517.84"/>
    <x v="0"/>
    <n v="517.84"/>
    <s v="11-2019"/>
  </r>
  <r>
    <n v="44167"/>
    <x v="32"/>
    <s v="Critical"/>
    <x v="42"/>
    <x v="4"/>
    <x v="4"/>
    <n v="3417.63"/>
    <x v="0"/>
    <n v="0"/>
    <n v="3417.63"/>
    <n v="21.4"/>
    <n v="3417.63"/>
    <x v="0"/>
    <n v="3417.63"/>
    <s v="01-2019"/>
  </r>
  <r>
    <n v="45346"/>
    <x v="4"/>
    <s v="High"/>
    <x v="37"/>
    <x v="5"/>
    <x v="5"/>
    <n v="740.6"/>
    <x v="1"/>
    <n v="7.4060000000000006"/>
    <n v="733.19399999999996"/>
    <n v="6.4"/>
    <n v="734.2"/>
    <x v="0"/>
    <n v="733.19399999999996"/>
    <s v="11-2019"/>
  </r>
  <r>
    <n v="4804"/>
    <x v="297"/>
    <s v="High"/>
    <x v="13"/>
    <x v="7"/>
    <x v="7"/>
    <n v="496.29809999999998"/>
    <x v="0"/>
    <n v="0"/>
    <n v="496.29809999999998"/>
    <n v="2.1"/>
    <n v="496.29809999999998"/>
    <x v="0"/>
    <n v="496.29809999999998"/>
    <s v="01-2019"/>
  </r>
  <r>
    <n v="23555"/>
    <x v="144"/>
    <s v="High"/>
    <x v="18"/>
    <x v="3"/>
    <x v="3"/>
    <n v="304.36"/>
    <x v="0"/>
    <n v="0"/>
    <n v="304.36"/>
    <n v="9.6"/>
    <n v="304.36"/>
    <x v="0"/>
    <n v="304.36"/>
    <s v="12-2019"/>
  </r>
  <r>
    <n v="51876"/>
    <x v="308"/>
    <s v="Critical"/>
    <x v="33"/>
    <x v="3"/>
    <x v="3"/>
    <n v="101.71"/>
    <x v="0"/>
    <n v="0"/>
    <n v="101.71"/>
    <n v="5.4"/>
    <n v="101.71"/>
    <x v="0"/>
    <n v="101.71"/>
    <s v="03-2019"/>
  </r>
  <r>
    <n v="59905"/>
    <x v="9"/>
    <s v="High"/>
    <x v="24"/>
    <x v="8"/>
    <x v="8"/>
    <n v="170.39"/>
    <x v="0"/>
    <n v="0"/>
    <n v="170.39"/>
    <n v="2.1"/>
    <n v="170.39"/>
    <x v="0"/>
    <n v="170.39"/>
    <s v="04-2019"/>
  </r>
  <r>
    <n v="22085"/>
    <x v="263"/>
    <s v="Low"/>
    <x v="40"/>
    <x v="6"/>
    <x v="6"/>
    <n v="518.98209999999995"/>
    <x v="0"/>
    <n v="0"/>
    <n v="518.98209999999995"/>
    <n v="10.1"/>
    <n v="518.98209999999995"/>
    <x v="0"/>
    <n v="518.98209999999995"/>
    <s v="03-2019"/>
  </r>
  <r>
    <n v="9765"/>
    <x v="18"/>
    <s v="Low"/>
    <x v="11"/>
    <x v="6"/>
    <x v="6"/>
    <n v="3750.99"/>
    <x v="0"/>
    <n v="0"/>
    <n v="3750.99"/>
    <n v="13.5"/>
    <n v="3750.99"/>
    <x v="0"/>
    <n v="3750.99"/>
    <s v="10-2019"/>
  </r>
  <r>
    <n v="52706"/>
    <x v="156"/>
    <s v="Low"/>
    <x v="1"/>
    <x v="0"/>
    <x v="0"/>
    <n v="1114.58"/>
    <x v="0"/>
    <n v="0"/>
    <n v="1114.58"/>
    <n v="1.6"/>
    <n v="1114.58"/>
    <x v="1"/>
    <n v="1114.58"/>
    <s v="07-2019"/>
  </r>
  <r>
    <n v="35554"/>
    <x v="266"/>
    <s v="Not Specified"/>
    <x v="1"/>
    <x v="0"/>
    <x v="0"/>
    <n v="4902.25"/>
    <x v="0"/>
    <n v="0"/>
    <n v="4902.25"/>
    <n v="58.6"/>
    <n v="4902.25"/>
    <x v="2"/>
    <n v="4902.25"/>
    <s v="09-2019"/>
  </r>
  <r>
    <n v="11173"/>
    <x v="120"/>
    <s v="Critical"/>
    <x v="37"/>
    <x v="5"/>
    <x v="5"/>
    <n v="237.18"/>
    <x v="1"/>
    <n v="2.3717999999999999"/>
    <n v="234.8082"/>
    <n v="4.0999999999999996"/>
    <n v="233.08"/>
    <x v="0"/>
    <n v="233.08"/>
    <s v="03-2019"/>
  </r>
  <r>
    <n v="6886"/>
    <x v="81"/>
    <s v="High"/>
    <x v="27"/>
    <x v="2"/>
    <x v="2"/>
    <n v="8749.4599999999991"/>
    <x v="1"/>
    <n v="87.494599999999991"/>
    <n v="8661.9653999999991"/>
    <n v="21.4"/>
    <n v="8728.06"/>
    <x v="0"/>
    <n v="8661.9653999999991"/>
    <s v="01-2019"/>
  </r>
  <r>
    <n v="22663"/>
    <x v="147"/>
    <s v="Low"/>
    <x v="16"/>
    <x v="0"/>
    <x v="0"/>
    <n v="10532.13"/>
    <x v="0"/>
    <n v="0"/>
    <n v="10532.13"/>
    <n v="61"/>
    <n v="10532.13"/>
    <x v="2"/>
    <n v="10532.13"/>
    <s v="01-2019"/>
  </r>
  <r>
    <n v="614"/>
    <x v="133"/>
    <s v="High"/>
    <x v="19"/>
    <x v="1"/>
    <x v="1"/>
    <n v="672.2"/>
    <x v="1"/>
    <n v="6.7220000000000004"/>
    <n v="665.47800000000007"/>
    <n v="5.4"/>
    <n v="666.80000000000007"/>
    <x v="0"/>
    <n v="665.47800000000007"/>
    <s v="11-2019"/>
  </r>
  <r>
    <n v="31681"/>
    <x v="198"/>
    <s v="Not Specified"/>
    <x v="8"/>
    <x v="5"/>
    <x v="5"/>
    <n v="226.97"/>
    <x v="1"/>
    <n v="2.2696999999999998"/>
    <n v="224.7003"/>
    <n v="6.1"/>
    <n v="220.87"/>
    <x v="0"/>
    <n v="220.87"/>
    <s v="11-2019"/>
  </r>
  <r>
    <n v="59878"/>
    <x v="98"/>
    <s v="High"/>
    <x v="44"/>
    <x v="9"/>
    <x v="9"/>
    <n v="120.27"/>
    <x v="0"/>
    <n v="0"/>
    <n v="120.27"/>
    <n v="9.1"/>
    <n v="120.27"/>
    <x v="0"/>
    <n v="120.27"/>
    <s v="05-2019"/>
  </r>
  <r>
    <n v="41831"/>
    <x v="167"/>
    <s v="Not Specified"/>
    <x v="8"/>
    <x v="5"/>
    <x v="5"/>
    <n v="224.28"/>
    <x v="1"/>
    <n v="2.2427999999999999"/>
    <n v="222.03720000000001"/>
    <n v="6.1"/>
    <n v="218.18"/>
    <x v="0"/>
    <n v="218.18"/>
    <s v="07-2019"/>
  </r>
  <r>
    <n v="17218"/>
    <x v="319"/>
    <s v="Critical"/>
    <x v="25"/>
    <x v="0"/>
    <x v="0"/>
    <n v="168.9"/>
    <x v="0"/>
    <n v="0"/>
    <n v="168.9"/>
    <n v="2.2000000000000002"/>
    <n v="168.9"/>
    <x v="0"/>
    <n v="168.9"/>
    <s v="07-2019"/>
  </r>
  <r>
    <n v="2054"/>
    <x v="51"/>
    <s v="Not Specified"/>
    <x v="1"/>
    <x v="0"/>
    <x v="0"/>
    <n v="883.91629999999998"/>
    <x v="0"/>
    <n v="0"/>
    <n v="883.91629999999998"/>
    <n v="8.1"/>
    <n v="883.91629999999998"/>
    <x v="0"/>
    <n v="883.91629999999998"/>
    <s v="06-2019"/>
  </r>
  <r>
    <n v="48615"/>
    <x v="200"/>
    <s v="Low"/>
    <x v="39"/>
    <x v="3"/>
    <x v="3"/>
    <n v="18.09"/>
    <x v="0"/>
    <n v="0"/>
    <n v="18.09"/>
    <n v="0.5"/>
    <n v="18.09"/>
    <x v="0"/>
    <n v="18.09"/>
    <s v="12-2019"/>
  </r>
  <r>
    <n v="3680"/>
    <x v="160"/>
    <s v="Not Specified"/>
    <x v="40"/>
    <x v="6"/>
    <x v="6"/>
    <n v="190.41"/>
    <x v="0"/>
    <n v="0"/>
    <n v="190.41"/>
    <n v="6.4"/>
    <n v="190.41"/>
    <x v="0"/>
    <n v="190.41"/>
    <s v="12-2019"/>
  </r>
  <r>
    <n v="44737"/>
    <x v="12"/>
    <s v="Medium"/>
    <x v="36"/>
    <x v="8"/>
    <x v="8"/>
    <n v="323.28179999999998"/>
    <x v="0"/>
    <n v="0"/>
    <n v="323.28179999999998"/>
    <n v="1.1000000000000001"/>
    <n v="323.28179999999998"/>
    <x v="0"/>
    <n v="323.28179999999998"/>
    <s v="11-2019"/>
  </r>
  <r>
    <n v="56930"/>
    <x v="49"/>
    <s v="Low"/>
    <x v="46"/>
    <x v="9"/>
    <x v="9"/>
    <n v="1056.67"/>
    <x v="0"/>
    <n v="0"/>
    <n v="1056.67"/>
    <n v="37.5"/>
    <n v="1056.67"/>
    <x v="0"/>
    <n v="1056.67"/>
    <s v="08-2019"/>
  </r>
  <r>
    <n v="2688"/>
    <x v="166"/>
    <s v="High"/>
    <x v="7"/>
    <x v="0"/>
    <x v="0"/>
    <n v="2225.64"/>
    <x v="0"/>
    <n v="0"/>
    <n v="2225.64"/>
    <n v="1.3"/>
    <n v="2225.64"/>
    <x v="0"/>
    <n v="2225.64"/>
    <s v="01-2019"/>
  </r>
  <r>
    <n v="16161"/>
    <x v="8"/>
    <s v="Medium"/>
    <x v="8"/>
    <x v="5"/>
    <x v="5"/>
    <n v="161.77000000000001"/>
    <x v="1"/>
    <n v="1.6177000000000001"/>
    <n v="160.1523"/>
    <n v="0.8"/>
    <n v="160.97"/>
    <x v="0"/>
    <n v="160.1523"/>
    <s v="07-2019"/>
  </r>
  <r>
    <n v="18500"/>
    <x v="245"/>
    <s v="Medium"/>
    <x v="2"/>
    <x v="1"/>
    <x v="1"/>
    <n v="2683.34"/>
    <x v="1"/>
    <n v="26.833400000000001"/>
    <n v="2656.5066000000002"/>
    <n v="39.200000000000003"/>
    <n v="2644.1400000000003"/>
    <x v="2"/>
    <n v="2644.1400000000003"/>
    <s v="02-2019"/>
  </r>
  <r>
    <n v="10823"/>
    <x v="22"/>
    <s v="Low"/>
    <x v="4"/>
    <x v="3"/>
    <x v="3"/>
    <n v="143.27000000000001"/>
    <x v="0"/>
    <n v="0"/>
    <n v="143.27000000000001"/>
    <n v="3.2"/>
    <n v="143.27000000000001"/>
    <x v="0"/>
    <n v="143.27000000000001"/>
    <s v="06-2019"/>
  </r>
  <r>
    <n v="13991"/>
    <x v="308"/>
    <s v="High"/>
    <x v="10"/>
    <x v="4"/>
    <x v="4"/>
    <n v="182.65"/>
    <x v="0"/>
    <n v="0"/>
    <n v="182.65"/>
    <n v="2.9"/>
    <n v="182.65"/>
    <x v="0"/>
    <n v="182.65"/>
    <s v="03-2019"/>
  </r>
  <r>
    <n v="1344"/>
    <x v="150"/>
    <s v="Low"/>
    <x v="47"/>
    <x v="7"/>
    <x v="7"/>
    <n v="893.35"/>
    <x v="0"/>
    <n v="0"/>
    <n v="893.35"/>
    <n v="5.6"/>
    <n v="893.35"/>
    <x v="0"/>
    <n v="893.35"/>
    <s v="04-2019"/>
  </r>
  <r>
    <n v="14272"/>
    <x v="218"/>
    <s v="Medium"/>
    <x v="25"/>
    <x v="0"/>
    <x v="0"/>
    <n v="2578.66"/>
    <x v="0"/>
    <n v="0"/>
    <n v="2578.66"/>
    <n v="4.8"/>
    <n v="2578.66"/>
    <x v="0"/>
    <n v="2578.66"/>
    <s v="02-2019"/>
  </r>
  <r>
    <n v="41671"/>
    <x v="200"/>
    <s v="Critical"/>
    <x v="21"/>
    <x v="2"/>
    <x v="2"/>
    <n v="683.63369999999998"/>
    <x v="1"/>
    <n v="6.8363370000000003"/>
    <n v="676.79736300000002"/>
    <n v="3.4"/>
    <n v="680.2337"/>
    <x v="0"/>
    <n v="676.79736300000002"/>
    <s v="12-2019"/>
  </r>
  <r>
    <n v="4896"/>
    <x v="97"/>
    <s v="Critical"/>
    <x v="5"/>
    <x v="4"/>
    <x v="4"/>
    <n v="129.79"/>
    <x v="0"/>
    <n v="0"/>
    <n v="129.79"/>
    <n v="6"/>
    <n v="129.79"/>
    <x v="0"/>
    <n v="129.79"/>
    <s v="08-2019"/>
  </r>
  <r>
    <n v="11650"/>
    <x v="266"/>
    <s v="Not Specified"/>
    <x v="17"/>
    <x v="6"/>
    <x v="6"/>
    <n v="260.52999999999997"/>
    <x v="0"/>
    <n v="0"/>
    <n v="260.52999999999997"/>
    <n v="2.5"/>
    <n v="260.52999999999997"/>
    <x v="0"/>
    <n v="260.52999999999997"/>
    <s v="09-2019"/>
  </r>
  <r>
    <n v="25377"/>
    <x v="315"/>
    <s v="Low"/>
    <x v="4"/>
    <x v="3"/>
    <x v="3"/>
    <n v="4647.5600000000004"/>
    <x v="0"/>
    <n v="0"/>
    <n v="4647.5600000000004"/>
    <n v="31.8"/>
    <n v="4647.5600000000004"/>
    <x v="2"/>
    <n v="4647.5600000000004"/>
    <s v="11-2019"/>
  </r>
  <r>
    <n v="43104"/>
    <x v="58"/>
    <s v="High"/>
    <x v="3"/>
    <x v="2"/>
    <x v="2"/>
    <n v="4973.9164000000001"/>
    <x v="1"/>
    <n v="49.739164000000002"/>
    <n v="4924.1772360000004"/>
    <n v="15"/>
    <n v="4958.9164000000001"/>
    <x v="2"/>
    <n v="4924.1772360000004"/>
    <s v="10-2019"/>
  </r>
  <r>
    <n v="59558"/>
    <x v="47"/>
    <s v="Not Specified"/>
    <x v="1"/>
    <x v="0"/>
    <x v="0"/>
    <n v="101.17919999999999"/>
    <x v="0"/>
    <n v="0"/>
    <n v="101.17919999999999"/>
    <n v="0.5"/>
    <n v="101.17919999999999"/>
    <x v="0"/>
    <n v="101.17919999999999"/>
    <s v="07-2019"/>
  </r>
  <r>
    <n v="57638"/>
    <x v="291"/>
    <s v="Low"/>
    <x v="16"/>
    <x v="0"/>
    <x v="0"/>
    <n v="6142.47"/>
    <x v="0"/>
    <n v="0"/>
    <n v="6142.47"/>
    <n v="31.1"/>
    <n v="6142.47"/>
    <x v="2"/>
    <n v="6142.47"/>
    <s v="04-2019"/>
  </r>
  <r>
    <n v="2912"/>
    <x v="84"/>
    <s v="Low"/>
    <x v="29"/>
    <x v="9"/>
    <x v="9"/>
    <n v="17748.23"/>
    <x v="0"/>
    <n v="0"/>
    <n v="17748.23"/>
    <n v="31.8"/>
    <n v="17748.23"/>
    <x v="2"/>
    <n v="17748.23"/>
    <s v="03-2019"/>
  </r>
  <r>
    <n v="35712"/>
    <x v="82"/>
    <s v="High"/>
    <x v="15"/>
    <x v="1"/>
    <x v="1"/>
    <n v="4206.3500000000004"/>
    <x v="1"/>
    <n v="42.063500000000005"/>
    <n v="4164.2865000000002"/>
    <n v="7.7"/>
    <n v="4198.6500000000005"/>
    <x v="0"/>
    <n v="4164.2865000000002"/>
    <s v="10-2019"/>
  </r>
  <r>
    <n v="58368"/>
    <x v="156"/>
    <s v="High"/>
    <x v="39"/>
    <x v="3"/>
    <x v="3"/>
    <n v="15.23"/>
    <x v="0"/>
    <n v="0"/>
    <n v="15.23"/>
    <n v="5.7"/>
    <n v="15.23"/>
    <x v="0"/>
    <n v="15.23"/>
    <s v="07-2019"/>
  </r>
  <r>
    <n v="57570"/>
    <x v="333"/>
    <s v="High"/>
    <x v="47"/>
    <x v="7"/>
    <x v="7"/>
    <n v="722.5"/>
    <x v="0"/>
    <n v="0"/>
    <n v="722.5"/>
    <n v="7.7"/>
    <n v="722.5"/>
    <x v="0"/>
    <n v="722.5"/>
    <s v="09-2019"/>
  </r>
  <r>
    <n v="19745"/>
    <x v="314"/>
    <s v="High"/>
    <x v="48"/>
    <x v="6"/>
    <x v="6"/>
    <n v="9240.1"/>
    <x v="0"/>
    <n v="0"/>
    <n v="9240.1"/>
    <n v="7.7"/>
    <n v="9240.1"/>
    <x v="0"/>
    <n v="9240.1"/>
    <s v="12-2019"/>
  </r>
  <r>
    <n v="23174"/>
    <x v="228"/>
    <s v="Low"/>
    <x v="36"/>
    <x v="8"/>
    <x v="8"/>
    <n v="3798.39"/>
    <x v="0"/>
    <n v="0"/>
    <n v="3798.39"/>
    <n v="68.7"/>
    <n v="3798.39"/>
    <x v="2"/>
    <n v="3798.39"/>
    <s v="07-2019"/>
  </r>
  <r>
    <n v="51333"/>
    <x v="103"/>
    <s v="Not Specified"/>
    <x v="31"/>
    <x v="4"/>
    <x v="4"/>
    <n v="253.98"/>
    <x v="0"/>
    <n v="0"/>
    <n v="253.98"/>
    <n v="10.6"/>
    <n v="253.98"/>
    <x v="0"/>
    <n v="253.98"/>
    <s v="10-2019"/>
  </r>
  <r>
    <n v="832"/>
    <x v="172"/>
    <s v="Low"/>
    <x v="29"/>
    <x v="9"/>
    <x v="9"/>
    <n v="57.2"/>
    <x v="0"/>
    <n v="0"/>
    <n v="57.2"/>
    <n v="6.3"/>
    <n v="57.2"/>
    <x v="0"/>
    <n v="57.2"/>
    <s v="04-2019"/>
  </r>
  <r>
    <n v="24775"/>
    <x v="294"/>
    <s v="Critical"/>
    <x v="47"/>
    <x v="7"/>
    <x v="7"/>
    <n v="1729.83"/>
    <x v="0"/>
    <n v="0"/>
    <n v="1729.83"/>
    <n v="60.2"/>
    <n v="1729.83"/>
    <x v="2"/>
    <n v="1729.83"/>
    <s v="02-2019"/>
  </r>
  <r>
    <n v="18208"/>
    <x v="54"/>
    <s v="Not Specified"/>
    <x v="1"/>
    <x v="0"/>
    <x v="0"/>
    <n v="211.27"/>
    <x v="0"/>
    <n v="0"/>
    <n v="211.27"/>
    <n v="1.5"/>
    <n v="211.27"/>
    <x v="0"/>
    <n v="211.27"/>
    <s v="04-2019"/>
  </r>
  <r>
    <n v="51140"/>
    <x v="170"/>
    <s v="Low"/>
    <x v="23"/>
    <x v="6"/>
    <x v="6"/>
    <n v="141.25"/>
    <x v="0"/>
    <n v="0"/>
    <n v="141.25"/>
    <n v="5.5"/>
    <n v="141.25"/>
    <x v="0"/>
    <n v="141.25"/>
    <s v="09-2019"/>
  </r>
  <r>
    <n v="28929"/>
    <x v="40"/>
    <s v="Medium"/>
    <x v="37"/>
    <x v="5"/>
    <x v="5"/>
    <n v="247.14"/>
    <x v="1"/>
    <n v="2.4714"/>
    <n v="244.6686"/>
    <n v="8.8000000000000007"/>
    <n v="238.33999999999997"/>
    <x v="0"/>
    <n v="238.33999999999997"/>
    <s v="10-2019"/>
  </r>
  <r>
    <n v="8033"/>
    <x v="14"/>
    <s v="High"/>
    <x v="40"/>
    <x v="6"/>
    <x v="6"/>
    <n v="126.45"/>
    <x v="0"/>
    <n v="0"/>
    <n v="126.45"/>
    <n v="7.4"/>
    <n v="126.45"/>
    <x v="0"/>
    <n v="126.45"/>
    <s v="04-2019"/>
  </r>
  <r>
    <n v="50403"/>
    <x v="91"/>
    <s v="Not Specified"/>
    <x v="8"/>
    <x v="5"/>
    <x v="5"/>
    <n v="283.46440000000001"/>
    <x v="1"/>
    <n v="2.8346440000000004"/>
    <n v="280.62975599999999"/>
    <n v="6.5"/>
    <n v="276.96440000000001"/>
    <x v="0"/>
    <n v="276.96440000000001"/>
    <s v="05-2019"/>
  </r>
  <r>
    <n v="59015"/>
    <x v="155"/>
    <s v="Medium"/>
    <x v="25"/>
    <x v="0"/>
    <x v="0"/>
    <n v="297.66000000000003"/>
    <x v="0"/>
    <n v="0"/>
    <n v="297.66000000000003"/>
    <n v="1"/>
    <n v="297.66000000000003"/>
    <x v="0"/>
    <n v="297.66000000000003"/>
    <s v="05-2019"/>
  </r>
  <r>
    <n v="41063"/>
    <x v="339"/>
    <s v="Low"/>
    <x v="46"/>
    <x v="9"/>
    <x v="9"/>
    <n v="329.95"/>
    <x v="0"/>
    <n v="0"/>
    <n v="329.95"/>
    <n v="1.1000000000000001"/>
    <n v="329.95"/>
    <x v="0"/>
    <n v="329.95"/>
    <s v="11-2019"/>
  </r>
  <r>
    <n v="17959"/>
    <x v="87"/>
    <s v="Medium"/>
    <x v="5"/>
    <x v="4"/>
    <x v="4"/>
    <n v="2979.49"/>
    <x v="0"/>
    <n v="0"/>
    <n v="2979.49"/>
    <n v="26.2"/>
    <n v="2979.49"/>
    <x v="0"/>
    <n v="2979.49"/>
    <s v="09-2019"/>
  </r>
  <r>
    <n v="20003"/>
    <x v="32"/>
    <s v="Medium"/>
    <x v="18"/>
    <x v="3"/>
    <x v="3"/>
    <n v="151.91"/>
    <x v="0"/>
    <n v="0"/>
    <n v="151.91"/>
    <n v="1.1000000000000001"/>
    <n v="151.91"/>
    <x v="0"/>
    <n v="151.91"/>
    <s v="01-2019"/>
  </r>
  <r>
    <n v="31523"/>
    <x v="271"/>
    <s v="Low"/>
    <x v="45"/>
    <x v="8"/>
    <x v="8"/>
    <n v="113.2595"/>
    <x v="0"/>
    <n v="0"/>
    <n v="113.2595"/>
    <n v="2.9"/>
    <n v="113.2595"/>
    <x v="0"/>
    <n v="113.2595"/>
    <s v="03-2019"/>
  </r>
  <r>
    <n v="24672"/>
    <x v="107"/>
    <s v="Medium"/>
    <x v="18"/>
    <x v="3"/>
    <x v="3"/>
    <n v="47.26"/>
    <x v="0"/>
    <n v="0"/>
    <n v="47.26"/>
    <n v="4.3"/>
    <n v="47.26"/>
    <x v="0"/>
    <n v="47.26"/>
    <s v="03-2019"/>
  </r>
  <r>
    <n v="41921"/>
    <x v="207"/>
    <s v="Medium"/>
    <x v="25"/>
    <x v="0"/>
    <x v="0"/>
    <n v="17455.46"/>
    <x v="0"/>
    <n v="0"/>
    <n v="17455.46"/>
    <n v="27.8"/>
    <n v="17455.46"/>
    <x v="2"/>
    <n v="17455.46"/>
    <s v="02-2019"/>
  </r>
  <r>
    <n v="18275"/>
    <x v="154"/>
    <s v="Low"/>
    <x v="31"/>
    <x v="4"/>
    <x v="4"/>
    <n v="345.32"/>
    <x v="0"/>
    <n v="0"/>
    <n v="345.32"/>
    <n v="5.3"/>
    <n v="345.32"/>
    <x v="0"/>
    <n v="345.32"/>
    <s v="01-2019"/>
  </r>
  <r>
    <n v="33729"/>
    <x v="136"/>
    <s v="Not Specified"/>
    <x v="11"/>
    <x v="6"/>
    <x v="6"/>
    <n v="7485.25"/>
    <x v="0"/>
    <n v="0"/>
    <n v="7485.25"/>
    <n v="37.5"/>
    <n v="7485.25"/>
    <x v="0"/>
    <n v="7485.25"/>
    <s v="09-2019"/>
  </r>
  <r>
    <n v="44992"/>
    <x v="44"/>
    <s v="Critical"/>
    <x v="25"/>
    <x v="0"/>
    <x v="0"/>
    <n v="7607.96"/>
    <x v="0"/>
    <n v="0"/>
    <n v="7607.96"/>
    <n v="74.5"/>
    <n v="7607.96"/>
    <x v="2"/>
    <n v="7607.96"/>
    <s v="12-2019"/>
  </r>
  <r>
    <n v="40131"/>
    <x v="80"/>
    <s v="Low"/>
    <x v="10"/>
    <x v="4"/>
    <x v="4"/>
    <n v="238.0001"/>
    <x v="0"/>
    <n v="0"/>
    <n v="238.0001"/>
    <n v="10.6"/>
    <n v="238.0001"/>
    <x v="0"/>
    <n v="238.0001"/>
    <s v="05-2019"/>
  </r>
  <r>
    <n v="16711"/>
    <x v="230"/>
    <s v="Not Specified"/>
    <x v="4"/>
    <x v="3"/>
    <x v="3"/>
    <n v="4.24"/>
    <x v="0"/>
    <n v="0"/>
    <n v="4.24"/>
    <n v="0.7"/>
    <n v="4.24"/>
    <x v="0"/>
    <n v="4.24"/>
    <s v="04-2019"/>
  </r>
  <r>
    <n v="2209"/>
    <x v="156"/>
    <s v="High"/>
    <x v="13"/>
    <x v="7"/>
    <x v="7"/>
    <n v="1354.08"/>
    <x v="0"/>
    <n v="0"/>
    <n v="1354.08"/>
    <n v="3.2"/>
    <n v="1354.08"/>
    <x v="0"/>
    <n v="1354.08"/>
    <s v="07-2019"/>
  </r>
  <r>
    <n v="48868"/>
    <x v="296"/>
    <s v="Not Specified"/>
    <x v="12"/>
    <x v="2"/>
    <x v="2"/>
    <n v="8183.3279000000002"/>
    <x v="1"/>
    <n v="81.833279000000005"/>
    <n v="8101.4946209999998"/>
    <n v="37.5"/>
    <n v="8145.8279000000002"/>
    <x v="1"/>
    <n v="8101.4946209999998"/>
    <s v="06-2019"/>
  </r>
  <r>
    <n v="16390"/>
    <x v="264"/>
    <s v="Medium"/>
    <x v="30"/>
    <x v="9"/>
    <x v="9"/>
    <n v="92.426599999999993"/>
    <x v="0"/>
    <n v="0"/>
    <n v="92.426599999999993"/>
    <n v="3.6"/>
    <n v="92.426599999999993"/>
    <x v="0"/>
    <n v="92.426599999999993"/>
    <s v="03-2019"/>
  </r>
  <r>
    <n v="45698"/>
    <x v="165"/>
    <s v="High"/>
    <x v="28"/>
    <x v="5"/>
    <x v="5"/>
    <n v="7018.14"/>
    <x v="1"/>
    <n v="70.181400000000011"/>
    <n v="6947.9585999999999"/>
    <n v="21.4"/>
    <n v="6996.7400000000007"/>
    <x v="0"/>
    <n v="6947.9585999999999"/>
    <s v="04-2019"/>
  </r>
  <r>
    <n v="29536"/>
    <x v="328"/>
    <s v="Medium"/>
    <x v="18"/>
    <x v="3"/>
    <x v="3"/>
    <n v="529.99239999999998"/>
    <x v="0"/>
    <n v="0"/>
    <n v="529.99239999999998"/>
    <n v="16.8"/>
    <n v="529.99239999999998"/>
    <x v="2"/>
    <n v="529.99239999999998"/>
    <s v="09-2019"/>
  </r>
  <r>
    <n v="43751"/>
    <x v="90"/>
    <s v="High"/>
    <x v="20"/>
    <x v="1"/>
    <x v="1"/>
    <n v="664.94"/>
    <x v="1"/>
    <n v="6.6494000000000009"/>
    <n v="658.29060000000004"/>
    <n v="4.8"/>
    <n v="660.1400000000001"/>
    <x v="0"/>
    <n v="658.29060000000004"/>
    <s v="06-2019"/>
  </r>
  <r>
    <n v="20032"/>
    <x v="231"/>
    <s v="Medium"/>
    <x v="30"/>
    <x v="9"/>
    <x v="9"/>
    <n v="147"/>
    <x v="0"/>
    <n v="0"/>
    <n v="147"/>
    <n v="2.1"/>
    <n v="147"/>
    <x v="0"/>
    <n v="147"/>
    <s v="11-2019"/>
  </r>
  <r>
    <n v="28868"/>
    <x v="303"/>
    <s v="High"/>
    <x v="17"/>
    <x v="6"/>
    <x v="6"/>
    <n v="218.8"/>
    <x v="0"/>
    <n v="0"/>
    <n v="218.8"/>
    <n v="9.3000000000000007"/>
    <n v="218.8"/>
    <x v="0"/>
    <n v="218.8"/>
    <s v="04-2019"/>
  </r>
  <r>
    <n v="57537"/>
    <x v="109"/>
    <s v="Medium"/>
    <x v="39"/>
    <x v="3"/>
    <x v="3"/>
    <n v="19.61"/>
    <x v="0"/>
    <n v="0"/>
    <n v="19.61"/>
    <n v="3.2"/>
    <n v="19.61"/>
    <x v="0"/>
    <n v="19.61"/>
    <s v="09-2019"/>
  </r>
  <r>
    <n v="59905"/>
    <x v="9"/>
    <s v="High"/>
    <x v="18"/>
    <x v="3"/>
    <x v="3"/>
    <n v="28.36"/>
    <x v="0"/>
    <n v="0"/>
    <n v="28.36"/>
    <n v="1.3"/>
    <n v="28.36"/>
    <x v="1"/>
    <n v="28.36"/>
    <s v="04-2019"/>
  </r>
  <r>
    <n v="39266"/>
    <x v="279"/>
    <s v="High"/>
    <x v="39"/>
    <x v="3"/>
    <x v="3"/>
    <n v="68.576300000000003"/>
    <x v="0"/>
    <n v="0"/>
    <n v="68.576300000000003"/>
    <n v="1.5"/>
    <n v="68.576300000000003"/>
    <x v="0"/>
    <n v="68.576300000000003"/>
    <s v="08-2019"/>
  </r>
  <r>
    <n v="3970"/>
    <x v="269"/>
    <s v="Medium"/>
    <x v="41"/>
    <x v="5"/>
    <x v="5"/>
    <n v="1105.28"/>
    <x v="1"/>
    <n v="11.0528"/>
    <n v="1094.2272"/>
    <n v="2.1"/>
    <n v="1103.18"/>
    <x v="0"/>
    <n v="1094.2272"/>
    <s v="03-2019"/>
  </r>
  <r>
    <n v="58564"/>
    <x v="340"/>
    <s v="Critical"/>
    <x v="21"/>
    <x v="2"/>
    <x v="2"/>
    <n v="110.24"/>
    <x v="1"/>
    <n v="1.1024"/>
    <n v="109.13759999999999"/>
    <n v="2.7"/>
    <n v="107.53999999999999"/>
    <x v="0"/>
    <n v="107.53999999999999"/>
    <s v="11-2019"/>
  </r>
  <r>
    <n v="54307"/>
    <x v="33"/>
    <s v="High"/>
    <x v="26"/>
    <x v="7"/>
    <x v="7"/>
    <n v="4119.29"/>
    <x v="0"/>
    <n v="0"/>
    <n v="4119.29"/>
    <n v="38.200000000000003"/>
    <n v="4119.29"/>
    <x v="2"/>
    <n v="4119.29"/>
    <s v="01-2019"/>
  </r>
  <r>
    <n v="23748"/>
    <x v="25"/>
    <s v="High"/>
    <x v="11"/>
    <x v="6"/>
    <x v="6"/>
    <n v="6594.9664000000002"/>
    <x v="0"/>
    <n v="0"/>
    <n v="6594.9664000000002"/>
    <n v="30.7"/>
    <n v="6594.9664000000002"/>
    <x v="2"/>
    <n v="6594.9664000000002"/>
    <s v="08-2019"/>
  </r>
  <r>
    <n v="38336"/>
    <x v="13"/>
    <s v="Critical"/>
    <x v="7"/>
    <x v="0"/>
    <x v="0"/>
    <n v="370.83"/>
    <x v="0"/>
    <n v="0"/>
    <n v="370.83"/>
    <n v="7"/>
    <n v="370.83"/>
    <x v="0"/>
    <n v="370.83"/>
    <s v="10-2019"/>
  </r>
  <r>
    <n v="36418"/>
    <x v="297"/>
    <s v="Not Specified"/>
    <x v="0"/>
    <x v="0"/>
    <x v="0"/>
    <n v="222.47"/>
    <x v="0"/>
    <n v="0"/>
    <n v="222.47"/>
    <n v="7.5"/>
    <n v="222.47"/>
    <x v="1"/>
    <n v="222.47"/>
    <s v="01-2019"/>
  </r>
  <r>
    <n v="54981"/>
    <x v="245"/>
    <s v="High"/>
    <x v="7"/>
    <x v="0"/>
    <x v="0"/>
    <n v="1096.01"/>
    <x v="0"/>
    <n v="0"/>
    <n v="1096.01"/>
    <n v="13.5"/>
    <n v="1096.01"/>
    <x v="0"/>
    <n v="1096.01"/>
    <s v="02-2019"/>
  </r>
  <r>
    <n v="53156"/>
    <x v="204"/>
    <s v="Not Specified"/>
    <x v="12"/>
    <x v="2"/>
    <x v="2"/>
    <n v="200.02"/>
    <x v="1"/>
    <n v="2.0002"/>
    <n v="198.0198"/>
    <n v="1.1000000000000001"/>
    <n v="198.92000000000002"/>
    <x v="0"/>
    <n v="198.0198"/>
    <s v="03-2019"/>
  </r>
  <r>
    <n v="41760"/>
    <x v="297"/>
    <s v="Low"/>
    <x v="6"/>
    <x v="4"/>
    <x v="4"/>
    <n v="264.7715"/>
    <x v="0"/>
    <n v="0"/>
    <n v="264.7715"/>
    <n v="13.4"/>
    <n v="264.7715"/>
    <x v="0"/>
    <n v="264.7715"/>
    <s v="01-2019"/>
  </r>
  <r>
    <n v="6693"/>
    <x v="180"/>
    <s v="Critical"/>
    <x v="36"/>
    <x v="8"/>
    <x v="8"/>
    <n v="43.71"/>
    <x v="0"/>
    <n v="0"/>
    <n v="43.71"/>
    <n v="0.9"/>
    <n v="43.71"/>
    <x v="0"/>
    <n v="43.71"/>
    <s v="05-2019"/>
  </r>
  <r>
    <n v="20807"/>
    <x v="167"/>
    <s v="Not Specified"/>
    <x v="36"/>
    <x v="8"/>
    <x v="8"/>
    <n v="499.63"/>
    <x v="0"/>
    <n v="0"/>
    <n v="499.63"/>
    <n v="3.5"/>
    <n v="499.63"/>
    <x v="0"/>
    <n v="499.63"/>
    <s v="07-2019"/>
  </r>
  <r>
    <n v="25447"/>
    <x v="232"/>
    <s v="Not Specified"/>
    <x v="38"/>
    <x v="8"/>
    <x v="8"/>
    <n v="4738.5600000000004"/>
    <x v="0"/>
    <n v="0"/>
    <n v="4738.5600000000004"/>
    <n v="57.9"/>
    <n v="4738.5600000000004"/>
    <x v="2"/>
    <n v="4738.5600000000004"/>
    <s v="05-2019"/>
  </r>
  <r>
    <n v="48197"/>
    <x v="184"/>
    <s v="Not Specified"/>
    <x v="25"/>
    <x v="0"/>
    <x v="0"/>
    <n v="1372.26"/>
    <x v="0"/>
    <n v="0"/>
    <n v="1372.26"/>
    <n v="15.5"/>
    <n v="1372.26"/>
    <x v="0"/>
    <n v="1372.26"/>
    <s v="05-2019"/>
  </r>
  <r>
    <n v="29921"/>
    <x v="129"/>
    <s v="Medium"/>
    <x v="0"/>
    <x v="0"/>
    <x v="0"/>
    <n v="4256.43"/>
    <x v="0"/>
    <n v="0"/>
    <n v="4256.43"/>
    <n v="9.6999999999999993"/>
    <n v="4256.43"/>
    <x v="0"/>
    <n v="4256.43"/>
    <s v="03-2019"/>
  </r>
  <r>
    <n v="37287"/>
    <x v="126"/>
    <s v="Low"/>
    <x v="9"/>
    <x v="1"/>
    <x v="1"/>
    <n v="139.37"/>
    <x v="1"/>
    <n v="1.3937000000000002"/>
    <n v="137.97630000000001"/>
    <n v="1.7"/>
    <n v="137.67000000000002"/>
    <x v="0"/>
    <n v="137.67000000000002"/>
    <s v="11-2019"/>
  </r>
  <r>
    <n v="53223"/>
    <x v="114"/>
    <s v="Low"/>
    <x v="33"/>
    <x v="3"/>
    <x v="3"/>
    <n v="14.22"/>
    <x v="0"/>
    <n v="0"/>
    <n v="14.22"/>
    <n v="5.8"/>
    <n v="14.22"/>
    <x v="0"/>
    <n v="14.22"/>
    <s v="07-2019"/>
  </r>
  <r>
    <n v="47815"/>
    <x v="236"/>
    <s v="Not Specified"/>
    <x v="9"/>
    <x v="1"/>
    <x v="1"/>
    <n v="621.63"/>
    <x v="1"/>
    <n v="6.2163000000000004"/>
    <n v="615.41369999999995"/>
    <n v="7.3"/>
    <n v="614.33000000000004"/>
    <x v="0"/>
    <n v="614.33000000000004"/>
    <s v="12-2019"/>
  </r>
  <r>
    <n v="55366"/>
    <x v="270"/>
    <s v="Critical"/>
    <x v="29"/>
    <x v="9"/>
    <x v="9"/>
    <n v="414.27"/>
    <x v="0"/>
    <n v="0"/>
    <n v="414.27"/>
    <n v="7"/>
    <n v="414.27"/>
    <x v="0"/>
    <n v="414.27"/>
    <s v="10-2019"/>
  </r>
  <r>
    <n v="48643"/>
    <x v="93"/>
    <s v="Medium"/>
    <x v="44"/>
    <x v="9"/>
    <x v="9"/>
    <n v="19.309999999999999"/>
    <x v="0"/>
    <n v="0"/>
    <n v="19.309999999999999"/>
    <n v="1.1000000000000001"/>
    <n v="19.309999999999999"/>
    <x v="0"/>
    <n v="19.309999999999999"/>
    <s v="10-2019"/>
  </r>
  <r>
    <n v="8034"/>
    <x v="81"/>
    <s v="High"/>
    <x v="34"/>
    <x v="5"/>
    <x v="5"/>
    <n v="1718.85"/>
    <x v="1"/>
    <n v="17.188500000000001"/>
    <n v="1701.6614999999999"/>
    <n v="49.9"/>
    <n v="1668.9499999999998"/>
    <x v="2"/>
    <n v="1668.9499999999998"/>
    <s v="01-2019"/>
  </r>
  <r>
    <n v="29991"/>
    <x v="13"/>
    <s v="Low"/>
    <x v="19"/>
    <x v="1"/>
    <x v="1"/>
    <n v="131.72999999999999"/>
    <x v="1"/>
    <n v="1.3172999999999999"/>
    <n v="130.4127"/>
    <n v="0.5"/>
    <n v="131.22999999999999"/>
    <x v="0"/>
    <n v="130.4127"/>
    <s v="10-2019"/>
  </r>
  <r>
    <n v="42564"/>
    <x v="173"/>
    <s v="Low"/>
    <x v="16"/>
    <x v="0"/>
    <x v="0"/>
    <n v="7991.68"/>
    <x v="0"/>
    <n v="0"/>
    <n v="7991.68"/>
    <n v="25.4"/>
    <n v="7991.68"/>
    <x v="2"/>
    <n v="7991.68"/>
    <s v="09-2019"/>
  </r>
  <r>
    <n v="49927"/>
    <x v="293"/>
    <s v="Not Specified"/>
    <x v="11"/>
    <x v="6"/>
    <x v="6"/>
    <n v="149.31"/>
    <x v="0"/>
    <n v="0"/>
    <n v="149.31"/>
    <n v="5.3"/>
    <n v="149.31"/>
    <x v="0"/>
    <n v="149.31"/>
    <s v="07-2019"/>
  </r>
  <r>
    <n v="32513"/>
    <x v="123"/>
    <s v="Low"/>
    <x v="42"/>
    <x v="4"/>
    <x v="4"/>
    <n v="4260.96"/>
    <x v="0"/>
    <n v="0"/>
    <n v="4260.96"/>
    <n v="21.4"/>
    <n v="4260.96"/>
    <x v="0"/>
    <n v="4260.96"/>
    <s v="02-2019"/>
  </r>
  <r>
    <n v="4099"/>
    <x v="37"/>
    <s v="Critical"/>
    <x v="15"/>
    <x v="1"/>
    <x v="1"/>
    <n v="1809.92"/>
    <x v="1"/>
    <n v="18.0992"/>
    <n v="1791.8208"/>
    <n v="6.7"/>
    <n v="1803.22"/>
    <x v="0"/>
    <n v="1791.8208"/>
    <s v="08-2019"/>
  </r>
  <r>
    <n v="51489"/>
    <x v="101"/>
    <s v="Critical"/>
    <x v="6"/>
    <x v="4"/>
    <x v="4"/>
    <n v="41.6"/>
    <x v="0"/>
    <n v="0"/>
    <n v="41.6"/>
    <n v="1.7"/>
    <n v="41.6"/>
    <x v="0"/>
    <n v="41.6"/>
    <s v="03-2019"/>
  </r>
  <r>
    <n v="17700"/>
    <x v="65"/>
    <s v="Critical"/>
    <x v="32"/>
    <x v="8"/>
    <x v="8"/>
    <n v="2467.15"/>
    <x v="0"/>
    <n v="0"/>
    <n v="2467.15"/>
    <n v="37.5"/>
    <n v="2467.15"/>
    <x v="0"/>
    <n v="2467.15"/>
    <s v="10-2019"/>
  </r>
  <r>
    <n v="24576"/>
    <x v="144"/>
    <s v="Not Specified"/>
    <x v="48"/>
    <x v="6"/>
    <x v="6"/>
    <n v="568.23739999999998"/>
    <x v="0"/>
    <n v="0"/>
    <n v="568.23739999999998"/>
    <n v="5.0999999999999996"/>
    <n v="568.23739999999998"/>
    <x v="0"/>
    <n v="568.23739999999998"/>
    <s v="12-2019"/>
  </r>
  <r>
    <n v="1217"/>
    <x v="230"/>
    <s v="Not Specified"/>
    <x v="31"/>
    <x v="4"/>
    <x v="4"/>
    <n v="708.51"/>
    <x v="0"/>
    <n v="0"/>
    <n v="708.51"/>
    <n v="2.1"/>
    <n v="708.51"/>
    <x v="0"/>
    <n v="708.51"/>
    <s v="04-2019"/>
  </r>
  <r>
    <n v="12256"/>
    <x v="314"/>
    <s v="Medium"/>
    <x v="2"/>
    <x v="1"/>
    <x v="1"/>
    <n v="126.22790000000001"/>
    <x v="1"/>
    <n v="1.2622790000000002"/>
    <n v="124.965621"/>
    <n v="0.5"/>
    <n v="125.72790000000001"/>
    <x v="0"/>
    <n v="124.965621"/>
    <s v="12-2019"/>
  </r>
  <r>
    <n v="37123"/>
    <x v="248"/>
    <s v="High"/>
    <x v="3"/>
    <x v="2"/>
    <x v="2"/>
    <n v="850.2"/>
    <x v="1"/>
    <n v="8.5020000000000007"/>
    <n v="841.69800000000009"/>
    <n v="29.7"/>
    <n v="820.5"/>
    <x v="2"/>
    <n v="820.5"/>
    <s v="02-2019"/>
  </r>
  <r>
    <n v="29218"/>
    <x v="309"/>
    <s v="Low"/>
    <x v="24"/>
    <x v="8"/>
    <x v="8"/>
    <n v="1950.63"/>
    <x v="0"/>
    <n v="0"/>
    <n v="1950.63"/>
    <n v="42.4"/>
    <n v="1950.63"/>
    <x v="1"/>
    <n v="1950.63"/>
    <s v="05-2019"/>
  </r>
  <r>
    <n v="53120"/>
    <x v="141"/>
    <s v="Not Specified"/>
    <x v="18"/>
    <x v="3"/>
    <x v="3"/>
    <n v="24.34"/>
    <x v="0"/>
    <n v="0"/>
    <n v="24.34"/>
    <n v="0.9"/>
    <n v="24.34"/>
    <x v="0"/>
    <n v="24.34"/>
    <s v="05-2019"/>
  </r>
  <r>
    <n v="2562"/>
    <x v="43"/>
    <s v="Critical"/>
    <x v="44"/>
    <x v="9"/>
    <x v="9"/>
    <n v="83.03"/>
    <x v="0"/>
    <n v="0"/>
    <n v="83.03"/>
    <n v="12"/>
    <n v="83.03"/>
    <x v="0"/>
    <n v="83.03"/>
    <s v="07-2019"/>
  </r>
  <r>
    <n v="9632"/>
    <x v="280"/>
    <s v="Low"/>
    <x v="0"/>
    <x v="0"/>
    <x v="0"/>
    <n v="3887.34"/>
    <x v="0"/>
    <n v="0"/>
    <n v="3887.34"/>
    <n v="9.6999999999999993"/>
    <n v="3887.34"/>
    <x v="0"/>
    <n v="3887.34"/>
    <s v="01-2019"/>
  </r>
  <r>
    <n v="53221"/>
    <x v="70"/>
    <s v="Not Specified"/>
    <x v="48"/>
    <x v="6"/>
    <x v="6"/>
    <n v="463.7808"/>
    <x v="0"/>
    <n v="0"/>
    <n v="463.7808"/>
    <n v="4"/>
    <n v="463.7808"/>
    <x v="0"/>
    <n v="463.7808"/>
    <s v="02-2019"/>
  </r>
  <r>
    <n v="58917"/>
    <x v="251"/>
    <s v="High"/>
    <x v="40"/>
    <x v="6"/>
    <x v="6"/>
    <n v="15301.278200000001"/>
    <x v="0"/>
    <n v="0"/>
    <n v="15301.278200000001"/>
    <n v="26.2"/>
    <n v="15301.278200000001"/>
    <x v="0"/>
    <n v="15301.278200000001"/>
    <s v="03-2019"/>
  </r>
  <r>
    <n v="17507"/>
    <x v="22"/>
    <s v="Medium"/>
    <x v="6"/>
    <x v="4"/>
    <x v="4"/>
    <n v="5770.8"/>
    <x v="0"/>
    <n v="0"/>
    <n v="5770.8"/>
    <n v="30"/>
    <n v="5770.8"/>
    <x v="2"/>
    <n v="5770.8"/>
    <s v="06-2019"/>
  </r>
  <r>
    <n v="14727"/>
    <x v="128"/>
    <s v="Medium"/>
    <x v="3"/>
    <x v="2"/>
    <x v="2"/>
    <n v="9129.4"/>
    <x v="1"/>
    <n v="91.293999999999997"/>
    <n v="9038.1059999999998"/>
    <n v="55.9"/>
    <n v="9073.5"/>
    <x v="2"/>
    <n v="9038.1059999999998"/>
    <s v="07-2019"/>
  </r>
  <r>
    <n v="54214"/>
    <x v="229"/>
    <s v="Medium"/>
    <x v="8"/>
    <x v="5"/>
    <x v="5"/>
    <n v="7838.42"/>
    <x v="1"/>
    <n v="78.384200000000007"/>
    <n v="7760.0357999999997"/>
    <n v="26.2"/>
    <n v="7812.22"/>
    <x v="1"/>
    <n v="7760.0357999999997"/>
    <s v="01-2019"/>
  </r>
  <r>
    <n v="28611"/>
    <x v="134"/>
    <s v="Low"/>
    <x v="17"/>
    <x v="6"/>
    <x v="6"/>
    <n v="16411.21"/>
    <x v="0"/>
    <n v="0"/>
    <n v="16411.21"/>
    <n v="21.4"/>
    <n v="16411.21"/>
    <x v="0"/>
    <n v="16411.21"/>
    <s v="12-2019"/>
  </r>
  <r>
    <n v="47522"/>
    <x v="82"/>
    <s v="High"/>
    <x v="18"/>
    <x v="3"/>
    <x v="3"/>
    <n v="86.2"/>
    <x v="0"/>
    <n v="0"/>
    <n v="86.2"/>
    <n v="1.5"/>
    <n v="86.2"/>
    <x v="0"/>
    <n v="86.2"/>
    <s v="10-2019"/>
  </r>
  <r>
    <n v="42306"/>
    <x v="170"/>
    <s v="High"/>
    <x v="38"/>
    <x v="8"/>
    <x v="8"/>
    <n v="50.72"/>
    <x v="0"/>
    <n v="0"/>
    <n v="50.72"/>
    <n v="5.6"/>
    <n v="50.72"/>
    <x v="0"/>
    <n v="50.72"/>
    <s v="09-2019"/>
  </r>
  <r>
    <n v="3328"/>
    <x v="327"/>
    <s v="Low"/>
    <x v="14"/>
    <x v="7"/>
    <x v="7"/>
    <n v="1857.96"/>
    <x v="0"/>
    <n v="0"/>
    <n v="1857.96"/>
    <n v="85.8"/>
    <n v="1857.96"/>
    <x v="2"/>
    <n v="1857.96"/>
    <s v="11-2019"/>
  </r>
  <r>
    <n v="45860"/>
    <x v="83"/>
    <s v="Low"/>
    <x v="14"/>
    <x v="7"/>
    <x v="7"/>
    <n v="74.867900000000006"/>
    <x v="0"/>
    <n v="0"/>
    <n v="74.867900000000006"/>
    <n v="1"/>
    <n v="74.867900000000006"/>
    <x v="0"/>
    <n v="74.867900000000006"/>
    <s v="08-2019"/>
  </r>
  <r>
    <n v="50758"/>
    <x v="213"/>
    <s v="Medium"/>
    <x v="45"/>
    <x v="8"/>
    <x v="8"/>
    <n v="137.5"/>
    <x v="0"/>
    <n v="0"/>
    <n v="137.5"/>
    <n v="7.4"/>
    <n v="137.5"/>
    <x v="1"/>
    <n v="137.5"/>
    <s v="07-2019"/>
  </r>
  <r>
    <n v="3297"/>
    <x v="341"/>
    <s v="High"/>
    <x v="28"/>
    <x v="5"/>
    <x v="5"/>
    <n v="169.809"/>
    <x v="1"/>
    <n v="1.6980900000000001"/>
    <n v="168.11090999999999"/>
    <n v="8"/>
    <n v="161.809"/>
    <x v="0"/>
    <n v="161.809"/>
    <s v="11-2019"/>
  </r>
  <r>
    <n v="58084"/>
    <x v="19"/>
    <s v="Medium"/>
    <x v="4"/>
    <x v="3"/>
    <x v="3"/>
    <n v="23.06"/>
    <x v="0"/>
    <n v="0"/>
    <n v="23.06"/>
    <n v="0.5"/>
    <n v="23.06"/>
    <x v="0"/>
    <n v="23.06"/>
    <s v="08-2019"/>
  </r>
  <r>
    <n v="24098"/>
    <x v="261"/>
    <s v="Critical"/>
    <x v="46"/>
    <x v="9"/>
    <x v="9"/>
    <n v="86.231300000000005"/>
    <x v="0"/>
    <n v="0"/>
    <n v="86.231300000000005"/>
    <n v="6.2"/>
    <n v="86.231300000000005"/>
    <x v="0"/>
    <n v="86.231300000000005"/>
    <s v="04-2019"/>
  </r>
  <r>
    <n v="40706"/>
    <x v="331"/>
    <s v="Medium"/>
    <x v="28"/>
    <x v="5"/>
    <x v="5"/>
    <n v="118.81"/>
    <x v="1"/>
    <n v="1.1881000000000002"/>
    <n v="117.6219"/>
    <n v="0.5"/>
    <n v="118.31"/>
    <x v="1"/>
    <n v="117.6219"/>
    <s v="01-2019"/>
  </r>
  <r>
    <n v="6501"/>
    <x v="194"/>
    <s v="High"/>
    <x v="16"/>
    <x v="0"/>
    <x v="0"/>
    <n v="253.58"/>
    <x v="0"/>
    <n v="0"/>
    <n v="253.58"/>
    <n v="7.2"/>
    <n v="253.58"/>
    <x v="0"/>
    <n v="253.58"/>
    <s v="01-2019"/>
  </r>
  <r>
    <n v="21253"/>
    <x v="261"/>
    <s v="Medium"/>
    <x v="18"/>
    <x v="3"/>
    <x v="3"/>
    <n v="486.94"/>
    <x v="0"/>
    <n v="0"/>
    <n v="486.94"/>
    <n v="21.4"/>
    <n v="486.94"/>
    <x v="0"/>
    <n v="486.94"/>
    <s v="04-2019"/>
  </r>
  <r>
    <n v="17508"/>
    <x v="90"/>
    <s v="Low"/>
    <x v="3"/>
    <x v="2"/>
    <x v="2"/>
    <n v="106.02"/>
    <x v="1"/>
    <n v="1.0602"/>
    <n v="104.9598"/>
    <n v="0.7"/>
    <n v="105.32"/>
    <x v="1"/>
    <n v="104.9598"/>
    <s v="06-2019"/>
  </r>
  <r>
    <n v="15236"/>
    <x v="104"/>
    <s v="Not Specified"/>
    <x v="17"/>
    <x v="6"/>
    <x v="6"/>
    <n v="408.09"/>
    <x v="0"/>
    <n v="0"/>
    <n v="408.09"/>
    <n v="6.6"/>
    <n v="408.09"/>
    <x v="1"/>
    <n v="408.09"/>
    <s v="04-2019"/>
  </r>
  <r>
    <n v="40608"/>
    <x v="19"/>
    <s v="Not Specified"/>
    <x v="41"/>
    <x v="5"/>
    <x v="5"/>
    <n v="239.45529999999999"/>
    <x v="1"/>
    <n v="2.3945530000000002"/>
    <n v="237.06074699999999"/>
    <n v="6.1"/>
    <n v="233.3553"/>
    <x v="0"/>
    <n v="233.3553"/>
    <s v="08-2019"/>
  </r>
  <r>
    <n v="43488"/>
    <x v="273"/>
    <s v="Critical"/>
    <x v="23"/>
    <x v="6"/>
    <x v="6"/>
    <n v="585.63"/>
    <x v="0"/>
    <n v="0"/>
    <n v="585.63"/>
    <n v="7.1"/>
    <n v="585.63"/>
    <x v="0"/>
    <n v="585.63"/>
    <s v="06-2019"/>
  </r>
  <r>
    <n v="46368"/>
    <x v="14"/>
    <s v="High"/>
    <x v="49"/>
    <x v="2"/>
    <x v="2"/>
    <n v="177.76"/>
    <x v="1"/>
    <n v="1.7775999999999998"/>
    <n v="175.98239999999998"/>
    <n v="4.2"/>
    <n v="173.56"/>
    <x v="0"/>
    <n v="173.56"/>
    <s v="04-2019"/>
  </r>
  <r>
    <n v="13633"/>
    <x v="342"/>
    <s v="Not Specified"/>
    <x v="38"/>
    <x v="8"/>
    <x v="8"/>
    <n v="2892.61"/>
    <x v="0"/>
    <n v="0"/>
    <n v="2892.61"/>
    <n v="61.2"/>
    <n v="2892.61"/>
    <x v="2"/>
    <n v="2892.61"/>
    <s v="04-2019"/>
  </r>
  <r>
    <n v="293"/>
    <x v="187"/>
    <s v="High"/>
    <x v="40"/>
    <x v="6"/>
    <x v="6"/>
    <n v="261.69"/>
    <x v="0"/>
    <n v="0"/>
    <n v="261.69"/>
    <n v="3.2"/>
    <n v="261.69"/>
    <x v="0"/>
    <n v="261.69"/>
    <s v="10-2019"/>
  </r>
  <r>
    <n v="2885"/>
    <x v="109"/>
    <s v="Not Specified"/>
    <x v="48"/>
    <x v="6"/>
    <x v="6"/>
    <n v="211.23"/>
    <x v="0"/>
    <n v="0"/>
    <n v="211.23"/>
    <n v="9"/>
    <n v="211.23"/>
    <x v="0"/>
    <n v="211.23"/>
    <s v="09-2019"/>
  </r>
  <r>
    <n v="36229"/>
    <x v="323"/>
    <s v="Not Specified"/>
    <x v="14"/>
    <x v="7"/>
    <x v="7"/>
    <n v="1567.86"/>
    <x v="0"/>
    <n v="0"/>
    <n v="1567.86"/>
    <n v="7.6"/>
    <n v="1567.86"/>
    <x v="0"/>
    <n v="1567.86"/>
    <s v="09-2019"/>
  </r>
  <r>
    <n v="48576"/>
    <x v="292"/>
    <s v="Not Specified"/>
    <x v="45"/>
    <x v="8"/>
    <x v="8"/>
    <n v="497.11130000000003"/>
    <x v="0"/>
    <n v="0"/>
    <n v="497.11130000000003"/>
    <n v="1.6"/>
    <n v="497.11130000000003"/>
    <x v="0"/>
    <n v="497.11130000000003"/>
    <s v="12-2019"/>
  </r>
  <r>
    <n v="52516"/>
    <x v="38"/>
    <s v="High"/>
    <x v="3"/>
    <x v="2"/>
    <x v="2"/>
    <n v="5309.39"/>
    <x v="1"/>
    <n v="53.093900000000005"/>
    <n v="5256.2961000000005"/>
    <n v="60.1"/>
    <n v="5249.29"/>
    <x v="2"/>
    <n v="5249.29"/>
    <s v="01-2019"/>
  </r>
  <r>
    <n v="19143"/>
    <x v="267"/>
    <s v="High"/>
    <x v="4"/>
    <x v="3"/>
    <x v="3"/>
    <n v="2590.4899999999998"/>
    <x v="0"/>
    <n v="0"/>
    <n v="2590.4899999999998"/>
    <n v="17.2"/>
    <n v="2590.4899999999998"/>
    <x v="2"/>
    <n v="2590.4899999999998"/>
    <s v="11-2019"/>
  </r>
  <r>
    <n v="59781"/>
    <x v="268"/>
    <s v="Not Specified"/>
    <x v="10"/>
    <x v="4"/>
    <x v="4"/>
    <n v="185.24"/>
    <x v="0"/>
    <n v="0"/>
    <n v="185.24"/>
    <n v="11.9"/>
    <n v="185.24"/>
    <x v="0"/>
    <n v="185.24"/>
    <s v="12-2019"/>
  </r>
  <r>
    <n v="3333"/>
    <x v="57"/>
    <s v="Not Specified"/>
    <x v="15"/>
    <x v="1"/>
    <x v="1"/>
    <n v="992.93"/>
    <x v="1"/>
    <n v="9.9292999999999996"/>
    <n v="983.00069999999994"/>
    <n v="4.8"/>
    <n v="988.13"/>
    <x v="0"/>
    <n v="983.00069999999994"/>
    <s v="09-2019"/>
  </r>
  <r>
    <n v="24580"/>
    <x v="343"/>
    <s v="High"/>
    <x v="31"/>
    <x v="4"/>
    <x v="4"/>
    <n v="1156.9100000000001"/>
    <x v="0"/>
    <n v="0"/>
    <n v="1156.9100000000001"/>
    <n v="9.6"/>
    <n v="1156.9100000000001"/>
    <x v="0"/>
    <n v="1156.9100000000001"/>
    <s v="06-2019"/>
  </r>
  <r>
    <n v="31297"/>
    <x v="244"/>
    <s v="Low"/>
    <x v="2"/>
    <x v="1"/>
    <x v="1"/>
    <n v="1690.13"/>
    <x v="1"/>
    <n v="16.901300000000003"/>
    <n v="1673.2287000000001"/>
    <n v="5.3"/>
    <n v="1684.8300000000002"/>
    <x v="0"/>
    <n v="1673.2287000000001"/>
    <s v="08-2019"/>
  </r>
  <r>
    <n v="1856"/>
    <x v="2"/>
    <s v="Not Specified"/>
    <x v="20"/>
    <x v="1"/>
    <x v="1"/>
    <n v="4680.9146000000001"/>
    <x v="1"/>
    <n v="46.809145999999998"/>
    <n v="4634.1054540000005"/>
    <n v="8.6"/>
    <n v="4672.3145999999997"/>
    <x v="0"/>
    <n v="4634.1054540000005"/>
    <s v="03-2019"/>
  </r>
  <r>
    <n v="293"/>
    <x v="187"/>
    <s v="High"/>
    <x v="21"/>
    <x v="2"/>
    <x v="2"/>
    <n v="10831.63"/>
    <x v="1"/>
    <n v="108.3163"/>
    <n v="10723.313699999999"/>
    <n v="72.8"/>
    <n v="10758.83"/>
    <x v="2"/>
    <n v="10723.313699999999"/>
    <s v="10-2019"/>
  </r>
  <r>
    <n v="57093"/>
    <x v="80"/>
    <s v="Low"/>
    <x v="12"/>
    <x v="2"/>
    <x v="2"/>
    <n v="796.76"/>
    <x v="1"/>
    <n v="7.9676"/>
    <n v="788.79239999999993"/>
    <n v="5.8"/>
    <n v="790.96"/>
    <x v="0"/>
    <n v="788.79239999999993"/>
    <s v="05-2019"/>
  </r>
  <r>
    <n v="53984"/>
    <x v="73"/>
    <s v="Medium"/>
    <x v="42"/>
    <x v="4"/>
    <x v="4"/>
    <n v="185"/>
    <x v="0"/>
    <n v="0"/>
    <n v="185"/>
    <n v="2.1"/>
    <n v="185"/>
    <x v="0"/>
    <n v="185"/>
    <s v="12-2019"/>
  </r>
  <r>
    <n v="30343"/>
    <x v="16"/>
    <s v="Critical"/>
    <x v="49"/>
    <x v="2"/>
    <x v="2"/>
    <n v="1665.37"/>
    <x v="1"/>
    <n v="16.653700000000001"/>
    <n v="1648.7162999999998"/>
    <n v="9.3000000000000007"/>
    <n v="1656.07"/>
    <x v="0"/>
    <n v="1648.7162999999998"/>
    <s v="05-2019"/>
  </r>
  <r>
    <n v="17862"/>
    <x v="105"/>
    <s v="Not Specified"/>
    <x v="7"/>
    <x v="0"/>
    <x v="0"/>
    <n v="72.63"/>
    <x v="0"/>
    <n v="0"/>
    <n v="72.63"/>
    <n v="0.7"/>
    <n v="72.63"/>
    <x v="1"/>
    <n v="72.63"/>
    <s v="05-2019"/>
  </r>
  <r>
    <n v="35012"/>
    <x v="153"/>
    <s v="Medium"/>
    <x v="22"/>
    <x v="7"/>
    <x v="7"/>
    <n v="1894.12"/>
    <x v="0"/>
    <n v="0"/>
    <n v="1894.12"/>
    <n v="4.5"/>
    <n v="1894.12"/>
    <x v="0"/>
    <n v="1894.12"/>
    <s v="06-2019"/>
  </r>
  <r>
    <n v="16897"/>
    <x v="250"/>
    <s v="Not Specified"/>
    <x v="49"/>
    <x v="2"/>
    <x v="2"/>
    <n v="115.24"/>
    <x v="1"/>
    <n v="1.1523999999999999"/>
    <n v="114.08759999999999"/>
    <n v="1.1000000000000001"/>
    <n v="114.14"/>
    <x v="0"/>
    <n v="114.08759999999999"/>
    <s v="06-2019"/>
  </r>
  <r>
    <n v="17061"/>
    <x v="34"/>
    <s v="Critical"/>
    <x v="23"/>
    <x v="6"/>
    <x v="6"/>
    <n v="86.17"/>
    <x v="0"/>
    <n v="0"/>
    <n v="86.17"/>
    <n v="0.7"/>
    <n v="86.17"/>
    <x v="0"/>
    <n v="86.17"/>
    <s v="10-2019"/>
  </r>
  <r>
    <n v="33222"/>
    <x v="192"/>
    <s v="Medium"/>
    <x v="49"/>
    <x v="2"/>
    <x v="2"/>
    <n v="155.86000000000001"/>
    <x v="1"/>
    <n v="1.5586000000000002"/>
    <n v="154.3014"/>
    <n v="0.7"/>
    <n v="155.16000000000003"/>
    <x v="0"/>
    <n v="154.3014"/>
    <s v="06-2019"/>
  </r>
  <r>
    <n v="17797"/>
    <x v="45"/>
    <s v="Low"/>
    <x v="36"/>
    <x v="8"/>
    <x v="8"/>
    <n v="65.83"/>
    <x v="0"/>
    <n v="0"/>
    <n v="65.83"/>
    <n v="2.7"/>
    <n v="65.83"/>
    <x v="0"/>
    <n v="65.83"/>
    <s v="07-2019"/>
  </r>
  <r>
    <n v="9312"/>
    <x v="95"/>
    <s v="Not Specified"/>
    <x v="20"/>
    <x v="1"/>
    <x v="1"/>
    <n v="1241.7885000000001"/>
    <x v="1"/>
    <n v="12.417885000000002"/>
    <n v="1229.370615"/>
    <n v="15.4"/>
    <n v="1226.3885"/>
    <x v="2"/>
    <n v="1226.3885"/>
    <s v="05-2019"/>
  </r>
  <r>
    <n v="37313"/>
    <x v="60"/>
    <s v="Not Specified"/>
    <x v="2"/>
    <x v="1"/>
    <x v="1"/>
    <n v="3535.69"/>
    <x v="1"/>
    <n v="35.356900000000003"/>
    <n v="3500.3330999999998"/>
    <n v="40.200000000000003"/>
    <n v="3495.4900000000002"/>
    <x v="0"/>
    <n v="3495.4900000000002"/>
    <s v="07-2019"/>
  </r>
  <r>
    <n v="23619"/>
    <x v="182"/>
    <s v="Medium"/>
    <x v="9"/>
    <x v="1"/>
    <x v="1"/>
    <n v="305.92"/>
    <x v="1"/>
    <n v="3.0592000000000001"/>
    <n v="302.86080000000004"/>
    <n v="5.6"/>
    <n v="300.32"/>
    <x v="0"/>
    <n v="300.32"/>
    <s v="12-2019"/>
  </r>
  <r>
    <n v="37185"/>
    <x v="259"/>
    <s v="High"/>
    <x v="30"/>
    <x v="9"/>
    <x v="9"/>
    <n v="24.813300000000002"/>
    <x v="0"/>
    <n v="0"/>
    <n v="24.813300000000002"/>
    <n v="2.6"/>
    <n v="24.813300000000002"/>
    <x v="0"/>
    <n v="24.813300000000002"/>
    <s v="10-2019"/>
  </r>
  <r>
    <n v="59075"/>
    <x v="70"/>
    <s v="Low"/>
    <x v="39"/>
    <x v="3"/>
    <x v="3"/>
    <n v="23.37"/>
    <x v="0"/>
    <n v="0"/>
    <n v="23.37"/>
    <n v="2.6"/>
    <n v="23.37"/>
    <x v="0"/>
    <n v="23.37"/>
    <s v="02-2019"/>
  </r>
  <r>
    <n v="12837"/>
    <x v="116"/>
    <s v="Medium"/>
    <x v="6"/>
    <x v="4"/>
    <x v="4"/>
    <n v="70.819999999999993"/>
    <x v="0"/>
    <n v="0"/>
    <n v="70.819999999999993"/>
    <n v="1.1000000000000001"/>
    <n v="70.819999999999993"/>
    <x v="0"/>
    <n v="70.819999999999993"/>
    <s v="12-2019"/>
  </r>
  <r>
    <n v="32994"/>
    <x v="110"/>
    <s v="Critical"/>
    <x v="1"/>
    <x v="0"/>
    <x v="0"/>
    <n v="242.26"/>
    <x v="0"/>
    <n v="0"/>
    <n v="242.26"/>
    <n v="9.3000000000000007"/>
    <n v="242.26"/>
    <x v="0"/>
    <n v="242.26"/>
    <s v="09-2019"/>
  </r>
  <r>
    <n v="31042"/>
    <x v="12"/>
    <s v="Medium"/>
    <x v="49"/>
    <x v="2"/>
    <x v="2"/>
    <n v="143.94"/>
    <x v="1"/>
    <n v="1.4394"/>
    <n v="142.50059999999999"/>
    <n v="1.3"/>
    <n v="142.63999999999999"/>
    <x v="0"/>
    <n v="142.50059999999999"/>
    <s v="11-2019"/>
  </r>
  <r>
    <n v="47846"/>
    <x v="48"/>
    <s v="High"/>
    <x v="31"/>
    <x v="4"/>
    <x v="4"/>
    <n v="2861.3726000000001"/>
    <x v="0"/>
    <n v="0"/>
    <n v="2861.3726000000001"/>
    <n v="15"/>
    <n v="2861.3726000000001"/>
    <x v="0"/>
    <n v="2861.3726000000001"/>
    <s v="08-2019"/>
  </r>
  <r>
    <n v="52130"/>
    <x v="183"/>
    <s v="Low"/>
    <x v="34"/>
    <x v="5"/>
    <x v="5"/>
    <n v="1537.11"/>
    <x v="1"/>
    <n v="15.371099999999998"/>
    <n v="1521.7388999999998"/>
    <n v="20.3"/>
    <n v="1516.81"/>
    <x v="0"/>
    <n v="1516.81"/>
    <s v="09-2019"/>
  </r>
  <r>
    <n v="39490"/>
    <x v="83"/>
    <s v="Low"/>
    <x v="8"/>
    <x v="5"/>
    <x v="5"/>
    <n v="487.95"/>
    <x v="1"/>
    <n v="4.8795000000000002"/>
    <n v="483.07049999999998"/>
    <n v="6.2"/>
    <n v="481.75"/>
    <x v="0"/>
    <n v="481.75"/>
    <s v="08-2019"/>
  </r>
  <r>
    <n v="27299"/>
    <x v="36"/>
    <s v="Critical"/>
    <x v="19"/>
    <x v="1"/>
    <x v="1"/>
    <n v="858.31"/>
    <x v="1"/>
    <n v="8.5831"/>
    <n v="849.72689999999989"/>
    <n v="15.9"/>
    <n v="842.41"/>
    <x v="0"/>
    <n v="842.41"/>
    <s v="08-2019"/>
  </r>
  <r>
    <n v="38532"/>
    <x v="121"/>
    <s v="High"/>
    <x v="2"/>
    <x v="1"/>
    <x v="1"/>
    <n v="137.19999999999999"/>
    <x v="1"/>
    <n v="1.3719999999999999"/>
    <n v="135.82799999999997"/>
    <n v="0.7"/>
    <n v="136.5"/>
    <x v="0"/>
    <n v="135.82799999999997"/>
    <s v="07-2019"/>
  </r>
  <r>
    <n v="52290"/>
    <x v="16"/>
    <s v="Low"/>
    <x v="23"/>
    <x v="6"/>
    <x v="6"/>
    <n v="1572.95"/>
    <x v="0"/>
    <n v="0"/>
    <n v="1572.95"/>
    <n v="5.3"/>
    <n v="1572.95"/>
    <x v="0"/>
    <n v="1572.95"/>
    <s v="05-2019"/>
  </r>
  <r>
    <n v="59491"/>
    <x v="264"/>
    <s v="High"/>
    <x v="44"/>
    <x v="9"/>
    <x v="9"/>
    <n v="61.95"/>
    <x v="0"/>
    <n v="0"/>
    <n v="61.95"/>
    <n v="12.3"/>
    <n v="61.95"/>
    <x v="0"/>
    <n v="61.95"/>
    <s v="03-2019"/>
  </r>
  <r>
    <n v="58369"/>
    <x v="139"/>
    <s v="High"/>
    <x v="36"/>
    <x v="8"/>
    <x v="8"/>
    <n v="2154.77"/>
    <x v="0"/>
    <n v="0"/>
    <n v="2154.77"/>
    <n v="60.1"/>
    <n v="2154.77"/>
    <x v="2"/>
    <n v="2154.77"/>
    <s v="08-2019"/>
  </r>
  <r>
    <n v="8035"/>
    <x v="305"/>
    <s v="Medium"/>
    <x v="29"/>
    <x v="9"/>
    <x v="9"/>
    <n v="111.69"/>
    <x v="0"/>
    <n v="0"/>
    <n v="111.69"/>
    <n v="7.2"/>
    <n v="111.69"/>
    <x v="0"/>
    <n v="111.69"/>
    <s v="03-2019"/>
  </r>
  <r>
    <n v="19394"/>
    <x v="195"/>
    <s v="Medium"/>
    <x v="18"/>
    <x v="3"/>
    <x v="3"/>
    <n v="576.95000000000005"/>
    <x v="0"/>
    <n v="0"/>
    <n v="576.95000000000005"/>
    <n v="9.4"/>
    <n v="576.95000000000005"/>
    <x v="0"/>
    <n v="576.95000000000005"/>
    <s v="12-2019"/>
  </r>
  <r>
    <n v="24707"/>
    <x v="204"/>
    <s v="Medium"/>
    <x v="26"/>
    <x v="7"/>
    <x v="7"/>
    <n v="2098.69"/>
    <x v="0"/>
    <n v="0"/>
    <n v="2098.69"/>
    <n v="26.2"/>
    <n v="2098.69"/>
    <x v="0"/>
    <n v="2098.69"/>
    <s v="03-2019"/>
  </r>
  <r>
    <n v="24677"/>
    <x v="21"/>
    <s v="Low"/>
    <x v="2"/>
    <x v="1"/>
    <x v="1"/>
    <n v="389.91"/>
    <x v="1"/>
    <n v="3.8991000000000002"/>
    <n v="386.01090000000005"/>
    <n v="2.1"/>
    <n v="387.81"/>
    <x v="0"/>
    <n v="386.01090000000005"/>
    <s v="03-2019"/>
  </r>
  <r>
    <n v="16935"/>
    <x v="31"/>
    <s v="Not Specified"/>
    <x v="4"/>
    <x v="3"/>
    <x v="3"/>
    <n v="15.77"/>
    <x v="0"/>
    <n v="0"/>
    <n v="15.77"/>
    <n v="1.3"/>
    <n v="15.77"/>
    <x v="0"/>
    <n v="15.77"/>
    <s v="12-2019"/>
  </r>
  <r>
    <n v="1285"/>
    <x v="189"/>
    <s v="Critical"/>
    <x v="30"/>
    <x v="9"/>
    <x v="9"/>
    <n v="1553.87"/>
    <x v="0"/>
    <n v="0"/>
    <n v="1553.87"/>
    <n v="74.5"/>
    <n v="1553.87"/>
    <x v="2"/>
    <n v="1553.87"/>
    <s v="05-2019"/>
  </r>
  <r>
    <n v="49344"/>
    <x v="236"/>
    <s v="Low"/>
    <x v="7"/>
    <x v="0"/>
    <x v="0"/>
    <n v="720.04"/>
    <x v="0"/>
    <n v="0"/>
    <n v="720.04"/>
    <n v="4.3"/>
    <n v="720.04"/>
    <x v="0"/>
    <n v="720.04"/>
    <s v="12-2019"/>
  </r>
  <r>
    <n v="322"/>
    <x v="274"/>
    <s v="Critical"/>
    <x v="27"/>
    <x v="2"/>
    <x v="2"/>
    <n v="300.67"/>
    <x v="1"/>
    <n v="3.0067000000000004"/>
    <n v="297.66329999999999"/>
    <n v="10.8"/>
    <n v="289.87"/>
    <x v="0"/>
    <n v="289.87"/>
    <s v="03-2019"/>
  </r>
  <r>
    <n v="36864"/>
    <x v="76"/>
    <s v="Low"/>
    <x v="35"/>
    <x v="9"/>
    <x v="9"/>
    <n v="59.37"/>
    <x v="0"/>
    <n v="0"/>
    <n v="59.37"/>
    <n v="1"/>
    <n v="59.37"/>
    <x v="0"/>
    <n v="59.37"/>
    <s v="07-2019"/>
  </r>
  <r>
    <n v="33284"/>
    <x v="321"/>
    <s v="Low"/>
    <x v="5"/>
    <x v="4"/>
    <x v="4"/>
    <n v="514.02"/>
    <x v="0"/>
    <n v="0"/>
    <n v="514.02"/>
    <n v="9.6"/>
    <n v="514.02"/>
    <x v="0"/>
    <n v="514.02"/>
    <s v="03-2019"/>
  </r>
  <r>
    <n v="24580"/>
    <x v="343"/>
    <s v="High"/>
    <x v="26"/>
    <x v="7"/>
    <x v="7"/>
    <n v="38.96"/>
    <x v="0"/>
    <n v="0"/>
    <n v="38.96"/>
    <n v="4.9000000000000004"/>
    <n v="38.96"/>
    <x v="0"/>
    <n v="38.96"/>
    <s v="06-2019"/>
  </r>
  <r>
    <n v="9281"/>
    <x v="207"/>
    <s v="Critical"/>
    <x v="10"/>
    <x v="4"/>
    <x v="4"/>
    <n v="73.8"/>
    <x v="0"/>
    <n v="0"/>
    <n v="73.8"/>
    <n v="1"/>
    <n v="73.8"/>
    <x v="0"/>
    <n v="73.8"/>
    <s v="02-2019"/>
  </r>
  <r>
    <n v="2209"/>
    <x v="156"/>
    <s v="High"/>
    <x v="15"/>
    <x v="1"/>
    <x v="1"/>
    <n v="186.81"/>
    <x v="1"/>
    <n v="1.8681000000000001"/>
    <n v="184.9419"/>
    <n v="1"/>
    <n v="185.81"/>
    <x v="0"/>
    <n v="184.9419"/>
    <s v="07-2019"/>
  </r>
  <r>
    <n v="9573"/>
    <x v="296"/>
    <s v="Medium"/>
    <x v="5"/>
    <x v="4"/>
    <x v="4"/>
    <n v="156.49"/>
    <x v="0"/>
    <n v="0"/>
    <n v="156.49"/>
    <n v="1.1000000000000001"/>
    <n v="156.49"/>
    <x v="1"/>
    <n v="156.49"/>
    <s v="06-2019"/>
  </r>
  <r>
    <n v="42177"/>
    <x v="196"/>
    <s v="Not Specified"/>
    <x v="21"/>
    <x v="2"/>
    <x v="2"/>
    <n v="1286.07"/>
    <x v="1"/>
    <n v="12.8607"/>
    <n v="1273.2093"/>
    <n v="9.1999999999999993"/>
    <n v="1276.8699999999999"/>
    <x v="0"/>
    <n v="1273.2093"/>
    <s v="05-2019"/>
  </r>
  <r>
    <n v="46212"/>
    <x v="173"/>
    <s v="Not Specified"/>
    <x v="20"/>
    <x v="1"/>
    <x v="1"/>
    <n v="345.04"/>
    <x v="1"/>
    <n v="3.4504000000000001"/>
    <n v="341.58960000000002"/>
    <n v="2.7"/>
    <n v="342.34000000000003"/>
    <x v="1"/>
    <n v="341.58960000000002"/>
    <s v="09-2019"/>
  </r>
  <r>
    <n v="46631"/>
    <x v="84"/>
    <s v="Not Specified"/>
    <x v="41"/>
    <x v="5"/>
    <x v="5"/>
    <n v="996"/>
    <x v="1"/>
    <n v="9.9600000000000009"/>
    <n v="986.04"/>
    <n v="18.100000000000001"/>
    <n v="977.9"/>
    <x v="0"/>
    <n v="977.9"/>
    <s v="03-2019"/>
  </r>
  <r>
    <n v="55335"/>
    <x v="57"/>
    <s v="Not Specified"/>
    <x v="17"/>
    <x v="6"/>
    <x v="6"/>
    <n v="9292.1299999999992"/>
    <x v="0"/>
    <n v="0"/>
    <n v="9292.1299999999992"/>
    <n v="38.200000000000003"/>
    <n v="9292.1299999999992"/>
    <x v="2"/>
    <n v="9292.1299999999992"/>
    <s v="09-2019"/>
  </r>
  <r>
    <n v="45476"/>
    <x v="172"/>
    <s v="Critical"/>
    <x v="49"/>
    <x v="2"/>
    <x v="2"/>
    <n v="1129.9000000000001"/>
    <x v="1"/>
    <n v="11.299000000000001"/>
    <n v="1118.6010000000001"/>
    <n v="6.4"/>
    <n v="1123.5"/>
    <x v="0"/>
    <n v="1118.6010000000001"/>
    <s v="04-2019"/>
  </r>
  <r>
    <n v="27265"/>
    <x v="59"/>
    <s v="Critical"/>
    <x v="21"/>
    <x v="2"/>
    <x v="2"/>
    <n v="16030.46"/>
    <x v="1"/>
    <n v="160.30459999999999"/>
    <n v="15870.1554"/>
    <n v="12.5"/>
    <n v="16017.96"/>
    <x v="0"/>
    <n v="15870.1554"/>
    <s v="05-2019"/>
  </r>
  <r>
    <n v="5378"/>
    <x v="188"/>
    <s v="Critical"/>
    <x v="44"/>
    <x v="9"/>
    <x v="9"/>
    <n v="58.08"/>
    <x v="0"/>
    <n v="0"/>
    <n v="58.08"/>
    <n v="5.6"/>
    <n v="58.08"/>
    <x v="1"/>
    <n v="58.08"/>
    <s v="10-2019"/>
  </r>
  <r>
    <n v="42437"/>
    <x v="21"/>
    <s v="Critical"/>
    <x v="26"/>
    <x v="7"/>
    <x v="7"/>
    <n v="335.82"/>
    <x v="0"/>
    <n v="0"/>
    <n v="335.82"/>
    <n v="9.6"/>
    <n v="335.82"/>
    <x v="0"/>
    <n v="335.82"/>
    <s v="03-2019"/>
  </r>
  <r>
    <n v="15715"/>
    <x v="125"/>
    <s v="Critical"/>
    <x v="20"/>
    <x v="1"/>
    <x v="1"/>
    <n v="2272.2948000000001"/>
    <x v="1"/>
    <n v="22.722948000000002"/>
    <n v="2249.571852"/>
    <n v="6.3"/>
    <n v="2265.9947999999999"/>
    <x v="0"/>
    <n v="2249.571852"/>
    <s v="10-2019"/>
  </r>
  <r>
    <n v="52678"/>
    <x v="76"/>
    <s v="High"/>
    <x v="4"/>
    <x v="3"/>
    <x v="3"/>
    <n v="120.69"/>
    <x v="0"/>
    <n v="0"/>
    <n v="120.69"/>
    <n v="56.7"/>
    <n v="120.69"/>
    <x v="2"/>
    <n v="120.69"/>
    <s v="07-2019"/>
  </r>
  <r>
    <n v="19777"/>
    <x v="102"/>
    <s v="Not Specified"/>
    <x v="10"/>
    <x v="4"/>
    <x v="4"/>
    <n v="3497.56"/>
    <x v="0"/>
    <n v="0"/>
    <n v="3497.56"/>
    <n v="8.6"/>
    <n v="3497.56"/>
    <x v="0"/>
    <n v="3497.56"/>
    <s v="10-2019"/>
  </r>
  <r>
    <n v="51424"/>
    <x v="290"/>
    <s v="Not Specified"/>
    <x v="49"/>
    <x v="2"/>
    <x v="2"/>
    <n v="121.9586"/>
    <x v="1"/>
    <n v="1.2195860000000001"/>
    <n v="120.739014"/>
    <n v="0.9"/>
    <n v="121.0586"/>
    <x v="0"/>
    <n v="120.739014"/>
    <s v="01-2019"/>
  </r>
  <r>
    <n v="21605"/>
    <x v="289"/>
    <s v="High"/>
    <x v="27"/>
    <x v="2"/>
    <x v="2"/>
    <n v="509.84"/>
    <x v="1"/>
    <n v="5.0983999999999998"/>
    <n v="504.74159999999995"/>
    <n v="5.5"/>
    <n v="504.34"/>
    <x v="0"/>
    <n v="504.34"/>
    <s v="04-2019"/>
  </r>
  <r>
    <n v="11874"/>
    <x v="87"/>
    <s v="Medium"/>
    <x v="43"/>
    <x v="3"/>
    <x v="3"/>
    <n v="43.11"/>
    <x v="0"/>
    <n v="0"/>
    <n v="43.11"/>
    <n v="9.3000000000000007"/>
    <n v="43.11"/>
    <x v="0"/>
    <n v="43.11"/>
    <s v="09-2019"/>
  </r>
  <r>
    <n v="7841"/>
    <x v="24"/>
    <s v="Not Specified"/>
    <x v="45"/>
    <x v="8"/>
    <x v="8"/>
    <n v="190.61"/>
    <x v="0"/>
    <n v="0"/>
    <n v="190.61"/>
    <n v="2.2000000000000002"/>
    <n v="190.61"/>
    <x v="0"/>
    <n v="190.61"/>
    <s v="05-2019"/>
  </r>
  <r>
    <n v="29221"/>
    <x v="309"/>
    <s v="High"/>
    <x v="19"/>
    <x v="1"/>
    <x v="1"/>
    <n v="348.1"/>
    <x v="1"/>
    <n v="3.4810000000000003"/>
    <n v="344.61900000000003"/>
    <n v="6.2"/>
    <n v="341.90000000000003"/>
    <x v="0"/>
    <n v="341.90000000000003"/>
    <s v="05-2019"/>
  </r>
  <r>
    <n v="55011"/>
    <x v="39"/>
    <s v="Critical"/>
    <x v="38"/>
    <x v="8"/>
    <x v="8"/>
    <n v="59.727400000000003"/>
    <x v="0"/>
    <n v="0"/>
    <n v="59.727400000000003"/>
    <n v="0.9"/>
    <n v="59.727400000000003"/>
    <x v="0"/>
    <n v="59.727400000000003"/>
    <s v="01-2019"/>
  </r>
  <r>
    <n v="37287"/>
    <x v="126"/>
    <s v="Low"/>
    <x v="38"/>
    <x v="8"/>
    <x v="8"/>
    <n v="130.97999999999999"/>
    <x v="0"/>
    <n v="0"/>
    <n v="130.97999999999999"/>
    <n v="5.3"/>
    <n v="130.97999999999999"/>
    <x v="0"/>
    <n v="130.97999999999999"/>
    <s v="11-2019"/>
  </r>
  <r>
    <n v="29282"/>
    <x v="72"/>
    <s v="Medium"/>
    <x v="39"/>
    <x v="3"/>
    <x v="3"/>
    <n v="36.668900000000001"/>
    <x v="0"/>
    <n v="0"/>
    <n v="36.668900000000001"/>
    <n v="10.199999999999999"/>
    <n v="36.668900000000001"/>
    <x v="0"/>
    <n v="36.668900000000001"/>
    <s v="11-2019"/>
  </r>
  <r>
    <n v="22951"/>
    <x v="202"/>
    <s v="Medium"/>
    <x v="10"/>
    <x v="4"/>
    <x v="4"/>
    <n v="1395.31"/>
    <x v="0"/>
    <n v="0"/>
    <n v="1395.31"/>
    <n v="9.6"/>
    <n v="1395.31"/>
    <x v="0"/>
    <n v="1395.31"/>
    <s v="05-2019"/>
  </r>
  <r>
    <n v="21796"/>
    <x v="59"/>
    <s v="Low"/>
    <x v="27"/>
    <x v="2"/>
    <x v="2"/>
    <n v="5076.76"/>
    <x v="1"/>
    <n v="50.767600000000002"/>
    <n v="5025.9924000000001"/>
    <n v="21.4"/>
    <n v="5055.3600000000006"/>
    <x v="0"/>
    <n v="5025.9924000000001"/>
    <s v="05-2019"/>
  </r>
  <r>
    <n v="56740"/>
    <x v="69"/>
    <s v="Critical"/>
    <x v="0"/>
    <x v="0"/>
    <x v="0"/>
    <n v="708.56"/>
    <x v="0"/>
    <n v="0"/>
    <n v="708.56"/>
    <n v="3.9"/>
    <n v="708.56"/>
    <x v="0"/>
    <n v="708.56"/>
    <s v="10-2019"/>
  </r>
  <r>
    <n v="53762"/>
    <x v="149"/>
    <s v="Critical"/>
    <x v="23"/>
    <x v="6"/>
    <x v="6"/>
    <n v="145.69"/>
    <x v="0"/>
    <n v="0"/>
    <n v="145.69"/>
    <n v="0.5"/>
    <n v="145.69"/>
    <x v="0"/>
    <n v="145.69"/>
    <s v="06-2019"/>
  </r>
  <r>
    <n v="6018"/>
    <x v="244"/>
    <s v="Low"/>
    <x v="41"/>
    <x v="5"/>
    <x v="5"/>
    <n v="220.52"/>
    <x v="1"/>
    <n v="2.2052"/>
    <n v="218.31480000000002"/>
    <n v="2.2000000000000002"/>
    <n v="218.32000000000002"/>
    <x v="0"/>
    <n v="218.31480000000002"/>
    <s v="08-2019"/>
  </r>
  <r>
    <n v="3810"/>
    <x v="110"/>
    <s v="Critical"/>
    <x v="28"/>
    <x v="5"/>
    <x v="5"/>
    <n v="237.39"/>
    <x v="1"/>
    <n v="2.3738999999999999"/>
    <n v="235.01609999999999"/>
    <n v="52.4"/>
    <n v="184.98999999999998"/>
    <x v="0"/>
    <n v="184.98999999999998"/>
    <s v="09-2019"/>
  </r>
  <r>
    <n v="22055"/>
    <x v="26"/>
    <s v="Medium"/>
    <x v="28"/>
    <x v="5"/>
    <x v="5"/>
    <n v="6577.55"/>
    <x v="1"/>
    <n v="65.775500000000008"/>
    <n v="6511.7745000000004"/>
    <n v="32.1"/>
    <n v="6545.45"/>
    <x v="2"/>
    <n v="6511.7745000000004"/>
    <s v="09-2019"/>
  </r>
  <r>
    <n v="34662"/>
    <x v="154"/>
    <s v="Critical"/>
    <x v="16"/>
    <x v="0"/>
    <x v="0"/>
    <n v="13633.736699999999"/>
    <x v="0"/>
    <n v="0"/>
    <n v="13633.736699999999"/>
    <n v="105.9"/>
    <n v="13633.736699999999"/>
    <x v="2"/>
    <n v="13633.736699999999"/>
    <s v="01-2019"/>
  </r>
  <r>
    <n v="45317"/>
    <x v="305"/>
    <s v="Low"/>
    <x v="23"/>
    <x v="6"/>
    <x v="6"/>
    <n v="1028.3342"/>
    <x v="0"/>
    <n v="0"/>
    <n v="1028.3342"/>
    <n v="5.4"/>
    <n v="1028.3342"/>
    <x v="0"/>
    <n v="1028.3342"/>
    <s v="03-2019"/>
  </r>
  <r>
    <n v="21665"/>
    <x v="125"/>
    <s v="High"/>
    <x v="18"/>
    <x v="3"/>
    <x v="3"/>
    <n v="508.03"/>
    <x v="0"/>
    <n v="0"/>
    <n v="508.03"/>
    <n v="2.7"/>
    <n v="508.03"/>
    <x v="1"/>
    <n v="508.03"/>
    <s v="10-2019"/>
  </r>
  <r>
    <n v="39654"/>
    <x v="5"/>
    <s v="Medium"/>
    <x v="41"/>
    <x v="5"/>
    <x v="5"/>
    <n v="916.08"/>
    <x v="1"/>
    <n v="9.1608000000000001"/>
    <n v="906.91920000000005"/>
    <n v="3.2"/>
    <n v="912.88"/>
    <x v="1"/>
    <n v="906.91920000000005"/>
    <s v="09-2019"/>
  </r>
  <r>
    <n v="5254"/>
    <x v="225"/>
    <s v="Not Specified"/>
    <x v="7"/>
    <x v="0"/>
    <x v="0"/>
    <n v="1856.83"/>
    <x v="0"/>
    <n v="0"/>
    <n v="1856.83"/>
    <n v="9.6"/>
    <n v="1856.83"/>
    <x v="0"/>
    <n v="1856.83"/>
    <s v="07-2019"/>
  </r>
  <r>
    <n v="54023"/>
    <x v="148"/>
    <s v="Not Specified"/>
    <x v="9"/>
    <x v="1"/>
    <x v="1"/>
    <n v="433.99"/>
    <x v="1"/>
    <n v="4.3399000000000001"/>
    <n v="429.65010000000001"/>
    <n v="6"/>
    <n v="427.99"/>
    <x v="0"/>
    <n v="427.99"/>
    <s v="07-2019"/>
  </r>
  <r>
    <n v="44678"/>
    <x v="329"/>
    <s v="Low"/>
    <x v="39"/>
    <x v="3"/>
    <x v="3"/>
    <n v="8.09"/>
    <x v="0"/>
    <n v="0"/>
    <n v="8.09"/>
    <n v="0.8"/>
    <n v="8.09"/>
    <x v="0"/>
    <n v="8.09"/>
    <s v="10-2019"/>
  </r>
  <r>
    <n v="967"/>
    <x v="288"/>
    <s v="Medium"/>
    <x v="49"/>
    <x v="2"/>
    <x v="2"/>
    <n v="12067.65"/>
    <x v="1"/>
    <n v="120.6765"/>
    <n v="11946.9735"/>
    <n v="34.799999999999997"/>
    <n v="12032.85"/>
    <x v="2"/>
    <n v="11946.9735"/>
    <s v="06-2019"/>
  </r>
  <r>
    <n v="31552"/>
    <x v="234"/>
    <s v="High"/>
    <x v="45"/>
    <x v="8"/>
    <x v="8"/>
    <n v="404.55"/>
    <x v="0"/>
    <n v="0"/>
    <n v="404.55"/>
    <n v="2.1"/>
    <n v="404.55"/>
    <x v="0"/>
    <n v="404.55"/>
    <s v="11-2019"/>
  </r>
  <r>
    <n v="46243"/>
    <x v="247"/>
    <s v="Low"/>
    <x v="7"/>
    <x v="0"/>
    <x v="0"/>
    <n v="185.1"/>
    <x v="0"/>
    <n v="0"/>
    <n v="185.1"/>
    <n v="1.1000000000000001"/>
    <n v="185.1"/>
    <x v="0"/>
    <n v="185.1"/>
    <s v="01-2019"/>
  </r>
  <r>
    <n v="11239"/>
    <x v="191"/>
    <s v="Critical"/>
    <x v="0"/>
    <x v="0"/>
    <x v="0"/>
    <n v="6601.92"/>
    <x v="0"/>
    <n v="0"/>
    <n v="6601.92"/>
    <n v="31.3"/>
    <n v="6601.92"/>
    <x v="2"/>
    <n v="6601.92"/>
    <s v="02-2019"/>
  </r>
  <r>
    <n v="27490"/>
    <x v="161"/>
    <s v="Not Specified"/>
    <x v="38"/>
    <x v="8"/>
    <x v="8"/>
    <n v="654.53"/>
    <x v="0"/>
    <n v="0"/>
    <n v="654.53"/>
    <n v="13.5"/>
    <n v="654.53"/>
    <x v="0"/>
    <n v="654.53"/>
    <s v="03-2019"/>
  </r>
  <r>
    <n v="3845"/>
    <x v="230"/>
    <s v="Critical"/>
    <x v="47"/>
    <x v="7"/>
    <x v="7"/>
    <n v="132.58369999999999"/>
    <x v="0"/>
    <n v="0"/>
    <n v="132.58369999999999"/>
    <n v="1"/>
    <n v="132.58369999999999"/>
    <x v="0"/>
    <n v="132.58369999999999"/>
    <s v="04-2019"/>
  </r>
  <r>
    <n v="32192"/>
    <x v="248"/>
    <s v="Not Specified"/>
    <x v="39"/>
    <x v="3"/>
    <x v="3"/>
    <n v="170.4"/>
    <x v="0"/>
    <n v="0"/>
    <n v="170.4"/>
    <n v="2.7"/>
    <n v="170.4"/>
    <x v="0"/>
    <n v="170.4"/>
    <s v="02-2019"/>
  </r>
  <r>
    <n v="1447"/>
    <x v="262"/>
    <s v="High"/>
    <x v="28"/>
    <x v="5"/>
    <x v="5"/>
    <n v="2285.4899999999998"/>
    <x v="1"/>
    <n v="22.854899999999997"/>
    <n v="2262.6351"/>
    <n v="9.6"/>
    <n v="2275.89"/>
    <x v="0"/>
    <n v="2262.6351"/>
    <s v="10-2019"/>
  </r>
  <r>
    <n v="5473"/>
    <x v="264"/>
    <s v="Not Specified"/>
    <x v="15"/>
    <x v="1"/>
    <x v="1"/>
    <n v="380.59"/>
    <x v="1"/>
    <n v="3.8058999999999998"/>
    <n v="376.78409999999997"/>
    <n v="8.9"/>
    <n v="371.69"/>
    <x v="0"/>
    <n v="371.69"/>
    <s v="03-2019"/>
  </r>
  <r>
    <n v="23812"/>
    <x v="233"/>
    <s v="Critical"/>
    <x v="25"/>
    <x v="0"/>
    <x v="0"/>
    <n v="6255.0273999999999"/>
    <x v="0"/>
    <n v="0"/>
    <n v="6255.0273999999999"/>
    <n v="16.7"/>
    <n v="6255.0273999999999"/>
    <x v="2"/>
    <n v="6255.0273999999999"/>
    <s v="07-2019"/>
  </r>
  <r>
    <n v="20256"/>
    <x v="257"/>
    <s v="Low"/>
    <x v="10"/>
    <x v="4"/>
    <x v="4"/>
    <n v="548.73"/>
    <x v="0"/>
    <n v="0"/>
    <n v="548.73"/>
    <n v="12.3"/>
    <n v="548.73"/>
    <x v="0"/>
    <n v="548.73"/>
    <s v="01-2019"/>
  </r>
  <r>
    <n v="5858"/>
    <x v="199"/>
    <s v="Not Specified"/>
    <x v="49"/>
    <x v="2"/>
    <x v="2"/>
    <n v="2708.88"/>
    <x v="1"/>
    <n v="27.088800000000003"/>
    <n v="2681.7912000000001"/>
    <n v="14.6"/>
    <n v="2694.28"/>
    <x v="0"/>
    <n v="2681.7912000000001"/>
    <s v="07-2019"/>
  </r>
  <r>
    <n v="5408"/>
    <x v="293"/>
    <s v="Low"/>
    <x v="32"/>
    <x v="8"/>
    <x v="8"/>
    <n v="95.04"/>
    <x v="0"/>
    <n v="0"/>
    <n v="95.04"/>
    <n v="0.5"/>
    <n v="95.04"/>
    <x v="0"/>
    <n v="95.04"/>
    <s v="07-2019"/>
  </r>
  <r>
    <n v="25637"/>
    <x v="344"/>
    <s v="Not Specified"/>
    <x v="14"/>
    <x v="7"/>
    <x v="7"/>
    <n v="2578.08"/>
    <x v="0"/>
    <n v="0"/>
    <n v="2578.08"/>
    <n v="71.3"/>
    <n v="2578.08"/>
    <x v="2"/>
    <n v="2578.08"/>
    <s v="02-2019"/>
  </r>
  <r>
    <n v="3845"/>
    <x v="230"/>
    <s v="Critical"/>
    <x v="6"/>
    <x v="4"/>
    <x v="4"/>
    <n v="509.02"/>
    <x v="0"/>
    <n v="0"/>
    <n v="509.02"/>
    <n v="11.2"/>
    <n v="509.02"/>
    <x v="0"/>
    <n v="509.02"/>
    <s v="04-2019"/>
  </r>
  <r>
    <n v="42469"/>
    <x v="35"/>
    <s v="Not Specified"/>
    <x v="7"/>
    <x v="0"/>
    <x v="0"/>
    <n v="1000.31"/>
    <x v="0"/>
    <n v="0"/>
    <n v="1000.31"/>
    <n v="13.5"/>
    <n v="1000.31"/>
    <x v="0"/>
    <n v="1000.31"/>
    <s v="11-2019"/>
  </r>
  <r>
    <n v="16804"/>
    <x v="204"/>
    <s v="High"/>
    <x v="27"/>
    <x v="2"/>
    <x v="2"/>
    <n v="2600.46"/>
    <x v="1"/>
    <n v="26.0046"/>
    <n v="2574.4553999999998"/>
    <n v="14.9"/>
    <n v="2585.56"/>
    <x v="0"/>
    <n v="2574.4553999999998"/>
    <s v="03-2019"/>
  </r>
  <r>
    <n v="42471"/>
    <x v="263"/>
    <s v="Low"/>
    <x v="42"/>
    <x v="4"/>
    <x v="4"/>
    <n v="48.03"/>
    <x v="0"/>
    <n v="0"/>
    <n v="48.03"/>
    <n v="1.7"/>
    <n v="48.03"/>
    <x v="0"/>
    <n v="48.03"/>
    <s v="03-2019"/>
  </r>
  <r>
    <n v="17986"/>
    <x v="303"/>
    <s v="Not Specified"/>
    <x v="20"/>
    <x v="1"/>
    <x v="1"/>
    <n v="93.421700000000001"/>
    <x v="1"/>
    <n v="0.93421700000000008"/>
    <n v="92.487482999999997"/>
    <n v="1.6"/>
    <n v="91.821700000000007"/>
    <x v="0"/>
    <n v="91.821700000000007"/>
    <s v="04-2019"/>
  </r>
  <r>
    <n v="31170"/>
    <x v="297"/>
    <s v="Medium"/>
    <x v="25"/>
    <x v="0"/>
    <x v="0"/>
    <n v="343.01"/>
    <x v="0"/>
    <n v="0"/>
    <n v="343.01"/>
    <n v="2.1"/>
    <n v="343.01"/>
    <x v="0"/>
    <n v="343.01"/>
    <s v="01-2019"/>
  </r>
  <r>
    <n v="7458"/>
    <x v="302"/>
    <s v="Critical"/>
    <x v="35"/>
    <x v="9"/>
    <x v="9"/>
    <n v="360.95"/>
    <x v="0"/>
    <n v="0"/>
    <n v="360.95"/>
    <n v="2.1"/>
    <n v="360.95"/>
    <x v="0"/>
    <n v="360.95"/>
    <s v="04-2019"/>
  </r>
  <r>
    <n v="43364"/>
    <x v="281"/>
    <s v="High"/>
    <x v="5"/>
    <x v="4"/>
    <x v="4"/>
    <n v="560.89"/>
    <x v="0"/>
    <n v="0"/>
    <n v="560.89"/>
    <n v="7.2"/>
    <n v="560.89"/>
    <x v="0"/>
    <n v="560.89"/>
    <s v="04-2019"/>
  </r>
  <r>
    <n v="53795"/>
    <x v="32"/>
    <s v="High"/>
    <x v="28"/>
    <x v="5"/>
    <x v="5"/>
    <n v="283.12"/>
    <x v="1"/>
    <n v="2.8311999999999999"/>
    <n v="280.28879999999998"/>
    <n v="6.7"/>
    <n v="276.42"/>
    <x v="1"/>
    <n v="276.42"/>
    <s v="01-2019"/>
  </r>
  <r>
    <n v="33731"/>
    <x v="287"/>
    <s v="High"/>
    <x v="14"/>
    <x v="7"/>
    <x v="7"/>
    <n v="148.6"/>
    <x v="0"/>
    <n v="0"/>
    <n v="148.6"/>
    <n v="5.4"/>
    <n v="148.6"/>
    <x v="0"/>
    <n v="148.6"/>
    <s v="10-2019"/>
  </r>
  <r>
    <n v="56676"/>
    <x v="106"/>
    <s v="Critical"/>
    <x v="41"/>
    <x v="5"/>
    <x v="5"/>
    <n v="220.9229"/>
    <x v="1"/>
    <n v="2.2092290000000001"/>
    <n v="218.71367100000001"/>
    <n v="6.1"/>
    <n v="214.8229"/>
    <x v="0"/>
    <n v="214.8229"/>
    <s v="10-2019"/>
  </r>
  <r>
    <n v="50982"/>
    <x v="313"/>
    <s v="High"/>
    <x v="42"/>
    <x v="4"/>
    <x v="4"/>
    <n v="92.59"/>
    <x v="0"/>
    <n v="0"/>
    <n v="92.59"/>
    <n v="0.5"/>
    <n v="92.59"/>
    <x v="0"/>
    <n v="92.59"/>
    <s v="04-2019"/>
  </r>
  <r>
    <n v="16197"/>
    <x v="246"/>
    <s v="Critical"/>
    <x v="24"/>
    <x v="8"/>
    <x v="8"/>
    <n v="110.94"/>
    <x v="0"/>
    <n v="0"/>
    <n v="110.94"/>
    <n v="6.3"/>
    <n v="110.94"/>
    <x v="0"/>
    <n v="110.94"/>
    <s v="10-2019"/>
  </r>
  <r>
    <n v="42243"/>
    <x v="84"/>
    <s v="Medium"/>
    <x v="24"/>
    <x v="8"/>
    <x v="8"/>
    <n v="155.43"/>
    <x v="0"/>
    <n v="0"/>
    <n v="155.43"/>
    <n v="6.4"/>
    <n v="155.43"/>
    <x v="0"/>
    <n v="155.43"/>
    <s v="03-2019"/>
  </r>
  <r>
    <n v="27138"/>
    <x v="196"/>
    <s v="High"/>
    <x v="37"/>
    <x v="5"/>
    <x v="5"/>
    <n v="2026.76"/>
    <x v="1"/>
    <n v="20.267600000000002"/>
    <n v="2006.4923999999999"/>
    <n v="9.6"/>
    <n v="2017.16"/>
    <x v="0"/>
    <n v="2006.4923999999999"/>
    <s v="05-2019"/>
  </r>
  <r>
    <n v="35968"/>
    <x v="101"/>
    <s v="Not Specified"/>
    <x v="5"/>
    <x v="4"/>
    <x v="4"/>
    <n v="151.08000000000001"/>
    <x v="0"/>
    <n v="0"/>
    <n v="151.08000000000001"/>
    <n v="7.5"/>
    <n v="151.08000000000001"/>
    <x v="0"/>
    <n v="151.08000000000001"/>
    <s v="03-2019"/>
  </r>
  <r>
    <n v="39808"/>
    <x v="42"/>
    <s v="Low"/>
    <x v="7"/>
    <x v="0"/>
    <x v="0"/>
    <n v="3652.4"/>
    <x v="0"/>
    <n v="0"/>
    <n v="3652.4"/>
    <n v="2.7"/>
    <n v="3652.4"/>
    <x v="0"/>
    <n v="3652.4"/>
    <s v="09-2019"/>
  </r>
  <r>
    <n v="57767"/>
    <x v="181"/>
    <s v="Critical"/>
    <x v="1"/>
    <x v="0"/>
    <x v="0"/>
    <n v="3609.87"/>
    <x v="0"/>
    <n v="0"/>
    <n v="3609.87"/>
    <n v="9.6"/>
    <n v="3609.87"/>
    <x v="0"/>
    <n v="3609.87"/>
    <s v="04-2019"/>
  </r>
  <r>
    <n v="24579"/>
    <x v="327"/>
    <s v="High"/>
    <x v="9"/>
    <x v="1"/>
    <x v="1"/>
    <n v="14896.11"/>
    <x v="1"/>
    <n v="148.96110000000002"/>
    <n v="14747.1489"/>
    <n v="26.2"/>
    <n v="14869.91"/>
    <x v="0"/>
    <n v="14747.1489"/>
    <s v="11-2019"/>
  </r>
  <r>
    <n v="7751"/>
    <x v="332"/>
    <s v="Not Specified"/>
    <x v="9"/>
    <x v="1"/>
    <x v="1"/>
    <n v="4866.25"/>
    <x v="1"/>
    <n v="48.662500000000001"/>
    <n v="4817.5874999999996"/>
    <n v="62.3"/>
    <n v="4803.95"/>
    <x v="2"/>
    <n v="4803.95"/>
    <s v="12-2019"/>
  </r>
  <r>
    <n v="7106"/>
    <x v="6"/>
    <s v="Low"/>
    <x v="34"/>
    <x v="5"/>
    <x v="5"/>
    <n v="1132.54"/>
    <x v="1"/>
    <n v="11.3254"/>
    <n v="1121.2146"/>
    <n v="21.4"/>
    <n v="1111.1399999999999"/>
    <x v="0"/>
    <n v="1111.1399999999999"/>
    <s v="05-2019"/>
  </r>
  <r>
    <n v="43109"/>
    <x v="182"/>
    <s v="Critical"/>
    <x v="46"/>
    <x v="9"/>
    <x v="9"/>
    <n v="103.81140000000001"/>
    <x v="0"/>
    <n v="0"/>
    <n v="103.81140000000001"/>
    <n v="2.1"/>
    <n v="103.81140000000001"/>
    <x v="0"/>
    <n v="103.81140000000001"/>
    <s v="12-2019"/>
  </r>
  <r>
    <n v="18596"/>
    <x v="157"/>
    <s v="Low"/>
    <x v="25"/>
    <x v="0"/>
    <x v="0"/>
    <n v="445.98"/>
    <x v="0"/>
    <n v="0"/>
    <n v="445.98"/>
    <n v="0.5"/>
    <n v="445.98"/>
    <x v="0"/>
    <n v="445.98"/>
    <s v="10-2019"/>
  </r>
  <r>
    <n v="41831"/>
    <x v="167"/>
    <s v="Not Specified"/>
    <x v="20"/>
    <x v="1"/>
    <x v="1"/>
    <n v="3681.9663"/>
    <x v="1"/>
    <n v="36.819662999999998"/>
    <n v="3645.1466369999998"/>
    <n v="32.200000000000003"/>
    <n v="3649.7663000000002"/>
    <x v="2"/>
    <n v="3645.1466369999998"/>
    <s v="07-2019"/>
  </r>
  <r>
    <n v="50883"/>
    <x v="149"/>
    <s v="Low"/>
    <x v="16"/>
    <x v="0"/>
    <x v="0"/>
    <n v="7211.71"/>
    <x v="0"/>
    <n v="0"/>
    <n v="7211.71"/>
    <n v="32.1"/>
    <n v="7211.71"/>
    <x v="2"/>
    <n v="7211.71"/>
    <s v="06-2019"/>
  </r>
  <r>
    <n v="38661"/>
    <x v="218"/>
    <s v="High"/>
    <x v="49"/>
    <x v="2"/>
    <x v="2"/>
    <n v="348.92700000000002"/>
    <x v="1"/>
    <n v="3.4892700000000003"/>
    <n v="345.43773000000004"/>
    <n v="7.1"/>
    <n v="341.827"/>
    <x v="0"/>
    <n v="341.827"/>
    <s v="02-2019"/>
  </r>
  <r>
    <n v="49889"/>
    <x v="268"/>
    <s v="Critical"/>
    <x v="12"/>
    <x v="2"/>
    <x v="2"/>
    <n v="570.80999999999995"/>
    <x v="1"/>
    <n v="5.7081"/>
    <n v="565.10189999999989"/>
    <n v="7.7"/>
    <n v="563.1099999999999"/>
    <x v="0"/>
    <n v="563.1099999999999"/>
    <s v="12-2019"/>
  </r>
  <r>
    <n v="39300"/>
    <x v="291"/>
    <s v="High"/>
    <x v="35"/>
    <x v="9"/>
    <x v="9"/>
    <n v="47.63"/>
    <x v="0"/>
    <n v="0"/>
    <n v="47.63"/>
    <n v="7.4"/>
    <n v="47.63"/>
    <x v="0"/>
    <n v="47.63"/>
    <s v="04-2019"/>
  </r>
  <r>
    <n v="29573"/>
    <x v="280"/>
    <s v="Critical"/>
    <x v="20"/>
    <x v="1"/>
    <x v="1"/>
    <n v="847.66"/>
    <x v="1"/>
    <n v="8.4765999999999995"/>
    <n v="839.18340000000001"/>
    <n v="10.199999999999999"/>
    <n v="837.45999999999992"/>
    <x v="0"/>
    <n v="837.45999999999992"/>
    <s v="01-2019"/>
  </r>
  <r>
    <n v="23140"/>
    <x v="64"/>
    <s v="High"/>
    <x v="36"/>
    <x v="8"/>
    <x v="8"/>
    <n v="124.86"/>
    <x v="0"/>
    <n v="0"/>
    <n v="124.86"/>
    <n v="2.5"/>
    <n v="124.86"/>
    <x v="0"/>
    <n v="124.86"/>
    <s v="02-2019"/>
  </r>
  <r>
    <n v="29505"/>
    <x v="134"/>
    <s v="Medium"/>
    <x v="6"/>
    <x v="4"/>
    <x v="4"/>
    <n v="48.37"/>
    <x v="0"/>
    <n v="0"/>
    <n v="48.37"/>
    <n v="0.7"/>
    <n v="48.37"/>
    <x v="1"/>
    <n v="48.37"/>
    <s v="12-2019"/>
  </r>
  <r>
    <n v="20964"/>
    <x v="120"/>
    <s v="Critical"/>
    <x v="22"/>
    <x v="7"/>
    <x v="7"/>
    <n v="673.66"/>
    <x v="0"/>
    <n v="0"/>
    <n v="673.66"/>
    <n v="9.6"/>
    <n v="673.66"/>
    <x v="0"/>
    <n v="673.66"/>
    <s v="03-2019"/>
  </r>
  <r>
    <n v="39364"/>
    <x v="124"/>
    <s v="High"/>
    <x v="48"/>
    <x v="6"/>
    <x v="6"/>
    <n v="2947.78"/>
    <x v="0"/>
    <n v="0"/>
    <n v="2947.78"/>
    <n v="42.4"/>
    <n v="2947.78"/>
    <x v="0"/>
    <n v="2947.78"/>
    <s v="11-2019"/>
  </r>
  <r>
    <n v="7941"/>
    <x v="129"/>
    <s v="Low"/>
    <x v="3"/>
    <x v="2"/>
    <x v="2"/>
    <n v="2992.44"/>
    <x v="1"/>
    <n v="29.924400000000002"/>
    <n v="2962.5156000000002"/>
    <n v="5.4"/>
    <n v="2987.04"/>
    <x v="0"/>
    <n v="2962.5156000000002"/>
    <s v="03-2019"/>
  </r>
  <r>
    <n v="59329"/>
    <x v="88"/>
    <s v="Critical"/>
    <x v="19"/>
    <x v="1"/>
    <x v="1"/>
    <n v="229.23"/>
    <x v="1"/>
    <n v="2.2923"/>
    <n v="226.93769999999998"/>
    <n v="7.6"/>
    <n v="221.63"/>
    <x v="0"/>
    <n v="221.63"/>
    <s v="12-2019"/>
  </r>
  <r>
    <n v="50784"/>
    <x v="52"/>
    <s v="High"/>
    <x v="32"/>
    <x v="8"/>
    <x v="8"/>
    <n v="683.43"/>
    <x v="0"/>
    <n v="0"/>
    <n v="683.43"/>
    <n v="5.9"/>
    <n v="683.43"/>
    <x v="0"/>
    <n v="683.43"/>
    <s v="02-2019"/>
  </r>
  <r>
    <n v="19617"/>
    <x v="310"/>
    <s v="Low"/>
    <x v="8"/>
    <x v="5"/>
    <x v="5"/>
    <n v="1019.1429000000001"/>
    <x v="1"/>
    <n v="10.191429000000001"/>
    <n v="1008.9514710000001"/>
    <n v="6.7"/>
    <n v="1012.4429"/>
    <x v="0"/>
    <n v="1008.9514710000001"/>
    <s v="01-2019"/>
  </r>
  <r>
    <n v="25476"/>
    <x v="157"/>
    <s v="Not Specified"/>
    <x v="39"/>
    <x v="3"/>
    <x v="3"/>
    <n v="14657.89"/>
    <x v="0"/>
    <n v="0"/>
    <n v="14657.89"/>
    <n v="26.2"/>
    <n v="14657.89"/>
    <x v="0"/>
    <n v="14657.89"/>
    <s v="10-2019"/>
  </r>
  <r>
    <n v="55460"/>
    <x v="155"/>
    <s v="High"/>
    <x v="21"/>
    <x v="2"/>
    <x v="2"/>
    <n v="2081.0100000000002"/>
    <x v="1"/>
    <n v="20.810100000000002"/>
    <n v="2060.1999000000001"/>
    <n v="4.8"/>
    <n v="2076.21"/>
    <x v="0"/>
    <n v="2060.1999000000001"/>
    <s v="05-2019"/>
  </r>
  <r>
    <n v="23648"/>
    <x v="266"/>
    <s v="Critical"/>
    <x v="2"/>
    <x v="1"/>
    <x v="1"/>
    <n v="7241.93"/>
    <x v="1"/>
    <n v="72.419300000000007"/>
    <n v="7169.5106999999998"/>
    <n v="7"/>
    <n v="7234.93"/>
    <x v="0"/>
    <n v="7169.5106999999998"/>
    <s v="09-2019"/>
  </r>
  <r>
    <n v="5986"/>
    <x v="11"/>
    <s v="High"/>
    <x v="19"/>
    <x v="1"/>
    <x v="1"/>
    <n v="219.61"/>
    <x v="1"/>
    <n v="2.1961000000000004"/>
    <n v="217.41390000000001"/>
    <n v="5.3"/>
    <n v="214.31"/>
    <x v="0"/>
    <n v="214.31"/>
    <s v="04-2019"/>
  </r>
  <r>
    <n v="37445"/>
    <x v="248"/>
    <s v="High"/>
    <x v="37"/>
    <x v="5"/>
    <x v="5"/>
    <n v="2332.85"/>
    <x v="1"/>
    <n v="23.328499999999998"/>
    <n v="2309.5214999999998"/>
    <n v="3.7"/>
    <n v="2329.15"/>
    <x v="0"/>
    <n v="2309.5214999999998"/>
    <s v="02-2019"/>
  </r>
  <r>
    <n v="24579"/>
    <x v="327"/>
    <s v="High"/>
    <x v="28"/>
    <x v="5"/>
    <x v="5"/>
    <n v="500.23"/>
    <x v="1"/>
    <n v="5.0023"/>
    <n v="495.22770000000003"/>
    <n v="5.3"/>
    <n v="494.93"/>
    <x v="0"/>
    <n v="494.93"/>
    <s v="11-2019"/>
  </r>
  <r>
    <n v="1925"/>
    <x v="17"/>
    <s v="Critical"/>
    <x v="28"/>
    <x v="5"/>
    <x v="5"/>
    <n v="973.51"/>
    <x v="1"/>
    <n v="9.735100000000001"/>
    <n v="963.7749"/>
    <n v="2.1"/>
    <n v="971.41"/>
    <x v="0"/>
    <n v="963.7749"/>
    <s v="03-2019"/>
  </r>
  <r>
    <n v="57570"/>
    <x v="333"/>
    <s v="High"/>
    <x v="40"/>
    <x v="6"/>
    <x v="6"/>
    <n v="1950.65"/>
    <x v="0"/>
    <n v="0"/>
    <n v="1950.65"/>
    <n v="28.6"/>
    <n v="1950.65"/>
    <x v="2"/>
    <n v="1950.65"/>
    <s v="09-2019"/>
  </r>
  <r>
    <n v="17831"/>
    <x v="106"/>
    <s v="Critical"/>
    <x v="8"/>
    <x v="5"/>
    <x v="5"/>
    <n v="278.64"/>
    <x v="1"/>
    <n v="2.7864"/>
    <n v="275.85359999999997"/>
    <n v="5.7"/>
    <n v="272.94"/>
    <x v="1"/>
    <n v="272.94"/>
    <s v="10-2019"/>
  </r>
  <r>
    <n v="48128"/>
    <x v="181"/>
    <s v="Medium"/>
    <x v="18"/>
    <x v="3"/>
    <x v="3"/>
    <n v="2782.47"/>
    <x v="0"/>
    <n v="0"/>
    <n v="2782.47"/>
    <n v="26.2"/>
    <n v="2782.47"/>
    <x v="1"/>
    <n v="2782.47"/>
    <s v="04-2019"/>
  </r>
  <r>
    <n v="10567"/>
    <x v="92"/>
    <s v="High"/>
    <x v="46"/>
    <x v="9"/>
    <x v="9"/>
    <n v="1188.78"/>
    <x v="0"/>
    <n v="0"/>
    <n v="1188.78"/>
    <n v="46.8"/>
    <n v="1188.78"/>
    <x v="2"/>
    <n v="1188.78"/>
    <s v="03-2019"/>
  </r>
  <r>
    <n v="47846"/>
    <x v="48"/>
    <s v="High"/>
    <x v="3"/>
    <x v="2"/>
    <x v="2"/>
    <n v="5899.79"/>
    <x v="1"/>
    <n v="58.997900000000001"/>
    <n v="5840.7920999999997"/>
    <n v="15"/>
    <n v="5884.79"/>
    <x v="0"/>
    <n v="5840.7920999999997"/>
    <s v="08-2019"/>
  </r>
  <r>
    <n v="46404"/>
    <x v="17"/>
    <s v="Critical"/>
    <x v="3"/>
    <x v="2"/>
    <x v="2"/>
    <n v="2006.69"/>
    <x v="1"/>
    <n v="20.0669"/>
    <n v="1986.6231"/>
    <n v="2.7"/>
    <n v="2003.99"/>
    <x v="0"/>
    <n v="1986.6231"/>
    <s v="03-2019"/>
  </r>
  <r>
    <n v="29411"/>
    <x v="275"/>
    <s v="High"/>
    <x v="0"/>
    <x v="0"/>
    <x v="0"/>
    <n v="580.20000000000005"/>
    <x v="0"/>
    <n v="0"/>
    <n v="580.20000000000005"/>
    <n v="1.5"/>
    <n v="580.20000000000005"/>
    <x v="0"/>
    <n v="580.20000000000005"/>
    <s v="04-2019"/>
  </r>
  <r>
    <n v="50950"/>
    <x v="236"/>
    <s v="Not Specified"/>
    <x v="44"/>
    <x v="9"/>
    <x v="9"/>
    <n v="418.5"/>
    <x v="0"/>
    <n v="0"/>
    <n v="418.5"/>
    <n v="32.1"/>
    <n v="418.5"/>
    <x v="2"/>
    <n v="418.5"/>
    <s v="12-2019"/>
  </r>
  <r>
    <n v="18592"/>
    <x v="5"/>
    <s v="Critical"/>
    <x v="33"/>
    <x v="3"/>
    <x v="3"/>
    <n v="27.52"/>
    <x v="0"/>
    <n v="0"/>
    <n v="27.52"/>
    <n v="3.6"/>
    <n v="27.52"/>
    <x v="0"/>
    <n v="27.52"/>
    <s v="09-2019"/>
  </r>
  <r>
    <n v="57698"/>
    <x v="143"/>
    <s v="Critical"/>
    <x v="46"/>
    <x v="9"/>
    <x v="9"/>
    <n v="92.02"/>
    <x v="0"/>
    <n v="0"/>
    <n v="92.02"/>
    <n v="9.9"/>
    <n v="92.02"/>
    <x v="0"/>
    <n v="92.02"/>
    <s v="01-2019"/>
  </r>
  <r>
    <n v="28453"/>
    <x v="295"/>
    <s v="Critical"/>
    <x v="11"/>
    <x v="6"/>
    <x v="6"/>
    <n v="599.23"/>
    <x v="0"/>
    <n v="0"/>
    <n v="599.23"/>
    <n v="15"/>
    <n v="599.23"/>
    <x v="0"/>
    <n v="599.23"/>
    <s v="12-2019"/>
  </r>
  <r>
    <n v="25314"/>
    <x v="66"/>
    <s v="High"/>
    <x v="20"/>
    <x v="1"/>
    <x v="1"/>
    <n v="8217.08"/>
    <x v="1"/>
    <n v="82.1708"/>
    <n v="8134.9092000000001"/>
    <n v="5.4"/>
    <n v="8211.68"/>
    <x v="0"/>
    <n v="8134.9092000000001"/>
    <s v="02-2019"/>
  </r>
  <r>
    <n v="15142"/>
    <x v="302"/>
    <s v="Not Specified"/>
    <x v="5"/>
    <x v="4"/>
    <x v="4"/>
    <n v="353.34"/>
    <x v="0"/>
    <n v="0"/>
    <n v="353.34"/>
    <n v="11.7"/>
    <n v="353.34"/>
    <x v="0"/>
    <n v="353.34"/>
    <s v="04-2019"/>
  </r>
  <r>
    <n v="30310"/>
    <x v="217"/>
    <s v="Medium"/>
    <x v="5"/>
    <x v="4"/>
    <x v="4"/>
    <n v="2165.71"/>
    <x v="0"/>
    <n v="0"/>
    <n v="2165.71"/>
    <n v="9.4"/>
    <n v="2165.71"/>
    <x v="0"/>
    <n v="2165.71"/>
    <s v="04-2019"/>
  </r>
  <r>
    <n v="38336"/>
    <x v="13"/>
    <s v="Critical"/>
    <x v="26"/>
    <x v="7"/>
    <x v="7"/>
    <n v="98.17"/>
    <x v="0"/>
    <n v="0"/>
    <n v="98.17"/>
    <n v="3.2"/>
    <n v="98.17"/>
    <x v="0"/>
    <n v="98.17"/>
    <s v="10-2019"/>
  </r>
  <r>
    <n v="11683"/>
    <x v="197"/>
    <s v="Not Specified"/>
    <x v="23"/>
    <x v="6"/>
    <x v="6"/>
    <n v="1765.9398000000001"/>
    <x v="0"/>
    <n v="0"/>
    <n v="1765.9398000000001"/>
    <n v="6.4"/>
    <n v="1765.9398000000001"/>
    <x v="0"/>
    <n v="1765.9398000000001"/>
    <s v="02-2019"/>
  </r>
  <r>
    <n v="20194"/>
    <x v="276"/>
    <s v="High"/>
    <x v="46"/>
    <x v="9"/>
    <x v="9"/>
    <n v="207.89"/>
    <x v="0"/>
    <n v="0"/>
    <n v="207.89"/>
    <n v="7.1"/>
    <n v="207.89"/>
    <x v="0"/>
    <n v="207.89"/>
    <s v="03-2019"/>
  </r>
  <r>
    <n v="5986"/>
    <x v="11"/>
    <s v="High"/>
    <x v="49"/>
    <x v="2"/>
    <x v="2"/>
    <n v="5945.11"/>
    <x v="1"/>
    <n v="59.451099999999997"/>
    <n v="5885.6588999999994"/>
    <n v="4.3"/>
    <n v="5940.8099999999995"/>
    <x v="0"/>
    <n v="5885.6588999999994"/>
    <s v="04-2019"/>
  </r>
  <r>
    <n v="33893"/>
    <x v="140"/>
    <s v="Not Specified"/>
    <x v="44"/>
    <x v="9"/>
    <x v="9"/>
    <n v="248.46"/>
    <x v="0"/>
    <n v="0"/>
    <n v="248.46"/>
    <n v="15.8"/>
    <n v="248.46"/>
    <x v="0"/>
    <n v="248.46"/>
    <s v="09-2019"/>
  </r>
  <r>
    <n v="6785"/>
    <x v="59"/>
    <s v="Medium"/>
    <x v="29"/>
    <x v="9"/>
    <x v="9"/>
    <n v="194.01"/>
    <x v="0"/>
    <n v="0"/>
    <n v="194.01"/>
    <n v="9.6"/>
    <n v="194.01"/>
    <x v="0"/>
    <n v="194.01"/>
    <s v="05-2019"/>
  </r>
  <r>
    <n v="54791"/>
    <x v="193"/>
    <s v="High"/>
    <x v="9"/>
    <x v="1"/>
    <x v="1"/>
    <n v="4456.59"/>
    <x v="1"/>
    <n v="44.565899999999999"/>
    <n v="4412.0241000000005"/>
    <n v="32.1"/>
    <n v="4424.49"/>
    <x v="2"/>
    <n v="4412.0241000000005"/>
    <s v="12-2019"/>
  </r>
  <r>
    <n v="12837"/>
    <x v="116"/>
    <s v="Medium"/>
    <x v="3"/>
    <x v="2"/>
    <x v="2"/>
    <n v="1177.22"/>
    <x v="1"/>
    <n v="11.7722"/>
    <n v="1165.4477999999999"/>
    <n v="2.1"/>
    <n v="1175.1200000000001"/>
    <x v="0"/>
    <n v="1165.4477999999999"/>
    <s v="12-2019"/>
  </r>
  <r>
    <n v="58435"/>
    <x v="105"/>
    <s v="Low"/>
    <x v="22"/>
    <x v="7"/>
    <x v="7"/>
    <n v="292.58080000000001"/>
    <x v="0"/>
    <n v="0"/>
    <n v="292.58080000000001"/>
    <n v="16.2"/>
    <n v="292.58080000000001"/>
    <x v="0"/>
    <n v="292.58080000000001"/>
    <s v="05-2019"/>
  </r>
  <r>
    <n v="59425"/>
    <x v="141"/>
    <s v="Medium"/>
    <x v="27"/>
    <x v="2"/>
    <x v="2"/>
    <n v="1834"/>
    <x v="1"/>
    <n v="18.34"/>
    <n v="1815.66"/>
    <n v="5.4"/>
    <n v="1828.6"/>
    <x v="0"/>
    <n v="1815.66"/>
    <s v="05-2019"/>
  </r>
  <r>
    <n v="3524"/>
    <x v="80"/>
    <s v="High"/>
    <x v="5"/>
    <x v="4"/>
    <x v="4"/>
    <n v="457.23"/>
    <x v="0"/>
    <n v="0"/>
    <n v="457.23"/>
    <n v="9.6999999999999993"/>
    <n v="457.23"/>
    <x v="0"/>
    <n v="457.23"/>
    <s v="05-2019"/>
  </r>
  <r>
    <n v="33378"/>
    <x v="3"/>
    <s v="High"/>
    <x v="31"/>
    <x v="4"/>
    <x v="4"/>
    <n v="1011.54"/>
    <x v="0"/>
    <n v="0"/>
    <n v="1011.54"/>
    <n v="10.5"/>
    <n v="1011.54"/>
    <x v="0"/>
    <n v="1011.54"/>
    <s v="04-2019"/>
  </r>
  <r>
    <n v="56384"/>
    <x v="43"/>
    <s v="Critical"/>
    <x v="48"/>
    <x v="6"/>
    <x v="6"/>
    <n v="6569.09"/>
    <x v="0"/>
    <n v="0"/>
    <n v="6569.09"/>
    <n v="74.5"/>
    <n v="6569.09"/>
    <x v="2"/>
    <n v="6569.09"/>
    <s v="07-2019"/>
  </r>
  <r>
    <n v="48576"/>
    <x v="292"/>
    <s v="Not Specified"/>
    <x v="12"/>
    <x v="2"/>
    <x v="2"/>
    <n v="338.85"/>
    <x v="1"/>
    <n v="3.3885000000000005"/>
    <n v="335.4615"/>
    <n v="8"/>
    <n v="330.85"/>
    <x v="0"/>
    <n v="330.85"/>
    <s v="12-2019"/>
  </r>
  <r>
    <n v="26469"/>
    <x v="151"/>
    <s v="Medium"/>
    <x v="3"/>
    <x v="2"/>
    <x v="2"/>
    <n v="374.51069999999999"/>
    <x v="1"/>
    <n v="3.745107"/>
    <n v="370.76559299999997"/>
    <n v="7.4"/>
    <n v="367.11070000000001"/>
    <x v="0"/>
    <n v="367.11070000000001"/>
    <s v="07-2019"/>
  </r>
  <r>
    <n v="43493"/>
    <x v="6"/>
    <s v="High"/>
    <x v="26"/>
    <x v="7"/>
    <x v="7"/>
    <n v="76.61"/>
    <x v="0"/>
    <n v="0"/>
    <n v="76.61"/>
    <n v="5"/>
    <n v="76.61"/>
    <x v="0"/>
    <n v="76.61"/>
    <s v="05-2019"/>
  </r>
  <r>
    <n v="20932"/>
    <x v="76"/>
    <s v="High"/>
    <x v="8"/>
    <x v="5"/>
    <x v="5"/>
    <n v="131.88999999999999"/>
    <x v="1"/>
    <n v="1.3189"/>
    <n v="130.57109999999997"/>
    <n v="2"/>
    <n v="129.88999999999999"/>
    <x v="0"/>
    <n v="129.88999999999999"/>
    <s v="07-2019"/>
  </r>
  <r>
    <n v="13575"/>
    <x v="298"/>
    <s v="Critical"/>
    <x v="47"/>
    <x v="7"/>
    <x v="7"/>
    <n v="113.53"/>
    <x v="0"/>
    <n v="0"/>
    <n v="113.53"/>
    <n v="8.8000000000000007"/>
    <n v="113.53"/>
    <x v="1"/>
    <n v="113.53"/>
    <s v="08-2019"/>
  </r>
  <r>
    <n v="16132"/>
    <x v="65"/>
    <s v="Medium"/>
    <x v="11"/>
    <x v="6"/>
    <x v="6"/>
    <n v="556.36"/>
    <x v="0"/>
    <n v="0"/>
    <n v="556.36"/>
    <n v="3.2"/>
    <n v="556.36"/>
    <x v="0"/>
    <n v="556.36"/>
    <s v="10-2019"/>
  </r>
  <r>
    <n v="29926"/>
    <x v="132"/>
    <s v="Medium"/>
    <x v="35"/>
    <x v="9"/>
    <x v="9"/>
    <n v="21.62"/>
    <x v="0"/>
    <n v="0"/>
    <n v="21.62"/>
    <n v="1.6"/>
    <n v="21.62"/>
    <x v="0"/>
    <n v="21.62"/>
    <s v="03-2019"/>
  </r>
  <r>
    <n v="57152"/>
    <x v="330"/>
    <s v="Low"/>
    <x v="44"/>
    <x v="9"/>
    <x v="9"/>
    <n v="24.49"/>
    <x v="0"/>
    <n v="0"/>
    <n v="24.49"/>
    <n v="1.6"/>
    <n v="24.49"/>
    <x v="0"/>
    <n v="24.49"/>
    <s v="09-2019"/>
  </r>
  <r>
    <n v="21827"/>
    <x v="124"/>
    <s v="Not Specified"/>
    <x v="5"/>
    <x v="4"/>
    <x v="4"/>
    <n v="1670.23"/>
    <x v="0"/>
    <n v="0"/>
    <n v="1670.23"/>
    <n v="4.3"/>
    <n v="1670.23"/>
    <x v="1"/>
    <n v="1670.23"/>
    <s v="11-2019"/>
  </r>
  <r>
    <n v="7458"/>
    <x v="302"/>
    <s v="Critical"/>
    <x v="36"/>
    <x v="8"/>
    <x v="8"/>
    <n v="242.69"/>
    <x v="0"/>
    <n v="0"/>
    <n v="242.69"/>
    <n v="7.7"/>
    <n v="242.69"/>
    <x v="0"/>
    <n v="242.69"/>
    <s v="04-2019"/>
  </r>
  <r>
    <n v="17698"/>
    <x v="152"/>
    <s v="High"/>
    <x v="28"/>
    <x v="5"/>
    <x v="5"/>
    <n v="652.05999999999995"/>
    <x v="1"/>
    <n v="6.5206"/>
    <n v="645.53939999999989"/>
    <n v="11.7"/>
    <n v="640.3599999999999"/>
    <x v="0"/>
    <n v="640.3599999999999"/>
    <s v="05-2019"/>
  </r>
  <r>
    <n v="51970"/>
    <x v="147"/>
    <s v="Not Specified"/>
    <x v="43"/>
    <x v="3"/>
    <x v="3"/>
    <n v="183.73"/>
    <x v="0"/>
    <n v="0"/>
    <n v="183.73"/>
    <n v="60.1"/>
    <n v="183.73"/>
    <x v="2"/>
    <n v="183.73"/>
    <s v="01-2019"/>
  </r>
  <r>
    <n v="22373"/>
    <x v="29"/>
    <s v="High"/>
    <x v="11"/>
    <x v="6"/>
    <x v="6"/>
    <n v="249.34209999999999"/>
    <x v="0"/>
    <n v="0"/>
    <n v="249.34209999999999"/>
    <n v="8.9"/>
    <n v="249.34209999999999"/>
    <x v="1"/>
    <n v="249.34209999999999"/>
    <s v="03-2019"/>
  </r>
  <r>
    <n v="41063"/>
    <x v="339"/>
    <s v="Low"/>
    <x v="11"/>
    <x v="6"/>
    <x v="6"/>
    <n v="2045.2"/>
    <x v="0"/>
    <n v="0"/>
    <n v="2045.2"/>
    <n v="1.3"/>
    <n v="2045.2"/>
    <x v="0"/>
    <n v="2045.2"/>
    <s v="11-2019"/>
  </r>
  <r>
    <n v="8007"/>
    <x v="245"/>
    <s v="Low"/>
    <x v="18"/>
    <x v="3"/>
    <x v="3"/>
    <n v="878"/>
    <x v="0"/>
    <n v="0"/>
    <n v="878"/>
    <n v="9.6"/>
    <n v="878"/>
    <x v="0"/>
    <n v="878"/>
    <s v="02-2019"/>
  </r>
  <r>
    <n v="12005"/>
    <x v="163"/>
    <s v="Not Specified"/>
    <x v="39"/>
    <x v="3"/>
    <x v="3"/>
    <n v="1777.12"/>
    <x v="0"/>
    <n v="0"/>
    <n v="1777.12"/>
    <n v="12.2"/>
    <n v="1777.12"/>
    <x v="0"/>
    <n v="1777.12"/>
    <s v="06-2019"/>
  </r>
  <r>
    <n v="28742"/>
    <x v="20"/>
    <s v="Low"/>
    <x v="16"/>
    <x v="0"/>
    <x v="0"/>
    <n v="629.07000000000005"/>
    <x v="0"/>
    <n v="0"/>
    <n v="629.07000000000005"/>
    <n v="6.7"/>
    <n v="629.07000000000005"/>
    <x v="0"/>
    <n v="629.07000000000005"/>
    <s v="04-2019"/>
  </r>
  <r>
    <n v="51620"/>
    <x v="271"/>
    <s v="Medium"/>
    <x v="14"/>
    <x v="7"/>
    <x v="7"/>
    <n v="186.15"/>
    <x v="0"/>
    <n v="0"/>
    <n v="186.15"/>
    <n v="4.8"/>
    <n v="186.15"/>
    <x v="0"/>
    <n v="186.15"/>
    <s v="03-2019"/>
  </r>
  <r>
    <n v="39555"/>
    <x v="254"/>
    <s v="Low"/>
    <x v="8"/>
    <x v="5"/>
    <x v="5"/>
    <n v="1190.42"/>
    <x v="1"/>
    <n v="11.904200000000001"/>
    <n v="1178.5158000000001"/>
    <n v="8.8000000000000007"/>
    <n v="1181.6200000000001"/>
    <x v="0"/>
    <n v="1178.5158000000001"/>
    <s v="09-2019"/>
  </r>
  <r>
    <n v="17634"/>
    <x v="167"/>
    <s v="High"/>
    <x v="18"/>
    <x v="3"/>
    <x v="3"/>
    <n v="523.29999999999995"/>
    <x v="0"/>
    <n v="0"/>
    <n v="523.29999999999995"/>
    <n v="44.9"/>
    <n v="523.29999999999995"/>
    <x v="2"/>
    <n v="523.29999999999995"/>
    <s v="07-2019"/>
  </r>
  <r>
    <n v="28738"/>
    <x v="25"/>
    <s v="Medium"/>
    <x v="33"/>
    <x v="3"/>
    <x v="3"/>
    <n v="25.19"/>
    <x v="0"/>
    <n v="0"/>
    <n v="25.19"/>
    <n v="6.6"/>
    <n v="25.19"/>
    <x v="0"/>
    <n v="25.19"/>
    <s v="08-2019"/>
  </r>
  <r>
    <n v="8679"/>
    <x v="59"/>
    <s v="Medium"/>
    <x v="27"/>
    <x v="2"/>
    <x v="2"/>
    <n v="477.28"/>
    <x v="1"/>
    <n v="4.7728000000000002"/>
    <n v="472.50719999999995"/>
    <n v="2.2999999999999998"/>
    <n v="474.97999999999996"/>
    <x v="0"/>
    <n v="472.50719999999995"/>
    <s v="05-2019"/>
  </r>
  <r>
    <n v="52003"/>
    <x v="248"/>
    <s v="Low"/>
    <x v="22"/>
    <x v="7"/>
    <x v="7"/>
    <n v="2016.1"/>
    <x v="0"/>
    <n v="0"/>
    <n v="2016.1"/>
    <n v="117.9"/>
    <n v="2016.1"/>
    <x v="2"/>
    <n v="2016.1"/>
    <s v="02-2019"/>
  </r>
  <r>
    <n v="24775"/>
    <x v="294"/>
    <s v="Critical"/>
    <x v="44"/>
    <x v="9"/>
    <x v="9"/>
    <n v="102.9447"/>
    <x v="0"/>
    <n v="0"/>
    <n v="102.9447"/>
    <n v="61.4"/>
    <n v="102.9447"/>
    <x v="0"/>
    <n v="102.9447"/>
    <s v="02-2019"/>
  </r>
  <r>
    <n v="12711"/>
    <x v="241"/>
    <s v="Critical"/>
    <x v="25"/>
    <x v="0"/>
    <x v="0"/>
    <n v="1590.79"/>
    <x v="0"/>
    <n v="0"/>
    <n v="1590.79"/>
    <n v="9.6"/>
    <n v="1590.79"/>
    <x v="0"/>
    <n v="1590.79"/>
    <s v="02-2019"/>
  </r>
  <r>
    <n v="32356"/>
    <x v="270"/>
    <s v="Not Specified"/>
    <x v="14"/>
    <x v="7"/>
    <x v="7"/>
    <n v="822.2"/>
    <x v="0"/>
    <n v="0"/>
    <n v="822.2"/>
    <n v="21.4"/>
    <n v="822.2"/>
    <x v="0"/>
    <n v="822.2"/>
    <s v="10-2019"/>
  </r>
  <r>
    <n v="44422"/>
    <x v="27"/>
    <s v="Medium"/>
    <x v="34"/>
    <x v="5"/>
    <x v="5"/>
    <n v="335.8"/>
    <x v="1"/>
    <n v="3.3580000000000001"/>
    <n v="332.44200000000001"/>
    <n v="3.2"/>
    <n v="332.6"/>
    <x v="0"/>
    <n v="332.44200000000001"/>
    <s v="04-2019"/>
  </r>
  <r>
    <n v="22563"/>
    <x v="24"/>
    <s v="Critical"/>
    <x v="25"/>
    <x v="0"/>
    <x v="0"/>
    <n v="269.12"/>
    <x v="0"/>
    <n v="0"/>
    <n v="269.12"/>
    <n v="3.9"/>
    <n v="269.12"/>
    <x v="0"/>
    <n v="269.12"/>
    <s v="05-2019"/>
  </r>
  <r>
    <n v="42945"/>
    <x v="119"/>
    <s v="Not Specified"/>
    <x v="9"/>
    <x v="1"/>
    <x v="1"/>
    <n v="191.21"/>
    <x v="1"/>
    <n v="1.9121000000000001"/>
    <n v="189.2979"/>
    <n v="5.5"/>
    <n v="185.71"/>
    <x v="0"/>
    <n v="185.71"/>
    <s v="12-2019"/>
  </r>
  <r>
    <n v="51269"/>
    <x v="61"/>
    <s v="High"/>
    <x v="33"/>
    <x v="3"/>
    <x v="3"/>
    <n v="22.544899999999998"/>
    <x v="0"/>
    <n v="0"/>
    <n v="22.544899999999998"/>
    <n v="3.2"/>
    <n v="22.544899999999998"/>
    <x v="0"/>
    <n v="22.544899999999998"/>
    <s v="01-2019"/>
  </r>
  <r>
    <n v="55431"/>
    <x v="153"/>
    <s v="Not Specified"/>
    <x v="41"/>
    <x v="5"/>
    <x v="5"/>
    <n v="66.28"/>
    <x v="1"/>
    <n v="0.66280000000000006"/>
    <n v="65.617199999999997"/>
    <n v="1.4"/>
    <n v="64.88"/>
    <x v="0"/>
    <n v="64.88"/>
    <s v="06-2019"/>
  </r>
  <r>
    <n v="28544"/>
    <x v="28"/>
    <s v="Critical"/>
    <x v="10"/>
    <x v="4"/>
    <x v="4"/>
    <n v="73.3"/>
    <x v="0"/>
    <n v="0"/>
    <n v="73.3"/>
    <n v="1.6"/>
    <n v="73.3"/>
    <x v="0"/>
    <n v="73.3"/>
    <s v="08-2019"/>
  </r>
  <r>
    <n v="5858"/>
    <x v="199"/>
    <s v="Not Specified"/>
    <x v="48"/>
    <x v="6"/>
    <x v="6"/>
    <n v="5759.07"/>
    <x v="0"/>
    <n v="0"/>
    <n v="5759.07"/>
    <n v="9.6"/>
    <n v="5759.07"/>
    <x v="0"/>
    <n v="5759.07"/>
    <s v="07-2019"/>
  </r>
  <r>
    <n v="40611"/>
    <x v="29"/>
    <s v="Not Specified"/>
    <x v="20"/>
    <x v="1"/>
    <x v="1"/>
    <n v="1506.04"/>
    <x v="1"/>
    <n v="15.0604"/>
    <n v="1490.9795999999999"/>
    <n v="3.5"/>
    <n v="1502.54"/>
    <x v="0"/>
    <n v="1490.9795999999999"/>
    <s v="03-2019"/>
  </r>
  <r>
    <n v="16164"/>
    <x v="282"/>
    <s v="Low"/>
    <x v="6"/>
    <x v="4"/>
    <x v="4"/>
    <n v="3588.2878000000001"/>
    <x v="0"/>
    <n v="0"/>
    <n v="3588.2878000000001"/>
    <n v="21.4"/>
    <n v="3588.2878000000001"/>
    <x v="0"/>
    <n v="3588.2878000000001"/>
    <s v="01-2019"/>
  </r>
  <r>
    <n v="24386"/>
    <x v="127"/>
    <s v="High"/>
    <x v="19"/>
    <x v="1"/>
    <x v="1"/>
    <n v="4554.47"/>
    <x v="1"/>
    <n v="45.544700000000006"/>
    <n v="4508.9252999999999"/>
    <n v="7.7"/>
    <n v="4546.7700000000004"/>
    <x v="0"/>
    <n v="4508.9252999999999"/>
    <s v="06-2019"/>
  </r>
  <r>
    <n v="46212"/>
    <x v="173"/>
    <s v="Not Specified"/>
    <x v="29"/>
    <x v="9"/>
    <x v="9"/>
    <n v="4149.33"/>
    <x v="0"/>
    <n v="0"/>
    <n v="4149.33"/>
    <n v="48.9"/>
    <n v="4149.33"/>
    <x v="2"/>
    <n v="4149.33"/>
    <s v="09-2019"/>
  </r>
  <r>
    <n v="26469"/>
    <x v="151"/>
    <s v="Medium"/>
    <x v="39"/>
    <x v="3"/>
    <x v="3"/>
    <n v="7924.94"/>
    <x v="0"/>
    <n v="0"/>
    <n v="7924.94"/>
    <n v="21.4"/>
    <n v="7924.94"/>
    <x v="0"/>
    <n v="7924.94"/>
    <s v="07-2019"/>
  </r>
  <r>
    <n v="25542"/>
    <x v="236"/>
    <s v="Low"/>
    <x v="37"/>
    <x v="5"/>
    <x v="5"/>
    <n v="275.48"/>
    <x v="1"/>
    <n v="2.7548000000000004"/>
    <n v="272.72520000000003"/>
    <n v="4.5"/>
    <n v="270.98"/>
    <x v="1"/>
    <n v="270.98"/>
    <s v="12-2019"/>
  </r>
  <r>
    <n v="22752"/>
    <x v="345"/>
    <s v="Low"/>
    <x v="33"/>
    <x v="3"/>
    <x v="3"/>
    <n v="255.47"/>
    <x v="0"/>
    <n v="0"/>
    <n v="255.47"/>
    <n v="37.5"/>
    <n v="255.47"/>
    <x v="0"/>
    <n v="255.47"/>
    <s v="12-2019"/>
  </r>
  <r>
    <n v="51140"/>
    <x v="170"/>
    <s v="Low"/>
    <x v="4"/>
    <x v="3"/>
    <x v="3"/>
    <n v="421.94"/>
    <x v="0"/>
    <n v="0"/>
    <n v="421.94"/>
    <n v="26.2"/>
    <n v="421.94"/>
    <x v="0"/>
    <n v="421.94"/>
    <s v="09-2019"/>
  </r>
  <r>
    <n v="34659"/>
    <x v="12"/>
    <s v="High"/>
    <x v="15"/>
    <x v="1"/>
    <x v="1"/>
    <n v="277.58999999999997"/>
    <x v="1"/>
    <n v="2.7758999999999996"/>
    <n v="274.8141"/>
    <n v="5.3"/>
    <n v="272.28999999999996"/>
    <x v="0"/>
    <n v="272.28999999999996"/>
    <s v="11-2019"/>
  </r>
  <r>
    <n v="9350"/>
    <x v="259"/>
    <s v="Critical"/>
    <x v="13"/>
    <x v="7"/>
    <x v="7"/>
    <n v="1857.4558"/>
    <x v="0"/>
    <n v="0"/>
    <n v="1857.4558"/>
    <n v="57.2"/>
    <n v="1857.4558"/>
    <x v="2"/>
    <n v="1857.4558"/>
    <s v="10-2019"/>
  </r>
  <r>
    <n v="49634"/>
    <x v="129"/>
    <s v="Not Specified"/>
    <x v="9"/>
    <x v="1"/>
    <x v="1"/>
    <n v="141.57169999999999"/>
    <x v="1"/>
    <n v="1.4157169999999999"/>
    <n v="140.15598299999999"/>
    <n v="1.6"/>
    <n v="139.9717"/>
    <x v="0"/>
    <n v="139.9717"/>
    <s v="03-2019"/>
  </r>
  <r>
    <n v="38884"/>
    <x v="49"/>
    <s v="High"/>
    <x v="12"/>
    <x v="2"/>
    <x v="2"/>
    <n v="273.92"/>
    <x v="1"/>
    <n v="2.7392000000000003"/>
    <n v="271.18080000000003"/>
    <n v="6.1"/>
    <n v="267.82"/>
    <x v="0"/>
    <n v="267.82"/>
    <s v="08-2019"/>
  </r>
  <r>
    <n v="54534"/>
    <x v="2"/>
    <s v="Not Specified"/>
    <x v="36"/>
    <x v="8"/>
    <x v="8"/>
    <n v="133.44"/>
    <x v="0"/>
    <n v="0"/>
    <n v="133.44"/>
    <n v="6.4"/>
    <n v="133.44"/>
    <x v="0"/>
    <n v="133.44"/>
    <s v="03-2019"/>
  </r>
  <r>
    <n v="29218"/>
    <x v="309"/>
    <s v="Low"/>
    <x v="13"/>
    <x v="7"/>
    <x v="7"/>
    <n v="2410.6799999999998"/>
    <x v="0"/>
    <n v="0"/>
    <n v="2410.6799999999998"/>
    <n v="9.6"/>
    <n v="2410.6799999999998"/>
    <x v="0"/>
    <n v="2410.6799999999998"/>
    <s v="05-2019"/>
  </r>
  <r>
    <n v="1991"/>
    <x v="175"/>
    <s v="Not Specified"/>
    <x v="37"/>
    <x v="5"/>
    <x v="5"/>
    <n v="15390.7"/>
    <x v="1"/>
    <n v="153.90700000000001"/>
    <n v="15236.793000000001"/>
    <n v="12.9"/>
    <n v="15377.800000000001"/>
    <x v="2"/>
    <n v="15236.793000000001"/>
    <s v="09-2019"/>
  </r>
  <r>
    <n v="53477"/>
    <x v="184"/>
    <s v="High"/>
    <x v="40"/>
    <x v="6"/>
    <x v="6"/>
    <n v="8733.27"/>
    <x v="0"/>
    <n v="0"/>
    <n v="8733.27"/>
    <n v="69.3"/>
    <n v="8733.27"/>
    <x v="2"/>
    <n v="8733.27"/>
    <s v="05-2019"/>
  </r>
  <r>
    <n v="24261"/>
    <x v="283"/>
    <s v="Critical"/>
    <x v="23"/>
    <x v="6"/>
    <x v="6"/>
    <n v="1012.51"/>
    <x v="0"/>
    <n v="0"/>
    <n v="1012.51"/>
    <n v="9.4"/>
    <n v="1012.51"/>
    <x v="0"/>
    <n v="1012.51"/>
    <s v="09-2019"/>
  </r>
  <r>
    <n v="8289"/>
    <x v="58"/>
    <s v="Low"/>
    <x v="8"/>
    <x v="5"/>
    <x v="5"/>
    <n v="612.83000000000004"/>
    <x v="1"/>
    <n v="6.1283000000000003"/>
    <n v="606.70170000000007"/>
    <n v="7.7"/>
    <n v="605.13"/>
    <x v="0"/>
    <n v="605.13"/>
    <s v="10-2019"/>
  </r>
  <r>
    <n v="46243"/>
    <x v="247"/>
    <s v="Low"/>
    <x v="43"/>
    <x v="3"/>
    <x v="3"/>
    <n v="3.8841000000000001"/>
    <x v="0"/>
    <n v="0"/>
    <n v="3.8841000000000001"/>
    <n v="0.7"/>
    <n v="3.8841000000000001"/>
    <x v="0"/>
    <n v="3.8841000000000001"/>
    <s v="01-2019"/>
  </r>
  <r>
    <n v="4391"/>
    <x v="294"/>
    <s v="High"/>
    <x v="32"/>
    <x v="8"/>
    <x v="8"/>
    <n v="2773.9"/>
    <x v="0"/>
    <n v="0"/>
    <n v="2773.9"/>
    <n v="4.2"/>
    <n v="2773.9"/>
    <x v="0"/>
    <n v="2773.9"/>
    <s v="02-2019"/>
  </r>
  <r>
    <n v="18596"/>
    <x v="157"/>
    <s v="Low"/>
    <x v="15"/>
    <x v="1"/>
    <x v="1"/>
    <n v="5261.93"/>
    <x v="1"/>
    <n v="52.619300000000003"/>
    <n v="5209.3107"/>
    <n v="32.1"/>
    <n v="5229.83"/>
    <x v="2"/>
    <n v="5209.3107"/>
    <s v="10-2019"/>
  </r>
  <r>
    <n v="36644"/>
    <x v="152"/>
    <s v="High"/>
    <x v="10"/>
    <x v="4"/>
    <x v="4"/>
    <n v="2459.1999999999998"/>
    <x v="0"/>
    <n v="0"/>
    <n v="2459.1999999999998"/>
    <n v="21.4"/>
    <n v="2459.1999999999998"/>
    <x v="0"/>
    <n v="2459.1999999999998"/>
    <s v="05-2019"/>
  </r>
  <r>
    <n v="25666"/>
    <x v="42"/>
    <s v="Critical"/>
    <x v="42"/>
    <x v="4"/>
    <x v="4"/>
    <n v="278.29000000000002"/>
    <x v="0"/>
    <n v="0"/>
    <n v="278.29000000000002"/>
    <n v="5.0999999999999996"/>
    <n v="278.29000000000002"/>
    <x v="0"/>
    <n v="278.29000000000002"/>
    <s v="09-2019"/>
  </r>
  <r>
    <n v="27909"/>
    <x v="197"/>
    <s v="Critical"/>
    <x v="43"/>
    <x v="3"/>
    <x v="3"/>
    <n v="66.62"/>
    <x v="0"/>
    <n v="0"/>
    <n v="66.62"/>
    <n v="11.5"/>
    <n v="66.62"/>
    <x v="0"/>
    <n v="66.62"/>
    <s v="02-2019"/>
  </r>
  <r>
    <n v="52197"/>
    <x v="113"/>
    <s v="Critical"/>
    <x v="42"/>
    <x v="4"/>
    <x v="4"/>
    <n v="98.375799999999998"/>
    <x v="0"/>
    <n v="0"/>
    <n v="98.375799999999998"/>
    <n v="2.1"/>
    <n v="98.375799999999998"/>
    <x v="0"/>
    <n v="98.375799999999998"/>
    <s v="08-2019"/>
  </r>
  <r>
    <n v="46852"/>
    <x v="235"/>
    <s v="Not Specified"/>
    <x v="27"/>
    <x v="2"/>
    <x v="2"/>
    <n v="1703.32"/>
    <x v="1"/>
    <n v="17.033200000000001"/>
    <n v="1686.2867999999999"/>
    <n v="8.1"/>
    <n v="1695.22"/>
    <x v="1"/>
    <n v="1686.2867999999999"/>
    <s v="01-2019"/>
  </r>
  <r>
    <n v="54307"/>
    <x v="33"/>
    <s v="High"/>
    <x v="47"/>
    <x v="7"/>
    <x v="7"/>
    <n v="260.57"/>
    <x v="0"/>
    <n v="0"/>
    <n v="260.57"/>
    <n v="14.5"/>
    <n v="260.57"/>
    <x v="0"/>
    <n v="260.57"/>
    <s v="01-2019"/>
  </r>
  <r>
    <n v="27078"/>
    <x v="83"/>
    <s v="Not Specified"/>
    <x v="6"/>
    <x v="4"/>
    <x v="4"/>
    <n v="163.11080000000001"/>
    <x v="0"/>
    <n v="0"/>
    <n v="163.11080000000001"/>
    <n v="6.3"/>
    <n v="163.11080000000001"/>
    <x v="0"/>
    <n v="163.11080000000001"/>
    <s v="08-2019"/>
  </r>
  <r>
    <n v="28387"/>
    <x v="286"/>
    <s v="Not Specified"/>
    <x v="37"/>
    <x v="5"/>
    <x v="5"/>
    <n v="3437.88"/>
    <x v="1"/>
    <n v="34.378800000000005"/>
    <n v="3403.5012000000002"/>
    <n v="21.4"/>
    <n v="3416.48"/>
    <x v="0"/>
    <n v="3403.5012000000002"/>
    <s v="06-2019"/>
  </r>
  <r>
    <n v="27201"/>
    <x v="225"/>
    <s v="High"/>
    <x v="9"/>
    <x v="1"/>
    <x v="1"/>
    <n v="3745.107"/>
    <x v="1"/>
    <n v="37.451070000000001"/>
    <n v="3707.6559299999999"/>
    <n v="95.6"/>
    <n v="3649.5070000000001"/>
    <x v="2"/>
    <n v="3649.5070000000001"/>
    <s v="07-2019"/>
  </r>
  <r>
    <n v="6757"/>
    <x v="135"/>
    <s v="Medium"/>
    <x v="40"/>
    <x v="6"/>
    <x v="6"/>
    <n v="930.66"/>
    <x v="0"/>
    <n v="0"/>
    <n v="930.66"/>
    <n v="8.8000000000000007"/>
    <n v="930.66"/>
    <x v="0"/>
    <n v="930.66"/>
    <s v="01-2019"/>
  </r>
  <r>
    <n v="1185"/>
    <x v="265"/>
    <s v="Low"/>
    <x v="29"/>
    <x v="9"/>
    <x v="9"/>
    <n v="401.01"/>
    <x v="0"/>
    <n v="0"/>
    <n v="401.01"/>
    <n v="15.3"/>
    <n v="401.01"/>
    <x v="0"/>
    <n v="401.01"/>
    <s v="08-2019"/>
  </r>
  <r>
    <n v="19361"/>
    <x v="26"/>
    <s v="Low"/>
    <x v="5"/>
    <x v="4"/>
    <x v="4"/>
    <n v="844.07"/>
    <x v="0"/>
    <n v="0"/>
    <n v="844.07"/>
    <n v="3.2"/>
    <n v="844.07"/>
    <x v="0"/>
    <n v="844.07"/>
    <s v="09-2019"/>
  </r>
  <r>
    <n v="46787"/>
    <x v="92"/>
    <s v="Medium"/>
    <x v="25"/>
    <x v="0"/>
    <x v="0"/>
    <n v="741.69"/>
    <x v="0"/>
    <n v="0"/>
    <n v="741.69"/>
    <n v="9.6"/>
    <n v="741.69"/>
    <x v="0"/>
    <n v="741.69"/>
    <s v="03-2019"/>
  </r>
  <r>
    <n v="43493"/>
    <x v="6"/>
    <s v="High"/>
    <x v="37"/>
    <x v="5"/>
    <x v="5"/>
    <n v="1818.98"/>
    <x v="1"/>
    <n v="18.189800000000002"/>
    <n v="1800.7901999999999"/>
    <n v="5.4"/>
    <n v="1813.58"/>
    <x v="0"/>
    <n v="1800.7901999999999"/>
    <s v="05-2019"/>
  </r>
  <r>
    <n v="37634"/>
    <x v="16"/>
    <s v="Medium"/>
    <x v="25"/>
    <x v="0"/>
    <x v="0"/>
    <n v="393.95"/>
    <x v="0"/>
    <n v="0"/>
    <n v="393.95"/>
    <n v="5.0999999999999996"/>
    <n v="393.95"/>
    <x v="0"/>
    <n v="393.95"/>
    <s v="05-2019"/>
  </r>
  <r>
    <n v="56740"/>
    <x v="69"/>
    <s v="Low"/>
    <x v="48"/>
    <x v="6"/>
    <x v="6"/>
    <n v="25162.45"/>
    <x v="0"/>
    <n v="0"/>
    <n v="25162.45"/>
    <n v="26.2"/>
    <n v="25162.45"/>
    <x v="0"/>
    <n v="25162.45"/>
    <s v="10-2019"/>
  </r>
  <r>
    <n v="18368"/>
    <x v="133"/>
    <s v="Not Specified"/>
    <x v="4"/>
    <x v="3"/>
    <x v="3"/>
    <n v="6390.67"/>
    <x v="0"/>
    <n v="0"/>
    <n v="6390.67"/>
    <n v="15.7"/>
    <n v="6390.67"/>
    <x v="2"/>
    <n v="6390.67"/>
    <s v="11-2019"/>
  </r>
  <r>
    <n v="50181"/>
    <x v="196"/>
    <s v="High"/>
    <x v="33"/>
    <x v="3"/>
    <x v="3"/>
    <n v="310.01"/>
    <x v="0"/>
    <n v="0"/>
    <n v="310.01"/>
    <n v="30.6"/>
    <n v="310.01"/>
    <x v="2"/>
    <n v="310.01"/>
    <s v="05-2019"/>
  </r>
  <r>
    <n v="37063"/>
    <x v="160"/>
    <s v="Not Specified"/>
    <x v="3"/>
    <x v="2"/>
    <x v="2"/>
    <n v="983.33"/>
    <x v="1"/>
    <n v="9.8333000000000013"/>
    <n v="973.49670000000003"/>
    <n v="9.6"/>
    <n v="973.73"/>
    <x v="0"/>
    <n v="973.49670000000003"/>
    <s v="12-2019"/>
  </r>
  <r>
    <n v="56740"/>
    <x v="69"/>
    <s v="Low"/>
    <x v="44"/>
    <x v="9"/>
    <x v="9"/>
    <n v="36.69"/>
    <x v="0"/>
    <n v="0"/>
    <n v="36.69"/>
    <n v="3.2"/>
    <n v="36.69"/>
    <x v="0"/>
    <n v="36.69"/>
    <s v="10-2019"/>
  </r>
  <r>
    <n v="21729"/>
    <x v="306"/>
    <s v="Low"/>
    <x v="26"/>
    <x v="7"/>
    <x v="7"/>
    <n v="1158.4462000000001"/>
    <x v="0"/>
    <n v="0"/>
    <n v="1158.4462000000001"/>
    <n v="51.6"/>
    <n v="1158.4462000000001"/>
    <x v="0"/>
    <n v="1158.4462000000001"/>
    <s v="12-2019"/>
  </r>
  <r>
    <n v="16518"/>
    <x v="145"/>
    <s v="Critical"/>
    <x v="34"/>
    <x v="5"/>
    <x v="5"/>
    <n v="2812.95"/>
    <x v="1"/>
    <n v="28.1295"/>
    <n v="2784.8204999999998"/>
    <n v="1.1000000000000001"/>
    <n v="2811.85"/>
    <x v="0"/>
    <n v="2784.8204999999998"/>
    <s v="09-2019"/>
  </r>
  <r>
    <n v="15937"/>
    <x v="46"/>
    <s v="Low"/>
    <x v="25"/>
    <x v="0"/>
    <x v="0"/>
    <n v="333.24"/>
    <x v="0"/>
    <n v="0"/>
    <n v="333.24"/>
    <n v="2.1"/>
    <n v="333.24"/>
    <x v="0"/>
    <n v="333.24"/>
    <s v="11-2019"/>
  </r>
  <r>
    <n v="3654"/>
    <x v="75"/>
    <s v="Low"/>
    <x v="19"/>
    <x v="1"/>
    <x v="1"/>
    <n v="102.43"/>
    <x v="1"/>
    <n v="1.0243"/>
    <n v="101.40570000000001"/>
    <n v="5.7"/>
    <n v="96.73"/>
    <x v="0"/>
    <n v="96.73"/>
    <s v="06-2019"/>
  </r>
  <r>
    <n v="55494"/>
    <x v="312"/>
    <s v="Not Specified"/>
    <x v="39"/>
    <x v="3"/>
    <x v="3"/>
    <n v="61.87"/>
    <x v="0"/>
    <n v="0"/>
    <n v="61.87"/>
    <n v="5.0999999999999996"/>
    <n v="61.87"/>
    <x v="1"/>
    <n v="61.87"/>
    <s v="06-2019"/>
  </r>
  <r>
    <n v="8070"/>
    <x v="235"/>
    <s v="Medium"/>
    <x v="26"/>
    <x v="7"/>
    <x v="7"/>
    <n v="666.31"/>
    <x v="0"/>
    <n v="0"/>
    <n v="666.31"/>
    <n v="9.6"/>
    <n v="666.31"/>
    <x v="0"/>
    <n v="666.31"/>
    <s v="01-2019"/>
  </r>
  <r>
    <n v="16161"/>
    <x v="8"/>
    <s v="Medium"/>
    <x v="21"/>
    <x v="2"/>
    <x v="2"/>
    <n v="2881.18"/>
    <x v="1"/>
    <n v="28.811799999999998"/>
    <n v="2852.3681999999999"/>
    <n v="4.5"/>
    <n v="2876.68"/>
    <x v="0"/>
    <n v="2852.3681999999999"/>
    <s v="07-2019"/>
  </r>
  <r>
    <n v="20292"/>
    <x v="35"/>
    <s v="Medium"/>
    <x v="18"/>
    <x v="3"/>
    <x v="3"/>
    <n v="125.33"/>
    <x v="0"/>
    <n v="0"/>
    <n v="125.33"/>
    <n v="4.3"/>
    <n v="125.33"/>
    <x v="0"/>
    <n v="125.33"/>
    <s v="11-2019"/>
  </r>
  <r>
    <n v="8609"/>
    <x v="9"/>
    <s v="Critical"/>
    <x v="39"/>
    <x v="3"/>
    <x v="3"/>
    <n v="77.040000000000006"/>
    <x v="0"/>
    <n v="0"/>
    <n v="77.040000000000006"/>
    <n v="2.7"/>
    <n v="77.040000000000006"/>
    <x v="0"/>
    <n v="77.040000000000006"/>
    <s v="04-2019"/>
  </r>
  <r>
    <n v="13572"/>
    <x v="141"/>
    <s v="Critical"/>
    <x v="29"/>
    <x v="9"/>
    <x v="9"/>
    <n v="42.92"/>
    <x v="0"/>
    <n v="0"/>
    <n v="42.92"/>
    <n v="5.5"/>
    <n v="42.92"/>
    <x v="0"/>
    <n v="42.92"/>
    <s v="05-2019"/>
  </r>
  <r>
    <n v="57600"/>
    <x v="234"/>
    <s v="Critical"/>
    <x v="2"/>
    <x v="1"/>
    <x v="1"/>
    <n v="200.03"/>
    <x v="1"/>
    <n v="2.0003000000000002"/>
    <n v="198.02969999999999"/>
    <n v="0.5"/>
    <n v="199.53"/>
    <x v="0"/>
    <n v="198.02969999999999"/>
    <s v="11-2019"/>
  </r>
  <r>
    <n v="12931"/>
    <x v="14"/>
    <s v="Medium"/>
    <x v="22"/>
    <x v="7"/>
    <x v="7"/>
    <n v="699.69"/>
    <x v="0"/>
    <n v="0"/>
    <n v="699.69"/>
    <n v="10.4"/>
    <n v="699.69"/>
    <x v="0"/>
    <n v="699.69"/>
    <s v="04-2019"/>
  </r>
  <r>
    <n v="46534"/>
    <x v="346"/>
    <s v="High"/>
    <x v="13"/>
    <x v="7"/>
    <x v="7"/>
    <n v="1435.2"/>
    <x v="0"/>
    <n v="0"/>
    <n v="1435.2"/>
    <n v="21.4"/>
    <n v="1435.2"/>
    <x v="0"/>
    <n v="1435.2"/>
    <s v="10-2019"/>
  </r>
  <r>
    <n v="27841"/>
    <x v="110"/>
    <s v="High"/>
    <x v="0"/>
    <x v="0"/>
    <x v="0"/>
    <n v="72.599999999999994"/>
    <x v="0"/>
    <n v="0"/>
    <n v="72.599999999999994"/>
    <n v="0.7"/>
    <n v="72.599999999999994"/>
    <x v="0"/>
    <n v="72.599999999999994"/>
    <s v="09-2019"/>
  </r>
  <r>
    <n v="47686"/>
    <x v="237"/>
    <s v="Not Specified"/>
    <x v="49"/>
    <x v="2"/>
    <x v="2"/>
    <n v="192.23"/>
    <x v="1"/>
    <n v="1.9222999999999999"/>
    <n v="190.30769999999998"/>
    <n v="1.3"/>
    <n v="190.92999999999998"/>
    <x v="0"/>
    <n v="190.30769999999998"/>
    <s v="10-2019"/>
  </r>
  <r>
    <n v="54791"/>
    <x v="193"/>
    <s v="High"/>
    <x v="15"/>
    <x v="1"/>
    <x v="1"/>
    <n v="4572.4799999999996"/>
    <x v="1"/>
    <n v="45.724799999999995"/>
    <n v="4526.7551999999996"/>
    <n v="37.5"/>
    <n v="4534.9799999999996"/>
    <x v="0"/>
    <n v="4526.7551999999996"/>
    <s v="12-2019"/>
  </r>
  <r>
    <n v="39075"/>
    <x v="241"/>
    <s v="Not Specified"/>
    <x v="3"/>
    <x v="2"/>
    <x v="2"/>
    <n v="548.19000000000005"/>
    <x v="1"/>
    <n v="5.4819000000000004"/>
    <n v="542.70810000000006"/>
    <n v="1.1000000000000001"/>
    <n v="547.09"/>
    <x v="0"/>
    <n v="542.70810000000006"/>
    <s v="02-2019"/>
  </r>
  <r>
    <n v="9024"/>
    <x v="75"/>
    <s v="Medium"/>
    <x v="33"/>
    <x v="3"/>
    <x v="3"/>
    <n v="12.968400000000001"/>
    <x v="0"/>
    <n v="0"/>
    <n v="12.968400000000001"/>
    <n v="1"/>
    <n v="12.968400000000001"/>
    <x v="0"/>
    <n v="12.968400000000001"/>
    <s v="06-2019"/>
  </r>
  <r>
    <n v="44037"/>
    <x v="118"/>
    <s v="High"/>
    <x v="41"/>
    <x v="5"/>
    <x v="5"/>
    <n v="894.04"/>
    <x v="1"/>
    <n v="8.9404000000000003"/>
    <n v="885.09960000000001"/>
    <n v="5.4"/>
    <n v="888.64"/>
    <x v="0"/>
    <n v="885.09960000000001"/>
    <s v="06-2019"/>
  </r>
  <r>
    <n v="7042"/>
    <x v="33"/>
    <s v="Medium"/>
    <x v="39"/>
    <x v="3"/>
    <x v="3"/>
    <n v="1271.0145"/>
    <x v="0"/>
    <n v="0"/>
    <n v="1271.0145"/>
    <n v="91.6"/>
    <n v="1271.0145"/>
    <x v="2"/>
    <n v="1271.0145"/>
    <s v="01-2019"/>
  </r>
  <r>
    <n v="26919"/>
    <x v="73"/>
    <s v="Low"/>
    <x v="14"/>
    <x v="7"/>
    <x v="7"/>
    <n v="3781.98"/>
    <x v="0"/>
    <n v="0"/>
    <n v="3781.98"/>
    <n v="26.2"/>
    <n v="3781.98"/>
    <x v="0"/>
    <n v="3781.98"/>
    <s v="12-2019"/>
  </r>
  <r>
    <n v="4800"/>
    <x v="38"/>
    <s v="Low"/>
    <x v="45"/>
    <x v="8"/>
    <x v="8"/>
    <n v="95.5"/>
    <x v="0"/>
    <n v="0"/>
    <n v="95.5"/>
    <n v="0.5"/>
    <n v="95.5"/>
    <x v="0"/>
    <n v="95.5"/>
    <s v="01-2019"/>
  </r>
  <r>
    <n v="10470"/>
    <x v="201"/>
    <s v="Low"/>
    <x v="28"/>
    <x v="5"/>
    <x v="5"/>
    <n v="1880.4501"/>
    <x v="1"/>
    <n v="18.804501000000002"/>
    <n v="1861.6455989999999"/>
    <n v="3.7"/>
    <n v="1876.7501"/>
    <x v="1"/>
    <n v="1861.6455989999999"/>
    <s v="05-2019"/>
  </r>
  <r>
    <n v="13031"/>
    <x v="88"/>
    <s v="Low"/>
    <x v="1"/>
    <x v="0"/>
    <x v="0"/>
    <n v="224.76"/>
    <x v="0"/>
    <n v="0"/>
    <n v="224.76"/>
    <n v="7.9"/>
    <n v="224.76"/>
    <x v="0"/>
    <n v="224.76"/>
    <s v="12-2019"/>
  </r>
  <r>
    <n v="11398"/>
    <x v="209"/>
    <s v="High"/>
    <x v="11"/>
    <x v="6"/>
    <x v="6"/>
    <n v="86.55"/>
    <x v="0"/>
    <n v="0"/>
    <n v="86.55"/>
    <n v="0.9"/>
    <n v="86.55"/>
    <x v="0"/>
    <n v="86.55"/>
    <s v="08-2019"/>
  </r>
  <r>
    <n v="8231"/>
    <x v="93"/>
    <s v="Critical"/>
    <x v="40"/>
    <x v="6"/>
    <x v="6"/>
    <n v="85"/>
    <x v="0"/>
    <n v="0"/>
    <n v="85"/>
    <n v="0.5"/>
    <n v="85"/>
    <x v="0"/>
    <n v="85"/>
    <s v="10-2019"/>
  </r>
  <r>
    <n v="26818"/>
    <x v="33"/>
    <s v="Not Specified"/>
    <x v="18"/>
    <x v="3"/>
    <x v="3"/>
    <n v="83.88"/>
    <x v="0"/>
    <n v="0"/>
    <n v="83.88"/>
    <n v="5.3"/>
    <n v="83.88"/>
    <x v="1"/>
    <n v="83.88"/>
    <s v="01-2019"/>
  </r>
  <r>
    <n v="4738"/>
    <x v="281"/>
    <s v="High"/>
    <x v="33"/>
    <x v="3"/>
    <x v="3"/>
    <n v="11.12"/>
    <x v="0"/>
    <n v="0"/>
    <n v="11.12"/>
    <n v="0.7"/>
    <n v="11.12"/>
    <x v="0"/>
    <n v="11.12"/>
    <s v="04-2019"/>
  </r>
  <r>
    <n v="19361"/>
    <x v="26"/>
    <s v="Low"/>
    <x v="20"/>
    <x v="1"/>
    <x v="1"/>
    <n v="390.11"/>
    <x v="1"/>
    <n v="3.9011"/>
    <n v="386.20890000000003"/>
    <n v="5.5"/>
    <n v="384.61"/>
    <x v="0"/>
    <n v="384.61"/>
    <s v="09-2019"/>
  </r>
  <r>
    <n v="42400"/>
    <x v="137"/>
    <s v="Low"/>
    <x v="19"/>
    <x v="1"/>
    <x v="1"/>
    <n v="459.33"/>
    <x v="1"/>
    <n v="4.5933000000000002"/>
    <n v="454.73669999999998"/>
    <n v="7"/>
    <n v="452.33"/>
    <x v="0"/>
    <n v="452.33"/>
    <s v="08-2019"/>
  </r>
  <r>
    <n v="28129"/>
    <x v="226"/>
    <s v="Medium"/>
    <x v="18"/>
    <x v="3"/>
    <x v="3"/>
    <n v="114.93"/>
    <x v="0"/>
    <n v="0"/>
    <n v="114.93"/>
    <n v="6.3"/>
    <n v="114.93"/>
    <x v="0"/>
    <n v="114.93"/>
    <s v="01-2019"/>
  </r>
  <r>
    <n v="21344"/>
    <x v="160"/>
    <s v="Low"/>
    <x v="49"/>
    <x v="2"/>
    <x v="2"/>
    <n v="2152.2600000000002"/>
    <x v="1"/>
    <n v="21.522600000000004"/>
    <n v="2130.7374"/>
    <n v="9.3000000000000007"/>
    <n v="2142.96"/>
    <x v="0"/>
    <n v="2130.7374"/>
    <s v="12-2019"/>
  </r>
  <r>
    <n v="30469"/>
    <x v="195"/>
    <s v="Not Specified"/>
    <x v="27"/>
    <x v="2"/>
    <x v="2"/>
    <n v="325.5582"/>
    <x v="1"/>
    <n v="3.255582"/>
    <n v="322.302618"/>
    <n v="2.5"/>
    <n v="323.0582"/>
    <x v="0"/>
    <n v="322.302618"/>
    <s v="12-2019"/>
  </r>
  <r>
    <n v="27265"/>
    <x v="59"/>
    <s v="Critical"/>
    <x v="34"/>
    <x v="5"/>
    <x v="5"/>
    <n v="5978.3"/>
    <x v="1"/>
    <n v="59.783000000000001"/>
    <n v="5918.5169999999998"/>
    <n v="21.4"/>
    <n v="5956.9000000000005"/>
    <x v="1"/>
    <n v="5918.5169999999998"/>
    <s v="05-2019"/>
  </r>
  <r>
    <n v="612"/>
    <x v="260"/>
    <s v="Medium"/>
    <x v="20"/>
    <x v="1"/>
    <x v="1"/>
    <n v="2708.26"/>
    <x v="1"/>
    <n v="27.082600000000003"/>
    <n v="2681.1774"/>
    <n v="2.7"/>
    <n v="2705.5600000000004"/>
    <x v="0"/>
    <n v="2681.1774"/>
    <s v="10-2019"/>
  </r>
  <r>
    <n v="8801"/>
    <x v="25"/>
    <s v="Low"/>
    <x v="25"/>
    <x v="0"/>
    <x v="0"/>
    <n v="2774.5956000000001"/>
    <x v="0"/>
    <n v="0"/>
    <n v="2774.5956000000001"/>
    <n v="51.6"/>
    <n v="2774.5956000000001"/>
    <x v="1"/>
    <n v="2774.5956000000001"/>
    <s v="08-2019"/>
  </r>
  <r>
    <n v="50308"/>
    <x v="93"/>
    <s v="Low"/>
    <x v="24"/>
    <x v="8"/>
    <x v="8"/>
    <n v="92.53"/>
    <x v="0"/>
    <n v="0"/>
    <n v="92.53"/>
    <n v="0.5"/>
    <n v="92.53"/>
    <x v="0"/>
    <n v="92.53"/>
    <s v="10-2019"/>
  </r>
  <r>
    <n v="26853"/>
    <x v="22"/>
    <s v="Low"/>
    <x v="5"/>
    <x v="4"/>
    <x v="4"/>
    <n v="68.95"/>
    <x v="0"/>
    <n v="0"/>
    <n v="68.95"/>
    <n v="6.8"/>
    <n v="68.95"/>
    <x v="0"/>
    <n v="68.95"/>
    <s v="06-2019"/>
  </r>
  <r>
    <n v="17543"/>
    <x v="1"/>
    <s v="Critical"/>
    <x v="16"/>
    <x v="0"/>
    <x v="0"/>
    <n v="1114.6600000000001"/>
    <x v="0"/>
    <n v="0"/>
    <n v="1114.6600000000001"/>
    <n v="18.3"/>
    <n v="1114.6600000000001"/>
    <x v="0"/>
    <n v="1114.6600000000001"/>
    <s v="05-2019"/>
  </r>
  <r>
    <n v="55458"/>
    <x v="277"/>
    <s v="High"/>
    <x v="25"/>
    <x v="0"/>
    <x v="0"/>
    <n v="123.88"/>
    <x v="0"/>
    <n v="0"/>
    <n v="123.88"/>
    <n v="7.3"/>
    <n v="123.88"/>
    <x v="0"/>
    <n v="123.88"/>
    <s v="03-2019"/>
  </r>
  <r>
    <n v="11782"/>
    <x v="8"/>
    <s v="Low"/>
    <x v="40"/>
    <x v="6"/>
    <x v="6"/>
    <n v="1649.71"/>
    <x v="0"/>
    <n v="0"/>
    <n v="1649.71"/>
    <n v="15"/>
    <n v="1649.71"/>
    <x v="0"/>
    <n v="1649.71"/>
    <s v="07-2019"/>
  </r>
  <r>
    <n v="17152"/>
    <x v="168"/>
    <s v="High"/>
    <x v="25"/>
    <x v="0"/>
    <x v="0"/>
    <n v="253"/>
    <x v="0"/>
    <n v="0"/>
    <n v="253"/>
    <n v="10.4"/>
    <n v="253"/>
    <x v="0"/>
    <n v="253"/>
    <s v="03-2019"/>
  </r>
  <r>
    <n v="29536"/>
    <x v="328"/>
    <s v="Medium"/>
    <x v="22"/>
    <x v="7"/>
    <x v="7"/>
    <n v="2657.38"/>
    <x v="0"/>
    <n v="0"/>
    <n v="2657.38"/>
    <n v="69.2"/>
    <n v="2657.38"/>
    <x v="2"/>
    <n v="2657.38"/>
    <s v="09-2019"/>
  </r>
  <r>
    <n v="31523"/>
    <x v="271"/>
    <s v="Low"/>
    <x v="24"/>
    <x v="8"/>
    <x v="8"/>
    <n v="191.88310000000001"/>
    <x v="0"/>
    <n v="0"/>
    <n v="191.88310000000001"/>
    <n v="8.9"/>
    <n v="191.88310000000001"/>
    <x v="0"/>
    <n v="191.88310000000001"/>
    <s v="03-2019"/>
  </r>
  <r>
    <n v="14372"/>
    <x v="82"/>
    <s v="Critical"/>
    <x v="1"/>
    <x v="0"/>
    <x v="0"/>
    <n v="5725.15"/>
    <x v="0"/>
    <n v="0"/>
    <n v="5725.15"/>
    <n v="64.7"/>
    <n v="5725.15"/>
    <x v="2"/>
    <n v="5725.15"/>
    <s v="10-2019"/>
  </r>
  <r>
    <n v="34148"/>
    <x v="97"/>
    <s v="Critical"/>
    <x v="0"/>
    <x v="0"/>
    <x v="0"/>
    <n v="146.37"/>
    <x v="0"/>
    <n v="0"/>
    <n v="146.37"/>
    <n v="1.1000000000000001"/>
    <n v="146.37"/>
    <x v="0"/>
    <n v="146.37"/>
    <s v="08-2019"/>
  </r>
  <r>
    <n v="13346"/>
    <x v="4"/>
    <s v="Low"/>
    <x v="2"/>
    <x v="1"/>
    <x v="1"/>
    <n v="287.12"/>
    <x v="1"/>
    <n v="2.8712"/>
    <n v="284.24880000000002"/>
    <n v="9.5"/>
    <n v="277.62"/>
    <x v="0"/>
    <n v="277.62"/>
    <s v="11-2019"/>
  </r>
  <r>
    <n v="18851"/>
    <x v="79"/>
    <s v="Critical"/>
    <x v="25"/>
    <x v="0"/>
    <x v="0"/>
    <n v="218.5"/>
    <x v="0"/>
    <n v="0"/>
    <n v="218.5"/>
    <n v="11.1"/>
    <n v="218.5"/>
    <x v="1"/>
    <n v="218.5"/>
    <s v="12-2019"/>
  </r>
  <r>
    <n v="15616"/>
    <x v="129"/>
    <s v="Critical"/>
    <x v="14"/>
    <x v="7"/>
    <x v="7"/>
    <n v="413.78"/>
    <x v="0"/>
    <n v="0"/>
    <n v="413.78"/>
    <n v="7"/>
    <n v="413.78"/>
    <x v="1"/>
    <n v="413.78"/>
    <s v="03-2019"/>
  </r>
  <r>
    <n v="15782"/>
    <x v="120"/>
    <s v="High"/>
    <x v="16"/>
    <x v="0"/>
    <x v="0"/>
    <n v="2503.4148"/>
    <x v="0"/>
    <n v="0"/>
    <n v="2503.4148"/>
    <n v="73.8"/>
    <n v="2503.4148"/>
    <x v="0"/>
    <n v="2503.4148"/>
    <s v="03-2019"/>
  </r>
  <r>
    <n v="32067"/>
    <x v="168"/>
    <s v="High"/>
    <x v="40"/>
    <x v="6"/>
    <x v="6"/>
    <n v="3053.66"/>
    <x v="0"/>
    <n v="0"/>
    <n v="3053.66"/>
    <n v="8.1999999999999993"/>
    <n v="3053.66"/>
    <x v="0"/>
    <n v="3053.66"/>
    <s v="03-2019"/>
  </r>
  <r>
    <n v="18373"/>
    <x v="211"/>
    <s v="Critical"/>
    <x v="16"/>
    <x v="0"/>
    <x v="0"/>
    <n v="7070.82"/>
    <x v="0"/>
    <n v="0"/>
    <n v="7070.82"/>
    <n v="1.1000000000000001"/>
    <n v="7070.82"/>
    <x v="0"/>
    <n v="7070.82"/>
    <s v="04-2019"/>
  </r>
  <r>
    <n v="57058"/>
    <x v="223"/>
    <s v="Medium"/>
    <x v="40"/>
    <x v="6"/>
    <x v="6"/>
    <n v="1047.5899999999999"/>
    <x v="0"/>
    <n v="0"/>
    <n v="1047.5899999999999"/>
    <n v="9.6999999999999993"/>
    <n v="1047.5899999999999"/>
    <x v="0"/>
    <n v="1047.5899999999999"/>
    <s v="05-2019"/>
  </r>
  <r>
    <n v="24613"/>
    <x v="47"/>
    <s v="Low"/>
    <x v="34"/>
    <x v="5"/>
    <x v="5"/>
    <n v="264.07"/>
    <x v="1"/>
    <n v="2.6406999999999998"/>
    <n v="261.42930000000001"/>
    <n v="7.1"/>
    <n v="256.96999999999997"/>
    <x v="0"/>
    <n v="256.96999999999997"/>
    <s v="07-2019"/>
  </r>
  <r>
    <n v="19617"/>
    <x v="310"/>
    <s v="Low"/>
    <x v="4"/>
    <x v="3"/>
    <x v="3"/>
    <n v="184.0009"/>
    <x v="0"/>
    <n v="0"/>
    <n v="184.0009"/>
    <n v="9.6"/>
    <n v="184.0009"/>
    <x v="0"/>
    <n v="184.0009"/>
    <s v="01-2019"/>
  </r>
  <r>
    <n v="40289"/>
    <x v="315"/>
    <s v="Not Specified"/>
    <x v="11"/>
    <x v="6"/>
    <x v="6"/>
    <n v="83.56"/>
    <x v="0"/>
    <n v="0"/>
    <n v="83.56"/>
    <n v="1.1000000000000001"/>
    <n v="83.56"/>
    <x v="0"/>
    <n v="83.56"/>
    <s v="11-2019"/>
  </r>
  <r>
    <n v="38817"/>
    <x v="24"/>
    <s v="Not Specified"/>
    <x v="43"/>
    <x v="3"/>
    <x v="3"/>
    <n v="10.38"/>
    <x v="0"/>
    <n v="0"/>
    <n v="10.38"/>
    <n v="4.9000000000000004"/>
    <n v="10.38"/>
    <x v="0"/>
    <n v="10.38"/>
    <s v="05-2019"/>
  </r>
  <r>
    <n v="11808"/>
    <x v="43"/>
    <s v="Not Specified"/>
    <x v="43"/>
    <x v="3"/>
    <x v="3"/>
    <n v="158.72999999999999"/>
    <x v="0"/>
    <n v="0"/>
    <n v="158.72999999999999"/>
    <n v="42"/>
    <n v="158.72999999999999"/>
    <x v="2"/>
    <n v="158.72999999999999"/>
    <s v="07-2019"/>
  </r>
  <r>
    <n v="2023"/>
    <x v="184"/>
    <s v="Low"/>
    <x v="3"/>
    <x v="2"/>
    <x v="2"/>
    <n v="263.82990000000001"/>
    <x v="1"/>
    <n v="2.6382989999999999"/>
    <n v="261.19160099999999"/>
    <n v="5.9"/>
    <n v="257.92990000000003"/>
    <x v="0"/>
    <n v="257.92990000000003"/>
    <s v="05-2019"/>
  </r>
  <r>
    <n v="12551"/>
    <x v="68"/>
    <s v="Low"/>
    <x v="27"/>
    <x v="2"/>
    <x v="2"/>
    <n v="5374.8811999999998"/>
    <x v="1"/>
    <n v="53.748812000000001"/>
    <n v="5321.132388"/>
    <n v="5.6"/>
    <n v="5369.2811999999994"/>
    <x v="0"/>
    <n v="5321.132388"/>
    <s v="06-2019"/>
  </r>
  <r>
    <n v="51175"/>
    <x v="50"/>
    <s v="High"/>
    <x v="4"/>
    <x v="3"/>
    <x v="3"/>
    <n v="2286.52"/>
    <x v="0"/>
    <n v="0"/>
    <n v="2286.52"/>
    <n v="26.2"/>
    <n v="2286.52"/>
    <x v="0"/>
    <n v="2286.52"/>
    <s v="08-2019"/>
  </r>
  <r>
    <n v="38912"/>
    <x v="58"/>
    <s v="Low"/>
    <x v="27"/>
    <x v="2"/>
    <x v="2"/>
    <n v="7430.02"/>
    <x v="1"/>
    <n v="74.300200000000004"/>
    <n v="7355.7198000000008"/>
    <n v="4.3"/>
    <n v="7425.72"/>
    <x v="0"/>
    <n v="7355.7198000000008"/>
    <s v="10-2019"/>
  </r>
  <r>
    <n v="42246"/>
    <x v="217"/>
    <s v="Not Specified"/>
    <x v="28"/>
    <x v="5"/>
    <x v="5"/>
    <n v="3274.6"/>
    <x v="1"/>
    <n v="32.746000000000002"/>
    <n v="3241.8539999999998"/>
    <n v="4.3"/>
    <n v="3270.2999999999997"/>
    <x v="0"/>
    <n v="3241.8539999999998"/>
    <s v="04-2019"/>
  </r>
  <r>
    <n v="44261"/>
    <x v="129"/>
    <s v="High"/>
    <x v="7"/>
    <x v="0"/>
    <x v="0"/>
    <n v="13978.54"/>
    <x v="0"/>
    <n v="0"/>
    <n v="13978.54"/>
    <n v="21.4"/>
    <n v="13978.54"/>
    <x v="1"/>
    <n v="13978.54"/>
    <s v="03-2019"/>
  </r>
  <r>
    <n v="31232"/>
    <x v="298"/>
    <s v="High"/>
    <x v="35"/>
    <x v="9"/>
    <x v="9"/>
    <n v="2828.1705000000002"/>
    <x v="0"/>
    <n v="0"/>
    <n v="2828.1705000000002"/>
    <n v="66.099999999999994"/>
    <n v="2828.1705000000002"/>
    <x v="2"/>
    <n v="2828.1705000000002"/>
    <s v="08-2019"/>
  </r>
  <r>
    <n v="25985"/>
    <x v="42"/>
    <s v="Low"/>
    <x v="3"/>
    <x v="2"/>
    <x v="2"/>
    <n v="246.77"/>
    <x v="1"/>
    <n v="2.4677000000000002"/>
    <n v="244.3023"/>
    <n v="3.3"/>
    <n v="243.47"/>
    <x v="0"/>
    <n v="243.47"/>
    <s v="09-2019"/>
  </r>
  <r>
    <n v="26535"/>
    <x v="41"/>
    <s v="Not Specified"/>
    <x v="0"/>
    <x v="0"/>
    <x v="0"/>
    <n v="151.62"/>
    <x v="0"/>
    <n v="0"/>
    <n v="151.62"/>
    <n v="5.6"/>
    <n v="151.62"/>
    <x v="0"/>
    <n v="151.62"/>
    <s v="03-2019"/>
  </r>
  <r>
    <n v="21792"/>
    <x v="227"/>
    <s v="Not Specified"/>
    <x v="11"/>
    <x v="6"/>
    <x v="6"/>
    <n v="388.15320000000003"/>
    <x v="0"/>
    <n v="0"/>
    <n v="388.15320000000003"/>
    <n v="6.9"/>
    <n v="388.15320000000003"/>
    <x v="0"/>
    <n v="388.15320000000003"/>
    <s v="09-2019"/>
  </r>
  <r>
    <n v="12418"/>
    <x v="248"/>
    <s v="Not Specified"/>
    <x v="8"/>
    <x v="5"/>
    <x v="5"/>
    <n v="319.94"/>
    <x v="1"/>
    <n v="3.1994000000000002"/>
    <n v="316.74059999999997"/>
    <n v="7"/>
    <n v="312.94"/>
    <x v="0"/>
    <n v="312.94"/>
    <s v="02-2019"/>
  </r>
  <r>
    <n v="2052"/>
    <x v="211"/>
    <s v="High"/>
    <x v="42"/>
    <x v="4"/>
    <x v="4"/>
    <n v="115.4851"/>
    <x v="0"/>
    <n v="0"/>
    <n v="115.4851"/>
    <n v="5.7"/>
    <n v="115.4851"/>
    <x v="0"/>
    <n v="115.4851"/>
    <s v="04-2019"/>
  </r>
  <r>
    <n v="44679"/>
    <x v="347"/>
    <s v="Medium"/>
    <x v="16"/>
    <x v="0"/>
    <x v="0"/>
    <n v="2144.52"/>
    <x v="0"/>
    <n v="0"/>
    <n v="2144.52"/>
    <n v="13.1"/>
    <n v="2144.52"/>
    <x v="0"/>
    <n v="2144.52"/>
    <s v="06-2019"/>
  </r>
  <r>
    <n v="57894"/>
    <x v="342"/>
    <s v="Low"/>
    <x v="12"/>
    <x v="2"/>
    <x v="2"/>
    <n v="14318.75"/>
    <x v="1"/>
    <n v="143.1875"/>
    <n v="14175.5625"/>
    <n v="28.4"/>
    <n v="14290.35"/>
    <x v="2"/>
    <n v="14175.5625"/>
    <s v="04-2019"/>
  </r>
  <r>
    <n v="50471"/>
    <x v="282"/>
    <s v="Low"/>
    <x v="31"/>
    <x v="4"/>
    <x v="4"/>
    <n v="6269.4"/>
    <x v="0"/>
    <n v="0"/>
    <n v="6269.4"/>
    <n v="30.1"/>
    <n v="6269.4"/>
    <x v="2"/>
    <n v="6269.4"/>
    <s v="01-2019"/>
  </r>
  <r>
    <n v="39876"/>
    <x v="27"/>
    <s v="High"/>
    <x v="20"/>
    <x v="1"/>
    <x v="1"/>
    <n v="17408.71"/>
    <x v="1"/>
    <n v="174.08709999999999"/>
    <n v="17234.622899999998"/>
    <n v="21.4"/>
    <n v="17387.309999999998"/>
    <x v="0"/>
    <n v="17234.622899999998"/>
    <s v="04-2019"/>
  </r>
  <r>
    <n v="39652"/>
    <x v="201"/>
    <s v="Low"/>
    <x v="18"/>
    <x v="3"/>
    <x v="3"/>
    <n v="15.63"/>
    <x v="0"/>
    <n v="0"/>
    <n v="15.63"/>
    <n v="0.5"/>
    <n v="15.63"/>
    <x v="0"/>
    <n v="15.63"/>
    <s v="05-2019"/>
  </r>
  <r>
    <n v="1826"/>
    <x v="150"/>
    <s v="Not Specified"/>
    <x v="18"/>
    <x v="3"/>
    <x v="3"/>
    <n v="30.302399999999999"/>
    <x v="0"/>
    <n v="0"/>
    <n v="30.302399999999999"/>
    <n v="5.0999999999999996"/>
    <n v="30.302399999999999"/>
    <x v="0"/>
    <n v="30.302399999999999"/>
    <s v="04-2019"/>
  </r>
  <r>
    <n v="20579"/>
    <x v="187"/>
    <s v="Medium"/>
    <x v="36"/>
    <x v="8"/>
    <x v="8"/>
    <n v="1534.47"/>
    <x v="0"/>
    <n v="0"/>
    <n v="1534.47"/>
    <n v="9.6"/>
    <n v="1534.47"/>
    <x v="0"/>
    <n v="1534.47"/>
    <s v="10-2019"/>
  </r>
  <r>
    <n v="49927"/>
    <x v="293"/>
    <s v="Not Specified"/>
    <x v="23"/>
    <x v="6"/>
    <x v="6"/>
    <n v="213.49"/>
    <x v="0"/>
    <n v="0"/>
    <n v="213.49"/>
    <n v="4.3"/>
    <n v="213.49"/>
    <x v="0"/>
    <n v="213.49"/>
    <s v="07-2019"/>
  </r>
  <r>
    <n v="39877"/>
    <x v="203"/>
    <s v="Critical"/>
    <x v="19"/>
    <x v="1"/>
    <x v="1"/>
    <n v="97.24"/>
    <x v="1"/>
    <n v="0.97239999999999993"/>
    <n v="96.267599999999987"/>
    <n v="0.8"/>
    <n v="96.44"/>
    <x v="0"/>
    <n v="96.267599999999987"/>
    <s v="08-2019"/>
  </r>
  <r>
    <n v="24390"/>
    <x v="243"/>
    <s v="Low"/>
    <x v="33"/>
    <x v="3"/>
    <x v="3"/>
    <n v="115.21"/>
    <x v="0"/>
    <n v="0"/>
    <n v="115.21"/>
    <n v="7"/>
    <n v="115.21"/>
    <x v="1"/>
    <n v="115.21"/>
    <s v="06-2019"/>
  </r>
  <r>
    <n v="2022"/>
    <x v="161"/>
    <s v="Critical"/>
    <x v="9"/>
    <x v="1"/>
    <x v="1"/>
    <n v="199.49"/>
    <x v="1"/>
    <n v="1.9949000000000001"/>
    <n v="197.49510000000001"/>
    <n v="5.5"/>
    <n v="193.99"/>
    <x v="0"/>
    <n v="193.99"/>
    <s v="03-2019"/>
  </r>
  <r>
    <n v="39266"/>
    <x v="279"/>
    <s v="High"/>
    <x v="36"/>
    <x v="8"/>
    <x v="8"/>
    <n v="1049.95"/>
    <x v="0"/>
    <n v="0"/>
    <n v="1049.95"/>
    <n v="52.4"/>
    <n v="1049.95"/>
    <x v="0"/>
    <n v="1049.95"/>
    <s v="08-2019"/>
  </r>
  <r>
    <n v="15781"/>
    <x v="330"/>
    <s v="High"/>
    <x v="48"/>
    <x v="6"/>
    <x v="6"/>
    <n v="882.23"/>
    <x v="0"/>
    <n v="0"/>
    <n v="882.23"/>
    <n v="4.3"/>
    <n v="882.23"/>
    <x v="0"/>
    <n v="882.23"/>
    <s v="09-2019"/>
  </r>
  <r>
    <n v="4896"/>
    <x v="97"/>
    <s v="Critical"/>
    <x v="46"/>
    <x v="9"/>
    <x v="9"/>
    <n v="1166.1609000000001"/>
    <x v="0"/>
    <n v="0"/>
    <n v="1166.1609000000001"/>
    <n v="6.4"/>
    <n v="1166.1609000000001"/>
    <x v="1"/>
    <n v="1166.1609000000001"/>
    <s v="08-2019"/>
  </r>
  <r>
    <n v="40289"/>
    <x v="315"/>
    <s v="Not Specified"/>
    <x v="39"/>
    <x v="3"/>
    <x v="3"/>
    <n v="45.76"/>
    <x v="0"/>
    <n v="0"/>
    <n v="45.76"/>
    <n v="2.4"/>
    <n v="45.76"/>
    <x v="0"/>
    <n v="45.76"/>
    <s v="11-2019"/>
  </r>
  <r>
    <n v="46048"/>
    <x v="144"/>
    <s v="Medium"/>
    <x v="16"/>
    <x v="0"/>
    <x v="0"/>
    <n v="478.56"/>
    <x v="0"/>
    <n v="0"/>
    <n v="478.56"/>
    <n v="4.8"/>
    <n v="478.56"/>
    <x v="0"/>
    <n v="478.56"/>
    <s v="12-2019"/>
  </r>
  <r>
    <n v="26726"/>
    <x v="134"/>
    <s v="High"/>
    <x v="37"/>
    <x v="5"/>
    <x v="5"/>
    <n v="185.2277"/>
    <x v="1"/>
    <n v="1.852277"/>
    <n v="183.37542299999998"/>
    <n v="5.5"/>
    <n v="179.7277"/>
    <x v="0"/>
    <n v="179.7277"/>
    <s v="12-2019"/>
  </r>
  <r>
    <n v="30597"/>
    <x v="36"/>
    <s v="High"/>
    <x v="38"/>
    <x v="8"/>
    <x v="8"/>
    <n v="99.53"/>
    <x v="0"/>
    <n v="0"/>
    <n v="99.53"/>
    <n v="2.2000000000000002"/>
    <n v="99.53"/>
    <x v="0"/>
    <n v="99.53"/>
    <s v="08-2019"/>
  </r>
  <r>
    <n v="26691"/>
    <x v="304"/>
    <s v="Not Specified"/>
    <x v="37"/>
    <x v="5"/>
    <x v="5"/>
    <n v="289.36"/>
    <x v="1"/>
    <n v="2.8936000000000002"/>
    <n v="286.46640000000002"/>
    <n v="6.6"/>
    <n v="282.76"/>
    <x v="0"/>
    <n v="282.76"/>
    <s v="08-2019"/>
  </r>
  <r>
    <n v="52516"/>
    <x v="38"/>
    <s v="High"/>
    <x v="24"/>
    <x v="8"/>
    <x v="8"/>
    <n v="205.86"/>
    <x v="0"/>
    <n v="0"/>
    <n v="205.86"/>
    <n v="5"/>
    <n v="205.86"/>
    <x v="1"/>
    <n v="205.86"/>
    <s v="01-2019"/>
  </r>
  <r>
    <n v="21634"/>
    <x v="58"/>
    <s v="Not Specified"/>
    <x v="43"/>
    <x v="3"/>
    <x v="3"/>
    <n v="2082.81"/>
    <x v="0"/>
    <n v="0"/>
    <n v="2082.81"/>
    <n v="15"/>
    <n v="2082.81"/>
    <x v="0"/>
    <n v="2082.81"/>
    <s v="10-2019"/>
  </r>
  <r>
    <n v="28165"/>
    <x v="156"/>
    <s v="Not Specified"/>
    <x v="33"/>
    <x v="3"/>
    <x v="3"/>
    <n v="26.71"/>
    <x v="0"/>
    <n v="0"/>
    <n v="26.71"/>
    <n v="3.2"/>
    <n v="26.71"/>
    <x v="0"/>
    <n v="26.71"/>
    <s v="07-2019"/>
  </r>
  <r>
    <n v="6529"/>
    <x v="315"/>
    <s v="Medium"/>
    <x v="16"/>
    <x v="0"/>
    <x v="0"/>
    <n v="95.99"/>
    <x v="0"/>
    <n v="0"/>
    <n v="95.99"/>
    <n v="0.9"/>
    <n v="95.99"/>
    <x v="0"/>
    <n v="95.99"/>
    <s v="11-2019"/>
  </r>
  <r>
    <n v="48067"/>
    <x v="286"/>
    <s v="Low"/>
    <x v="10"/>
    <x v="4"/>
    <x v="4"/>
    <n v="4291.7"/>
    <x v="0"/>
    <n v="0"/>
    <n v="4291.7"/>
    <n v="9.6"/>
    <n v="4291.7"/>
    <x v="1"/>
    <n v="4291.7"/>
    <s v="06-2019"/>
  </r>
  <r>
    <n v="11269"/>
    <x v="155"/>
    <s v="Low"/>
    <x v="43"/>
    <x v="3"/>
    <x v="3"/>
    <n v="50.3"/>
    <x v="0"/>
    <n v="0"/>
    <n v="50.3"/>
    <n v="21.4"/>
    <n v="50.3"/>
    <x v="0"/>
    <n v="50.3"/>
    <s v="05-2019"/>
  </r>
  <r>
    <n v="36101"/>
    <x v="37"/>
    <s v="High"/>
    <x v="4"/>
    <x v="3"/>
    <x v="3"/>
    <n v="477.27"/>
    <x v="0"/>
    <n v="0"/>
    <n v="477.27"/>
    <n v="57.2"/>
    <n v="477.27"/>
    <x v="2"/>
    <n v="477.27"/>
    <s v="08-2019"/>
  </r>
  <r>
    <n v="47591"/>
    <x v="229"/>
    <s v="Critical"/>
    <x v="40"/>
    <x v="6"/>
    <x v="6"/>
    <n v="298.95999999999998"/>
    <x v="0"/>
    <n v="0"/>
    <n v="298.95999999999998"/>
    <n v="7.4"/>
    <n v="298.95999999999998"/>
    <x v="0"/>
    <n v="298.95999999999998"/>
    <s v="01-2019"/>
  </r>
  <r>
    <n v="38498"/>
    <x v="3"/>
    <s v="Critical"/>
    <x v="17"/>
    <x v="6"/>
    <x v="6"/>
    <n v="3525.81"/>
    <x v="0"/>
    <n v="0"/>
    <n v="3525.81"/>
    <n v="2.1"/>
    <n v="3525.81"/>
    <x v="0"/>
    <n v="3525.81"/>
    <s v="04-2019"/>
  </r>
  <r>
    <n v="21827"/>
    <x v="124"/>
    <s v="Not Specified"/>
    <x v="31"/>
    <x v="4"/>
    <x v="4"/>
    <n v="1446.4"/>
    <x v="0"/>
    <n v="0"/>
    <n v="1446.4"/>
    <n v="14.1"/>
    <n v="1446.4"/>
    <x v="0"/>
    <n v="1446.4"/>
    <s v="11-2019"/>
  </r>
  <r>
    <n v="481"/>
    <x v="112"/>
    <s v="High"/>
    <x v="2"/>
    <x v="1"/>
    <x v="1"/>
    <n v="4825.03"/>
    <x v="1"/>
    <n v="48.250299999999996"/>
    <n v="4776.7797"/>
    <n v="5.6"/>
    <n v="4819.4299999999994"/>
    <x v="0"/>
    <n v="4776.7797"/>
    <s v="10-2019"/>
  </r>
  <r>
    <n v="19745"/>
    <x v="314"/>
    <s v="High"/>
    <x v="33"/>
    <x v="3"/>
    <x v="3"/>
    <n v="68.44"/>
    <x v="0"/>
    <n v="0"/>
    <n v="68.44"/>
    <n v="2.1"/>
    <n v="68.44"/>
    <x v="0"/>
    <n v="68.44"/>
    <s v="12-2019"/>
  </r>
  <r>
    <n v="57600"/>
    <x v="234"/>
    <s v="Critical"/>
    <x v="25"/>
    <x v="0"/>
    <x v="0"/>
    <n v="2013.87"/>
    <x v="0"/>
    <n v="0"/>
    <n v="2013.87"/>
    <n v="11"/>
    <n v="2013.87"/>
    <x v="0"/>
    <n v="2013.87"/>
    <s v="11-2019"/>
  </r>
  <r>
    <n v="31297"/>
    <x v="244"/>
    <s v="Low"/>
    <x v="41"/>
    <x v="5"/>
    <x v="5"/>
    <n v="727.55"/>
    <x v="1"/>
    <n v="7.2755000000000001"/>
    <n v="720.27449999999999"/>
    <n v="9.3000000000000007"/>
    <n v="718.25"/>
    <x v="0"/>
    <n v="718.25"/>
    <s v="08-2019"/>
  </r>
  <r>
    <n v="54115"/>
    <x v="300"/>
    <s v="Low"/>
    <x v="41"/>
    <x v="5"/>
    <x v="5"/>
    <n v="210.91"/>
    <x v="1"/>
    <n v="2.1091000000000002"/>
    <n v="208.80089999999998"/>
    <n v="5.3"/>
    <n v="205.60999999999999"/>
    <x v="0"/>
    <n v="205.60999999999999"/>
    <s v="01-2019"/>
  </r>
  <r>
    <n v="58181"/>
    <x v="112"/>
    <s v="Not Specified"/>
    <x v="18"/>
    <x v="3"/>
    <x v="3"/>
    <n v="38.9801"/>
    <x v="0"/>
    <n v="0"/>
    <n v="38.9801"/>
    <n v="7.7"/>
    <n v="38.9801"/>
    <x v="0"/>
    <n v="38.9801"/>
    <s v="10-2019"/>
  </r>
  <r>
    <n v="18917"/>
    <x v="202"/>
    <s v="Critical"/>
    <x v="26"/>
    <x v="7"/>
    <x v="7"/>
    <n v="30.84"/>
    <x v="0"/>
    <n v="0"/>
    <n v="30.84"/>
    <n v="1.6"/>
    <n v="30.84"/>
    <x v="0"/>
    <n v="30.84"/>
    <s v="05-2019"/>
  </r>
  <r>
    <n v="10951"/>
    <x v="46"/>
    <s v="Not Specified"/>
    <x v="26"/>
    <x v="7"/>
    <x v="7"/>
    <n v="724.85"/>
    <x v="0"/>
    <n v="0"/>
    <n v="724.85"/>
    <n v="23.8"/>
    <n v="724.85"/>
    <x v="0"/>
    <n v="724.85"/>
    <s v="11-2019"/>
  </r>
  <r>
    <n v="9473"/>
    <x v="237"/>
    <s v="Not Specified"/>
    <x v="4"/>
    <x v="3"/>
    <x v="3"/>
    <n v="34.19"/>
    <x v="0"/>
    <n v="0"/>
    <n v="34.19"/>
    <n v="9.6"/>
    <n v="34.19"/>
    <x v="0"/>
    <n v="34.19"/>
    <s v="10-2019"/>
  </r>
  <r>
    <n v="25443"/>
    <x v="30"/>
    <s v="Medium"/>
    <x v="0"/>
    <x v="0"/>
    <x v="0"/>
    <n v="610.16"/>
    <x v="0"/>
    <n v="0"/>
    <n v="610.16"/>
    <n v="12.1"/>
    <n v="610.16"/>
    <x v="0"/>
    <n v="610.16"/>
    <s v="09-2019"/>
  </r>
  <r>
    <n v="13923"/>
    <x v="62"/>
    <s v="High"/>
    <x v="41"/>
    <x v="5"/>
    <x v="5"/>
    <n v="235.5"/>
    <x v="1"/>
    <n v="2.355"/>
    <n v="233.14500000000001"/>
    <n v="52.4"/>
    <n v="183.1"/>
    <x v="0"/>
    <n v="183.1"/>
    <s v="07-2019"/>
  </r>
  <r>
    <n v="18757"/>
    <x v="177"/>
    <s v="Low"/>
    <x v="18"/>
    <x v="3"/>
    <x v="3"/>
    <n v="42.69"/>
    <x v="0"/>
    <n v="0"/>
    <n v="42.69"/>
    <n v="10.6"/>
    <n v="42.69"/>
    <x v="0"/>
    <n v="42.69"/>
    <s v="05-2019"/>
  </r>
  <r>
    <n v="19653"/>
    <x v="186"/>
    <s v="Not Specified"/>
    <x v="1"/>
    <x v="0"/>
    <x v="0"/>
    <n v="134.2422"/>
    <x v="0"/>
    <n v="0"/>
    <n v="134.2422"/>
    <n v="5.9"/>
    <n v="134.2422"/>
    <x v="0"/>
    <n v="134.2422"/>
    <s v="09-2019"/>
  </r>
  <r>
    <n v="21860"/>
    <x v="206"/>
    <s v="Critical"/>
    <x v="35"/>
    <x v="9"/>
    <x v="9"/>
    <n v="78.86"/>
    <x v="0"/>
    <n v="0"/>
    <n v="78.86"/>
    <n v="4.3"/>
    <n v="78.86"/>
    <x v="1"/>
    <n v="78.86"/>
    <s v="04-2019"/>
  </r>
  <r>
    <n v="59015"/>
    <x v="155"/>
    <s v="Medium"/>
    <x v="25"/>
    <x v="0"/>
    <x v="0"/>
    <n v="1778.69"/>
    <x v="0"/>
    <n v="0"/>
    <n v="1778.69"/>
    <n v="6.2"/>
    <n v="1778.69"/>
    <x v="0"/>
    <n v="1778.69"/>
    <s v="05-2019"/>
  </r>
  <r>
    <n v="18464"/>
    <x v="29"/>
    <s v="High"/>
    <x v="19"/>
    <x v="1"/>
    <x v="1"/>
    <n v="86.18"/>
    <x v="1"/>
    <n v="0.86180000000000012"/>
    <n v="85.318200000000004"/>
    <n v="0.8"/>
    <n v="85.38000000000001"/>
    <x v="0"/>
    <n v="85.318200000000004"/>
    <s v="03-2019"/>
  </r>
  <r>
    <n v="39876"/>
    <x v="27"/>
    <s v="High"/>
    <x v="19"/>
    <x v="1"/>
    <x v="1"/>
    <n v="5350.93"/>
    <x v="1"/>
    <n v="53.509300000000003"/>
    <n v="5297.4207000000006"/>
    <n v="55.6"/>
    <n v="5295.33"/>
    <x v="2"/>
    <n v="5295.33"/>
    <s v="04-2019"/>
  </r>
  <r>
    <n v="36833"/>
    <x v="56"/>
    <s v="Low"/>
    <x v="31"/>
    <x v="4"/>
    <x v="4"/>
    <n v="197.22"/>
    <x v="0"/>
    <n v="0"/>
    <n v="197.22"/>
    <n v="7.8"/>
    <n v="197.22"/>
    <x v="0"/>
    <n v="197.22"/>
    <s v="07-2019"/>
  </r>
  <r>
    <n v="51205"/>
    <x v="73"/>
    <s v="High"/>
    <x v="18"/>
    <x v="3"/>
    <x v="3"/>
    <n v="241.52"/>
    <x v="0"/>
    <n v="0"/>
    <n v="241.52"/>
    <n v="10.5"/>
    <n v="241.52"/>
    <x v="0"/>
    <n v="241.52"/>
    <s v="12-2019"/>
  </r>
  <r>
    <n v="34086"/>
    <x v="20"/>
    <s v="High"/>
    <x v="19"/>
    <x v="1"/>
    <x v="1"/>
    <n v="2409.5473999999999"/>
    <x v="1"/>
    <n v="24.095473999999999"/>
    <n v="2385.4519259999997"/>
    <n v="2.7"/>
    <n v="2406.8474000000001"/>
    <x v="0"/>
    <n v="2385.4519259999997"/>
    <s v="04-2019"/>
  </r>
  <r>
    <n v="52068"/>
    <x v="194"/>
    <s v="Not Specified"/>
    <x v="5"/>
    <x v="4"/>
    <x v="4"/>
    <n v="1302.73"/>
    <x v="0"/>
    <n v="0"/>
    <n v="1302.73"/>
    <n v="39.200000000000003"/>
    <n v="1302.73"/>
    <x v="2"/>
    <n v="1302.73"/>
    <s v="01-2019"/>
  </r>
  <r>
    <n v="4578"/>
    <x v="173"/>
    <s v="Low"/>
    <x v="47"/>
    <x v="7"/>
    <x v="7"/>
    <n v="315.29000000000002"/>
    <x v="0"/>
    <n v="0"/>
    <n v="315.29000000000002"/>
    <n v="7.1"/>
    <n v="315.29000000000002"/>
    <x v="0"/>
    <n v="315.29000000000002"/>
    <s v="09-2019"/>
  </r>
  <r>
    <n v="8231"/>
    <x v="93"/>
    <s v="Critical"/>
    <x v="18"/>
    <x v="3"/>
    <x v="3"/>
    <n v="117.73"/>
    <x v="0"/>
    <n v="0"/>
    <n v="117.73"/>
    <n v="11.2"/>
    <n v="117.73"/>
    <x v="0"/>
    <n v="117.73"/>
    <s v="10-2019"/>
  </r>
  <r>
    <n v="44992"/>
    <x v="44"/>
    <s v="Critical"/>
    <x v="25"/>
    <x v="0"/>
    <x v="0"/>
    <n v="1790.68"/>
    <x v="0"/>
    <n v="0"/>
    <n v="1790.68"/>
    <n v="10.9"/>
    <n v="1790.68"/>
    <x v="0"/>
    <n v="1790.68"/>
    <s v="12-2019"/>
  </r>
  <r>
    <n v="44679"/>
    <x v="347"/>
    <s v="Medium"/>
    <x v="6"/>
    <x v="4"/>
    <x v="4"/>
    <n v="136.4357"/>
    <x v="0"/>
    <n v="0"/>
    <n v="136.4357"/>
    <n v="1.6"/>
    <n v="136.4357"/>
    <x v="0"/>
    <n v="136.4357"/>
    <s v="06-2019"/>
  </r>
  <r>
    <n v="43494"/>
    <x v="282"/>
    <s v="Medium"/>
    <x v="33"/>
    <x v="3"/>
    <x v="3"/>
    <n v="3925.06"/>
    <x v="0"/>
    <n v="0"/>
    <n v="3925.06"/>
    <n v="15"/>
    <n v="3925.06"/>
    <x v="0"/>
    <n v="3925.06"/>
    <s v="01-2019"/>
  </r>
  <r>
    <n v="26661"/>
    <x v="258"/>
    <s v="Medium"/>
    <x v="7"/>
    <x v="0"/>
    <x v="0"/>
    <n v="1896.28"/>
    <x v="0"/>
    <n v="0"/>
    <n v="1896.28"/>
    <n v="5.3"/>
    <n v="1896.28"/>
    <x v="0"/>
    <n v="1896.28"/>
    <s v="12-2019"/>
  </r>
  <r>
    <n v="194"/>
    <x v="302"/>
    <s v="Medium"/>
    <x v="21"/>
    <x v="2"/>
    <x v="2"/>
    <n v="352.06"/>
    <x v="1"/>
    <n v="3.5206"/>
    <n v="348.5394"/>
    <n v="8.5"/>
    <n v="343.56"/>
    <x v="0"/>
    <n v="343.56"/>
    <s v="04-2019"/>
  </r>
  <r>
    <n v="27201"/>
    <x v="225"/>
    <s v="High"/>
    <x v="46"/>
    <x v="9"/>
    <x v="9"/>
    <n v="5410.87"/>
    <x v="0"/>
    <n v="0"/>
    <n v="5410.87"/>
    <n v="27.8"/>
    <n v="5410.87"/>
    <x v="2"/>
    <n v="5410.87"/>
    <s v="07-2019"/>
  </r>
  <r>
    <n v="5409"/>
    <x v="33"/>
    <s v="Low"/>
    <x v="22"/>
    <x v="7"/>
    <x v="7"/>
    <n v="52.33"/>
    <x v="0"/>
    <n v="0"/>
    <n v="52.33"/>
    <n v="3.2"/>
    <n v="52.33"/>
    <x v="0"/>
    <n v="52.33"/>
    <s v="01-2019"/>
  </r>
  <r>
    <n v="51556"/>
    <x v="65"/>
    <s v="High"/>
    <x v="46"/>
    <x v="9"/>
    <x v="9"/>
    <n v="48.89"/>
    <x v="0"/>
    <n v="0"/>
    <n v="48.89"/>
    <n v="4.5"/>
    <n v="48.89"/>
    <x v="1"/>
    <n v="48.89"/>
    <s v="10-2019"/>
  </r>
  <r>
    <n v="8388"/>
    <x v="207"/>
    <s v="Low"/>
    <x v="15"/>
    <x v="1"/>
    <x v="1"/>
    <n v="309.12"/>
    <x v="1"/>
    <n v="3.0912000000000002"/>
    <n v="306.02879999999999"/>
    <n v="1.7"/>
    <n v="307.42"/>
    <x v="0"/>
    <n v="306.02879999999999"/>
    <s v="02-2019"/>
  </r>
  <r>
    <n v="44099"/>
    <x v="168"/>
    <s v="Medium"/>
    <x v="24"/>
    <x v="8"/>
    <x v="8"/>
    <n v="86.47"/>
    <x v="0"/>
    <n v="0"/>
    <n v="86.47"/>
    <n v="5.8"/>
    <n v="86.47"/>
    <x v="0"/>
    <n v="86.47"/>
    <s v="03-2019"/>
  </r>
  <r>
    <n v="57152"/>
    <x v="330"/>
    <s v="Low"/>
    <x v="38"/>
    <x v="8"/>
    <x v="8"/>
    <n v="290.87950000000001"/>
    <x v="0"/>
    <n v="0"/>
    <n v="290.87950000000001"/>
    <n v="1.5"/>
    <n v="290.87950000000001"/>
    <x v="0"/>
    <n v="290.87950000000001"/>
    <s v="09-2019"/>
  </r>
  <r>
    <n v="25442"/>
    <x v="38"/>
    <s v="High"/>
    <x v="28"/>
    <x v="5"/>
    <x v="5"/>
    <n v="485.76"/>
    <x v="1"/>
    <n v="4.8575999999999997"/>
    <n v="480.9024"/>
    <n v="5.4"/>
    <n v="480.36"/>
    <x v="0"/>
    <n v="480.36"/>
    <s v="01-2019"/>
  </r>
  <r>
    <n v="5699"/>
    <x v="76"/>
    <s v="Low"/>
    <x v="19"/>
    <x v="1"/>
    <x v="1"/>
    <n v="614.05999999999995"/>
    <x v="1"/>
    <n v="6.1405999999999992"/>
    <n v="607.9194"/>
    <n v="8.1999999999999993"/>
    <n v="605.8599999999999"/>
    <x v="1"/>
    <n v="605.8599999999999"/>
    <s v="07-2019"/>
  </r>
  <r>
    <n v="21478"/>
    <x v="251"/>
    <s v="Low"/>
    <x v="0"/>
    <x v="0"/>
    <x v="0"/>
    <n v="1714.36"/>
    <x v="0"/>
    <n v="0"/>
    <n v="1714.36"/>
    <n v="6.2"/>
    <n v="1714.36"/>
    <x v="0"/>
    <n v="1714.36"/>
    <s v="03-2019"/>
  </r>
  <r>
    <n v="15104"/>
    <x v="92"/>
    <s v="Medium"/>
    <x v="42"/>
    <x v="4"/>
    <x v="4"/>
    <n v="117.09"/>
    <x v="0"/>
    <n v="0"/>
    <n v="117.09"/>
    <n v="1.6"/>
    <n v="117.09"/>
    <x v="0"/>
    <n v="117.09"/>
    <s v="03-2019"/>
  </r>
  <r>
    <n v="33479"/>
    <x v="109"/>
    <s v="Critical"/>
    <x v="40"/>
    <x v="6"/>
    <x v="6"/>
    <n v="251.93"/>
    <x v="0"/>
    <n v="0"/>
    <n v="251.93"/>
    <n v="5.5"/>
    <n v="251.93"/>
    <x v="0"/>
    <n v="251.93"/>
    <s v="09-2019"/>
  </r>
  <r>
    <n v="20450"/>
    <x v="345"/>
    <s v="Critical"/>
    <x v="11"/>
    <x v="6"/>
    <x v="6"/>
    <n v="7360.05"/>
    <x v="0"/>
    <n v="0"/>
    <n v="7360.05"/>
    <n v="71.3"/>
    <n v="7360.05"/>
    <x v="2"/>
    <n v="7360.05"/>
    <s v="12-2019"/>
  </r>
  <r>
    <n v="33793"/>
    <x v="90"/>
    <s v="Critical"/>
    <x v="45"/>
    <x v="8"/>
    <x v="8"/>
    <n v="286.31"/>
    <x v="0"/>
    <n v="0"/>
    <n v="286.31"/>
    <n v="16.100000000000001"/>
    <n v="286.31"/>
    <x v="0"/>
    <n v="286.31"/>
    <s v="06-2019"/>
  </r>
  <r>
    <n v="4261"/>
    <x v="157"/>
    <s v="Critical"/>
    <x v="25"/>
    <x v="0"/>
    <x v="0"/>
    <n v="9882.49"/>
    <x v="0"/>
    <n v="0"/>
    <n v="9882.49"/>
    <n v="26.2"/>
    <n v="9882.49"/>
    <x v="0"/>
    <n v="9882.49"/>
    <s v="10-2019"/>
  </r>
  <r>
    <n v="29223"/>
    <x v="310"/>
    <s v="High"/>
    <x v="49"/>
    <x v="2"/>
    <x v="2"/>
    <n v="26430.2"/>
    <x v="1"/>
    <n v="264.30200000000002"/>
    <n v="26165.898000000001"/>
    <n v="27.8"/>
    <n v="26402.400000000001"/>
    <x v="2"/>
    <n v="26165.898000000001"/>
    <s v="01-2019"/>
  </r>
  <r>
    <n v="23268"/>
    <x v="280"/>
    <s v="High"/>
    <x v="18"/>
    <x v="3"/>
    <x v="3"/>
    <n v="273.18"/>
    <x v="0"/>
    <n v="0"/>
    <n v="273.18"/>
    <n v="6.2"/>
    <n v="273.18"/>
    <x v="0"/>
    <n v="273.18"/>
    <s v="01-2019"/>
  </r>
  <r>
    <n v="10470"/>
    <x v="201"/>
    <s v="Low"/>
    <x v="30"/>
    <x v="9"/>
    <x v="9"/>
    <n v="146.87"/>
    <x v="0"/>
    <n v="0"/>
    <n v="146.87"/>
    <n v="14.1"/>
    <n v="146.87"/>
    <x v="0"/>
    <n v="146.87"/>
    <s v="05-2019"/>
  </r>
  <r>
    <n v="14212"/>
    <x v="10"/>
    <s v="Critical"/>
    <x v="39"/>
    <x v="3"/>
    <x v="3"/>
    <n v="33.36"/>
    <x v="0"/>
    <n v="0"/>
    <n v="33.36"/>
    <n v="5.6"/>
    <n v="33.36"/>
    <x v="0"/>
    <n v="33.36"/>
    <s v="02-2019"/>
  </r>
  <r>
    <n v="11396"/>
    <x v="167"/>
    <s v="Critical"/>
    <x v="15"/>
    <x v="1"/>
    <x v="1"/>
    <n v="13129.221"/>
    <x v="1"/>
    <n v="131.29221000000001"/>
    <n v="12997.92879"/>
    <n v="21.4"/>
    <n v="13107.821"/>
    <x v="0"/>
    <n v="12997.92879"/>
    <s v="07-2019"/>
  </r>
  <r>
    <n v="19972"/>
    <x v="205"/>
    <s v="Critical"/>
    <x v="44"/>
    <x v="9"/>
    <x v="9"/>
    <n v="104.7102"/>
    <x v="0"/>
    <n v="0"/>
    <n v="104.7102"/>
    <n v="9.6"/>
    <n v="104.7102"/>
    <x v="0"/>
    <n v="104.7102"/>
    <s v="06-2019"/>
  </r>
  <r>
    <n v="43488"/>
    <x v="273"/>
    <s v="Critical"/>
    <x v="27"/>
    <x v="2"/>
    <x v="2"/>
    <n v="2264.33"/>
    <x v="1"/>
    <n v="22.6433"/>
    <n v="2241.6866999999997"/>
    <n v="4.8"/>
    <n v="2259.5299999999997"/>
    <x v="0"/>
    <n v="2241.6866999999997"/>
    <s v="06-2019"/>
  </r>
  <r>
    <n v="18464"/>
    <x v="29"/>
    <s v="High"/>
    <x v="40"/>
    <x v="6"/>
    <x v="6"/>
    <n v="5234.29"/>
    <x v="0"/>
    <n v="0"/>
    <n v="5234.29"/>
    <n v="59.1"/>
    <n v="5234.29"/>
    <x v="2"/>
    <n v="5234.29"/>
    <s v="03-2019"/>
  </r>
  <r>
    <n v="18661"/>
    <x v="122"/>
    <s v="Low"/>
    <x v="14"/>
    <x v="7"/>
    <x v="7"/>
    <n v="1291.58"/>
    <x v="0"/>
    <n v="0"/>
    <n v="1291.58"/>
    <n v="62.3"/>
    <n v="1291.58"/>
    <x v="2"/>
    <n v="1291.58"/>
    <s v="09-2019"/>
  </r>
  <r>
    <n v="36354"/>
    <x v="301"/>
    <s v="Medium"/>
    <x v="13"/>
    <x v="7"/>
    <x v="7"/>
    <n v="4887.08"/>
    <x v="0"/>
    <n v="0"/>
    <n v="4887.08"/>
    <n v="21.4"/>
    <n v="4887.08"/>
    <x v="0"/>
    <n v="4887.08"/>
    <s v="06-2019"/>
  </r>
  <r>
    <n v="801"/>
    <x v="294"/>
    <s v="Critical"/>
    <x v="32"/>
    <x v="8"/>
    <x v="8"/>
    <n v="64.040000000000006"/>
    <x v="0"/>
    <n v="0"/>
    <n v="64.040000000000006"/>
    <n v="3.7"/>
    <n v="64.040000000000006"/>
    <x v="0"/>
    <n v="64.040000000000006"/>
    <s v="02-2019"/>
  </r>
  <r>
    <n v="51813"/>
    <x v="182"/>
    <s v="Not Specified"/>
    <x v="13"/>
    <x v="7"/>
    <x v="7"/>
    <n v="1487.48"/>
    <x v="0"/>
    <n v="0"/>
    <n v="1487.48"/>
    <n v="37.5"/>
    <n v="1487.48"/>
    <x v="0"/>
    <n v="1487.48"/>
    <s v="12-2019"/>
  </r>
  <r>
    <n v="32640"/>
    <x v="57"/>
    <s v="High"/>
    <x v="14"/>
    <x v="7"/>
    <x v="7"/>
    <n v="173.46"/>
    <x v="0"/>
    <n v="0"/>
    <n v="173.46"/>
    <n v="6.9"/>
    <n v="173.46"/>
    <x v="1"/>
    <n v="173.46"/>
    <s v="09-2019"/>
  </r>
  <r>
    <n v="52130"/>
    <x v="183"/>
    <s v="Low"/>
    <x v="13"/>
    <x v="7"/>
    <x v="7"/>
    <n v="67.760000000000005"/>
    <x v="0"/>
    <n v="0"/>
    <n v="67.760000000000005"/>
    <n v="5.7"/>
    <n v="67.760000000000005"/>
    <x v="0"/>
    <n v="67.760000000000005"/>
    <s v="09-2019"/>
  </r>
  <r>
    <n v="52068"/>
    <x v="194"/>
    <s v="Not Specified"/>
    <x v="12"/>
    <x v="2"/>
    <x v="2"/>
    <n v="26279.1"/>
    <x v="1"/>
    <n v="262.791"/>
    <n v="26016.308999999997"/>
    <n v="17.8"/>
    <n v="26261.3"/>
    <x v="2"/>
    <n v="26016.308999999997"/>
    <s v="01-2019"/>
  </r>
  <r>
    <n v="34852"/>
    <x v="183"/>
    <s v="Low"/>
    <x v="11"/>
    <x v="6"/>
    <x v="6"/>
    <n v="57.71"/>
    <x v="0"/>
    <n v="0"/>
    <n v="57.71"/>
    <n v="1.6"/>
    <n v="57.71"/>
    <x v="0"/>
    <n v="57.71"/>
    <s v="09-2019"/>
  </r>
  <r>
    <n v="33184"/>
    <x v="178"/>
    <s v="Not Specified"/>
    <x v="43"/>
    <x v="3"/>
    <x v="3"/>
    <n v="1877.09"/>
    <x v="0"/>
    <n v="0"/>
    <n v="1877.09"/>
    <n v="21.4"/>
    <n v="1877.09"/>
    <x v="0"/>
    <n v="1877.09"/>
    <s v="02-2019"/>
  </r>
  <r>
    <n v="23297"/>
    <x v="60"/>
    <s v="Critical"/>
    <x v="1"/>
    <x v="0"/>
    <x v="0"/>
    <n v="5573.39"/>
    <x v="0"/>
    <n v="0"/>
    <n v="5573.39"/>
    <n v="7.6"/>
    <n v="5573.39"/>
    <x v="0"/>
    <n v="5573.39"/>
    <s v="07-2019"/>
  </r>
  <r>
    <n v="19936"/>
    <x v="284"/>
    <s v="Critical"/>
    <x v="24"/>
    <x v="8"/>
    <x v="8"/>
    <n v="39.32"/>
    <x v="0"/>
    <n v="0"/>
    <n v="39.32"/>
    <n v="1.6"/>
    <n v="39.32"/>
    <x v="0"/>
    <n v="39.32"/>
    <s v="11-2019"/>
  </r>
  <r>
    <n v="36160"/>
    <x v="190"/>
    <s v="Low"/>
    <x v="14"/>
    <x v="7"/>
    <x v="7"/>
    <n v="2374.21"/>
    <x v="0"/>
    <n v="0"/>
    <n v="2374.21"/>
    <n v="9.6"/>
    <n v="2374.21"/>
    <x v="1"/>
    <n v="2374.21"/>
    <s v="11-2019"/>
  </r>
  <r>
    <n v="4996"/>
    <x v="100"/>
    <s v="Medium"/>
    <x v="17"/>
    <x v="6"/>
    <x v="6"/>
    <n v="4607.2"/>
    <x v="0"/>
    <n v="0"/>
    <n v="4607.2"/>
    <n v="21.4"/>
    <n v="4607.2"/>
    <x v="0"/>
    <n v="4607.2"/>
    <s v="09-2019"/>
  </r>
  <r>
    <n v="15044"/>
    <x v="308"/>
    <s v="Low"/>
    <x v="15"/>
    <x v="1"/>
    <x v="1"/>
    <n v="1799.31"/>
    <x v="1"/>
    <n v="17.993099999999998"/>
    <n v="1781.3169"/>
    <n v="11"/>
    <n v="1788.31"/>
    <x v="0"/>
    <n v="1781.3169"/>
    <s v="03-2019"/>
  </r>
  <r>
    <n v="16518"/>
    <x v="145"/>
    <s v="Critical"/>
    <x v="39"/>
    <x v="3"/>
    <x v="3"/>
    <n v="85.91"/>
    <x v="0"/>
    <n v="0"/>
    <n v="85.91"/>
    <n v="5.6"/>
    <n v="85.91"/>
    <x v="0"/>
    <n v="85.91"/>
    <s v="09-2019"/>
  </r>
  <r>
    <n v="27300"/>
    <x v="5"/>
    <s v="Not Specified"/>
    <x v="3"/>
    <x v="2"/>
    <x v="2"/>
    <n v="3566.42"/>
    <x v="1"/>
    <n v="35.664200000000001"/>
    <n v="3530.7557999999999"/>
    <n v="4.3"/>
    <n v="3562.12"/>
    <x v="0"/>
    <n v="3530.7557999999999"/>
    <s v="09-2019"/>
  </r>
  <r>
    <n v="30147"/>
    <x v="214"/>
    <s v="Not Specified"/>
    <x v="37"/>
    <x v="5"/>
    <x v="5"/>
    <n v="791.95"/>
    <x v="1"/>
    <n v="7.9195000000000002"/>
    <n v="784.03050000000007"/>
    <n v="11.2"/>
    <n v="780.75"/>
    <x v="0"/>
    <n v="780.75"/>
    <s v="06-2019"/>
  </r>
  <r>
    <n v="55494"/>
    <x v="312"/>
    <s v="Not Specified"/>
    <x v="21"/>
    <x v="2"/>
    <x v="2"/>
    <n v="583.03"/>
    <x v="1"/>
    <n v="5.8303000000000003"/>
    <n v="577.19970000000001"/>
    <n v="6.2"/>
    <n v="576.82999999999993"/>
    <x v="0"/>
    <n v="576.82999999999993"/>
    <s v="06-2019"/>
  </r>
  <r>
    <n v="35811"/>
    <x v="282"/>
    <s v="Critical"/>
    <x v="44"/>
    <x v="9"/>
    <x v="9"/>
    <n v="11.12"/>
    <x v="0"/>
    <n v="0"/>
    <n v="11.12"/>
    <n v="0.7"/>
    <n v="11.12"/>
    <x v="0"/>
    <n v="11.12"/>
    <s v="01-2019"/>
  </r>
  <r>
    <n v="18466"/>
    <x v="16"/>
    <s v="Low"/>
    <x v="31"/>
    <x v="4"/>
    <x v="4"/>
    <n v="289.07119999999998"/>
    <x v="0"/>
    <n v="0"/>
    <n v="289.07119999999998"/>
    <n v="5.6"/>
    <n v="289.07119999999998"/>
    <x v="0"/>
    <n v="289.07119999999998"/>
    <s v="05-2019"/>
  </r>
  <r>
    <n v="2147"/>
    <x v="183"/>
    <s v="Not Specified"/>
    <x v="47"/>
    <x v="7"/>
    <x v="7"/>
    <n v="647.46"/>
    <x v="0"/>
    <n v="0"/>
    <n v="647.46"/>
    <n v="5.7"/>
    <n v="647.46"/>
    <x v="1"/>
    <n v="647.46"/>
    <s v="09-2019"/>
  </r>
  <r>
    <n v="25825"/>
    <x v="128"/>
    <s v="Not Specified"/>
    <x v="40"/>
    <x v="6"/>
    <x v="6"/>
    <n v="170.83"/>
    <x v="0"/>
    <n v="0"/>
    <n v="170.83"/>
    <n v="2.4"/>
    <n v="170.83"/>
    <x v="0"/>
    <n v="170.83"/>
    <s v="07-2019"/>
  </r>
  <r>
    <n v="54180"/>
    <x v="316"/>
    <s v="Critical"/>
    <x v="20"/>
    <x v="1"/>
    <x v="1"/>
    <n v="977.96929999999998"/>
    <x v="1"/>
    <n v="9.779693"/>
    <n v="968.18960700000002"/>
    <n v="9.6"/>
    <n v="968.36929999999995"/>
    <x v="0"/>
    <n v="968.18960700000002"/>
    <s v="10-2019"/>
  </r>
  <r>
    <n v="58722"/>
    <x v="237"/>
    <s v="Critical"/>
    <x v="9"/>
    <x v="1"/>
    <x v="1"/>
    <n v="4325.9672"/>
    <x v="1"/>
    <n v="43.259672000000002"/>
    <n v="4282.7075279999999"/>
    <n v="44.9"/>
    <n v="4281.0672000000004"/>
    <x v="2"/>
    <n v="4281.0672000000004"/>
    <s v="10-2019"/>
  </r>
  <r>
    <n v="55716"/>
    <x v="316"/>
    <s v="High"/>
    <x v="35"/>
    <x v="9"/>
    <x v="9"/>
    <n v="15692.14"/>
    <x v="0"/>
    <n v="0"/>
    <n v="15692.14"/>
    <n v="26.2"/>
    <n v="15692.14"/>
    <x v="0"/>
    <n v="15692.14"/>
    <s v="10-2019"/>
  </r>
  <r>
    <n v="16098"/>
    <x v="167"/>
    <s v="Low"/>
    <x v="7"/>
    <x v="0"/>
    <x v="0"/>
    <n v="514.05999999999995"/>
    <x v="0"/>
    <n v="0"/>
    <n v="514.05999999999995"/>
    <n v="9.6"/>
    <n v="514.05999999999995"/>
    <x v="0"/>
    <n v="514.05999999999995"/>
    <s v="07-2019"/>
  </r>
  <r>
    <n v="23616"/>
    <x v="28"/>
    <s v="Not Specified"/>
    <x v="12"/>
    <x v="2"/>
    <x v="2"/>
    <n v="9910.7099999999991"/>
    <x v="1"/>
    <n v="99.107099999999988"/>
    <n v="9811.6028999999999"/>
    <n v="26.2"/>
    <n v="9884.5099999999984"/>
    <x v="0"/>
    <n v="9811.6028999999999"/>
    <s v="08-2019"/>
  </r>
  <r>
    <n v="46726"/>
    <x v="71"/>
    <s v="Not Specified"/>
    <x v="46"/>
    <x v="9"/>
    <x v="9"/>
    <n v="53.13"/>
    <x v="0"/>
    <n v="0"/>
    <n v="53.13"/>
    <n v="1.6"/>
    <n v="53.13"/>
    <x v="0"/>
    <n v="53.13"/>
    <s v="07-2019"/>
  </r>
  <r>
    <n v="2240"/>
    <x v="21"/>
    <s v="Not Specified"/>
    <x v="45"/>
    <x v="8"/>
    <x v="8"/>
    <n v="199.04"/>
    <x v="0"/>
    <n v="0"/>
    <n v="199.04"/>
    <n v="5.5"/>
    <n v="199.04"/>
    <x v="0"/>
    <n v="199.04"/>
    <s v="03-2019"/>
  </r>
  <r>
    <n v="11044"/>
    <x v="163"/>
    <s v="Medium"/>
    <x v="4"/>
    <x v="3"/>
    <x v="3"/>
    <n v="15.5"/>
    <x v="0"/>
    <n v="0"/>
    <n v="15.5"/>
    <n v="5.4"/>
    <n v="15.5"/>
    <x v="0"/>
    <n v="15.5"/>
    <s v="06-2019"/>
  </r>
  <r>
    <n v="21410"/>
    <x v="320"/>
    <s v="Critical"/>
    <x v="36"/>
    <x v="8"/>
    <x v="8"/>
    <n v="2248.6999999999998"/>
    <x v="0"/>
    <n v="0"/>
    <n v="2248.6999999999998"/>
    <n v="26.2"/>
    <n v="2248.6999999999998"/>
    <x v="1"/>
    <n v="2248.6999999999998"/>
    <s v="05-2019"/>
  </r>
  <r>
    <n v="5986"/>
    <x v="11"/>
    <s v="High"/>
    <x v="32"/>
    <x v="8"/>
    <x v="8"/>
    <n v="1093.0585000000001"/>
    <x v="0"/>
    <n v="0"/>
    <n v="1093.0585000000001"/>
    <n v="15.2"/>
    <n v="1093.0585000000001"/>
    <x v="2"/>
    <n v="1093.0585000000001"/>
    <s v="04-2019"/>
  </r>
  <r>
    <n v="26407"/>
    <x v="192"/>
    <s v="Critical"/>
    <x v="36"/>
    <x v="8"/>
    <x v="8"/>
    <n v="2124.69"/>
    <x v="0"/>
    <n v="0"/>
    <n v="2124.69"/>
    <n v="9.6"/>
    <n v="2124.69"/>
    <x v="0"/>
    <n v="2124.69"/>
    <s v="06-2019"/>
  </r>
  <r>
    <n v="25478"/>
    <x v="14"/>
    <s v="Critical"/>
    <x v="3"/>
    <x v="2"/>
    <x v="2"/>
    <n v="306.83319999999998"/>
    <x v="1"/>
    <n v="3.0683319999999998"/>
    <n v="303.76486799999998"/>
    <n v="1.9"/>
    <n v="304.9332"/>
    <x v="0"/>
    <n v="303.76486799999998"/>
    <s v="04-2019"/>
  </r>
  <r>
    <n v="30720"/>
    <x v="86"/>
    <s v="Low"/>
    <x v="18"/>
    <x v="3"/>
    <x v="3"/>
    <n v="35.06"/>
    <x v="0"/>
    <n v="0"/>
    <n v="35.06"/>
    <n v="5.4"/>
    <n v="35.06"/>
    <x v="0"/>
    <n v="35.06"/>
    <s v="09-2019"/>
  </r>
  <r>
    <n v="33445"/>
    <x v="176"/>
    <s v="Low"/>
    <x v="38"/>
    <x v="8"/>
    <x v="8"/>
    <n v="1901.35"/>
    <x v="0"/>
    <n v="0"/>
    <n v="1901.35"/>
    <n v="38.299999999999997"/>
    <n v="1901.35"/>
    <x v="2"/>
    <n v="1901.35"/>
    <s v="08-2019"/>
  </r>
  <r>
    <n v="929"/>
    <x v="187"/>
    <s v="High"/>
    <x v="5"/>
    <x v="4"/>
    <x v="4"/>
    <n v="243.6"/>
    <x v="0"/>
    <n v="0"/>
    <n v="243.6"/>
    <n v="7"/>
    <n v="243.6"/>
    <x v="0"/>
    <n v="243.6"/>
    <s v="10-2019"/>
  </r>
  <r>
    <n v="36512"/>
    <x v="29"/>
    <s v="Not Specified"/>
    <x v="17"/>
    <x v="6"/>
    <x v="6"/>
    <n v="11142.63"/>
    <x v="0"/>
    <n v="0"/>
    <n v="11142.63"/>
    <n v="63"/>
    <n v="11142.63"/>
    <x v="2"/>
    <n v="11142.63"/>
    <s v="03-2019"/>
  </r>
  <r>
    <n v="42596"/>
    <x v="50"/>
    <s v="Medium"/>
    <x v="35"/>
    <x v="9"/>
    <x v="9"/>
    <n v="55.37"/>
    <x v="0"/>
    <n v="0"/>
    <n v="55.37"/>
    <n v="0.7"/>
    <n v="55.37"/>
    <x v="0"/>
    <n v="55.37"/>
    <s v="08-2019"/>
  </r>
  <r>
    <n v="58051"/>
    <x v="41"/>
    <s v="High"/>
    <x v="44"/>
    <x v="9"/>
    <x v="9"/>
    <n v="274.56200000000001"/>
    <x v="0"/>
    <n v="0"/>
    <n v="274.56200000000001"/>
    <n v="7.6"/>
    <n v="274.56200000000001"/>
    <x v="0"/>
    <n v="274.56200000000001"/>
    <s v="03-2019"/>
  </r>
  <r>
    <n v="43555"/>
    <x v="78"/>
    <s v="Medium"/>
    <x v="1"/>
    <x v="0"/>
    <x v="0"/>
    <n v="46.59"/>
    <x v="0"/>
    <n v="0"/>
    <n v="46.59"/>
    <n v="0.7"/>
    <n v="46.59"/>
    <x v="0"/>
    <n v="46.59"/>
    <s v="07-2019"/>
  </r>
  <r>
    <n v="5890"/>
    <x v="336"/>
    <s v="High"/>
    <x v="15"/>
    <x v="1"/>
    <x v="1"/>
    <n v="870.48"/>
    <x v="1"/>
    <n v="8.7048000000000005"/>
    <n v="861.77520000000004"/>
    <n v="1.1000000000000001"/>
    <n v="869.38"/>
    <x v="1"/>
    <n v="861.77520000000004"/>
    <s v="11-2019"/>
  </r>
  <r>
    <n v="13570"/>
    <x v="116"/>
    <s v="Not Specified"/>
    <x v="15"/>
    <x v="1"/>
    <x v="1"/>
    <n v="4363.2"/>
    <x v="1"/>
    <n v="43.631999999999998"/>
    <n v="4319.5680000000002"/>
    <n v="9.6"/>
    <n v="4353.5999999999995"/>
    <x v="0"/>
    <n v="4319.5680000000002"/>
    <s v="12-2019"/>
  </r>
  <r>
    <n v="40065"/>
    <x v="294"/>
    <s v="High"/>
    <x v="21"/>
    <x v="2"/>
    <x v="2"/>
    <n v="22620.94"/>
    <x v="1"/>
    <n v="226.20939999999999"/>
    <n v="22394.730599999999"/>
    <n v="26.2"/>
    <n v="22594.739999999998"/>
    <x v="0"/>
    <n v="22394.730599999999"/>
    <s v="02-2019"/>
  </r>
  <r>
    <n v="51489"/>
    <x v="101"/>
    <s v="Critical"/>
    <x v="18"/>
    <x v="3"/>
    <x v="3"/>
    <n v="34.979999999999997"/>
    <x v="0"/>
    <n v="0"/>
    <n v="34.979999999999997"/>
    <n v="8.1"/>
    <n v="34.979999999999997"/>
    <x v="0"/>
    <n v="34.979999999999997"/>
    <s v="03-2019"/>
  </r>
  <r>
    <n v="45317"/>
    <x v="305"/>
    <s v="Low"/>
    <x v="34"/>
    <x v="5"/>
    <x v="5"/>
    <n v="1536.47"/>
    <x v="1"/>
    <n v="15.364700000000001"/>
    <n v="1521.1052999999999"/>
    <n v="2.1"/>
    <n v="1534.3700000000001"/>
    <x v="0"/>
    <n v="1521.1052999999999"/>
    <s v="03-2019"/>
  </r>
  <r>
    <n v="41120"/>
    <x v="255"/>
    <s v="Low"/>
    <x v="13"/>
    <x v="7"/>
    <x v="7"/>
    <n v="46.41"/>
    <x v="0"/>
    <n v="0"/>
    <n v="46.41"/>
    <n v="1.1000000000000001"/>
    <n v="46.41"/>
    <x v="0"/>
    <n v="46.41"/>
    <s v="07-2019"/>
  </r>
  <r>
    <n v="25473"/>
    <x v="262"/>
    <s v="High"/>
    <x v="32"/>
    <x v="8"/>
    <x v="8"/>
    <n v="849.92"/>
    <x v="0"/>
    <n v="0"/>
    <n v="849.92"/>
    <n v="18.7"/>
    <n v="849.92"/>
    <x v="0"/>
    <n v="849.92"/>
    <s v="10-2019"/>
  </r>
  <r>
    <n v="31552"/>
    <x v="234"/>
    <s v="High"/>
    <x v="10"/>
    <x v="4"/>
    <x v="4"/>
    <n v="782.93"/>
    <x v="0"/>
    <n v="0"/>
    <n v="782.93"/>
    <n v="2.1"/>
    <n v="782.93"/>
    <x v="0"/>
    <n v="782.93"/>
    <s v="11-2019"/>
  </r>
  <r>
    <n v="16807"/>
    <x v="242"/>
    <s v="Medium"/>
    <x v="17"/>
    <x v="6"/>
    <x v="6"/>
    <n v="230.96"/>
    <x v="0"/>
    <n v="0"/>
    <n v="230.96"/>
    <n v="1.8"/>
    <n v="230.96"/>
    <x v="0"/>
    <n v="230.96"/>
    <s v="01-2019"/>
  </r>
  <r>
    <n v="40098"/>
    <x v="252"/>
    <s v="Low"/>
    <x v="27"/>
    <x v="2"/>
    <x v="2"/>
    <n v="596.36"/>
    <x v="1"/>
    <n v="5.9636000000000005"/>
    <n v="590.39639999999997"/>
    <n v="7.7"/>
    <n v="588.66"/>
    <x v="0"/>
    <n v="588.66"/>
    <s v="02-2019"/>
  </r>
  <r>
    <n v="26982"/>
    <x v="206"/>
    <s v="Not Specified"/>
    <x v="37"/>
    <x v="5"/>
    <x v="5"/>
    <n v="2123.5300000000002"/>
    <x v="1"/>
    <n v="21.235300000000002"/>
    <n v="2102.2947000000004"/>
    <n v="15.3"/>
    <n v="2108.23"/>
    <x v="1"/>
    <n v="2102.2947000000004"/>
    <s v="04-2019"/>
  </r>
  <r>
    <n v="21191"/>
    <x v="348"/>
    <s v="High"/>
    <x v="49"/>
    <x v="2"/>
    <x v="2"/>
    <n v="7742.34"/>
    <x v="1"/>
    <n v="77.423400000000001"/>
    <n v="7664.9166000000005"/>
    <n v="15"/>
    <n v="7727.34"/>
    <x v="0"/>
    <n v="7664.9166000000005"/>
    <s v="11-2019"/>
  </r>
  <r>
    <n v="2688"/>
    <x v="166"/>
    <s v="High"/>
    <x v="22"/>
    <x v="7"/>
    <x v="7"/>
    <n v="1668.596"/>
    <x v="0"/>
    <n v="0"/>
    <n v="1668.596"/>
    <n v="4.2"/>
    <n v="1668.596"/>
    <x v="0"/>
    <n v="1668.596"/>
    <s v="01-2019"/>
  </r>
  <r>
    <n v="10688"/>
    <x v="91"/>
    <s v="Medium"/>
    <x v="26"/>
    <x v="7"/>
    <x v="7"/>
    <n v="662.15880000000004"/>
    <x v="0"/>
    <n v="0"/>
    <n v="662.15880000000004"/>
    <n v="36.6"/>
    <n v="662.15880000000004"/>
    <x v="0"/>
    <n v="662.15880000000004"/>
    <s v="05-2019"/>
  </r>
  <r>
    <n v="5697"/>
    <x v="103"/>
    <s v="Critical"/>
    <x v="7"/>
    <x v="0"/>
    <x v="0"/>
    <n v="397.7"/>
    <x v="0"/>
    <n v="0"/>
    <n v="397.7"/>
    <n v="5.4"/>
    <n v="397.7"/>
    <x v="0"/>
    <n v="397.7"/>
    <s v="10-2019"/>
  </r>
  <r>
    <n v="59204"/>
    <x v="67"/>
    <s v="Medium"/>
    <x v="31"/>
    <x v="4"/>
    <x v="4"/>
    <n v="162.37"/>
    <x v="0"/>
    <n v="0"/>
    <n v="162.37"/>
    <n v="6"/>
    <n v="162.37"/>
    <x v="0"/>
    <n v="162.37"/>
    <s v="02-2019"/>
  </r>
  <r>
    <n v="55651"/>
    <x v="85"/>
    <s v="Medium"/>
    <x v="33"/>
    <x v="3"/>
    <x v="3"/>
    <n v="85.53"/>
    <x v="0"/>
    <n v="0"/>
    <n v="85.53"/>
    <n v="21.4"/>
    <n v="85.53"/>
    <x v="0"/>
    <n v="85.53"/>
    <s v="03-2019"/>
  </r>
  <r>
    <n v="23649"/>
    <x v="183"/>
    <s v="Not Specified"/>
    <x v="15"/>
    <x v="1"/>
    <x v="1"/>
    <n v="4859.8599999999997"/>
    <x v="1"/>
    <n v="48.598599999999998"/>
    <n v="4811.2613999999994"/>
    <n v="8.6"/>
    <n v="4851.2599999999993"/>
    <x v="0"/>
    <n v="4811.2613999999994"/>
    <s v="09-2019"/>
  </r>
  <r>
    <n v="32903"/>
    <x v="228"/>
    <s v="Low"/>
    <x v="7"/>
    <x v="0"/>
    <x v="0"/>
    <n v="486.4"/>
    <x v="0"/>
    <n v="0"/>
    <n v="486.4"/>
    <n v="9.4"/>
    <n v="486.4"/>
    <x v="0"/>
    <n v="486.4"/>
    <s v="07-2019"/>
  </r>
  <r>
    <n v="53990"/>
    <x v="126"/>
    <s v="Not Specified"/>
    <x v="2"/>
    <x v="1"/>
    <x v="1"/>
    <n v="4562.4066999999995"/>
    <x v="1"/>
    <n v="45.624066999999997"/>
    <n v="4516.7826329999998"/>
    <n v="2.7"/>
    <n v="4559.7066999999997"/>
    <x v="0"/>
    <n v="4516.7826329999998"/>
    <s v="11-2019"/>
  </r>
  <r>
    <n v="52518"/>
    <x v="342"/>
    <s v="Critical"/>
    <x v="30"/>
    <x v="9"/>
    <x v="9"/>
    <n v="180.82"/>
    <x v="0"/>
    <n v="0"/>
    <n v="180.82"/>
    <n v="4.3"/>
    <n v="180.82"/>
    <x v="0"/>
    <n v="180.82"/>
    <s v="04-2019"/>
  </r>
  <r>
    <n v="53536"/>
    <x v="34"/>
    <s v="High"/>
    <x v="16"/>
    <x v="0"/>
    <x v="0"/>
    <n v="790.4"/>
    <x v="0"/>
    <n v="0"/>
    <n v="790.4"/>
    <n v="8.1"/>
    <n v="790.4"/>
    <x v="0"/>
    <n v="790.4"/>
    <s v="10-2019"/>
  </r>
  <r>
    <n v="55526"/>
    <x v="60"/>
    <s v="High"/>
    <x v="42"/>
    <x v="4"/>
    <x v="4"/>
    <n v="476.33"/>
    <x v="0"/>
    <n v="0"/>
    <n v="476.33"/>
    <n v="9.6999999999999993"/>
    <n v="476.33"/>
    <x v="0"/>
    <n v="476.33"/>
    <s v="07-2019"/>
  </r>
  <r>
    <n v="3845"/>
    <x v="230"/>
    <s v="Critical"/>
    <x v="35"/>
    <x v="9"/>
    <x v="9"/>
    <n v="3278.7689"/>
    <x v="0"/>
    <n v="0"/>
    <n v="3278.7689"/>
    <n v="21.4"/>
    <n v="3278.7689"/>
    <x v="0"/>
    <n v="3278.7689"/>
    <s v="04-2019"/>
  </r>
  <r>
    <n v="3650"/>
    <x v="239"/>
    <s v="Not Specified"/>
    <x v="34"/>
    <x v="5"/>
    <x v="5"/>
    <n v="149.75"/>
    <x v="1"/>
    <n v="1.4975000000000001"/>
    <n v="148.2525"/>
    <n v="5.9"/>
    <n v="143.85"/>
    <x v="1"/>
    <n v="143.85"/>
    <s v="05-2019"/>
  </r>
  <r>
    <n v="17414"/>
    <x v="286"/>
    <s v="High"/>
    <x v="41"/>
    <x v="5"/>
    <x v="5"/>
    <n v="4018.31"/>
    <x v="1"/>
    <n v="40.183100000000003"/>
    <n v="3978.1268999999998"/>
    <n v="21.4"/>
    <n v="3996.91"/>
    <x v="0"/>
    <n v="3978.1268999999998"/>
    <s v="06-2019"/>
  </r>
  <r>
    <n v="42758"/>
    <x v="89"/>
    <s v="Critical"/>
    <x v="14"/>
    <x v="7"/>
    <x v="7"/>
    <n v="1893.62"/>
    <x v="0"/>
    <n v="0"/>
    <n v="1893.62"/>
    <n v="4.3"/>
    <n v="1893.62"/>
    <x v="0"/>
    <n v="1893.62"/>
    <s v="11-2019"/>
  </r>
  <r>
    <n v="23268"/>
    <x v="280"/>
    <s v="High"/>
    <x v="26"/>
    <x v="7"/>
    <x v="7"/>
    <n v="54.41"/>
    <x v="0"/>
    <n v="0"/>
    <n v="54.41"/>
    <n v="2.4"/>
    <n v="54.41"/>
    <x v="1"/>
    <n v="54.41"/>
    <s v="01-2019"/>
  </r>
  <r>
    <n v="56802"/>
    <x v="309"/>
    <s v="High"/>
    <x v="3"/>
    <x v="2"/>
    <x v="2"/>
    <n v="83.67"/>
    <x v="1"/>
    <n v="0.8367"/>
    <n v="82.833299999999994"/>
    <n v="1.1000000000000001"/>
    <n v="82.570000000000007"/>
    <x v="0"/>
    <n v="82.570000000000007"/>
    <s v="05-2019"/>
  </r>
  <r>
    <n v="41378"/>
    <x v="115"/>
    <s v="Not Specified"/>
    <x v="15"/>
    <x v="1"/>
    <x v="1"/>
    <n v="1352.66"/>
    <x v="1"/>
    <n v="13.526600000000002"/>
    <n v="1339.1334000000002"/>
    <n v="2.1"/>
    <n v="1350.5600000000002"/>
    <x v="0"/>
    <n v="1339.1334000000002"/>
    <s v="10-2019"/>
  </r>
  <r>
    <n v="47042"/>
    <x v="251"/>
    <s v="Critical"/>
    <x v="9"/>
    <x v="1"/>
    <x v="1"/>
    <n v="1471.65"/>
    <x v="1"/>
    <n v="14.716500000000002"/>
    <n v="1456.9335000000001"/>
    <n v="3.5"/>
    <n v="1468.15"/>
    <x v="0"/>
    <n v="1456.9335000000001"/>
    <s v="03-2019"/>
  </r>
  <r>
    <n v="48801"/>
    <x v="329"/>
    <s v="High"/>
    <x v="20"/>
    <x v="1"/>
    <x v="1"/>
    <n v="2554.7399999999998"/>
    <x v="1"/>
    <n v="25.5474"/>
    <n v="2529.1925999999999"/>
    <n v="11.9"/>
    <n v="2542.8399999999997"/>
    <x v="0"/>
    <n v="2529.1925999999999"/>
    <s v="10-2019"/>
  </r>
  <r>
    <n v="38723"/>
    <x v="140"/>
    <s v="Critical"/>
    <x v="35"/>
    <x v="9"/>
    <x v="9"/>
    <n v="181.12"/>
    <x v="0"/>
    <n v="0"/>
    <n v="181.12"/>
    <n v="4.3"/>
    <n v="181.12"/>
    <x v="0"/>
    <n v="181.12"/>
    <s v="09-2019"/>
  </r>
  <r>
    <n v="29280"/>
    <x v="29"/>
    <s v="Medium"/>
    <x v="24"/>
    <x v="8"/>
    <x v="8"/>
    <n v="255.03"/>
    <x v="0"/>
    <n v="0"/>
    <n v="255.03"/>
    <n v="8.5"/>
    <n v="255.03"/>
    <x v="0"/>
    <n v="255.03"/>
    <s v="03-2019"/>
  </r>
  <r>
    <n v="11684"/>
    <x v="233"/>
    <s v="High"/>
    <x v="30"/>
    <x v="9"/>
    <x v="9"/>
    <n v="1255.6500000000001"/>
    <x v="0"/>
    <n v="0"/>
    <n v="1255.6500000000001"/>
    <n v="26.2"/>
    <n v="1255.6500000000001"/>
    <x v="0"/>
    <n v="1255.6500000000001"/>
    <s v="07-2019"/>
  </r>
  <r>
    <n v="42374"/>
    <x v="121"/>
    <s v="Critical"/>
    <x v="5"/>
    <x v="4"/>
    <x v="4"/>
    <n v="219.69"/>
    <x v="0"/>
    <n v="0"/>
    <n v="219.69"/>
    <n v="2.1"/>
    <n v="219.69"/>
    <x v="1"/>
    <n v="219.69"/>
    <s v="07-2019"/>
  </r>
  <r>
    <n v="19782"/>
    <x v="93"/>
    <s v="Low"/>
    <x v="38"/>
    <x v="8"/>
    <x v="8"/>
    <n v="35.53"/>
    <x v="0"/>
    <n v="0"/>
    <n v="35.53"/>
    <n v="0.8"/>
    <n v="35.53"/>
    <x v="0"/>
    <n v="35.53"/>
    <s v="10-2019"/>
  </r>
  <r>
    <n v="19745"/>
    <x v="314"/>
    <s v="High"/>
    <x v="3"/>
    <x v="2"/>
    <x v="2"/>
    <n v="891.31"/>
    <x v="1"/>
    <n v="8.9131"/>
    <n v="882.39689999999996"/>
    <n v="1.5"/>
    <n v="889.81"/>
    <x v="0"/>
    <n v="882.39689999999996"/>
    <s v="12-2019"/>
  </r>
  <r>
    <n v="23363"/>
    <x v="309"/>
    <s v="Low"/>
    <x v="27"/>
    <x v="2"/>
    <x v="2"/>
    <n v="258.73669999999998"/>
    <x v="1"/>
    <n v="2.587367"/>
    <n v="256.14933299999996"/>
    <n v="5.3"/>
    <n v="253.43669999999997"/>
    <x v="0"/>
    <n v="253.43669999999997"/>
    <s v="05-2019"/>
  </r>
  <r>
    <n v="18661"/>
    <x v="122"/>
    <s v="Low"/>
    <x v="22"/>
    <x v="7"/>
    <x v="7"/>
    <n v="2801.38"/>
    <x v="0"/>
    <n v="0"/>
    <n v="2801.38"/>
    <n v="66.099999999999994"/>
    <n v="2801.38"/>
    <x v="2"/>
    <n v="2801.38"/>
    <s v="09-2019"/>
  </r>
  <r>
    <n v="30499"/>
    <x v="34"/>
    <s v="High"/>
    <x v="0"/>
    <x v="0"/>
    <x v="0"/>
    <n v="213.59"/>
    <x v="0"/>
    <n v="0"/>
    <n v="213.59"/>
    <n v="1.3"/>
    <n v="213.59"/>
    <x v="0"/>
    <n v="213.59"/>
    <s v="10-2019"/>
  </r>
  <r>
    <n v="28390"/>
    <x v="197"/>
    <s v="High"/>
    <x v="2"/>
    <x v="1"/>
    <x v="1"/>
    <n v="866.45"/>
    <x v="1"/>
    <n v="8.6645000000000003"/>
    <n v="857.78550000000007"/>
    <n v="7.1"/>
    <n v="859.35"/>
    <x v="0"/>
    <n v="857.78550000000007"/>
    <s v="02-2019"/>
  </r>
  <r>
    <n v="53536"/>
    <x v="34"/>
    <s v="High"/>
    <x v="18"/>
    <x v="3"/>
    <x v="3"/>
    <n v="1086.48"/>
    <x v="0"/>
    <n v="0"/>
    <n v="1086.48"/>
    <n v="60.1"/>
    <n v="1086.48"/>
    <x v="2"/>
    <n v="1086.48"/>
    <s v="10-2019"/>
  </r>
  <r>
    <n v="21382"/>
    <x v="61"/>
    <s v="Critical"/>
    <x v="22"/>
    <x v="7"/>
    <x v="7"/>
    <n v="333.87"/>
    <x v="0"/>
    <n v="0"/>
    <n v="333.87"/>
    <n v="5.9"/>
    <n v="333.87"/>
    <x v="0"/>
    <n v="333.87"/>
    <s v="01-2019"/>
  </r>
  <r>
    <n v="3559"/>
    <x v="82"/>
    <s v="Medium"/>
    <x v="1"/>
    <x v="0"/>
    <x v="0"/>
    <n v="146.23689999999999"/>
    <x v="0"/>
    <n v="0"/>
    <n v="146.23689999999999"/>
    <n v="5.8"/>
    <n v="146.23689999999999"/>
    <x v="1"/>
    <n v="146.23689999999999"/>
    <s v="10-2019"/>
  </r>
  <r>
    <n v="34022"/>
    <x v="336"/>
    <s v="Not Specified"/>
    <x v="3"/>
    <x v="2"/>
    <x v="2"/>
    <n v="252.82"/>
    <x v="1"/>
    <n v="2.5282"/>
    <n v="250.29179999999999"/>
    <n v="3.3"/>
    <n v="249.51999999999998"/>
    <x v="0"/>
    <n v="249.51999999999998"/>
    <s v="11-2019"/>
  </r>
  <r>
    <n v="48615"/>
    <x v="200"/>
    <s v="Low"/>
    <x v="30"/>
    <x v="9"/>
    <x v="9"/>
    <n v="497.19"/>
    <x v="0"/>
    <n v="0"/>
    <n v="497.19"/>
    <n v="15.9"/>
    <n v="497.19"/>
    <x v="0"/>
    <n v="497.19"/>
    <s v="12-2019"/>
  </r>
  <r>
    <n v="1221"/>
    <x v="172"/>
    <s v="Not Specified"/>
    <x v="43"/>
    <x v="3"/>
    <x v="3"/>
    <n v="15.71"/>
    <x v="0"/>
    <n v="0"/>
    <n v="15.71"/>
    <n v="6.6"/>
    <n v="15.71"/>
    <x v="0"/>
    <n v="15.71"/>
    <s v="04-2019"/>
  </r>
  <r>
    <n v="47399"/>
    <x v="96"/>
    <s v="Low"/>
    <x v="11"/>
    <x v="6"/>
    <x v="6"/>
    <n v="155.96"/>
    <x v="0"/>
    <n v="0"/>
    <n v="155.96"/>
    <n v="3.2"/>
    <n v="155.96"/>
    <x v="0"/>
    <n v="155.96"/>
    <s v="08-2019"/>
  </r>
  <r>
    <n v="58883"/>
    <x v="83"/>
    <s v="Low"/>
    <x v="34"/>
    <x v="5"/>
    <x v="5"/>
    <n v="172.87"/>
    <x v="1"/>
    <n v="1.7287000000000001"/>
    <n v="171.1413"/>
    <n v="1.1000000000000001"/>
    <n v="171.77"/>
    <x v="0"/>
    <n v="171.1413"/>
    <s v="08-2019"/>
  </r>
  <r>
    <n v="3655"/>
    <x v="13"/>
    <s v="Critical"/>
    <x v="10"/>
    <x v="4"/>
    <x v="4"/>
    <n v="2942.61"/>
    <x v="0"/>
    <n v="0"/>
    <n v="2942.61"/>
    <n v="8.1999999999999993"/>
    <n v="2942.61"/>
    <x v="0"/>
    <n v="2942.61"/>
    <s v="10-2019"/>
  </r>
  <r>
    <n v="52325"/>
    <x v="114"/>
    <s v="Not Specified"/>
    <x v="42"/>
    <x v="4"/>
    <x v="4"/>
    <n v="5485.14"/>
    <x v="0"/>
    <n v="0"/>
    <n v="5485.14"/>
    <n v="16.100000000000001"/>
    <n v="5485.14"/>
    <x v="0"/>
    <n v="5485.14"/>
    <s v="07-2019"/>
  </r>
  <r>
    <n v="19207"/>
    <x v="108"/>
    <s v="Not Specified"/>
    <x v="42"/>
    <x v="4"/>
    <x v="4"/>
    <n v="70.641400000000004"/>
    <x v="0"/>
    <n v="0"/>
    <n v="70.641400000000004"/>
    <n v="1.1000000000000001"/>
    <n v="70.641400000000004"/>
    <x v="0"/>
    <n v="70.641400000000004"/>
    <s v="03-2019"/>
  </r>
  <r>
    <n v="54630"/>
    <x v="25"/>
    <s v="Low"/>
    <x v="22"/>
    <x v="7"/>
    <x v="7"/>
    <n v="78.345399999999998"/>
    <x v="0"/>
    <n v="0"/>
    <n v="78.345399999999998"/>
    <n v="6.7"/>
    <n v="78.345399999999998"/>
    <x v="0"/>
    <n v="78.345399999999998"/>
    <s v="08-2019"/>
  </r>
  <r>
    <n v="9473"/>
    <x v="237"/>
    <s v="Not Specified"/>
    <x v="7"/>
    <x v="0"/>
    <x v="0"/>
    <n v="537.61"/>
    <x v="0"/>
    <n v="0"/>
    <n v="537.61"/>
    <n v="19"/>
    <n v="537.61"/>
    <x v="0"/>
    <n v="537.61"/>
    <s v="10-2019"/>
  </r>
  <r>
    <n v="2885"/>
    <x v="109"/>
    <s v="Not Specified"/>
    <x v="27"/>
    <x v="2"/>
    <x v="2"/>
    <n v="762.0326"/>
    <x v="1"/>
    <n v="7.6203260000000004"/>
    <n v="754.41227400000002"/>
    <n v="5.8"/>
    <n v="756.23260000000005"/>
    <x v="0"/>
    <n v="754.41227400000002"/>
    <s v="09-2019"/>
  </r>
  <r>
    <n v="5699"/>
    <x v="76"/>
    <s v="Low"/>
    <x v="33"/>
    <x v="3"/>
    <x v="3"/>
    <n v="9.9"/>
    <x v="0"/>
    <n v="0"/>
    <n v="9.9"/>
    <n v="1.1000000000000001"/>
    <n v="9.9"/>
    <x v="0"/>
    <n v="9.9"/>
    <s v="07-2019"/>
  </r>
  <r>
    <n v="4099"/>
    <x v="37"/>
    <s v="Critical"/>
    <x v="14"/>
    <x v="7"/>
    <x v="7"/>
    <n v="131.54"/>
    <x v="0"/>
    <n v="0"/>
    <n v="131.54"/>
    <n v="6.2"/>
    <n v="131.54"/>
    <x v="0"/>
    <n v="131.54"/>
    <s v="08-2019"/>
  </r>
  <r>
    <n v="35712"/>
    <x v="82"/>
    <s v="High"/>
    <x v="10"/>
    <x v="4"/>
    <x v="4"/>
    <n v="144.32"/>
    <x v="0"/>
    <n v="0"/>
    <n v="144.32"/>
    <n v="8.6999999999999993"/>
    <n v="144.32"/>
    <x v="0"/>
    <n v="144.32"/>
    <s v="10-2019"/>
  </r>
  <r>
    <n v="56805"/>
    <x v="301"/>
    <s v="High"/>
    <x v="8"/>
    <x v="5"/>
    <x v="5"/>
    <n v="15785.8"/>
    <x v="1"/>
    <n v="157.858"/>
    <n v="15627.941999999999"/>
    <n v="105.9"/>
    <n v="15679.9"/>
    <x v="2"/>
    <n v="15627.941999999999"/>
    <s v="06-2019"/>
  </r>
  <r>
    <n v="23619"/>
    <x v="182"/>
    <s v="Medium"/>
    <x v="29"/>
    <x v="9"/>
    <x v="9"/>
    <n v="1116.1400000000001"/>
    <x v="0"/>
    <n v="0"/>
    <n v="1116.1400000000001"/>
    <n v="15"/>
    <n v="1116.1400000000001"/>
    <x v="0"/>
    <n v="1116.1400000000001"/>
    <s v="12-2019"/>
  </r>
  <r>
    <n v="27909"/>
    <x v="197"/>
    <s v="Critical"/>
    <x v="12"/>
    <x v="2"/>
    <x v="2"/>
    <n v="62.63"/>
    <x v="1"/>
    <n v="0.62630000000000008"/>
    <n v="62.003700000000002"/>
    <n v="0.7"/>
    <n v="61.93"/>
    <x v="0"/>
    <n v="61.93"/>
    <s v="02-2019"/>
  </r>
  <r>
    <n v="48643"/>
    <x v="93"/>
    <s v="Medium"/>
    <x v="3"/>
    <x v="2"/>
    <x v="2"/>
    <n v="3099.1"/>
    <x v="1"/>
    <n v="30.991"/>
    <n v="3068.1089999999999"/>
    <n v="9.6"/>
    <n v="3089.5"/>
    <x v="0"/>
    <n v="3068.1089999999999"/>
    <s v="10-2019"/>
  </r>
  <r>
    <n v="22817"/>
    <x v="339"/>
    <s v="Critical"/>
    <x v="40"/>
    <x v="6"/>
    <x v="6"/>
    <n v="7260.8702000000003"/>
    <x v="0"/>
    <n v="0"/>
    <n v="7260.8702000000003"/>
    <n v="67.099999999999994"/>
    <n v="7260.8702000000003"/>
    <x v="2"/>
    <n v="7260.8702000000003"/>
    <s v="11-2019"/>
  </r>
  <r>
    <n v="16548"/>
    <x v="252"/>
    <s v="Not Specified"/>
    <x v="6"/>
    <x v="4"/>
    <x v="4"/>
    <n v="80.45"/>
    <x v="0"/>
    <n v="0"/>
    <n v="80.45"/>
    <n v="4.2"/>
    <n v="80.45"/>
    <x v="0"/>
    <n v="80.45"/>
    <s v="02-2019"/>
  </r>
  <r>
    <n v="9155"/>
    <x v="139"/>
    <s v="Critical"/>
    <x v="45"/>
    <x v="8"/>
    <x v="8"/>
    <n v="555.12"/>
    <x v="0"/>
    <n v="0"/>
    <n v="555.12"/>
    <n v="12.4"/>
    <n v="555.12"/>
    <x v="0"/>
    <n v="555.12"/>
    <s v="08-2019"/>
  </r>
  <r>
    <n v="26336"/>
    <x v="155"/>
    <s v="High"/>
    <x v="9"/>
    <x v="1"/>
    <x v="1"/>
    <n v="2945.37"/>
    <x v="1"/>
    <n v="29.453699999999998"/>
    <n v="2915.9162999999999"/>
    <n v="13.7"/>
    <n v="2931.67"/>
    <x v="0"/>
    <n v="2915.9162999999999"/>
    <s v="05-2019"/>
  </r>
  <r>
    <n v="36998"/>
    <x v="145"/>
    <s v="Low"/>
    <x v="19"/>
    <x v="1"/>
    <x v="1"/>
    <n v="283.97000000000003"/>
    <x v="1"/>
    <n v="2.8397000000000001"/>
    <n v="281.13030000000003"/>
    <n v="10.199999999999999"/>
    <n v="273.77000000000004"/>
    <x v="0"/>
    <n v="273.77000000000004"/>
    <s v="09-2019"/>
  </r>
  <r>
    <n v="1344"/>
    <x v="150"/>
    <s v="Low"/>
    <x v="38"/>
    <x v="8"/>
    <x v="8"/>
    <n v="2654.58"/>
    <x v="0"/>
    <n v="0"/>
    <n v="2654.58"/>
    <n v="9.6"/>
    <n v="2654.58"/>
    <x v="0"/>
    <n v="2654.58"/>
    <s v="04-2019"/>
  </r>
  <r>
    <n v="34083"/>
    <x v="252"/>
    <s v="Not Specified"/>
    <x v="48"/>
    <x v="6"/>
    <x v="6"/>
    <n v="1514.21"/>
    <x v="0"/>
    <n v="0"/>
    <n v="1514.21"/>
    <n v="5.4"/>
    <n v="1514.21"/>
    <x v="1"/>
    <n v="1514.21"/>
    <s v="02-2019"/>
  </r>
  <r>
    <n v="16103"/>
    <x v="146"/>
    <s v="Not Specified"/>
    <x v="6"/>
    <x v="4"/>
    <x v="4"/>
    <n v="456.57"/>
    <x v="0"/>
    <n v="0"/>
    <n v="456.57"/>
    <n v="4.4000000000000004"/>
    <n v="456.57"/>
    <x v="0"/>
    <n v="456.57"/>
    <s v="07-2019"/>
  </r>
  <r>
    <n v="41120"/>
    <x v="255"/>
    <s v="Low"/>
    <x v="16"/>
    <x v="0"/>
    <x v="0"/>
    <n v="931.7"/>
    <x v="0"/>
    <n v="0"/>
    <n v="931.7"/>
    <n v="5.7"/>
    <n v="931.7"/>
    <x v="0"/>
    <n v="931.7"/>
    <s v="07-2019"/>
  </r>
  <r>
    <n v="44037"/>
    <x v="118"/>
    <s v="High"/>
    <x v="8"/>
    <x v="5"/>
    <x v="5"/>
    <n v="1925.58"/>
    <x v="1"/>
    <n v="19.255800000000001"/>
    <n v="1906.3242"/>
    <n v="1.3"/>
    <n v="1924.28"/>
    <x v="0"/>
    <n v="1906.3242"/>
    <s v="06-2019"/>
  </r>
  <r>
    <n v="29411"/>
    <x v="275"/>
    <s v="High"/>
    <x v="48"/>
    <x v="6"/>
    <x v="6"/>
    <n v="72.62"/>
    <x v="0"/>
    <n v="0"/>
    <n v="72.62"/>
    <n v="5.4"/>
    <n v="72.62"/>
    <x v="0"/>
    <n v="72.62"/>
    <s v="04-2019"/>
  </r>
  <r>
    <n v="4578"/>
    <x v="173"/>
    <s v="Low"/>
    <x v="9"/>
    <x v="1"/>
    <x v="1"/>
    <n v="302.5"/>
    <x v="1"/>
    <n v="3.0249999999999999"/>
    <n v="299.47500000000002"/>
    <n v="7.2"/>
    <n v="295.3"/>
    <x v="0"/>
    <n v="295.3"/>
    <s v="09-2019"/>
  </r>
  <r>
    <n v="36294"/>
    <x v="37"/>
    <s v="Medium"/>
    <x v="27"/>
    <x v="2"/>
    <x v="2"/>
    <n v="653.94119999999998"/>
    <x v="1"/>
    <n v="6.5394119999999996"/>
    <n v="647.40178800000001"/>
    <n v="5.3"/>
    <n v="648.64120000000003"/>
    <x v="0"/>
    <n v="647.40178800000001"/>
    <s v="08-2019"/>
  </r>
  <r>
    <n v="49798"/>
    <x v="210"/>
    <s v="Critical"/>
    <x v="48"/>
    <x v="6"/>
    <x v="6"/>
    <n v="344.01"/>
    <x v="0"/>
    <n v="0"/>
    <n v="344.01"/>
    <n v="3.6"/>
    <n v="344.01"/>
    <x v="0"/>
    <n v="344.01"/>
    <s v="12-2019"/>
  </r>
  <r>
    <n v="194"/>
    <x v="302"/>
    <s v="Medium"/>
    <x v="44"/>
    <x v="9"/>
    <x v="9"/>
    <n v="21.6"/>
    <x v="0"/>
    <n v="0"/>
    <n v="21.6"/>
    <n v="2.1"/>
    <n v="21.6"/>
    <x v="0"/>
    <n v="21.6"/>
    <s v="04-2019"/>
  </r>
  <r>
    <n v="41634"/>
    <x v="210"/>
    <s v="Not Specified"/>
    <x v="46"/>
    <x v="9"/>
    <x v="9"/>
    <n v="397.45"/>
    <x v="0"/>
    <n v="0"/>
    <n v="397.45"/>
    <n v="8.3000000000000007"/>
    <n v="397.45"/>
    <x v="0"/>
    <n v="397.45"/>
    <s v="12-2019"/>
  </r>
  <r>
    <n v="11362"/>
    <x v="53"/>
    <s v="Low"/>
    <x v="40"/>
    <x v="6"/>
    <x v="6"/>
    <n v="67.430000000000007"/>
    <x v="0"/>
    <n v="0"/>
    <n v="67.430000000000007"/>
    <n v="5.4"/>
    <n v="67.430000000000007"/>
    <x v="0"/>
    <n v="67.430000000000007"/>
    <s v="09-2019"/>
  </r>
  <r>
    <n v="43815"/>
    <x v="296"/>
    <s v="Not Specified"/>
    <x v="6"/>
    <x v="4"/>
    <x v="4"/>
    <n v="1338.998"/>
    <x v="0"/>
    <n v="0"/>
    <n v="1338.998"/>
    <n v="7.3"/>
    <n v="1338.998"/>
    <x v="0"/>
    <n v="1338.998"/>
    <s v="06-2019"/>
  </r>
  <r>
    <n v="49094"/>
    <x v="330"/>
    <s v="Critical"/>
    <x v="7"/>
    <x v="0"/>
    <x v="0"/>
    <n v="906.13"/>
    <x v="0"/>
    <n v="0"/>
    <n v="906.13"/>
    <n v="4.3"/>
    <n v="906.13"/>
    <x v="0"/>
    <n v="906.13"/>
    <s v="09-2019"/>
  </r>
  <r>
    <n v="23555"/>
    <x v="144"/>
    <s v="High"/>
    <x v="48"/>
    <x v="6"/>
    <x v="6"/>
    <n v="112.03"/>
    <x v="0"/>
    <n v="0"/>
    <n v="112.03"/>
    <n v="0.5"/>
    <n v="112.03"/>
    <x v="0"/>
    <n v="112.03"/>
    <s v="12-2019"/>
  </r>
  <r>
    <n v="51202"/>
    <x v="27"/>
    <s v="High"/>
    <x v="39"/>
    <x v="3"/>
    <x v="3"/>
    <n v="33.049999999999997"/>
    <x v="0"/>
    <n v="0"/>
    <n v="33.049999999999997"/>
    <n v="8.1999999999999993"/>
    <n v="33.049999999999997"/>
    <x v="0"/>
    <n v="33.049999999999997"/>
    <s v="04-2019"/>
  </r>
  <r>
    <n v="22466"/>
    <x v="29"/>
    <s v="Low"/>
    <x v="28"/>
    <x v="5"/>
    <x v="5"/>
    <n v="460.3"/>
    <x v="1"/>
    <n v="4.6030000000000006"/>
    <n v="455.697"/>
    <n v="1.9"/>
    <n v="458.40000000000003"/>
    <x v="0"/>
    <n v="455.697"/>
    <s v="03-2019"/>
  </r>
  <r>
    <n v="9794"/>
    <x v="264"/>
    <s v="Not Specified"/>
    <x v="31"/>
    <x v="4"/>
    <x v="4"/>
    <n v="144.69999999999999"/>
    <x v="0"/>
    <n v="0"/>
    <n v="144.69999999999999"/>
    <n v="3.9"/>
    <n v="144.69999999999999"/>
    <x v="0"/>
    <n v="144.69999999999999"/>
    <s v="03-2019"/>
  </r>
  <r>
    <n v="45698"/>
    <x v="165"/>
    <s v="High"/>
    <x v="34"/>
    <x v="5"/>
    <x v="5"/>
    <n v="281.81"/>
    <x v="1"/>
    <n v="2.8181000000000003"/>
    <n v="278.99189999999999"/>
    <n v="4.5"/>
    <n v="277.31"/>
    <x v="0"/>
    <n v="277.31"/>
    <s v="04-2019"/>
  </r>
  <r>
    <n v="6950"/>
    <x v="269"/>
    <s v="Low"/>
    <x v="39"/>
    <x v="3"/>
    <x v="3"/>
    <n v="200.52"/>
    <x v="0"/>
    <n v="0"/>
    <n v="200.52"/>
    <n v="3.5"/>
    <n v="200.52"/>
    <x v="0"/>
    <n v="200.52"/>
    <s v="03-2019"/>
  </r>
  <r>
    <n v="42374"/>
    <x v="121"/>
    <s v="Critical"/>
    <x v="12"/>
    <x v="2"/>
    <x v="2"/>
    <n v="864.13"/>
    <x v="1"/>
    <n v="8.6412999999999993"/>
    <n v="855.48869999999999"/>
    <n v="5.4"/>
    <n v="858.73"/>
    <x v="0"/>
    <n v="855.48869999999999"/>
    <s v="07-2019"/>
  </r>
  <r>
    <n v="29090"/>
    <x v="280"/>
    <s v="Medium"/>
    <x v="10"/>
    <x v="4"/>
    <x v="4"/>
    <n v="106.04"/>
    <x v="0"/>
    <n v="0"/>
    <n v="106.04"/>
    <n v="1.1000000000000001"/>
    <n v="106.04"/>
    <x v="0"/>
    <n v="106.04"/>
    <s v="01-2019"/>
  </r>
  <r>
    <n v="55777"/>
    <x v="89"/>
    <s v="Not Specified"/>
    <x v="44"/>
    <x v="9"/>
    <x v="9"/>
    <n v="346.1771"/>
    <x v="0"/>
    <n v="0"/>
    <n v="346.1771"/>
    <n v="21.4"/>
    <n v="346.1771"/>
    <x v="0"/>
    <n v="346.1771"/>
    <s v="11-2019"/>
  </r>
  <r>
    <n v="31456"/>
    <x v="4"/>
    <s v="High"/>
    <x v="46"/>
    <x v="9"/>
    <x v="9"/>
    <n v="240.85"/>
    <x v="0"/>
    <n v="0"/>
    <n v="240.85"/>
    <n v="3.2"/>
    <n v="240.85"/>
    <x v="0"/>
    <n v="240.85"/>
    <s v="11-2019"/>
  </r>
  <r>
    <n v="59589"/>
    <x v="181"/>
    <s v="Medium"/>
    <x v="31"/>
    <x v="4"/>
    <x v="4"/>
    <n v="1722.98"/>
    <x v="0"/>
    <n v="0"/>
    <n v="1722.98"/>
    <n v="7.4"/>
    <n v="1722.98"/>
    <x v="0"/>
    <n v="1722.98"/>
    <s v="04-2019"/>
  </r>
  <r>
    <n v="52580"/>
    <x v="28"/>
    <s v="High"/>
    <x v="36"/>
    <x v="8"/>
    <x v="8"/>
    <n v="392.79"/>
    <x v="0"/>
    <n v="0"/>
    <n v="392.79"/>
    <n v="2.1"/>
    <n v="392.79"/>
    <x v="0"/>
    <n v="392.79"/>
    <s v="08-2019"/>
  </r>
  <r>
    <n v="44323"/>
    <x v="117"/>
    <s v="Medium"/>
    <x v="40"/>
    <x v="6"/>
    <x v="6"/>
    <n v="22813.02"/>
    <x v="0"/>
    <n v="0"/>
    <n v="22813.02"/>
    <n v="17.2"/>
    <n v="22813.02"/>
    <x v="2"/>
    <n v="22813.02"/>
    <s v="08-2019"/>
  </r>
  <r>
    <n v="44000"/>
    <x v="103"/>
    <s v="Not Specified"/>
    <x v="38"/>
    <x v="8"/>
    <x v="8"/>
    <n v="90.98"/>
    <x v="0"/>
    <n v="0"/>
    <n v="90.98"/>
    <n v="7.2"/>
    <n v="90.98"/>
    <x v="0"/>
    <n v="90.98"/>
    <s v="10-2019"/>
  </r>
  <r>
    <n v="56708"/>
    <x v="116"/>
    <s v="Not Specified"/>
    <x v="34"/>
    <x v="5"/>
    <x v="5"/>
    <n v="10706.72"/>
    <x v="1"/>
    <n v="107.0672"/>
    <n v="10599.6528"/>
    <n v="66.099999999999994"/>
    <n v="10640.619999999999"/>
    <x v="2"/>
    <n v="10599.6528"/>
    <s v="12-2019"/>
  </r>
  <r>
    <n v="29411"/>
    <x v="275"/>
    <s v="High"/>
    <x v="9"/>
    <x v="1"/>
    <x v="1"/>
    <n v="1160.01"/>
    <x v="1"/>
    <n v="11.600099999999999"/>
    <n v="1148.4098999999999"/>
    <n v="6.7"/>
    <n v="1153.31"/>
    <x v="0"/>
    <n v="1148.4098999999999"/>
    <s v="04-2019"/>
  </r>
  <r>
    <n v="16423"/>
    <x v="36"/>
    <s v="Medium"/>
    <x v="24"/>
    <x v="8"/>
    <x v="8"/>
    <n v="137.18"/>
    <x v="0"/>
    <n v="0"/>
    <n v="137.18"/>
    <n v="7"/>
    <n v="137.18"/>
    <x v="0"/>
    <n v="137.18"/>
    <s v="08-2019"/>
  </r>
  <r>
    <n v="35104"/>
    <x v="291"/>
    <s v="High"/>
    <x v="43"/>
    <x v="3"/>
    <x v="3"/>
    <n v="38.85"/>
    <x v="0"/>
    <n v="0"/>
    <n v="38.85"/>
    <n v="5.9"/>
    <n v="38.85"/>
    <x v="0"/>
    <n v="38.85"/>
    <s v="04-2019"/>
  </r>
  <r>
    <n v="12096"/>
    <x v="136"/>
    <s v="Medium"/>
    <x v="42"/>
    <x v="4"/>
    <x v="4"/>
    <n v="5017.9399999999996"/>
    <x v="0"/>
    <n v="0"/>
    <n v="5017.9399999999996"/>
    <n v="12.3"/>
    <n v="5017.9399999999996"/>
    <x v="0"/>
    <n v="5017.9399999999996"/>
    <s v="09-2019"/>
  </r>
  <r>
    <n v="55171"/>
    <x v="246"/>
    <s v="High"/>
    <x v="48"/>
    <x v="6"/>
    <x v="6"/>
    <n v="616.20000000000005"/>
    <x v="0"/>
    <n v="0"/>
    <n v="616.20000000000005"/>
    <n v="4.3"/>
    <n v="616.20000000000005"/>
    <x v="0"/>
    <n v="616.20000000000005"/>
    <s v="10-2019"/>
  </r>
  <r>
    <n v="24865"/>
    <x v="2"/>
    <s v="High"/>
    <x v="27"/>
    <x v="2"/>
    <x v="2"/>
    <n v="187.5"/>
    <x v="1"/>
    <n v="1.875"/>
    <n v="185.625"/>
    <n v="2.7"/>
    <n v="184.8"/>
    <x v="0"/>
    <n v="184.8"/>
    <s v="03-2019"/>
  </r>
  <r>
    <n v="52580"/>
    <x v="28"/>
    <s v="High"/>
    <x v="42"/>
    <x v="4"/>
    <x v="4"/>
    <n v="149.44"/>
    <x v="0"/>
    <n v="0"/>
    <n v="149.44"/>
    <n v="1.5"/>
    <n v="149.44"/>
    <x v="0"/>
    <n v="149.44"/>
    <s v="08-2019"/>
  </r>
  <r>
    <n v="39399"/>
    <x v="349"/>
    <s v="Medium"/>
    <x v="23"/>
    <x v="6"/>
    <x v="6"/>
    <n v="325.25"/>
    <x v="0"/>
    <n v="0"/>
    <n v="325.25"/>
    <n v="5.5"/>
    <n v="325.25"/>
    <x v="0"/>
    <n v="325.25"/>
    <s v="12-2019"/>
  </r>
  <r>
    <n v="49510"/>
    <x v="41"/>
    <s v="Critical"/>
    <x v="36"/>
    <x v="8"/>
    <x v="8"/>
    <n v="47.19"/>
    <x v="0"/>
    <n v="0"/>
    <n v="47.19"/>
    <n v="1.4"/>
    <n v="47.19"/>
    <x v="0"/>
    <n v="47.19"/>
    <s v="03-2019"/>
  </r>
  <r>
    <n v="58853"/>
    <x v="152"/>
    <s v="Critical"/>
    <x v="40"/>
    <x v="6"/>
    <x v="6"/>
    <n v="5679.03"/>
    <x v="0"/>
    <n v="0"/>
    <n v="5679.03"/>
    <n v="25.4"/>
    <n v="5679.03"/>
    <x v="2"/>
    <n v="5679.03"/>
    <s v="05-2019"/>
  </r>
  <r>
    <n v="34309"/>
    <x v="175"/>
    <s v="High"/>
    <x v="36"/>
    <x v="8"/>
    <x v="8"/>
    <n v="81.073899999999995"/>
    <x v="0"/>
    <n v="0"/>
    <n v="81.073899999999995"/>
    <n v="5.5"/>
    <n v="81.073899999999995"/>
    <x v="0"/>
    <n v="81.073899999999995"/>
    <s v="09-2019"/>
  </r>
  <r>
    <n v="15591"/>
    <x v="243"/>
    <s v="Critical"/>
    <x v="7"/>
    <x v="0"/>
    <x v="0"/>
    <n v="456.18"/>
    <x v="0"/>
    <n v="0"/>
    <n v="456.18"/>
    <n v="5.5"/>
    <n v="456.18"/>
    <x v="0"/>
    <n v="456.18"/>
    <s v="06-2019"/>
  </r>
  <r>
    <n v="23685"/>
    <x v="286"/>
    <s v="Not Specified"/>
    <x v="27"/>
    <x v="2"/>
    <x v="2"/>
    <n v="8483.56"/>
    <x v="1"/>
    <n v="84.835599999999999"/>
    <n v="8398.7243999999992"/>
    <n v="5.4"/>
    <n v="8478.16"/>
    <x v="0"/>
    <n v="8398.7243999999992"/>
    <s v="06-2019"/>
  </r>
  <r>
    <n v="41666"/>
    <x v="101"/>
    <s v="Medium"/>
    <x v="11"/>
    <x v="6"/>
    <x v="6"/>
    <n v="637.89"/>
    <x v="0"/>
    <n v="0"/>
    <n v="637.89"/>
    <n v="9.1999999999999993"/>
    <n v="637.89"/>
    <x v="1"/>
    <n v="637.89"/>
    <s v="03-2019"/>
  </r>
  <r>
    <n v="46466"/>
    <x v="350"/>
    <s v="Medium"/>
    <x v="29"/>
    <x v="9"/>
    <x v="9"/>
    <n v="290.26"/>
    <x v="0"/>
    <n v="0"/>
    <n v="290.26"/>
    <n v="15"/>
    <n v="290.26"/>
    <x v="0"/>
    <n v="290.26"/>
    <s v="02-2019"/>
  </r>
  <r>
    <n v="40838"/>
    <x v="315"/>
    <s v="Not Specified"/>
    <x v="46"/>
    <x v="9"/>
    <x v="9"/>
    <n v="188.17"/>
    <x v="0"/>
    <n v="0"/>
    <n v="188.17"/>
    <n v="1.3"/>
    <n v="188.17"/>
    <x v="0"/>
    <n v="188.17"/>
    <s v="11-2019"/>
  </r>
  <r>
    <n v="50822"/>
    <x v="197"/>
    <s v="Medium"/>
    <x v="37"/>
    <x v="5"/>
    <x v="5"/>
    <n v="338.49"/>
    <x v="1"/>
    <n v="3.3849"/>
    <n v="335.10509999999999"/>
    <n v="3"/>
    <n v="335.49"/>
    <x v="1"/>
    <n v="335.10509999999999"/>
    <s v="02-2019"/>
  </r>
  <r>
    <n v="23395"/>
    <x v="65"/>
    <s v="Medium"/>
    <x v="7"/>
    <x v="0"/>
    <x v="0"/>
    <n v="1387.21"/>
    <x v="0"/>
    <n v="0"/>
    <n v="1387.21"/>
    <n v="2.1"/>
    <n v="1387.21"/>
    <x v="0"/>
    <n v="1387.21"/>
    <s v="10-2019"/>
  </r>
  <r>
    <n v="29280"/>
    <x v="29"/>
    <s v="Medium"/>
    <x v="17"/>
    <x v="6"/>
    <x v="6"/>
    <n v="916.28"/>
    <x v="0"/>
    <n v="0"/>
    <n v="916.28"/>
    <n v="2.1"/>
    <n v="916.28"/>
    <x v="0"/>
    <n v="916.28"/>
    <s v="03-2019"/>
  </r>
  <r>
    <n v="14851"/>
    <x v="169"/>
    <s v="Not Specified"/>
    <x v="11"/>
    <x v="6"/>
    <x v="6"/>
    <n v="1544.29"/>
    <x v="0"/>
    <n v="0"/>
    <n v="1544.29"/>
    <n v="9.6"/>
    <n v="1544.29"/>
    <x v="0"/>
    <n v="1544.29"/>
    <s v="05-2019"/>
  </r>
  <r>
    <n v="35905"/>
    <x v="241"/>
    <s v="Low"/>
    <x v="32"/>
    <x v="8"/>
    <x v="8"/>
    <n v="40.020000000000003"/>
    <x v="0"/>
    <n v="0"/>
    <n v="40.020000000000003"/>
    <n v="1.7"/>
    <n v="40.020000000000003"/>
    <x v="1"/>
    <n v="40.020000000000003"/>
    <s v="02-2019"/>
  </r>
  <r>
    <n v="29473"/>
    <x v="142"/>
    <s v="Medium"/>
    <x v="28"/>
    <x v="5"/>
    <x v="5"/>
    <n v="14303.57"/>
    <x v="1"/>
    <n v="143.03569999999999"/>
    <n v="14160.534299999999"/>
    <n v="31.2"/>
    <n v="14272.369999999999"/>
    <x v="2"/>
    <n v="14160.534299999999"/>
    <s v="02-2019"/>
  </r>
  <r>
    <n v="45125"/>
    <x v="98"/>
    <s v="Critical"/>
    <x v="44"/>
    <x v="9"/>
    <x v="9"/>
    <n v="1043.79"/>
    <x v="0"/>
    <n v="0"/>
    <n v="1043.79"/>
    <n v="37.5"/>
    <n v="1043.79"/>
    <x v="2"/>
    <n v="1043.79"/>
    <s v="05-2019"/>
  </r>
  <r>
    <n v="7072"/>
    <x v="317"/>
    <s v="Critical"/>
    <x v="48"/>
    <x v="6"/>
    <x v="6"/>
    <n v="276.70999999999998"/>
    <x v="0"/>
    <n v="0"/>
    <n v="276.70999999999998"/>
    <n v="6"/>
    <n v="276.70999999999998"/>
    <x v="0"/>
    <n v="276.70999999999998"/>
    <s v="02-2019"/>
  </r>
  <r>
    <n v="40132"/>
    <x v="207"/>
    <s v="Low"/>
    <x v="34"/>
    <x v="5"/>
    <x v="5"/>
    <n v="5027.3999999999996"/>
    <x v="1"/>
    <n v="50.274000000000001"/>
    <n v="4977.1259999999993"/>
    <n v="55.6"/>
    <n v="4971.7999999999993"/>
    <x v="2"/>
    <n v="4971.7999999999993"/>
    <s v="02-2019"/>
  </r>
  <r>
    <n v="7841"/>
    <x v="24"/>
    <s v="Not Specified"/>
    <x v="5"/>
    <x v="4"/>
    <x v="4"/>
    <n v="1072.96"/>
    <x v="0"/>
    <n v="0"/>
    <n v="1072.96"/>
    <n v="11"/>
    <n v="1072.96"/>
    <x v="0"/>
    <n v="1072.96"/>
    <s v="05-2019"/>
  </r>
  <r>
    <n v="8065"/>
    <x v="325"/>
    <s v="Medium"/>
    <x v="45"/>
    <x v="8"/>
    <x v="8"/>
    <n v="1204.56"/>
    <x v="0"/>
    <n v="0"/>
    <n v="1204.56"/>
    <n v="13.1"/>
    <n v="1204.56"/>
    <x v="0"/>
    <n v="1204.56"/>
    <s v="10-2019"/>
  </r>
  <r>
    <n v="25249"/>
    <x v="46"/>
    <s v="Medium"/>
    <x v="1"/>
    <x v="0"/>
    <x v="0"/>
    <n v="991.73"/>
    <x v="0"/>
    <n v="0"/>
    <n v="991.73"/>
    <n v="1.6"/>
    <n v="991.73"/>
    <x v="0"/>
    <n v="991.73"/>
    <s v="11-2019"/>
  </r>
  <r>
    <n v="31555"/>
    <x v="39"/>
    <s v="Critical"/>
    <x v="18"/>
    <x v="3"/>
    <x v="3"/>
    <n v="535.54"/>
    <x v="0"/>
    <n v="0"/>
    <n v="535.54"/>
    <n v="30"/>
    <n v="535.54"/>
    <x v="2"/>
    <n v="535.54"/>
    <s v="01-2019"/>
  </r>
  <r>
    <n v="25571"/>
    <x v="244"/>
    <s v="Critical"/>
    <x v="15"/>
    <x v="1"/>
    <x v="1"/>
    <n v="4011.43"/>
    <x v="1"/>
    <n v="40.1143"/>
    <n v="3971.3156999999997"/>
    <n v="37.5"/>
    <n v="3973.93"/>
    <x v="0"/>
    <n v="3971.3156999999997"/>
    <s v="08-2019"/>
  </r>
  <r>
    <n v="39269"/>
    <x v="246"/>
    <s v="Low"/>
    <x v="36"/>
    <x v="8"/>
    <x v="8"/>
    <n v="497.22"/>
    <x v="0"/>
    <n v="0"/>
    <n v="497.22"/>
    <n v="2.7"/>
    <n v="497.22"/>
    <x v="0"/>
    <n v="497.22"/>
    <s v="10-2019"/>
  </r>
  <r>
    <n v="42722"/>
    <x v="112"/>
    <s v="Not Specified"/>
    <x v="33"/>
    <x v="3"/>
    <x v="3"/>
    <n v="21.29"/>
    <x v="0"/>
    <n v="0"/>
    <n v="21.29"/>
    <n v="5.6"/>
    <n v="21.29"/>
    <x v="0"/>
    <n v="21.29"/>
    <s v="10-2019"/>
  </r>
  <r>
    <n v="21925"/>
    <x v="213"/>
    <s v="Not Specified"/>
    <x v="4"/>
    <x v="3"/>
    <x v="3"/>
    <n v="252.86"/>
    <x v="0"/>
    <n v="0"/>
    <n v="252.86"/>
    <n v="4.3"/>
    <n v="252.86"/>
    <x v="0"/>
    <n v="252.86"/>
    <s v="07-2019"/>
  </r>
  <r>
    <n v="31270"/>
    <x v="185"/>
    <s v="Medium"/>
    <x v="5"/>
    <x v="4"/>
    <x v="4"/>
    <n v="7283.1261999999997"/>
    <x v="0"/>
    <n v="0"/>
    <n v="7283.1261999999997"/>
    <n v="93.1"/>
    <n v="7283.1261999999997"/>
    <x v="2"/>
    <n v="7283.1261999999997"/>
    <s v="11-2019"/>
  </r>
  <r>
    <n v="50914"/>
    <x v="78"/>
    <s v="Critical"/>
    <x v="21"/>
    <x v="2"/>
    <x v="2"/>
    <n v="9150.15"/>
    <x v="1"/>
    <n v="91.501499999999993"/>
    <n v="9058.6484999999993"/>
    <n v="9.6"/>
    <n v="9140.5499999999993"/>
    <x v="0"/>
    <n v="9058.6484999999993"/>
    <s v="07-2019"/>
  </r>
  <r>
    <n v="33479"/>
    <x v="109"/>
    <s v="Critical"/>
    <x v="3"/>
    <x v="2"/>
    <x v="2"/>
    <n v="815.55"/>
    <x v="1"/>
    <n v="8.1555"/>
    <n v="807.39449999999999"/>
    <n v="9"/>
    <n v="806.55"/>
    <x v="0"/>
    <n v="806.55"/>
    <s v="09-2019"/>
  </r>
  <r>
    <n v="27302"/>
    <x v="173"/>
    <s v="Low"/>
    <x v="4"/>
    <x v="3"/>
    <x v="3"/>
    <n v="153.55000000000001"/>
    <x v="0"/>
    <n v="0"/>
    <n v="153.55000000000001"/>
    <n v="6.2"/>
    <n v="153.55000000000001"/>
    <x v="0"/>
    <n v="153.55000000000001"/>
    <s v="09-2019"/>
  </r>
  <r>
    <n v="16036"/>
    <x v="38"/>
    <s v="Medium"/>
    <x v="0"/>
    <x v="0"/>
    <x v="0"/>
    <n v="589.5"/>
    <x v="0"/>
    <n v="0"/>
    <n v="589.5"/>
    <n v="10.1"/>
    <n v="589.5"/>
    <x v="0"/>
    <n v="589.5"/>
    <s v="01-2019"/>
  </r>
  <r>
    <n v="53378"/>
    <x v="199"/>
    <s v="Medium"/>
    <x v="3"/>
    <x v="2"/>
    <x v="2"/>
    <n v="14909.947099999999"/>
    <x v="1"/>
    <n v="149.09947099999999"/>
    <n v="14760.847629"/>
    <n v="12.5"/>
    <n v="14897.447099999999"/>
    <x v="1"/>
    <n v="14760.847629"/>
    <s v="07-2019"/>
  </r>
  <r>
    <n v="26759"/>
    <x v="322"/>
    <s v="Not Specified"/>
    <x v="17"/>
    <x v="6"/>
    <x v="6"/>
    <n v="268.68770000000001"/>
    <x v="0"/>
    <n v="0"/>
    <n v="268.68770000000001"/>
    <n v="5"/>
    <n v="268.68770000000001"/>
    <x v="0"/>
    <n v="268.68770000000001"/>
    <s v="01-2019"/>
  </r>
  <r>
    <n v="55460"/>
    <x v="155"/>
    <s v="High"/>
    <x v="14"/>
    <x v="7"/>
    <x v="7"/>
    <n v="66.150000000000006"/>
    <x v="0"/>
    <n v="0"/>
    <n v="66.150000000000006"/>
    <n v="3.2"/>
    <n v="66.150000000000006"/>
    <x v="0"/>
    <n v="66.150000000000006"/>
    <s v="05-2019"/>
  </r>
  <r>
    <n v="17862"/>
    <x v="105"/>
    <s v="Not Specified"/>
    <x v="43"/>
    <x v="3"/>
    <x v="3"/>
    <n v="30.74"/>
    <x v="0"/>
    <n v="0"/>
    <n v="30.74"/>
    <n v="7"/>
    <n v="30.74"/>
    <x v="0"/>
    <n v="30.74"/>
    <s v="05-2019"/>
  </r>
  <r>
    <n v="48000"/>
    <x v="7"/>
    <s v="High"/>
    <x v="14"/>
    <x v="7"/>
    <x v="7"/>
    <n v="229.98580000000001"/>
    <x v="0"/>
    <n v="0"/>
    <n v="229.98580000000001"/>
    <n v="2.1"/>
    <n v="229.98580000000001"/>
    <x v="0"/>
    <n v="229.98580000000001"/>
    <s v="08-2019"/>
  </r>
  <r>
    <n v="17093"/>
    <x v="245"/>
    <s v="Not Specified"/>
    <x v="3"/>
    <x v="2"/>
    <x v="2"/>
    <n v="4868.5600000000004"/>
    <x v="1"/>
    <n v="48.685600000000008"/>
    <n v="4819.8744000000006"/>
    <n v="62.3"/>
    <n v="4806.26"/>
    <x v="2"/>
    <n v="4806.26"/>
    <s v="02-2019"/>
  </r>
  <r>
    <n v="46276"/>
    <x v="160"/>
    <s v="Critical"/>
    <x v="42"/>
    <x v="4"/>
    <x v="4"/>
    <n v="17915.82"/>
    <x v="0"/>
    <n v="0"/>
    <n v="17915.82"/>
    <n v="26.2"/>
    <n v="17915.82"/>
    <x v="0"/>
    <n v="17915.82"/>
    <s v="12-2019"/>
  </r>
  <r>
    <n v="21856"/>
    <x v="303"/>
    <s v="Not Specified"/>
    <x v="12"/>
    <x v="2"/>
    <x v="2"/>
    <n v="180.35"/>
    <x v="1"/>
    <n v="1.8034999999999999"/>
    <n v="178.54649999999998"/>
    <n v="0.5"/>
    <n v="179.85"/>
    <x v="0"/>
    <n v="178.54649999999998"/>
    <s v="04-2019"/>
  </r>
  <r>
    <n v="48353"/>
    <x v="31"/>
    <s v="Not Specified"/>
    <x v="38"/>
    <x v="8"/>
    <x v="8"/>
    <n v="76.209999999999994"/>
    <x v="0"/>
    <n v="0"/>
    <n v="76.209999999999994"/>
    <n v="0.7"/>
    <n v="76.209999999999994"/>
    <x v="0"/>
    <n v="76.209999999999994"/>
    <s v="12-2019"/>
  </r>
  <r>
    <n v="42115"/>
    <x v="248"/>
    <s v="Critical"/>
    <x v="24"/>
    <x v="8"/>
    <x v="8"/>
    <n v="578.4"/>
    <x v="0"/>
    <n v="0"/>
    <n v="578.4"/>
    <n v="15"/>
    <n v="578.4"/>
    <x v="0"/>
    <n v="578.4"/>
    <s v="02-2019"/>
  </r>
  <r>
    <n v="3907"/>
    <x v="244"/>
    <s v="Medium"/>
    <x v="34"/>
    <x v="5"/>
    <x v="5"/>
    <n v="233.39"/>
    <x v="1"/>
    <n v="2.3338999999999999"/>
    <n v="231.05609999999999"/>
    <n v="52.4"/>
    <n v="180.98999999999998"/>
    <x v="0"/>
    <n v="180.98999999999998"/>
    <s v="08-2019"/>
  </r>
  <r>
    <n v="33222"/>
    <x v="192"/>
    <s v="Medium"/>
    <x v="38"/>
    <x v="8"/>
    <x v="8"/>
    <n v="450.21319999999997"/>
    <x v="0"/>
    <n v="0"/>
    <n v="450.21319999999997"/>
    <n v="16.2"/>
    <n v="450.21319999999997"/>
    <x v="0"/>
    <n v="450.21319999999997"/>
    <s v="06-2019"/>
  </r>
  <r>
    <n v="13633"/>
    <x v="342"/>
    <s v="Not Specified"/>
    <x v="41"/>
    <x v="5"/>
    <x v="5"/>
    <n v="1645.84"/>
    <x v="1"/>
    <n v="16.458400000000001"/>
    <n v="1629.3815999999999"/>
    <n v="37.5"/>
    <n v="1608.34"/>
    <x v="0"/>
    <n v="1608.34"/>
    <s v="04-2019"/>
  </r>
  <r>
    <n v="46497"/>
    <x v="192"/>
    <s v="High"/>
    <x v="17"/>
    <x v="6"/>
    <x v="6"/>
    <n v="674.68"/>
    <x v="0"/>
    <n v="0"/>
    <n v="674.68"/>
    <n v="9.6"/>
    <n v="674.68"/>
    <x v="0"/>
    <n v="674.68"/>
    <s v="06-2019"/>
  </r>
  <r>
    <n v="26979"/>
    <x v="29"/>
    <s v="Medium"/>
    <x v="3"/>
    <x v="2"/>
    <x v="2"/>
    <n v="6519.77"/>
    <x v="1"/>
    <n v="65.197700000000012"/>
    <n v="6454.5723000000007"/>
    <n v="8.6"/>
    <n v="6511.17"/>
    <x v="0"/>
    <n v="6454.5723000000007"/>
    <s v="03-2019"/>
  </r>
  <r>
    <n v="13282"/>
    <x v="223"/>
    <s v="Low"/>
    <x v="33"/>
    <x v="3"/>
    <x v="3"/>
    <n v="13.47"/>
    <x v="0"/>
    <n v="0"/>
    <n v="13.47"/>
    <n v="0.5"/>
    <n v="13.47"/>
    <x v="0"/>
    <n v="13.47"/>
    <s v="05-2019"/>
  </r>
  <r>
    <n v="59329"/>
    <x v="88"/>
    <s v="Critical"/>
    <x v="19"/>
    <x v="1"/>
    <x v="1"/>
    <n v="229.18"/>
    <x v="1"/>
    <n v="2.2918000000000003"/>
    <n v="226.88820000000001"/>
    <n v="5"/>
    <n v="224.18"/>
    <x v="0"/>
    <n v="224.18"/>
    <s v="12-2019"/>
  </r>
  <r>
    <n v="31393"/>
    <x v="169"/>
    <s v="Critical"/>
    <x v="39"/>
    <x v="3"/>
    <x v="3"/>
    <n v="104.4"/>
    <x v="0"/>
    <n v="0"/>
    <n v="104.4"/>
    <n v="15.9"/>
    <n v="104.4"/>
    <x v="0"/>
    <n v="104.4"/>
    <s v="05-2019"/>
  </r>
  <r>
    <n v="38723"/>
    <x v="140"/>
    <s v="Critical"/>
    <x v="41"/>
    <x v="5"/>
    <x v="5"/>
    <n v="2800.33"/>
    <x v="1"/>
    <n v="28.003299999999999"/>
    <n v="2772.3267000000001"/>
    <n v="7.4"/>
    <n v="2792.93"/>
    <x v="0"/>
    <n v="2772.3267000000001"/>
    <s v="09-2019"/>
  </r>
  <r>
    <n v="56291"/>
    <x v="283"/>
    <s v="Not Specified"/>
    <x v="31"/>
    <x v="4"/>
    <x v="4"/>
    <n v="403.78590000000003"/>
    <x v="0"/>
    <n v="0"/>
    <n v="403.78590000000003"/>
    <n v="2.1"/>
    <n v="403.78590000000003"/>
    <x v="0"/>
    <n v="403.78590000000003"/>
    <s v="09-2019"/>
  </r>
  <r>
    <n v="50503"/>
    <x v="339"/>
    <s v="Medium"/>
    <x v="23"/>
    <x v="6"/>
    <x v="6"/>
    <n v="1646.59"/>
    <x v="0"/>
    <n v="0"/>
    <n v="1646.59"/>
    <n v="21.4"/>
    <n v="1646.59"/>
    <x v="0"/>
    <n v="1646.59"/>
    <s v="11-2019"/>
  </r>
  <r>
    <n v="11137"/>
    <x v="222"/>
    <s v="High"/>
    <x v="49"/>
    <x v="2"/>
    <x v="2"/>
    <n v="5552.08"/>
    <x v="1"/>
    <n v="55.520800000000001"/>
    <n v="5496.5591999999997"/>
    <n v="9.1999999999999993"/>
    <n v="5542.88"/>
    <x v="0"/>
    <n v="5496.5591999999997"/>
    <s v="11-2019"/>
  </r>
  <r>
    <n v="59491"/>
    <x v="264"/>
    <s v="High"/>
    <x v="27"/>
    <x v="2"/>
    <x v="2"/>
    <n v="602.35649999999998"/>
    <x v="1"/>
    <n v="6.0235649999999996"/>
    <n v="596.33293500000002"/>
    <n v="3"/>
    <n v="599.35649999999998"/>
    <x v="0"/>
    <n v="596.33293500000002"/>
    <s v="03-2019"/>
  </r>
  <r>
    <n v="28901"/>
    <x v="68"/>
    <s v="High"/>
    <x v="42"/>
    <x v="4"/>
    <x v="4"/>
    <n v="932.31"/>
    <x v="0"/>
    <n v="0"/>
    <n v="932.31"/>
    <n v="6.3"/>
    <n v="932.31"/>
    <x v="0"/>
    <n v="932.31"/>
    <s v="06-2019"/>
  </r>
  <r>
    <n v="31106"/>
    <x v="10"/>
    <s v="Low"/>
    <x v="20"/>
    <x v="1"/>
    <x v="1"/>
    <n v="5025.8242"/>
    <x v="1"/>
    <n v="50.258242000000003"/>
    <n v="4975.5659580000001"/>
    <n v="6"/>
    <n v="5019.8242"/>
    <x v="0"/>
    <n v="4975.5659580000001"/>
    <s v="02-2019"/>
  </r>
  <r>
    <n v="17571"/>
    <x v="108"/>
    <s v="Not Specified"/>
    <x v="3"/>
    <x v="2"/>
    <x v="2"/>
    <n v="1814.35"/>
    <x v="1"/>
    <n v="18.1435"/>
    <n v="1796.2065"/>
    <n v="5.9"/>
    <n v="1808.4499999999998"/>
    <x v="1"/>
    <n v="1796.2065"/>
    <s v="03-2019"/>
  </r>
  <r>
    <n v="6150"/>
    <x v="187"/>
    <s v="Critical"/>
    <x v="8"/>
    <x v="5"/>
    <x v="5"/>
    <n v="204.52"/>
    <x v="1"/>
    <n v="2.0452000000000004"/>
    <n v="202.47480000000002"/>
    <n v="0.9"/>
    <n v="203.62"/>
    <x v="0"/>
    <n v="202.47480000000002"/>
    <s v="10-2019"/>
  </r>
  <r>
    <n v="26055"/>
    <x v="256"/>
    <s v="Not Specified"/>
    <x v="27"/>
    <x v="2"/>
    <x v="2"/>
    <n v="7204.87"/>
    <x v="1"/>
    <n v="72.048699999999997"/>
    <n v="7132.8212999999996"/>
    <n v="4.3"/>
    <n v="7200.57"/>
    <x v="0"/>
    <n v="7132.8212999999996"/>
    <s v="11-2019"/>
  </r>
  <r>
    <n v="44678"/>
    <x v="329"/>
    <s v="Low"/>
    <x v="34"/>
    <x v="5"/>
    <x v="5"/>
    <n v="1233.3141000000001"/>
    <x v="1"/>
    <n v="12.333141000000001"/>
    <n v="1220.980959"/>
    <n v="7.6"/>
    <n v="1225.7141000000001"/>
    <x v="0"/>
    <n v="1220.980959"/>
    <s v="10-2019"/>
  </r>
  <r>
    <n v="10341"/>
    <x v="182"/>
    <s v="High"/>
    <x v="45"/>
    <x v="8"/>
    <x v="8"/>
    <n v="2474.8672000000001"/>
    <x v="0"/>
    <n v="0"/>
    <n v="2474.8672000000001"/>
    <n v="19.100000000000001"/>
    <n v="2474.8672000000001"/>
    <x v="2"/>
    <n v="2474.8672000000001"/>
    <s v="12-2019"/>
  </r>
  <r>
    <n v="28738"/>
    <x v="25"/>
    <s v="Medium"/>
    <x v="46"/>
    <x v="9"/>
    <x v="9"/>
    <n v="1647.62"/>
    <x v="0"/>
    <n v="0"/>
    <n v="1647.62"/>
    <n v="21.4"/>
    <n v="1647.62"/>
    <x v="0"/>
    <n v="1647.62"/>
    <s v="08-2019"/>
  </r>
  <r>
    <n v="47846"/>
    <x v="48"/>
    <s v="High"/>
    <x v="37"/>
    <x v="5"/>
    <x v="5"/>
    <n v="258.02"/>
    <x v="1"/>
    <n v="2.5802"/>
    <n v="255.43979999999999"/>
    <n v="7.4"/>
    <n v="250.61999999999998"/>
    <x v="0"/>
    <n v="250.61999999999998"/>
    <s v="08-2019"/>
  </r>
  <r>
    <n v="9925"/>
    <x v="32"/>
    <s v="Critical"/>
    <x v="45"/>
    <x v="8"/>
    <x v="8"/>
    <n v="92.52"/>
    <x v="0"/>
    <n v="0"/>
    <n v="92.52"/>
    <n v="3.2"/>
    <n v="92.52"/>
    <x v="0"/>
    <n v="92.52"/>
    <s v="01-2019"/>
  </r>
  <r>
    <n v="47622"/>
    <x v="173"/>
    <s v="Not Specified"/>
    <x v="19"/>
    <x v="1"/>
    <x v="1"/>
    <n v="8761.36"/>
    <x v="1"/>
    <n v="87.613600000000005"/>
    <n v="8673.7464"/>
    <n v="15"/>
    <n v="8746.36"/>
    <x v="0"/>
    <n v="8673.7464"/>
    <s v="09-2019"/>
  </r>
  <r>
    <n v="4261"/>
    <x v="157"/>
    <s v="Critical"/>
    <x v="6"/>
    <x v="4"/>
    <x v="4"/>
    <n v="1665.8508999999999"/>
    <x v="0"/>
    <n v="0"/>
    <n v="1665.8508999999999"/>
    <n v="64.2"/>
    <n v="1665.8508999999999"/>
    <x v="2"/>
    <n v="1665.8508999999999"/>
    <s v="10-2019"/>
  </r>
  <r>
    <n v="9024"/>
    <x v="75"/>
    <s v="Medium"/>
    <x v="2"/>
    <x v="1"/>
    <x v="1"/>
    <n v="2480.4899999999998"/>
    <x v="1"/>
    <n v="24.8049"/>
    <n v="2455.6850999999997"/>
    <n v="3"/>
    <n v="2477.4899999999998"/>
    <x v="0"/>
    <n v="2455.6850999999997"/>
    <s v="06-2019"/>
  </r>
  <r>
    <n v="50978"/>
    <x v="321"/>
    <s v="High"/>
    <x v="39"/>
    <x v="3"/>
    <x v="3"/>
    <n v="873.22"/>
    <x v="0"/>
    <n v="0"/>
    <n v="873.22"/>
    <n v="10.7"/>
    <n v="873.22"/>
    <x v="0"/>
    <n v="873.22"/>
    <s v="03-2019"/>
  </r>
  <r>
    <n v="36257"/>
    <x v="224"/>
    <s v="High"/>
    <x v="20"/>
    <x v="1"/>
    <x v="1"/>
    <n v="957.12570000000005"/>
    <x v="1"/>
    <n v="9.571257000000001"/>
    <n v="947.55444299999999"/>
    <n v="2.1"/>
    <n v="955.02570000000003"/>
    <x v="0"/>
    <n v="947.55444299999999"/>
    <s v="02-2019"/>
  </r>
  <r>
    <n v="4261"/>
    <x v="157"/>
    <s v="Critical"/>
    <x v="49"/>
    <x v="2"/>
    <x v="2"/>
    <n v="293.58999999999997"/>
    <x v="1"/>
    <n v="2.9358999999999997"/>
    <n v="290.65409999999997"/>
    <n v="5.7"/>
    <n v="287.89"/>
    <x v="0"/>
    <n v="287.89"/>
    <s v="10-2019"/>
  </r>
  <r>
    <n v="17571"/>
    <x v="108"/>
    <s v="Not Specified"/>
    <x v="25"/>
    <x v="0"/>
    <x v="0"/>
    <n v="109.77"/>
    <x v="0"/>
    <n v="0"/>
    <n v="109.77"/>
    <n v="1.7"/>
    <n v="109.77"/>
    <x v="0"/>
    <n v="109.77"/>
    <s v="03-2019"/>
  </r>
  <r>
    <n v="36103"/>
    <x v="20"/>
    <s v="Critical"/>
    <x v="46"/>
    <x v="9"/>
    <x v="9"/>
    <n v="59.727400000000003"/>
    <x v="0"/>
    <n v="0"/>
    <n v="59.727400000000003"/>
    <n v="6.1"/>
    <n v="59.727400000000003"/>
    <x v="0"/>
    <n v="59.727400000000003"/>
    <s v="04-2019"/>
  </r>
  <r>
    <n v="1282"/>
    <x v="224"/>
    <s v="Not Specified"/>
    <x v="46"/>
    <x v="9"/>
    <x v="9"/>
    <n v="31.47"/>
    <x v="0"/>
    <n v="0"/>
    <n v="31.47"/>
    <n v="1.4"/>
    <n v="31.47"/>
    <x v="0"/>
    <n v="31.47"/>
    <s v="02-2019"/>
  </r>
  <r>
    <n v="21223"/>
    <x v="108"/>
    <s v="Not Specified"/>
    <x v="4"/>
    <x v="3"/>
    <x v="3"/>
    <n v="340.21"/>
    <x v="0"/>
    <n v="0"/>
    <n v="340.21"/>
    <n v="28.1"/>
    <n v="340.21"/>
    <x v="2"/>
    <n v="340.21"/>
    <s v="03-2019"/>
  </r>
  <r>
    <n v="45670"/>
    <x v="117"/>
    <s v="Low"/>
    <x v="33"/>
    <x v="3"/>
    <x v="3"/>
    <n v="21.57"/>
    <x v="0"/>
    <n v="0"/>
    <n v="21.57"/>
    <n v="8.4"/>
    <n v="21.57"/>
    <x v="0"/>
    <n v="21.57"/>
    <s v="08-2019"/>
  </r>
  <r>
    <n v="33702"/>
    <x v="42"/>
    <s v="Not Specified"/>
    <x v="26"/>
    <x v="7"/>
    <x v="7"/>
    <n v="60.2"/>
    <x v="0"/>
    <n v="0"/>
    <n v="60.2"/>
    <n v="0.5"/>
    <n v="60.2"/>
    <x v="1"/>
    <n v="60.2"/>
    <s v="09-2019"/>
  </r>
  <r>
    <n v="32871"/>
    <x v="246"/>
    <s v="High"/>
    <x v="26"/>
    <x v="7"/>
    <x v="7"/>
    <n v="2301.66"/>
    <x v="0"/>
    <n v="0"/>
    <n v="2301.66"/>
    <n v="19.100000000000001"/>
    <n v="2301.66"/>
    <x v="2"/>
    <n v="2301.66"/>
    <s v="10-2019"/>
  </r>
  <r>
    <n v="34400"/>
    <x v="44"/>
    <s v="Low"/>
    <x v="31"/>
    <x v="4"/>
    <x v="4"/>
    <n v="99.01"/>
    <x v="0"/>
    <n v="0"/>
    <n v="99.01"/>
    <n v="4.5"/>
    <n v="99.01"/>
    <x v="0"/>
    <n v="99.01"/>
    <s v="12-2019"/>
  </r>
  <r>
    <n v="57602"/>
    <x v="141"/>
    <s v="Low"/>
    <x v="20"/>
    <x v="1"/>
    <x v="1"/>
    <n v="139.49"/>
    <x v="1"/>
    <n v="1.3949"/>
    <n v="138.0951"/>
    <n v="0.5"/>
    <n v="138.99"/>
    <x v="0"/>
    <n v="138.0951"/>
    <s v="05-2019"/>
  </r>
  <r>
    <n v="52324"/>
    <x v="286"/>
    <s v="Not Specified"/>
    <x v="39"/>
    <x v="3"/>
    <x v="3"/>
    <n v="810.11"/>
    <x v="0"/>
    <n v="0"/>
    <n v="810.11"/>
    <n v="32.1"/>
    <n v="810.11"/>
    <x v="2"/>
    <n v="810.11"/>
    <s v="06-2019"/>
  </r>
  <r>
    <n v="59075"/>
    <x v="70"/>
    <s v="Low"/>
    <x v="8"/>
    <x v="5"/>
    <x v="5"/>
    <n v="455.72"/>
    <x v="1"/>
    <n v="4.5572000000000008"/>
    <n v="451.1628"/>
    <n v="5.4"/>
    <n v="450.32000000000005"/>
    <x v="0"/>
    <n v="450.32000000000005"/>
    <s v="02-2019"/>
  </r>
  <r>
    <n v="38656"/>
    <x v="25"/>
    <s v="Low"/>
    <x v="4"/>
    <x v="3"/>
    <x v="3"/>
    <n v="600.73"/>
    <x v="0"/>
    <n v="0"/>
    <n v="600.73"/>
    <n v="28"/>
    <n v="600.73"/>
    <x v="2"/>
    <n v="600.73"/>
    <s v="08-2019"/>
  </r>
  <r>
    <n v="2023"/>
    <x v="184"/>
    <s v="Low"/>
    <x v="39"/>
    <x v="3"/>
    <x v="3"/>
    <n v="315.52999999999997"/>
    <x v="0"/>
    <n v="0"/>
    <n v="315.52999999999997"/>
    <n v="13"/>
    <n v="315.52999999999997"/>
    <x v="0"/>
    <n v="315.52999999999997"/>
    <s v="05-2019"/>
  </r>
  <r>
    <n v="19044"/>
    <x v="181"/>
    <s v="Low"/>
    <x v="48"/>
    <x v="6"/>
    <x v="6"/>
    <n v="290.32"/>
    <x v="0"/>
    <n v="0"/>
    <n v="290.32"/>
    <n v="10.1"/>
    <n v="290.32"/>
    <x v="0"/>
    <n v="290.32"/>
    <s v="04-2019"/>
  </r>
  <r>
    <n v="1573"/>
    <x v="134"/>
    <s v="High"/>
    <x v="13"/>
    <x v="7"/>
    <x v="7"/>
    <n v="813.14"/>
    <x v="0"/>
    <n v="0"/>
    <n v="813.14"/>
    <n v="34.700000000000003"/>
    <n v="813.14"/>
    <x v="2"/>
    <n v="813.14"/>
    <s v="12-2019"/>
  </r>
  <r>
    <n v="48643"/>
    <x v="93"/>
    <s v="Medium"/>
    <x v="26"/>
    <x v="7"/>
    <x v="7"/>
    <n v="9813.73"/>
    <x v="0"/>
    <n v="0"/>
    <n v="9813.73"/>
    <n v="59.2"/>
    <n v="9813.73"/>
    <x v="2"/>
    <n v="9813.73"/>
    <s v="10-2019"/>
  </r>
  <r>
    <n v="45571"/>
    <x v="26"/>
    <s v="Medium"/>
    <x v="2"/>
    <x v="1"/>
    <x v="1"/>
    <n v="770.96"/>
    <x v="1"/>
    <n v="7.7096000000000009"/>
    <n v="763.25040000000001"/>
    <n v="9.1"/>
    <n v="761.86"/>
    <x v="0"/>
    <n v="761.86"/>
    <s v="09-2019"/>
  </r>
  <r>
    <n v="14241"/>
    <x v="15"/>
    <s v="Critical"/>
    <x v="6"/>
    <x v="4"/>
    <x v="4"/>
    <n v="282.08"/>
    <x v="0"/>
    <n v="0"/>
    <n v="282.08"/>
    <n v="2.5"/>
    <n v="282.08"/>
    <x v="0"/>
    <n v="282.08"/>
    <s v="06-2019"/>
  </r>
  <r>
    <n v="44261"/>
    <x v="129"/>
    <s v="High"/>
    <x v="1"/>
    <x v="0"/>
    <x v="0"/>
    <n v="5105.92"/>
    <x v="0"/>
    <n v="0"/>
    <n v="5105.92"/>
    <n v="38.6"/>
    <n v="5105.92"/>
    <x v="2"/>
    <n v="5105.92"/>
    <s v="03-2019"/>
  </r>
  <r>
    <n v="2275"/>
    <x v="325"/>
    <s v="Not Specified"/>
    <x v="21"/>
    <x v="2"/>
    <x v="2"/>
    <n v="297.45999999999998"/>
    <x v="1"/>
    <n v="2.9745999999999997"/>
    <n v="294.48539999999997"/>
    <n v="1.3"/>
    <n v="296.15999999999997"/>
    <x v="0"/>
    <n v="294.48539999999997"/>
    <s v="10-2019"/>
  </r>
  <r>
    <n v="14435"/>
    <x v="292"/>
    <s v="Not Specified"/>
    <x v="2"/>
    <x v="1"/>
    <x v="1"/>
    <n v="1390.9"/>
    <x v="1"/>
    <n v="13.909000000000001"/>
    <n v="1376.991"/>
    <n v="6.2"/>
    <n v="1384.7"/>
    <x v="0"/>
    <n v="1376.991"/>
    <s v="12-2019"/>
  </r>
  <r>
    <n v="27750"/>
    <x v="102"/>
    <s v="Low"/>
    <x v="38"/>
    <x v="8"/>
    <x v="8"/>
    <n v="7886.8"/>
    <x v="0"/>
    <n v="0"/>
    <n v="7886.8"/>
    <n v="52.4"/>
    <n v="7886.8"/>
    <x v="2"/>
    <n v="7886.8"/>
    <s v="10-2019"/>
  </r>
  <r>
    <n v="48774"/>
    <x v="137"/>
    <s v="High"/>
    <x v="7"/>
    <x v="0"/>
    <x v="0"/>
    <n v="7836.44"/>
    <x v="0"/>
    <n v="0"/>
    <n v="7836.44"/>
    <n v="67.3"/>
    <n v="7836.44"/>
    <x v="2"/>
    <n v="7836.44"/>
    <s v="08-2019"/>
  </r>
  <r>
    <n v="35045"/>
    <x v="351"/>
    <s v="Medium"/>
    <x v="2"/>
    <x v="1"/>
    <x v="1"/>
    <n v="604.55999999999995"/>
    <x v="1"/>
    <n v="6.0455999999999994"/>
    <n v="598.51439999999991"/>
    <n v="4.8"/>
    <n v="599.76"/>
    <x v="0"/>
    <n v="598.51439999999991"/>
    <s v="04-2019"/>
  </r>
  <r>
    <n v="46912"/>
    <x v="221"/>
    <s v="Low"/>
    <x v="18"/>
    <x v="3"/>
    <x v="3"/>
    <n v="314.58"/>
    <x v="0"/>
    <n v="0"/>
    <n v="314.58"/>
    <n v="15.9"/>
    <n v="314.58"/>
    <x v="0"/>
    <n v="314.58"/>
    <s v="06-2019"/>
  </r>
  <r>
    <n v="8130"/>
    <x v="152"/>
    <s v="Critical"/>
    <x v="47"/>
    <x v="7"/>
    <x v="7"/>
    <n v="70.97"/>
    <x v="0"/>
    <n v="0"/>
    <n v="70.97"/>
    <n v="5.4"/>
    <n v="70.97"/>
    <x v="0"/>
    <n v="70.97"/>
    <s v="05-2019"/>
  </r>
  <r>
    <n v="967"/>
    <x v="288"/>
    <s v="Medium"/>
    <x v="44"/>
    <x v="9"/>
    <x v="9"/>
    <n v="96.9"/>
    <x v="0"/>
    <n v="0"/>
    <n v="96.9"/>
    <n v="8"/>
    <n v="96.9"/>
    <x v="0"/>
    <n v="96.9"/>
    <s v="06-2019"/>
  </r>
  <r>
    <n v="24067"/>
    <x v="23"/>
    <s v="High"/>
    <x v="27"/>
    <x v="2"/>
    <x v="2"/>
    <n v="2825.53"/>
    <x v="1"/>
    <n v="28.255300000000002"/>
    <n v="2797.2747000000004"/>
    <n v="6.3"/>
    <n v="2819.23"/>
    <x v="1"/>
    <n v="2797.2747000000004"/>
    <s v="08-2019"/>
  </r>
  <r>
    <n v="31266"/>
    <x v="346"/>
    <s v="High"/>
    <x v="36"/>
    <x v="8"/>
    <x v="8"/>
    <n v="7033.91"/>
    <x v="0"/>
    <n v="0"/>
    <n v="7033.91"/>
    <n v="12.9"/>
    <n v="7033.91"/>
    <x v="2"/>
    <n v="7033.91"/>
    <s v="10-2019"/>
  </r>
  <r>
    <n v="20066"/>
    <x v="42"/>
    <s v="Critical"/>
    <x v="36"/>
    <x v="8"/>
    <x v="8"/>
    <n v="560.95000000000005"/>
    <x v="0"/>
    <n v="0"/>
    <n v="560.95000000000005"/>
    <n v="9.4"/>
    <n v="560.95000000000005"/>
    <x v="0"/>
    <n v="560.95000000000005"/>
    <s v="09-2019"/>
  </r>
  <r>
    <n v="35104"/>
    <x v="291"/>
    <s v="High"/>
    <x v="38"/>
    <x v="8"/>
    <x v="8"/>
    <n v="415.32049999999998"/>
    <x v="0"/>
    <n v="0"/>
    <n v="415.32049999999998"/>
    <n v="15.9"/>
    <n v="415.32049999999998"/>
    <x v="0"/>
    <n v="415.32049999999998"/>
    <s v="04-2019"/>
  </r>
  <r>
    <n v="33029"/>
    <x v="189"/>
    <s v="High"/>
    <x v="30"/>
    <x v="9"/>
    <x v="9"/>
    <n v="789.93"/>
    <x v="0"/>
    <n v="0"/>
    <n v="789.93"/>
    <n v="2.7"/>
    <n v="789.93"/>
    <x v="0"/>
    <n v="789.93"/>
    <s v="05-2019"/>
  </r>
  <r>
    <n v="30784"/>
    <x v="105"/>
    <s v="Medium"/>
    <x v="49"/>
    <x v="2"/>
    <x v="2"/>
    <n v="359.13"/>
    <x v="1"/>
    <n v="3.5912999999999999"/>
    <n v="355.53870000000001"/>
    <n v="1.7"/>
    <n v="357.43"/>
    <x v="0"/>
    <n v="355.53870000000001"/>
    <s v="05-2019"/>
  </r>
  <r>
    <n v="44036"/>
    <x v="147"/>
    <s v="High"/>
    <x v="28"/>
    <x v="5"/>
    <x v="5"/>
    <n v="267.64"/>
    <x v="1"/>
    <n v="2.6764000000000001"/>
    <n v="264.96359999999999"/>
    <n v="1.3"/>
    <n v="266.33999999999997"/>
    <x v="1"/>
    <n v="264.96359999999999"/>
    <s v="01-2019"/>
  </r>
  <r>
    <n v="33637"/>
    <x v="219"/>
    <s v="Low"/>
    <x v="16"/>
    <x v="0"/>
    <x v="0"/>
    <n v="205.66"/>
    <x v="0"/>
    <n v="0"/>
    <n v="205.66"/>
    <n v="5.6"/>
    <n v="205.66"/>
    <x v="0"/>
    <n v="205.66"/>
    <s v="11-2019"/>
  </r>
  <r>
    <n v="45984"/>
    <x v="297"/>
    <s v="Medium"/>
    <x v="40"/>
    <x v="6"/>
    <x v="6"/>
    <n v="85.95"/>
    <x v="0"/>
    <n v="0"/>
    <n v="85.95"/>
    <n v="1"/>
    <n v="85.95"/>
    <x v="0"/>
    <n v="85.95"/>
    <s v="01-2019"/>
  </r>
  <r>
    <n v="30784"/>
    <x v="105"/>
    <s v="Medium"/>
    <x v="46"/>
    <x v="9"/>
    <x v="9"/>
    <n v="756.81"/>
    <x v="0"/>
    <n v="0"/>
    <n v="756.81"/>
    <n v="28.6"/>
    <n v="756.81"/>
    <x v="2"/>
    <n v="756.81"/>
    <s v="05-2019"/>
  </r>
  <r>
    <n v="26306"/>
    <x v="34"/>
    <s v="Low"/>
    <x v="41"/>
    <x v="5"/>
    <x v="5"/>
    <n v="8266.4599999999991"/>
    <x v="1"/>
    <n v="82.664599999999993"/>
    <n v="8183.7953999999991"/>
    <n v="59.9"/>
    <n v="8206.56"/>
    <x v="2"/>
    <n v="8183.7953999999991"/>
    <s v="10-2019"/>
  </r>
  <r>
    <n v="57699"/>
    <x v="89"/>
    <s v="Low"/>
    <x v="12"/>
    <x v="2"/>
    <x v="2"/>
    <n v="1987.93"/>
    <x v="1"/>
    <n v="19.879300000000001"/>
    <n v="1968.0507"/>
    <n v="2.1"/>
    <n v="1985.8300000000002"/>
    <x v="0"/>
    <n v="1968.0507"/>
    <s v="11-2019"/>
  </r>
  <r>
    <n v="43815"/>
    <x v="296"/>
    <s v="Not Specified"/>
    <x v="28"/>
    <x v="5"/>
    <x v="5"/>
    <n v="680.08130000000006"/>
    <x v="1"/>
    <n v="6.8008130000000007"/>
    <n v="673.28048699999999"/>
    <n v="3.2"/>
    <n v="676.88130000000001"/>
    <x v="0"/>
    <n v="673.28048699999999"/>
    <s v="06-2019"/>
  </r>
  <r>
    <n v="25861"/>
    <x v="117"/>
    <s v="High"/>
    <x v="2"/>
    <x v="1"/>
    <x v="1"/>
    <n v="25439.85"/>
    <x v="1"/>
    <n v="254.39849999999998"/>
    <n v="25185.451499999999"/>
    <n v="15.7"/>
    <n v="25424.149999999998"/>
    <x v="2"/>
    <n v="25185.451499999999"/>
    <s v="08-2019"/>
  </r>
  <r>
    <n v="52164"/>
    <x v="27"/>
    <s v="Not Specified"/>
    <x v="17"/>
    <x v="6"/>
    <x v="6"/>
    <n v="1952.59"/>
    <x v="0"/>
    <n v="0"/>
    <n v="1952.59"/>
    <n v="9.4"/>
    <n v="1952.59"/>
    <x v="0"/>
    <n v="1952.59"/>
    <s v="04-2019"/>
  </r>
  <r>
    <n v="644"/>
    <x v="318"/>
    <s v="Critical"/>
    <x v="18"/>
    <x v="3"/>
    <x v="3"/>
    <n v="1797.15"/>
    <x v="0"/>
    <n v="0"/>
    <n v="1797.15"/>
    <n v="63.1"/>
    <n v="1797.15"/>
    <x v="2"/>
    <n v="1797.15"/>
    <s v="04-2019"/>
  </r>
  <r>
    <n v="40065"/>
    <x v="294"/>
    <s v="High"/>
    <x v="39"/>
    <x v="3"/>
    <x v="3"/>
    <n v="82.25"/>
    <x v="0"/>
    <n v="0"/>
    <n v="82.25"/>
    <n v="1.1000000000000001"/>
    <n v="82.25"/>
    <x v="1"/>
    <n v="82.25"/>
    <s v="02-2019"/>
  </r>
  <r>
    <n v="45571"/>
    <x v="26"/>
    <s v="Medium"/>
    <x v="20"/>
    <x v="1"/>
    <x v="1"/>
    <n v="565.53"/>
    <x v="1"/>
    <n v="5.6552999999999995"/>
    <n v="559.87469999999996"/>
    <n v="5.0999999999999996"/>
    <n v="560.42999999999995"/>
    <x v="0"/>
    <n v="559.87469999999996"/>
    <s v="09-2019"/>
  </r>
  <r>
    <n v="33222"/>
    <x v="192"/>
    <s v="Medium"/>
    <x v="17"/>
    <x v="6"/>
    <x v="6"/>
    <n v="1793.81"/>
    <x v="0"/>
    <n v="0"/>
    <n v="1793.81"/>
    <n v="32.1"/>
    <n v="1793.81"/>
    <x v="2"/>
    <n v="1793.81"/>
    <s v="06-2019"/>
  </r>
  <r>
    <n v="4099"/>
    <x v="37"/>
    <s v="Critical"/>
    <x v="41"/>
    <x v="5"/>
    <x v="5"/>
    <n v="3860.4"/>
    <x v="1"/>
    <n v="38.603999999999999"/>
    <n v="3821.7960000000003"/>
    <n v="9.6"/>
    <n v="3850.8"/>
    <x v="0"/>
    <n v="3821.7960000000003"/>
    <s v="08-2019"/>
  </r>
  <r>
    <n v="33605"/>
    <x v="342"/>
    <s v="Critical"/>
    <x v="15"/>
    <x v="1"/>
    <x v="1"/>
    <n v="163.72"/>
    <x v="1"/>
    <n v="1.6372"/>
    <n v="162.08279999999999"/>
    <n v="7.3"/>
    <n v="156.41999999999999"/>
    <x v="0"/>
    <n v="156.41999999999999"/>
    <s v="04-2019"/>
  </r>
  <r>
    <n v="21856"/>
    <x v="303"/>
    <s v="Not Specified"/>
    <x v="11"/>
    <x v="6"/>
    <x v="6"/>
    <n v="82.42"/>
    <x v="0"/>
    <n v="0"/>
    <n v="82.42"/>
    <n v="2.1"/>
    <n v="82.42"/>
    <x v="0"/>
    <n v="82.42"/>
    <s v="04-2019"/>
  </r>
  <r>
    <n v="48673"/>
    <x v="217"/>
    <s v="Not Specified"/>
    <x v="34"/>
    <x v="5"/>
    <x v="5"/>
    <n v="610.0498"/>
    <x v="1"/>
    <n v="6.100498"/>
    <n v="603.94930199999999"/>
    <n v="9.4"/>
    <n v="600.64980000000003"/>
    <x v="0"/>
    <n v="600.64980000000003"/>
    <s v="04-2019"/>
  </r>
  <r>
    <n v="19905"/>
    <x v="83"/>
    <s v="Critical"/>
    <x v="32"/>
    <x v="8"/>
    <x v="8"/>
    <n v="88.78"/>
    <x v="0"/>
    <n v="0"/>
    <n v="88.78"/>
    <n v="0.5"/>
    <n v="88.78"/>
    <x v="0"/>
    <n v="88.78"/>
    <s v="08-2019"/>
  </r>
  <r>
    <n v="967"/>
    <x v="288"/>
    <s v="Medium"/>
    <x v="15"/>
    <x v="1"/>
    <x v="1"/>
    <n v="1749.34"/>
    <x v="1"/>
    <n v="17.493400000000001"/>
    <n v="1731.8465999999999"/>
    <n v="3.1"/>
    <n v="1746.24"/>
    <x v="0"/>
    <n v="1731.8465999999999"/>
    <s v="06-2019"/>
  </r>
  <r>
    <n v="54053"/>
    <x v="55"/>
    <s v="High"/>
    <x v="38"/>
    <x v="8"/>
    <x v="8"/>
    <n v="879.31"/>
    <x v="0"/>
    <n v="0"/>
    <n v="879.31"/>
    <n v="5.4"/>
    <n v="879.31"/>
    <x v="1"/>
    <n v="879.31"/>
    <s v="02-2019"/>
  </r>
  <r>
    <n v="2146"/>
    <x v="100"/>
    <s v="Not Specified"/>
    <x v="19"/>
    <x v="1"/>
    <x v="1"/>
    <n v="6538.95"/>
    <x v="1"/>
    <n v="65.389499999999998"/>
    <n v="6473.5604999999996"/>
    <n v="5.3"/>
    <n v="6533.65"/>
    <x v="0"/>
    <n v="6473.5604999999996"/>
    <s v="09-2019"/>
  </r>
  <r>
    <n v="59491"/>
    <x v="264"/>
    <s v="High"/>
    <x v="7"/>
    <x v="0"/>
    <x v="0"/>
    <n v="13343.23"/>
    <x v="0"/>
    <n v="0"/>
    <n v="13343.23"/>
    <n v="21.4"/>
    <n v="13343.23"/>
    <x v="0"/>
    <n v="13343.23"/>
    <s v="03-2019"/>
  </r>
  <r>
    <n v="33731"/>
    <x v="287"/>
    <s v="High"/>
    <x v="40"/>
    <x v="6"/>
    <x v="6"/>
    <n v="8788.3058999999994"/>
    <x v="0"/>
    <n v="0"/>
    <n v="8788.3058999999994"/>
    <n v="74.400000000000006"/>
    <n v="8788.3058999999994"/>
    <x v="2"/>
    <n v="8788.3058999999994"/>
    <s v="10-2019"/>
  </r>
  <r>
    <n v="46053"/>
    <x v="100"/>
    <s v="High"/>
    <x v="7"/>
    <x v="0"/>
    <x v="0"/>
    <n v="2618.41"/>
    <x v="0"/>
    <n v="0"/>
    <n v="2618.41"/>
    <n v="1.1000000000000001"/>
    <n v="2618.41"/>
    <x v="0"/>
    <n v="2618.41"/>
    <s v="09-2019"/>
  </r>
  <r>
    <n v="50017"/>
    <x v="208"/>
    <s v="Low"/>
    <x v="20"/>
    <x v="1"/>
    <x v="1"/>
    <n v="1607.64"/>
    <x v="1"/>
    <n v="16.0764"/>
    <n v="1591.5636000000002"/>
    <n v="9.6"/>
    <n v="1598.0400000000002"/>
    <x v="0"/>
    <n v="1591.5636000000002"/>
    <s v="11-2019"/>
  </r>
  <r>
    <n v="51489"/>
    <x v="101"/>
    <s v="Critical"/>
    <x v="15"/>
    <x v="1"/>
    <x v="1"/>
    <n v="5185.95"/>
    <x v="1"/>
    <n v="51.859499999999997"/>
    <n v="5134.0904999999993"/>
    <n v="15"/>
    <n v="5170.95"/>
    <x v="0"/>
    <n v="5134.0904999999993"/>
    <s v="03-2019"/>
  </r>
  <r>
    <n v="1856"/>
    <x v="2"/>
    <s v="Not Specified"/>
    <x v="10"/>
    <x v="4"/>
    <x v="4"/>
    <n v="1550.75"/>
    <x v="0"/>
    <n v="0"/>
    <n v="1550.75"/>
    <n v="52.4"/>
    <n v="1550.75"/>
    <x v="0"/>
    <n v="1550.75"/>
    <s v="03-2019"/>
  </r>
  <r>
    <n v="59202"/>
    <x v="122"/>
    <s v="Medium"/>
    <x v="34"/>
    <x v="5"/>
    <x v="5"/>
    <n v="234.13"/>
    <x v="1"/>
    <n v="2.3412999999999999"/>
    <n v="231.78870000000001"/>
    <n v="2.4"/>
    <n v="231.73"/>
    <x v="0"/>
    <n v="231.73"/>
    <s v="09-2019"/>
  </r>
  <r>
    <n v="29831"/>
    <x v="92"/>
    <s v="Critical"/>
    <x v="48"/>
    <x v="6"/>
    <x v="6"/>
    <n v="2327.4899999999998"/>
    <x v="0"/>
    <n v="0"/>
    <n v="2327.4899999999998"/>
    <n v="64.2"/>
    <n v="2327.4899999999998"/>
    <x v="2"/>
    <n v="2327.4899999999998"/>
    <s v="03-2019"/>
  </r>
  <r>
    <n v="58084"/>
    <x v="19"/>
    <s v="Medium"/>
    <x v="34"/>
    <x v="5"/>
    <x v="5"/>
    <n v="284.79000000000002"/>
    <x v="1"/>
    <n v="2.8479000000000001"/>
    <n v="281.94210000000004"/>
    <n v="1.9"/>
    <n v="282.89000000000004"/>
    <x v="0"/>
    <n v="281.94210000000004"/>
    <s v="08-2019"/>
  </r>
  <r>
    <n v="7174"/>
    <x v="204"/>
    <s v="Not Specified"/>
    <x v="46"/>
    <x v="9"/>
    <x v="9"/>
    <n v="151.85"/>
    <x v="0"/>
    <n v="0"/>
    <n v="151.85"/>
    <n v="9.6"/>
    <n v="151.85"/>
    <x v="0"/>
    <n v="151.85"/>
    <s v="03-2019"/>
  </r>
  <r>
    <n v="26657"/>
    <x v="145"/>
    <s v="Medium"/>
    <x v="23"/>
    <x v="6"/>
    <x v="6"/>
    <n v="1185.1748"/>
    <x v="0"/>
    <n v="0"/>
    <n v="1185.1748"/>
    <n v="8"/>
    <n v="1185.1748"/>
    <x v="0"/>
    <n v="1185.1748"/>
    <s v="09-2019"/>
  </r>
  <r>
    <n v="9504"/>
    <x v="256"/>
    <s v="Medium"/>
    <x v="45"/>
    <x v="8"/>
    <x v="8"/>
    <n v="2091.63"/>
    <x v="0"/>
    <n v="0"/>
    <n v="2091.63"/>
    <n v="4.5"/>
    <n v="2091.63"/>
    <x v="0"/>
    <n v="2091.63"/>
    <s v="11-2019"/>
  </r>
  <r>
    <n v="40673"/>
    <x v="294"/>
    <s v="Low"/>
    <x v="26"/>
    <x v="7"/>
    <x v="7"/>
    <n v="168.51"/>
    <x v="0"/>
    <n v="0"/>
    <n v="168.51"/>
    <n v="1.5"/>
    <n v="168.51"/>
    <x v="0"/>
    <n v="168.51"/>
    <s v="02-2019"/>
  </r>
  <r>
    <n v="40098"/>
    <x v="252"/>
    <s v="Low"/>
    <x v="3"/>
    <x v="2"/>
    <x v="2"/>
    <n v="525.23"/>
    <x v="1"/>
    <n v="5.2523"/>
    <n v="519.97770000000003"/>
    <n v="2.2000000000000002"/>
    <n v="523.03"/>
    <x v="0"/>
    <n v="519.97770000000003"/>
    <s v="02-2019"/>
  </r>
  <r>
    <n v="549"/>
    <x v="213"/>
    <s v="Critical"/>
    <x v="13"/>
    <x v="7"/>
    <x v="7"/>
    <n v="75.16"/>
    <x v="0"/>
    <n v="0"/>
    <n v="75.16"/>
    <n v="8"/>
    <n v="75.16"/>
    <x v="0"/>
    <n v="75.16"/>
    <s v="07-2019"/>
  </r>
  <r>
    <n v="58949"/>
    <x v="79"/>
    <s v="Critical"/>
    <x v="3"/>
    <x v="2"/>
    <x v="2"/>
    <n v="1668.0685000000001"/>
    <x v="1"/>
    <n v="16.680685"/>
    <n v="1651.387815"/>
    <n v="1.2"/>
    <n v="1666.8685"/>
    <x v="0"/>
    <n v="1651.387815"/>
    <s v="12-2019"/>
  </r>
  <r>
    <n v="23911"/>
    <x v="149"/>
    <s v="Critical"/>
    <x v="4"/>
    <x v="3"/>
    <x v="3"/>
    <n v="129.75"/>
    <x v="0"/>
    <n v="0"/>
    <n v="129.75"/>
    <n v="8"/>
    <n v="129.75"/>
    <x v="0"/>
    <n v="129.75"/>
    <s v="06-2019"/>
  </r>
  <r>
    <n v="14435"/>
    <x v="292"/>
    <s v="Not Specified"/>
    <x v="19"/>
    <x v="1"/>
    <x v="1"/>
    <n v="3992.8"/>
    <x v="1"/>
    <n v="39.928000000000004"/>
    <n v="3952.8720000000003"/>
    <n v="44.9"/>
    <n v="3947.9"/>
    <x v="2"/>
    <n v="3947.9"/>
    <s v="12-2019"/>
  </r>
  <r>
    <n v="13383"/>
    <x v="250"/>
    <s v="Not Specified"/>
    <x v="16"/>
    <x v="0"/>
    <x v="0"/>
    <n v="802.53"/>
    <x v="0"/>
    <n v="0"/>
    <n v="802.53"/>
    <n v="37.5"/>
    <n v="802.53"/>
    <x v="0"/>
    <n v="802.53"/>
    <s v="06-2019"/>
  </r>
  <r>
    <n v="28582"/>
    <x v="111"/>
    <s v="Not Specified"/>
    <x v="9"/>
    <x v="1"/>
    <x v="1"/>
    <n v="403.72"/>
    <x v="1"/>
    <n v="4.0372000000000003"/>
    <n v="399.68280000000004"/>
    <n v="3.1"/>
    <n v="400.62"/>
    <x v="0"/>
    <n v="399.68280000000004"/>
    <s v="01-2019"/>
  </r>
  <r>
    <n v="20002"/>
    <x v="83"/>
    <s v="Medium"/>
    <x v="35"/>
    <x v="9"/>
    <x v="9"/>
    <n v="43.9"/>
    <x v="0"/>
    <n v="0"/>
    <n v="43.9"/>
    <n v="2.6"/>
    <n v="43.9"/>
    <x v="0"/>
    <n v="43.9"/>
    <s v="08-2019"/>
  </r>
  <r>
    <n v="44000"/>
    <x v="103"/>
    <s v="Not Specified"/>
    <x v="45"/>
    <x v="8"/>
    <x v="8"/>
    <n v="127.88"/>
    <x v="0"/>
    <n v="0"/>
    <n v="127.88"/>
    <n v="6.5"/>
    <n v="127.88"/>
    <x v="0"/>
    <n v="127.88"/>
    <s v="10-2019"/>
  </r>
  <r>
    <n v="24576"/>
    <x v="144"/>
    <s v="Not Specified"/>
    <x v="46"/>
    <x v="9"/>
    <x v="9"/>
    <n v="163.54"/>
    <x v="0"/>
    <n v="0"/>
    <n v="163.54"/>
    <n v="7.9"/>
    <n v="163.54"/>
    <x v="0"/>
    <n v="163.54"/>
    <s v="12-2019"/>
  </r>
  <r>
    <n v="8167"/>
    <x v="113"/>
    <s v="Critical"/>
    <x v="39"/>
    <x v="3"/>
    <x v="3"/>
    <n v="33.119999999999997"/>
    <x v="0"/>
    <n v="0"/>
    <n v="33.119999999999997"/>
    <n v="6.7"/>
    <n v="33.119999999999997"/>
    <x v="0"/>
    <n v="33.119999999999997"/>
    <s v="08-2019"/>
  </r>
  <r>
    <n v="45125"/>
    <x v="98"/>
    <s v="Critical"/>
    <x v="25"/>
    <x v="0"/>
    <x v="0"/>
    <n v="5173.24"/>
    <x v="0"/>
    <n v="0"/>
    <n v="5173.24"/>
    <n v="5.3"/>
    <n v="5173.24"/>
    <x v="0"/>
    <n v="5173.24"/>
    <s v="05-2019"/>
  </r>
  <r>
    <n v="26053"/>
    <x v="247"/>
    <s v="Low"/>
    <x v="49"/>
    <x v="2"/>
    <x v="2"/>
    <n v="940.26250000000005"/>
    <x v="1"/>
    <n v="9.4026250000000005"/>
    <n v="930.85987499999999"/>
    <n v="9.6999999999999993"/>
    <n v="930.5625"/>
    <x v="1"/>
    <n v="930.5625"/>
    <s v="01-2019"/>
  </r>
  <r>
    <n v="36357"/>
    <x v="352"/>
    <s v="Not Specified"/>
    <x v="8"/>
    <x v="5"/>
    <x v="5"/>
    <n v="18838.169999999998"/>
    <x v="1"/>
    <n v="188.3817"/>
    <n v="18649.788299999997"/>
    <n v="52.4"/>
    <n v="18785.769999999997"/>
    <x v="2"/>
    <n v="18649.788299999997"/>
    <s v="01-2019"/>
  </r>
  <r>
    <n v="39143"/>
    <x v="275"/>
    <s v="Not Specified"/>
    <x v="27"/>
    <x v="2"/>
    <x v="2"/>
    <n v="7201.17"/>
    <x v="1"/>
    <n v="72.011700000000005"/>
    <n v="7129.1583000000001"/>
    <n v="70.900000000000006"/>
    <n v="7130.27"/>
    <x v="2"/>
    <n v="7129.1583000000001"/>
    <s v="04-2019"/>
  </r>
  <r>
    <n v="56645"/>
    <x v="143"/>
    <s v="Low"/>
    <x v="15"/>
    <x v="1"/>
    <x v="1"/>
    <n v="15760.42"/>
    <x v="1"/>
    <n v="157.60419999999999"/>
    <n v="15602.8158"/>
    <n v="43"/>
    <n v="15717.42"/>
    <x v="2"/>
    <n v="15602.8158"/>
    <s v="01-2019"/>
  </r>
  <r>
    <n v="1504"/>
    <x v="279"/>
    <s v="Medium"/>
    <x v="7"/>
    <x v="0"/>
    <x v="0"/>
    <n v="313.7"/>
    <x v="0"/>
    <n v="0"/>
    <n v="313.7"/>
    <n v="2.1"/>
    <n v="313.7"/>
    <x v="0"/>
    <n v="313.7"/>
    <s v="08-2019"/>
  </r>
  <r>
    <n v="39655"/>
    <x v="129"/>
    <s v="High"/>
    <x v="16"/>
    <x v="0"/>
    <x v="0"/>
    <n v="270.87"/>
    <x v="0"/>
    <n v="0"/>
    <n v="270.87"/>
    <n v="3.8"/>
    <n v="270.87"/>
    <x v="0"/>
    <n v="270.87"/>
    <s v="03-2019"/>
  </r>
  <r>
    <n v="36103"/>
    <x v="20"/>
    <s v="Critical"/>
    <x v="9"/>
    <x v="1"/>
    <x v="1"/>
    <n v="1428.79"/>
    <x v="1"/>
    <n v="14.2879"/>
    <n v="1414.5020999999999"/>
    <n v="1.1000000000000001"/>
    <n v="1427.69"/>
    <x v="0"/>
    <n v="1414.5020999999999"/>
    <s v="04-2019"/>
  </r>
  <r>
    <n v="14820"/>
    <x v="290"/>
    <s v="High"/>
    <x v="41"/>
    <x v="5"/>
    <x v="5"/>
    <n v="298.43"/>
    <x v="1"/>
    <n v="2.9843000000000002"/>
    <n v="295.44569999999999"/>
    <n v="5.4"/>
    <n v="293.03000000000003"/>
    <x v="1"/>
    <n v="293.03000000000003"/>
    <s v="01-2019"/>
  </r>
  <r>
    <n v="11428"/>
    <x v="331"/>
    <s v="Medium"/>
    <x v="36"/>
    <x v="8"/>
    <x v="8"/>
    <n v="1663.35"/>
    <x v="0"/>
    <n v="0"/>
    <n v="1663.35"/>
    <n v="21.4"/>
    <n v="1663.35"/>
    <x v="0"/>
    <n v="1663.35"/>
    <s v="01-2019"/>
  </r>
  <r>
    <n v="929"/>
    <x v="187"/>
    <s v="High"/>
    <x v="41"/>
    <x v="5"/>
    <x v="5"/>
    <n v="90.23"/>
    <x v="1"/>
    <n v="0.9023000000000001"/>
    <n v="89.327700000000007"/>
    <n v="2.7"/>
    <n v="87.53"/>
    <x v="0"/>
    <n v="87.53"/>
    <s v="10-2019"/>
  </r>
  <r>
    <n v="5408"/>
    <x v="293"/>
    <s v="Low"/>
    <x v="22"/>
    <x v="7"/>
    <x v="7"/>
    <n v="2559.6860999999999"/>
    <x v="0"/>
    <n v="0"/>
    <n v="2559.6860999999999"/>
    <n v="22.7"/>
    <n v="2559.6860999999999"/>
    <x v="0"/>
    <n v="2559.6860999999999"/>
    <s v="07-2019"/>
  </r>
  <r>
    <n v="31845"/>
    <x v="316"/>
    <s v="Low"/>
    <x v="34"/>
    <x v="5"/>
    <x v="5"/>
    <n v="3900.28"/>
    <x v="1"/>
    <n v="39.002800000000001"/>
    <n v="3861.2772"/>
    <n v="16.8"/>
    <n v="3883.48"/>
    <x v="2"/>
    <n v="3861.2772"/>
    <s v="10-2019"/>
  </r>
  <r>
    <n v="36034"/>
    <x v="69"/>
    <s v="High"/>
    <x v="46"/>
    <x v="9"/>
    <x v="9"/>
    <n v="20.72"/>
    <x v="0"/>
    <n v="0"/>
    <n v="20.72"/>
    <n v="0.7"/>
    <n v="20.72"/>
    <x v="0"/>
    <n v="20.72"/>
    <s v="10-2019"/>
  </r>
  <r>
    <n v="129"/>
    <x v="327"/>
    <s v="Low"/>
    <x v="39"/>
    <x v="3"/>
    <x v="3"/>
    <n v="35.01"/>
    <x v="0"/>
    <n v="0"/>
    <n v="35.01"/>
    <n v="8.8000000000000007"/>
    <n v="35.01"/>
    <x v="0"/>
    <n v="35.01"/>
    <s v="11-2019"/>
  </r>
  <r>
    <n v="21382"/>
    <x v="61"/>
    <s v="Critical"/>
    <x v="40"/>
    <x v="6"/>
    <x v="6"/>
    <n v="156.14510000000001"/>
    <x v="0"/>
    <n v="0"/>
    <n v="156.14510000000001"/>
    <n v="8"/>
    <n v="156.14510000000001"/>
    <x v="0"/>
    <n v="156.14510000000001"/>
    <s v="01-2019"/>
  </r>
  <r>
    <n v="22466"/>
    <x v="29"/>
    <s v="Low"/>
    <x v="7"/>
    <x v="0"/>
    <x v="0"/>
    <n v="5782.47"/>
    <x v="0"/>
    <n v="0"/>
    <n v="5782.47"/>
    <n v="32.1"/>
    <n v="5782.47"/>
    <x v="2"/>
    <n v="5782.47"/>
    <s v="03-2019"/>
  </r>
  <r>
    <n v="58113"/>
    <x v="135"/>
    <s v="High"/>
    <x v="14"/>
    <x v="7"/>
    <x v="7"/>
    <n v="2222.59"/>
    <x v="0"/>
    <n v="0"/>
    <n v="2222.59"/>
    <n v="4.5"/>
    <n v="2222.59"/>
    <x v="1"/>
    <n v="2222.59"/>
    <s v="01-2019"/>
  </r>
  <r>
    <n v="55171"/>
    <x v="246"/>
    <s v="High"/>
    <x v="20"/>
    <x v="1"/>
    <x v="1"/>
    <n v="278.83999999999997"/>
    <x v="1"/>
    <n v="2.7883999999999998"/>
    <n v="276.05159999999995"/>
    <n v="8.5"/>
    <n v="270.33999999999997"/>
    <x v="0"/>
    <n v="270.33999999999997"/>
    <s v="10-2019"/>
  </r>
  <r>
    <n v="42374"/>
    <x v="121"/>
    <s v="Critical"/>
    <x v="22"/>
    <x v="7"/>
    <x v="7"/>
    <n v="742.76"/>
    <x v="0"/>
    <n v="0"/>
    <n v="742.76"/>
    <n v="11"/>
    <n v="742.76"/>
    <x v="0"/>
    <n v="742.76"/>
    <s v="07-2019"/>
  </r>
  <r>
    <n v="40802"/>
    <x v="330"/>
    <s v="High"/>
    <x v="23"/>
    <x v="6"/>
    <x v="6"/>
    <n v="3596.29"/>
    <x v="0"/>
    <n v="0"/>
    <n v="3596.29"/>
    <n v="60.1"/>
    <n v="3596.29"/>
    <x v="2"/>
    <n v="3596.29"/>
    <s v="09-2019"/>
  </r>
  <r>
    <n v="36130"/>
    <x v="100"/>
    <s v="Critical"/>
    <x v="42"/>
    <x v="4"/>
    <x v="4"/>
    <n v="422.44"/>
    <x v="0"/>
    <n v="0"/>
    <n v="422.44"/>
    <n v="4.3"/>
    <n v="422.44"/>
    <x v="0"/>
    <n v="422.44"/>
    <s v="09-2019"/>
  </r>
  <r>
    <n v="57698"/>
    <x v="143"/>
    <s v="Critical"/>
    <x v="13"/>
    <x v="7"/>
    <x v="7"/>
    <n v="5141.74"/>
    <x v="0"/>
    <n v="0"/>
    <n v="5141.74"/>
    <n v="21.4"/>
    <n v="5141.74"/>
    <x v="0"/>
    <n v="5141.74"/>
    <s v="01-2019"/>
  </r>
  <r>
    <n v="48803"/>
    <x v="124"/>
    <s v="Critical"/>
    <x v="24"/>
    <x v="8"/>
    <x v="8"/>
    <n v="214.44"/>
    <x v="0"/>
    <n v="0"/>
    <n v="214.44"/>
    <n v="5"/>
    <n v="214.44"/>
    <x v="0"/>
    <n v="214.44"/>
    <s v="11-2019"/>
  </r>
  <r>
    <n v="25473"/>
    <x v="262"/>
    <s v="High"/>
    <x v="34"/>
    <x v="5"/>
    <x v="5"/>
    <n v="18516.189999999999"/>
    <x v="1"/>
    <n v="185.1619"/>
    <n v="18331.0281"/>
    <n v="30.1"/>
    <n v="18486.09"/>
    <x v="2"/>
    <n v="18331.0281"/>
    <s v="10-2019"/>
  </r>
  <r>
    <n v="16193"/>
    <x v="104"/>
    <s v="Not Specified"/>
    <x v="48"/>
    <x v="6"/>
    <x v="6"/>
    <n v="1460.34"/>
    <x v="0"/>
    <n v="0"/>
    <n v="1460.34"/>
    <n v="5.4"/>
    <n v="1460.34"/>
    <x v="0"/>
    <n v="1460.34"/>
    <s v="04-2019"/>
  </r>
  <r>
    <n v="25313"/>
    <x v="97"/>
    <s v="Critical"/>
    <x v="24"/>
    <x v="8"/>
    <x v="8"/>
    <n v="448.01"/>
    <x v="0"/>
    <n v="0"/>
    <n v="448.01"/>
    <n v="5.9"/>
    <n v="448.01"/>
    <x v="0"/>
    <n v="448.01"/>
    <s v="08-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C3310-1C8C-48CF-A0B6-E6C536DA94D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14" firstHeaderRow="0" firstDataRow="1" firstDataCol="1"/>
  <pivotFields count="18">
    <pivotField showAll="0"/>
    <pivotField numFmtId="14" showAll="0">
      <items count="354">
        <item x="229"/>
        <item x="282"/>
        <item x="39"/>
        <item x="38"/>
        <item x="143"/>
        <item x="300"/>
        <item x="33"/>
        <item x="290"/>
        <item x="154"/>
        <item x="147"/>
        <item x="61"/>
        <item x="194"/>
        <item x="352"/>
        <item x="242"/>
        <item x="280"/>
        <item x="164"/>
        <item x="81"/>
        <item x="310"/>
        <item x="331"/>
        <item x="111"/>
        <item x="166"/>
        <item x="247"/>
        <item x="322"/>
        <item x="226"/>
        <item x="297"/>
        <item x="235"/>
        <item x="334"/>
        <item x="32"/>
        <item x="257"/>
        <item x="135"/>
        <item x="123"/>
        <item x="317"/>
        <item x="252"/>
        <item x="253"/>
        <item x="197"/>
        <item x="64"/>
        <item x="191"/>
        <item x="52"/>
        <item x="245"/>
        <item x="218"/>
        <item x="178"/>
        <item x="55"/>
        <item x="142"/>
        <item x="10"/>
        <item x="294"/>
        <item x="248"/>
        <item x="241"/>
        <item x="324"/>
        <item x="350"/>
        <item x="207"/>
        <item x="66"/>
        <item x="344"/>
        <item x="70"/>
        <item x="224"/>
        <item x="67"/>
        <item x="305"/>
        <item x="251"/>
        <item x="101"/>
        <item x="17"/>
        <item x="21"/>
        <item x="308"/>
        <item x="85"/>
        <item x="271"/>
        <item x="263"/>
        <item x="204"/>
        <item x="84"/>
        <item x="168"/>
        <item x="276"/>
        <item x="161"/>
        <item x="108"/>
        <item x="277"/>
        <item x="107"/>
        <item x="274"/>
        <item x="2"/>
        <item x="41"/>
        <item x="272"/>
        <item x="132"/>
        <item x="129"/>
        <item x="264"/>
        <item x="285"/>
        <item x="269"/>
        <item x="278"/>
        <item x="29"/>
        <item x="92"/>
        <item x="120"/>
        <item x="321"/>
        <item x="54"/>
        <item x="351"/>
        <item x="342"/>
        <item x="302"/>
        <item x="303"/>
        <item x="275"/>
        <item x="281"/>
        <item x="289"/>
        <item x="104"/>
        <item x="159"/>
        <item x="181"/>
        <item x="211"/>
        <item x="27"/>
        <item x="9"/>
        <item x="150"/>
        <item x="313"/>
        <item x="261"/>
        <item x="172"/>
        <item x="307"/>
        <item x="11"/>
        <item x="291"/>
        <item x="165"/>
        <item x="14"/>
        <item x="230"/>
        <item x="217"/>
        <item x="3"/>
        <item x="206"/>
        <item x="20"/>
        <item x="318"/>
        <item x="320"/>
        <item x="80"/>
        <item x="202"/>
        <item x="201"/>
        <item x="184"/>
        <item x="59"/>
        <item x="105"/>
        <item x="158"/>
        <item x="223"/>
        <item x="6"/>
        <item x="169"/>
        <item x="91"/>
        <item x="152"/>
        <item x="63"/>
        <item x="215"/>
        <item x="141"/>
        <item x="95"/>
        <item x="94"/>
        <item x="24"/>
        <item x="16"/>
        <item x="177"/>
        <item x="232"/>
        <item x="180"/>
        <item x="1"/>
        <item x="155"/>
        <item x="239"/>
        <item x="98"/>
        <item x="309"/>
        <item x="196"/>
        <item x="189"/>
        <item x="149"/>
        <item x="75"/>
        <item x="347"/>
        <item x="299"/>
        <item x="301"/>
        <item x="243"/>
        <item x="51"/>
        <item x="153"/>
        <item x="335"/>
        <item x="74"/>
        <item x="68"/>
        <item x="22"/>
        <item x="296"/>
        <item x="15"/>
        <item x="250"/>
        <item x="205"/>
        <item x="214"/>
        <item x="273"/>
        <item x="192"/>
        <item x="288"/>
        <item x="179"/>
        <item x="343"/>
        <item x="163"/>
        <item x="312"/>
        <item x="127"/>
        <item x="90"/>
        <item x="118"/>
        <item x="286"/>
        <item x="221"/>
        <item x="337"/>
        <item x="60"/>
        <item x="78"/>
        <item x="71"/>
        <item x="311"/>
        <item x="255"/>
        <item x="62"/>
        <item x="156"/>
        <item x="45"/>
        <item x="56"/>
        <item x="213"/>
        <item x="199"/>
        <item x="114"/>
        <item x="146"/>
        <item x="47"/>
        <item x="121"/>
        <item x="0"/>
        <item x="128"/>
        <item x="293"/>
        <item x="167"/>
        <item x="148"/>
        <item x="319"/>
        <item x="174"/>
        <item x="225"/>
        <item x="228"/>
        <item x="233"/>
        <item x="8"/>
        <item x="76"/>
        <item x="151"/>
        <item x="43"/>
        <item x="96"/>
        <item x="176"/>
        <item x="304"/>
        <item x="113"/>
        <item x="36"/>
        <item x="209"/>
        <item x="117"/>
        <item x="212"/>
        <item x="137"/>
        <item x="25"/>
        <item x="48"/>
        <item x="83"/>
        <item x="7"/>
        <item x="50"/>
        <item x="130"/>
        <item x="203"/>
        <item x="49"/>
        <item x="244"/>
        <item x="19"/>
        <item x="37"/>
        <item x="97"/>
        <item x="23"/>
        <item x="265"/>
        <item x="131"/>
        <item x="77"/>
        <item x="279"/>
        <item x="28"/>
        <item x="298"/>
        <item x="139"/>
        <item x="138"/>
        <item x="42"/>
        <item x="330"/>
        <item x="254"/>
        <item x="183"/>
        <item x="175"/>
        <item x="328"/>
        <item x="122"/>
        <item x="87"/>
        <item x="53"/>
        <item x="186"/>
        <item x="173"/>
        <item x="100"/>
        <item x="170"/>
        <item x="57"/>
        <item x="110"/>
        <item x="283"/>
        <item x="109"/>
        <item x="136"/>
        <item x="140"/>
        <item x="323"/>
        <item x="30"/>
        <item x="26"/>
        <item x="266"/>
        <item x="227"/>
        <item x="86"/>
        <item x="333"/>
        <item x="145"/>
        <item x="5"/>
        <item x="187"/>
        <item x="157"/>
        <item x="346"/>
        <item x="103"/>
        <item x="13"/>
        <item x="162"/>
        <item x="112"/>
        <item x="287"/>
        <item x="40"/>
        <item x="270"/>
        <item x="237"/>
        <item x="18"/>
        <item x="329"/>
        <item x="262"/>
        <item x="125"/>
        <item x="69"/>
        <item x="326"/>
        <item x="93"/>
        <item x="102"/>
        <item x="260"/>
        <item x="325"/>
        <item x="316"/>
        <item x="82"/>
        <item x="188"/>
        <item x="106"/>
        <item x="246"/>
        <item x="65"/>
        <item x="58"/>
        <item x="115"/>
        <item x="34"/>
        <item x="259"/>
        <item x="126"/>
        <item x="341"/>
        <item x="336"/>
        <item x="267"/>
        <item x="231"/>
        <item x="46"/>
        <item x="198"/>
        <item x="35"/>
        <item x="124"/>
        <item x="89"/>
        <item x="234"/>
        <item x="340"/>
        <item x="284"/>
        <item x="348"/>
        <item x="4"/>
        <item x="171"/>
        <item x="240"/>
        <item x="327"/>
        <item x="12"/>
        <item x="208"/>
        <item x="339"/>
        <item x="190"/>
        <item x="185"/>
        <item x="219"/>
        <item x="256"/>
        <item x="315"/>
        <item x="338"/>
        <item x="72"/>
        <item x="222"/>
        <item x="133"/>
        <item x="292"/>
        <item x="116"/>
        <item x="200"/>
        <item x="88"/>
        <item x="249"/>
        <item x="306"/>
        <item x="345"/>
        <item x="210"/>
        <item x="160"/>
        <item x="73"/>
        <item x="144"/>
        <item x="268"/>
        <item x="216"/>
        <item x="99"/>
        <item x="31"/>
        <item x="79"/>
        <item x="349"/>
        <item x="314"/>
        <item x="258"/>
        <item x="193"/>
        <item x="182"/>
        <item x="238"/>
        <item x="332"/>
        <item x="44"/>
        <item x="195"/>
        <item x="220"/>
        <item x="134"/>
        <item x="295"/>
        <item x="119"/>
        <item x="236"/>
        <item t="default"/>
      </items>
    </pivotField>
    <pivotField showAll="0"/>
    <pivotField showAll="0"/>
    <pivotField showAll="0">
      <items count="11">
        <item x="5"/>
        <item x="9"/>
        <item x="0"/>
        <item x="4"/>
        <item x="6"/>
        <item x="3"/>
        <item x="7"/>
        <item x="8"/>
        <item x="1"/>
        <item x="2"/>
        <item t="default"/>
      </items>
    </pivotField>
    <pivotField showAll="0"/>
    <pivotField dataField="1" showAll="0"/>
    <pivotField showAll="0"/>
    <pivotField showAll="0"/>
    <pivotField showAll="0"/>
    <pivotField showAll="0"/>
    <pivotField showAll="0"/>
    <pivotField showAll="0">
      <items count="4">
        <item x="2"/>
        <item x="1"/>
        <item x="0"/>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Final Sales" fld="13" baseField="0" baseItem="0"/>
    <dataField name="Sum of Sales" fld="6" baseField="0" baseItem="0"/>
  </dataFields>
  <formats count="6">
    <format dxfId="45">
      <pivotArea type="all" dataOnly="0" outline="0" fieldPosition="0"/>
    </format>
    <format dxfId="44">
      <pivotArea field="16" type="button" dataOnly="0" labelOnly="1" outline="0" axis="axisRow" fieldPosition="0"/>
    </format>
    <format dxfId="43">
      <pivotArea dataOnly="0" labelOnly="1" fieldPosition="0">
        <references count="1">
          <reference field="16" count="12">
            <x v="1"/>
            <x v="2"/>
            <x v="3"/>
            <x v="4"/>
            <x v="5"/>
            <x v="6"/>
            <x v="7"/>
            <x v="8"/>
            <x v="9"/>
            <x v="10"/>
            <x v="11"/>
            <x v="12"/>
          </reference>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 dxfId="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10039-9613-4C7E-89E8-8C199383A50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5" firstHeaderRow="0" firstDataRow="1" firstDataCol="1"/>
  <pivotFields count="18">
    <pivotField showAll="0"/>
    <pivotField numFmtId="14" showAll="0">
      <items count="354">
        <item x="229"/>
        <item x="282"/>
        <item x="39"/>
        <item x="38"/>
        <item x="143"/>
        <item x="300"/>
        <item x="33"/>
        <item x="290"/>
        <item x="154"/>
        <item x="147"/>
        <item x="61"/>
        <item x="194"/>
        <item x="352"/>
        <item x="242"/>
        <item x="280"/>
        <item x="164"/>
        <item x="81"/>
        <item x="310"/>
        <item x="331"/>
        <item x="111"/>
        <item x="166"/>
        <item x="247"/>
        <item x="322"/>
        <item x="226"/>
        <item x="297"/>
        <item x="235"/>
        <item x="334"/>
        <item x="32"/>
        <item x="257"/>
        <item x="135"/>
        <item x="123"/>
        <item x="317"/>
        <item x="252"/>
        <item x="253"/>
        <item x="197"/>
        <item x="64"/>
        <item x="191"/>
        <item x="52"/>
        <item x="245"/>
        <item x="218"/>
        <item x="178"/>
        <item x="55"/>
        <item x="142"/>
        <item x="10"/>
        <item x="294"/>
        <item x="248"/>
        <item x="241"/>
        <item x="324"/>
        <item x="350"/>
        <item x="207"/>
        <item x="66"/>
        <item x="344"/>
        <item x="70"/>
        <item x="224"/>
        <item x="67"/>
        <item x="305"/>
        <item x="251"/>
        <item x="101"/>
        <item x="17"/>
        <item x="21"/>
        <item x="308"/>
        <item x="85"/>
        <item x="271"/>
        <item x="263"/>
        <item x="204"/>
        <item x="84"/>
        <item x="168"/>
        <item x="276"/>
        <item x="161"/>
        <item x="108"/>
        <item x="277"/>
        <item x="107"/>
        <item x="274"/>
        <item x="2"/>
        <item x="41"/>
        <item x="272"/>
        <item x="132"/>
        <item x="129"/>
        <item x="264"/>
        <item x="285"/>
        <item x="269"/>
        <item x="278"/>
        <item x="29"/>
        <item x="92"/>
        <item x="120"/>
        <item x="321"/>
        <item x="54"/>
        <item x="351"/>
        <item x="342"/>
        <item x="302"/>
        <item x="303"/>
        <item x="275"/>
        <item x="281"/>
        <item x="289"/>
        <item x="104"/>
        <item x="159"/>
        <item x="181"/>
        <item x="211"/>
        <item x="27"/>
        <item x="9"/>
        <item x="150"/>
        <item x="313"/>
        <item x="261"/>
        <item x="172"/>
        <item x="307"/>
        <item x="11"/>
        <item x="291"/>
        <item x="165"/>
        <item x="14"/>
        <item x="230"/>
        <item x="217"/>
        <item x="3"/>
        <item x="206"/>
        <item x="20"/>
        <item x="318"/>
        <item x="320"/>
        <item x="80"/>
        <item x="202"/>
        <item x="201"/>
        <item x="184"/>
        <item x="59"/>
        <item x="105"/>
        <item x="158"/>
        <item x="223"/>
        <item x="6"/>
        <item x="169"/>
        <item x="91"/>
        <item x="152"/>
        <item x="63"/>
        <item x="215"/>
        <item x="141"/>
        <item x="95"/>
        <item x="94"/>
        <item x="24"/>
        <item x="16"/>
        <item x="177"/>
        <item x="232"/>
        <item x="180"/>
        <item x="1"/>
        <item x="155"/>
        <item x="239"/>
        <item x="98"/>
        <item x="309"/>
        <item x="196"/>
        <item x="189"/>
        <item x="149"/>
        <item x="75"/>
        <item x="347"/>
        <item x="299"/>
        <item x="301"/>
        <item x="243"/>
        <item x="51"/>
        <item x="153"/>
        <item x="335"/>
        <item x="74"/>
        <item x="68"/>
        <item x="22"/>
        <item x="296"/>
        <item x="15"/>
        <item x="250"/>
        <item x="205"/>
        <item x="214"/>
        <item x="273"/>
        <item x="192"/>
        <item x="288"/>
        <item x="179"/>
        <item x="343"/>
        <item x="163"/>
        <item x="312"/>
        <item x="127"/>
        <item x="90"/>
        <item x="118"/>
        <item x="286"/>
        <item x="221"/>
        <item x="337"/>
        <item x="60"/>
        <item x="78"/>
        <item x="71"/>
        <item x="311"/>
        <item x="255"/>
        <item x="62"/>
        <item x="156"/>
        <item x="45"/>
        <item x="56"/>
        <item x="213"/>
        <item x="199"/>
        <item x="114"/>
        <item x="146"/>
        <item x="47"/>
        <item x="121"/>
        <item x="0"/>
        <item x="128"/>
        <item x="293"/>
        <item x="167"/>
        <item x="148"/>
        <item x="319"/>
        <item x="174"/>
        <item x="225"/>
        <item x="228"/>
        <item x="233"/>
        <item x="8"/>
        <item x="76"/>
        <item x="151"/>
        <item x="43"/>
        <item x="96"/>
        <item x="176"/>
        <item x="304"/>
        <item x="113"/>
        <item x="36"/>
        <item x="209"/>
        <item x="117"/>
        <item x="212"/>
        <item x="137"/>
        <item x="25"/>
        <item x="48"/>
        <item x="83"/>
        <item x="7"/>
        <item x="50"/>
        <item x="130"/>
        <item x="203"/>
        <item x="49"/>
        <item x="244"/>
        <item x="19"/>
        <item x="37"/>
        <item x="97"/>
        <item x="23"/>
        <item x="265"/>
        <item x="131"/>
        <item x="77"/>
        <item x="279"/>
        <item x="28"/>
        <item x="298"/>
        <item x="139"/>
        <item x="138"/>
        <item x="42"/>
        <item x="330"/>
        <item x="254"/>
        <item x="183"/>
        <item x="175"/>
        <item x="328"/>
        <item x="122"/>
        <item x="87"/>
        <item x="53"/>
        <item x="186"/>
        <item x="173"/>
        <item x="100"/>
        <item x="170"/>
        <item x="57"/>
        <item x="110"/>
        <item x="283"/>
        <item x="109"/>
        <item x="136"/>
        <item x="140"/>
        <item x="323"/>
        <item x="30"/>
        <item x="26"/>
        <item x="266"/>
        <item x="227"/>
        <item x="86"/>
        <item x="333"/>
        <item x="145"/>
        <item x="5"/>
        <item x="187"/>
        <item x="157"/>
        <item x="346"/>
        <item x="103"/>
        <item x="13"/>
        <item x="162"/>
        <item x="112"/>
        <item x="287"/>
        <item x="40"/>
        <item x="270"/>
        <item x="237"/>
        <item x="18"/>
        <item x="329"/>
        <item x="262"/>
        <item x="125"/>
        <item x="69"/>
        <item x="326"/>
        <item x="93"/>
        <item x="102"/>
        <item x="260"/>
        <item x="325"/>
        <item x="316"/>
        <item x="82"/>
        <item x="188"/>
        <item x="106"/>
        <item x="246"/>
        <item x="65"/>
        <item x="58"/>
        <item x="115"/>
        <item x="34"/>
        <item x="259"/>
        <item x="126"/>
        <item x="341"/>
        <item x="336"/>
        <item x="267"/>
        <item x="231"/>
        <item x="46"/>
        <item x="198"/>
        <item x="35"/>
        <item x="124"/>
        <item x="89"/>
        <item x="234"/>
        <item x="340"/>
        <item x="284"/>
        <item x="348"/>
        <item x="4"/>
        <item x="171"/>
        <item x="240"/>
        <item x="327"/>
        <item x="12"/>
        <item x="208"/>
        <item x="339"/>
        <item x="190"/>
        <item x="185"/>
        <item x="219"/>
        <item x="256"/>
        <item x="315"/>
        <item x="338"/>
        <item x="72"/>
        <item x="222"/>
        <item x="133"/>
        <item x="292"/>
        <item x="116"/>
        <item x="200"/>
        <item x="88"/>
        <item x="249"/>
        <item x="306"/>
        <item x="345"/>
        <item x="210"/>
        <item x="160"/>
        <item x="73"/>
        <item x="144"/>
        <item x="268"/>
        <item x="216"/>
        <item x="99"/>
        <item x="31"/>
        <item x="79"/>
        <item x="349"/>
        <item x="314"/>
        <item x="258"/>
        <item x="193"/>
        <item x="182"/>
        <item x="238"/>
        <item x="332"/>
        <item x="44"/>
        <item x="195"/>
        <item x="220"/>
        <item x="134"/>
        <item x="295"/>
        <item x="119"/>
        <item x="236"/>
        <item t="default"/>
      </items>
    </pivotField>
    <pivotField showAll="0"/>
    <pivotField showAll="0"/>
    <pivotField showAll="0">
      <items count="11">
        <item x="5"/>
        <item x="9"/>
        <item x="0"/>
        <item x="4"/>
        <item x="6"/>
        <item x="3"/>
        <item x="7"/>
        <item x="8"/>
        <item x="1"/>
        <item x="2"/>
        <item t="default"/>
      </items>
    </pivotField>
    <pivotField showAll="0"/>
    <pivotField dataField="1" showAll="0"/>
    <pivotField showAll="0"/>
    <pivotField showAll="0"/>
    <pivotField showAll="0"/>
    <pivotField showAll="0"/>
    <pivotField dataField="1" showAll="0"/>
    <pivotField axis="axisRow"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12"/>
  </rowFields>
  <rowItems count="4">
    <i>
      <x/>
    </i>
    <i>
      <x v="1"/>
    </i>
    <i>
      <x v="2"/>
    </i>
    <i t="grand">
      <x/>
    </i>
  </rowItems>
  <colFields count="1">
    <field x="-2"/>
  </colFields>
  <colItems count="3">
    <i>
      <x/>
    </i>
    <i i="1">
      <x v="1"/>
    </i>
    <i i="2">
      <x v="2"/>
    </i>
  </colItems>
  <dataFields count="3">
    <dataField name="Sum of Sales with Free Shipping" fld="11" baseField="0" baseItem="0"/>
    <dataField name="Sum of Sales" fld="6" baseField="0" baseItem="0"/>
    <dataField name="% Free Shipping Sales " fld="17" baseField="12" baseItem="0" numFmtId="10"/>
  </dataFields>
  <formats count="7">
    <format dxfId="39">
      <pivotArea type="all" dataOnly="0" outline="0" fieldPosition="0"/>
    </format>
    <format dxfId="38">
      <pivotArea field="12" type="button" dataOnly="0" labelOnly="1" outline="0" axis="axisRow" fieldPosition="0"/>
    </format>
    <format dxfId="37">
      <pivotArea dataOnly="0" labelOnly="1" fieldPosition="0">
        <references count="1">
          <reference field="12" count="0"/>
        </references>
      </pivotArea>
    </format>
    <format dxfId="36">
      <pivotArea dataOnly="0" labelOnly="1" grandRow="1" outline="0" fieldPosition="0"/>
    </format>
    <format dxfId="35">
      <pivotArea outline="0" collapsedLevelsAreSubtotals="1" fieldPosition="0">
        <references count="1">
          <reference field="4294967294" count="2" selected="0">
            <x v="0"/>
            <x v="1"/>
          </reference>
        </references>
      </pivotArea>
    </format>
    <format dxfId="34">
      <pivotArea outline="0" collapsedLevelsAreSubtotals="1" fieldPosition="0"/>
    </format>
    <format dxfId="33">
      <pivotArea dataOnly="0" labelOnly="1" outline="0" fieldPosition="0">
        <references count="1">
          <reference field="4294967294" count="3">
            <x v="0"/>
            <x v="1"/>
            <x v="2"/>
          </reference>
        </references>
      </pivotArea>
    </format>
  </format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series="1">
      <pivotArea type="data" outline="0" fieldPosition="0">
        <references count="1">
          <reference field="4294967294" count="1" selected="0">
            <x v="2"/>
          </reference>
        </references>
      </pivotArea>
    </chartFormat>
  </chart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7D237-86BC-4142-931B-20B722D7582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12" firstHeaderRow="0" firstDataRow="1" firstDataCol="1"/>
  <pivotFields count="18">
    <pivotField showAll="0"/>
    <pivotField numFmtId="14" showAll="0">
      <items count="354">
        <item x="229"/>
        <item x="282"/>
        <item x="39"/>
        <item x="38"/>
        <item x="143"/>
        <item x="300"/>
        <item x="33"/>
        <item x="290"/>
        <item x="154"/>
        <item x="147"/>
        <item x="61"/>
        <item x="194"/>
        <item x="352"/>
        <item x="242"/>
        <item x="280"/>
        <item x="164"/>
        <item x="81"/>
        <item x="310"/>
        <item x="331"/>
        <item x="111"/>
        <item x="166"/>
        <item x="247"/>
        <item x="322"/>
        <item x="226"/>
        <item x="297"/>
        <item x="235"/>
        <item x="334"/>
        <item x="32"/>
        <item x="257"/>
        <item x="135"/>
        <item x="123"/>
        <item x="317"/>
        <item x="252"/>
        <item x="253"/>
        <item x="197"/>
        <item x="64"/>
        <item x="191"/>
        <item x="52"/>
        <item x="245"/>
        <item x="218"/>
        <item x="178"/>
        <item x="55"/>
        <item x="142"/>
        <item x="10"/>
        <item x="294"/>
        <item x="248"/>
        <item x="241"/>
        <item x="324"/>
        <item x="350"/>
        <item x="207"/>
        <item x="66"/>
        <item x="344"/>
        <item x="70"/>
        <item x="224"/>
        <item x="67"/>
        <item x="305"/>
        <item x="251"/>
        <item x="101"/>
        <item x="17"/>
        <item x="21"/>
        <item x="308"/>
        <item x="85"/>
        <item x="271"/>
        <item x="263"/>
        <item x="204"/>
        <item x="84"/>
        <item x="168"/>
        <item x="276"/>
        <item x="161"/>
        <item x="108"/>
        <item x="277"/>
        <item x="107"/>
        <item x="274"/>
        <item x="2"/>
        <item x="41"/>
        <item x="272"/>
        <item x="132"/>
        <item x="129"/>
        <item x="264"/>
        <item x="285"/>
        <item x="269"/>
        <item x="278"/>
        <item x="29"/>
        <item x="92"/>
        <item x="120"/>
        <item x="321"/>
        <item x="54"/>
        <item x="351"/>
        <item x="342"/>
        <item x="302"/>
        <item x="303"/>
        <item x="275"/>
        <item x="281"/>
        <item x="289"/>
        <item x="104"/>
        <item x="159"/>
        <item x="181"/>
        <item x="211"/>
        <item x="27"/>
        <item x="9"/>
        <item x="150"/>
        <item x="313"/>
        <item x="261"/>
        <item x="172"/>
        <item x="307"/>
        <item x="11"/>
        <item x="291"/>
        <item x="165"/>
        <item x="14"/>
        <item x="230"/>
        <item x="217"/>
        <item x="3"/>
        <item x="206"/>
        <item x="20"/>
        <item x="318"/>
        <item x="320"/>
        <item x="80"/>
        <item x="202"/>
        <item x="201"/>
        <item x="184"/>
        <item x="59"/>
        <item x="105"/>
        <item x="158"/>
        <item x="223"/>
        <item x="6"/>
        <item x="169"/>
        <item x="91"/>
        <item x="152"/>
        <item x="63"/>
        <item x="215"/>
        <item x="141"/>
        <item x="95"/>
        <item x="94"/>
        <item x="24"/>
        <item x="16"/>
        <item x="177"/>
        <item x="232"/>
        <item x="180"/>
        <item x="1"/>
        <item x="155"/>
        <item x="239"/>
        <item x="98"/>
        <item x="309"/>
        <item x="196"/>
        <item x="189"/>
        <item x="149"/>
        <item x="75"/>
        <item x="347"/>
        <item x="299"/>
        <item x="301"/>
        <item x="243"/>
        <item x="51"/>
        <item x="153"/>
        <item x="335"/>
        <item x="74"/>
        <item x="68"/>
        <item x="22"/>
        <item x="296"/>
        <item x="15"/>
        <item x="250"/>
        <item x="205"/>
        <item x="214"/>
        <item x="273"/>
        <item x="192"/>
        <item x="288"/>
        <item x="179"/>
        <item x="343"/>
        <item x="163"/>
        <item x="312"/>
        <item x="127"/>
        <item x="90"/>
        <item x="118"/>
        <item x="286"/>
        <item x="221"/>
        <item x="337"/>
        <item x="60"/>
        <item x="78"/>
        <item x="71"/>
        <item x="311"/>
        <item x="255"/>
        <item x="62"/>
        <item x="156"/>
        <item x="45"/>
        <item x="56"/>
        <item x="213"/>
        <item x="199"/>
        <item x="114"/>
        <item x="146"/>
        <item x="47"/>
        <item x="121"/>
        <item x="0"/>
        <item x="128"/>
        <item x="293"/>
        <item x="167"/>
        <item x="148"/>
        <item x="319"/>
        <item x="174"/>
        <item x="225"/>
        <item x="228"/>
        <item x="233"/>
        <item x="8"/>
        <item x="76"/>
        <item x="151"/>
        <item x="43"/>
        <item x="96"/>
        <item x="176"/>
        <item x="304"/>
        <item x="113"/>
        <item x="36"/>
        <item x="209"/>
        <item x="117"/>
        <item x="212"/>
        <item x="137"/>
        <item x="25"/>
        <item x="48"/>
        <item x="83"/>
        <item x="7"/>
        <item x="50"/>
        <item x="130"/>
        <item x="203"/>
        <item x="49"/>
        <item x="244"/>
        <item x="19"/>
        <item x="37"/>
        <item x="97"/>
        <item x="23"/>
        <item x="265"/>
        <item x="131"/>
        <item x="77"/>
        <item x="279"/>
        <item x="28"/>
        <item x="298"/>
        <item x="139"/>
        <item x="138"/>
        <item x="42"/>
        <item x="330"/>
        <item x="254"/>
        <item x="183"/>
        <item x="175"/>
        <item x="328"/>
        <item x="122"/>
        <item x="87"/>
        <item x="53"/>
        <item x="186"/>
        <item x="173"/>
        <item x="100"/>
        <item x="170"/>
        <item x="57"/>
        <item x="110"/>
        <item x="283"/>
        <item x="109"/>
        <item x="136"/>
        <item x="140"/>
        <item x="323"/>
        <item x="30"/>
        <item x="26"/>
        <item x="266"/>
        <item x="227"/>
        <item x="86"/>
        <item x="333"/>
        <item x="145"/>
        <item x="5"/>
        <item x="187"/>
        <item x="157"/>
        <item x="346"/>
        <item x="103"/>
        <item x="13"/>
        <item x="162"/>
        <item x="112"/>
        <item x="287"/>
        <item x="40"/>
        <item x="270"/>
        <item x="237"/>
        <item x="18"/>
        <item x="329"/>
        <item x="262"/>
        <item x="125"/>
        <item x="69"/>
        <item x="326"/>
        <item x="93"/>
        <item x="102"/>
        <item x="260"/>
        <item x="325"/>
        <item x="316"/>
        <item x="82"/>
        <item x="188"/>
        <item x="106"/>
        <item x="246"/>
        <item x="65"/>
        <item x="58"/>
        <item x="115"/>
        <item x="34"/>
        <item x="259"/>
        <item x="126"/>
        <item x="341"/>
        <item x="336"/>
        <item x="267"/>
        <item x="231"/>
        <item x="46"/>
        <item x="198"/>
        <item x="35"/>
        <item x="124"/>
        <item x="89"/>
        <item x="234"/>
        <item x="340"/>
        <item x="284"/>
        <item x="348"/>
        <item x="4"/>
        <item x="171"/>
        <item x="240"/>
        <item x="327"/>
        <item x="12"/>
        <item x="208"/>
        <item x="339"/>
        <item x="190"/>
        <item x="185"/>
        <item x="219"/>
        <item x="256"/>
        <item x="315"/>
        <item x="338"/>
        <item x="72"/>
        <item x="222"/>
        <item x="133"/>
        <item x="292"/>
        <item x="116"/>
        <item x="200"/>
        <item x="88"/>
        <item x="249"/>
        <item x="306"/>
        <item x="345"/>
        <item x="210"/>
        <item x="160"/>
        <item x="73"/>
        <item x="144"/>
        <item x="268"/>
        <item x="216"/>
        <item x="99"/>
        <item x="31"/>
        <item x="79"/>
        <item x="349"/>
        <item x="314"/>
        <item x="258"/>
        <item x="193"/>
        <item x="182"/>
        <item x="238"/>
        <item x="332"/>
        <item x="44"/>
        <item x="195"/>
        <item x="220"/>
        <item x="134"/>
        <item x="295"/>
        <item x="119"/>
        <item x="236"/>
        <item t="default"/>
      </items>
    </pivotField>
    <pivotField showAll="0"/>
    <pivotField showAll="0">
      <items count="51">
        <item x="43"/>
        <item x="33"/>
        <item x="4"/>
        <item x="39"/>
        <item x="18"/>
        <item x="44"/>
        <item x="29"/>
        <item x="30"/>
        <item x="35"/>
        <item x="46"/>
        <item x="22"/>
        <item x="14"/>
        <item x="13"/>
        <item x="26"/>
        <item x="47"/>
        <item x="36"/>
        <item x="45"/>
        <item x="38"/>
        <item x="24"/>
        <item x="32"/>
        <item x="5"/>
        <item x="6"/>
        <item x="42"/>
        <item x="10"/>
        <item x="31"/>
        <item x="11"/>
        <item x="40"/>
        <item x="23"/>
        <item x="48"/>
        <item x="17"/>
        <item x="7"/>
        <item x="25"/>
        <item x="0"/>
        <item x="1"/>
        <item x="16"/>
        <item x="34"/>
        <item x="37"/>
        <item x="8"/>
        <item x="41"/>
        <item x="28"/>
        <item x="19"/>
        <item x="15"/>
        <item x="20"/>
        <item x="2"/>
        <item x="9"/>
        <item x="27"/>
        <item x="12"/>
        <item x="49"/>
        <item x="21"/>
        <item x="3"/>
        <item t="default"/>
      </items>
    </pivotField>
    <pivotField showAll="0">
      <items count="11">
        <item x="5"/>
        <item x="9"/>
        <item x="0"/>
        <item x="4"/>
        <item x="6"/>
        <item x="3"/>
        <item x="7"/>
        <item x="8"/>
        <item x="1"/>
        <item x="2"/>
        <item t="default"/>
      </items>
    </pivotField>
    <pivotField axis="axisRow" showAll="0">
      <items count="11">
        <item x="5"/>
        <item x="9"/>
        <item x="0"/>
        <item x="4"/>
        <item x="6"/>
        <item x="3"/>
        <item x="7"/>
        <item x="8"/>
        <item x="1"/>
        <item x="2"/>
        <item t="default"/>
      </items>
    </pivotField>
    <pivotField dataField="1" showAll="0"/>
    <pivotField showAll="0">
      <items count="3">
        <item x="0"/>
        <item x="1"/>
        <item t="default"/>
      </items>
    </pivotField>
    <pivotField dataField="1" showAll="0"/>
    <pivotField dataField="1" showAll="0"/>
    <pivotField showAll="0"/>
    <pivotField showAll="0"/>
    <pivotField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11">
    <i>
      <x/>
    </i>
    <i>
      <x v="1"/>
    </i>
    <i>
      <x v="2"/>
    </i>
    <i>
      <x v="3"/>
    </i>
    <i>
      <x v="4"/>
    </i>
    <i>
      <x v="5"/>
    </i>
    <i>
      <x v="6"/>
    </i>
    <i>
      <x v="7"/>
    </i>
    <i>
      <x v="8"/>
    </i>
    <i>
      <x v="9"/>
    </i>
    <i t="grand">
      <x/>
    </i>
  </rowItems>
  <colFields count="1">
    <field x="-2"/>
  </colFields>
  <colItems count="3">
    <i>
      <x/>
    </i>
    <i i="1">
      <x v="1"/>
    </i>
    <i i="2">
      <x v="2"/>
    </i>
  </colItems>
  <dataFields count="3">
    <dataField name="Sum of Sales with Discount" fld="9" baseField="0" baseItem="0"/>
    <dataField name="Sum of Sales" fld="6" baseField="0" baseItem="0"/>
    <dataField name="Sum of Discount Amount" fld="8" baseField="0" baseItem="0"/>
  </dataFields>
  <formats count="4">
    <format dxfId="32">
      <pivotArea dataOnly="0" labelOnly="1" outline="0" fieldPosition="0">
        <references count="1">
          <reference field="4294967294" count="3">
            <x v="0"/>
            <x v="1"/>
            <x v="2"/>
          </reference>
        </references>
      </pivotArea>
    </format>
    <format dxfId="31">
      <pivotArea dataOnly="0" labelOnly="1" fieldPosition="0">
        <references count="1">
          <reference field="5" count="0"/>
        </references>
      </pivotArea>
    </format>
    <format dxfId="30">
      <pivotArea dataOnly="0" labelOnly="1" grandRow="1" outline="0" fieldPosition="0"/>
    </format>
    <format dxfId="2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CCE233-6362-40B4-B05C-828602424B8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2" firstHeaderRow="0" firstDataRow="1" firstDataCol="1"/>
  <pivotFields count="18">
    <pivotField dataField="1" showAll="0"/>
    <pivotField numFmtId="14" showAll="0">
      <items count="354">
        <item x="229"/>
        <item x="282"/>
        <item x="39"/>
        <item x="38"/>
        <item x="143"/>
        <item x="300"/>
        <item x="33"/>
        <item x="290"/>
        <item x="154"/>
        <item x="147"/>
        <item x="61"/>
        <item x="194"/>
        <item x="352"/>
        <item x="242"/>
        <item x="280"/>
        <item x="164"/>
        <item x="81"/>
        <item x="310"/>
        <item x="331"/>
        <item x="111"/>
        <item x="166"/>
        <item x="247"/>
        <item x="322"/>
        <item x="226"/>
        <item x="297"/>
        <item x="235"/>
        <item x="334"/>
        <item x="32"/>
        <item x="257"/>
        <item x="135"/>
        <item x="123"/>
        <item x="317"/>
        <item x="252"/>
        <item x="253"/>
        <item x="197"/>
        <item x="64"/>
        <item x="191"/>
        <item x="52"/>
        <item x="245"/>
        <item x="218"/>
        <item x="178"/>
        <item x="55"/>
        <item x="142"/>
        <item x="10"/>
        <item x="294"/>
        <item x="248"/>
        <item x="241"/>
        <item x="324"/>
        <item x="350"/>
        <item x="207"/>
        <item x="66"/>
        <item x="344"/>
        <item x="70"/>
        <item x="224"/>
        <item x="67"/>
        <item x="305"/>
        <item x="251"/>
        <item x="101"/>
        <item x="17"/>
        <item x="21"/>
        <item x="308"/>
        <item x="85"/>
        <item x="271"/>
        <item x="263"/>
        <item x="204"/>
        <item x="84"/>
        <item x="168"/>
        <item x="276"/>
        <item x="161"/>
        <item x="108"/>
        <item x="277"/>
        <item x="107"/>
        <item x="274"/>
        <item x="2"/>
        <item x="41"/>
        <item x="272"/>
        <item x="132"/>
        <item x="129"/>
        <item x="264"/>
        <item x="285"/>
        <item x="269"/>
        <item x="278"/>
        <item x="29"/>
        <item x="92"/>
        <item x="120"/>
        <item x="321"/>
        <item x="54"/>
        <item x="351"/>
        <item x="342"/>
        <item x="302"/>
        <item x="303"/>
        <item x="275"/>
        <item x="281"/>
        <item x="289"/>
        <item x="104"/>
        <item x="159"/>
        <item x="181"/>
        <item x="211"/>
        <item x="27"/>
        <item x="9"/>
        <item x="150"/>
        <item x="313"/>
        <item x="261"/>
        <item x="172"/>
        <item x="307"/>
        <item x="11"/>
        <item x="291"/>
        <item x="165"/>
        <item x="14"/>
        <item x="230"/>
        <item x="217"/>
        <item x="3"/>
        <item x="206"/>
        <item x="20"/>
        <item x="318"/>
        <item x="320"/>
        <item x="80"/>
        <item x="202"/>
        <item x="201"/>
        <item x="184"/>
        <item x="59"/>
        <item x="105"/>
        <item x="158"/>
        <item x="223"/>
        <item x="6"/>
        <item x="169"/>
        <item x="91"/>
        <item x="152"/>
        <item x="63"/>
        <item x="215"/>
        <item x="141"/>
        <item x="95"/>
        <item x="94"/>
        <item x="24"/>
        <item x="16"/>
        <item x="177"/>
        <item x="232"/>
        <item x="180"/>
        <item x="1"/>
        <item x="155"/>
        <item x="239"/>
        <item x="98"/>
        <item x="309"/>
        <item x="196"/>
        <item x="189"/>
        <item x="149"/>
        <item x="75"/>
        <item x="347"/>
        <item x="299"/>
        <item x="301"/>
        <item x="243"/>
        <item x="51"/>
        <item x="153"/>
        <item x="335"/>
        <item x="74"/>
        <item x="68"/>
        <item x="22"/>
        <item x="296"/>
        <item x="15"/>
        <item x="250"/>
        <item x="205"/>
        <item x="214"/>
        <item x="273"/>
        <item x="192"/>
        <item x="288"/>
        <item x="179"/>
        <item x="343"/>
        <item x="163"/>
        <item x="312"/>
        <item x="127"/>
        <item x="90"/>
        <item x="118"/>
        <item x="286"/>
        <item x="221"/>
        <item x="337"/>
        <item x="60"/>
        <item x="78"/>
        <item x="71"/>
        <item x="311"/>
        <item x="255"/>
        <item x="62"/>
        <item x="156"/>
        <item x="45"/>
        <item x="56"/>
        <item x="213"/>
        <item x="199"/>
        <item x="114"/>
        <item x="146"/>
        <item x="47"/>
        <item x="121"/>
        <item x="0"/>
        <item x="128"/>
        <item x="293"/>
        <item x="167"/>
        <item x="148"/>
        <item x="319"/>
        <item x="174"/>
        <item x="225"/>
        <item x="228"/>
        <item x="233"/>
        <item x="8"/>
        <item x="76"/>
        <item x="151"/>
        <item x="43"/>
        <item x="96"/>
        <item x="176"/>
        <item x="304"/>
        <item x="113"/>
        <item x="36"/>
        <item x="209"/>
        <item x="117"/>
        <item x="212"/>
        <item x="137"/>
        <item x="25"/>
        <item x="48"/>
        <item x="83"/>
        <item x="7"/>
        <item x="50"/>
        <item x="130"/>
        <item x="203"/>
        <item x="49"/>
        <item x="244"/>
        <item x="19"/>
        <item x="37"/>
        <item x="97"/>
        <item x="23"/>
        <item x="265"/>
        <item x="131"/>
        <item x="77"/>
        <item x="279"/>
        <item x="28"/>
        <item x="298"/>
        <item x="139"/>
        <item x="138"/>
        <item x="42"/>
        <item x="330"/>
        <item x="254"/>
        <item x="183"/>
        <item x="175"/>
        <item x="328"/>
        <item x="122"/>
        <item x="87"/>
        <item x="53"/>
        <item x="186"/>
        <item x="173"/>
        <item x="100"/>
        <item x="170"/>
        <item x="57"/>
        <item x="110"/>
        <item x="283"/>
        <item x="109"/>
        <item x="136"/>
        <item x="140"/>
        <item x="323"/>
        <item x="30"/>
        <item x="26"/>
        <item x="266"/>
        <item x="227"/>
        <item x="86"/>
        <item x="333"/>
        <item x="145"/>
        <item x="5"/>
        <item x="187"/>
        <item x="157"/>
        <item x="346"/>
        <item x="103"/>
        <item x="13"/>
        <item x="162"/>
        <item x="112"/>
        <item x="287"/>
        <item x="40"/>
        <item x="270"/>
        <item x="237"/>
        <item x="18"/>
        <item x="329"/>
        <item x="262"/>
        <item x="125"/>
        <item x="69"/>
        <item x="326"/>
        <item x="93"/>
        <item x="102"/>
        <item x="260"/>
        <item x="325"/>
        <item x="316"/>
        <item x="82"/>
        <item x="188"/>
        <item x="106"/>
        <item x="246"/>
        <item x="65"/>
        <item x="58"/>
        <item x="115"/>
        <item x="34"/>
        <item x="259"/>
        <item x="126"/>
        <item x="341"/>
        <item x="336"/>
        <item x="267"/>
        <item x="231"/>
        <item x="46"/>
        <item x="198"/>
        <item x="35"/>
        <item x="124"/>
        <item x="89"/>
        <item x="234"/>
        <item x="340"/>
        <item x="284"/>
        <item x="348"/>
        <item x="4"/>
        <item x="171"/>
        <item x="240"/>
        <item x="327"/>
        <item x="12"/>
        <item x="208"/>
        <item x="339"/>
        <item x="190"/>
        <item x="185"/>
        <item x="219"/>
        <item x="256"/>
        <item x="315"/>
        <item x="338"/>
        <item x="72"/>
        <item x="222"/>
        <item x="133"/>
        <item x="292"/>
        <item x="116"/>
        <item x="200"/>
        <item x="88"/>
        <item x="249"/>
        <item x="306"/>
        <item x="345"/>
        <item x="210"/>
        <item x="160"/>
        <item x="73"/>
        <item x="144"/>
        <item x="268"/>
        <item x="216"/>
        <item x="99"/>
        <item x="31"/>
        <item x="79"/>
        <item x="349"/>
        <item x="314"/>
        <item x="258"/>
        <item x="193"/>
        <item x="182"/>
        <item x="238"/>
        <item x="332"/>
        <item x="44"/>
        <item x="195"/>
        <item x="220"/>
        <item x="134"/>
        <item x="295"/>
        <item x="119"/>
        <item x="236"/>
        <item t="default"/>
      </items>
    </pivotField>
    <pivotField showAll="0"/>
    <pivotField axis="axisRow" showAll="0">
      <items count="51">
        <item x="43"/>
        <item x="33"/>
        <item x="4"/>
        <item x="39"/>
        <item x="18"/>
        <item x="44"/>
        <item x="29"/>
        <item x="30"/>
        <item x="35"/>
        <item x="46"/>
        <item x="22"/>
        <item x="14"/>
        <item x="13"/>
        <item x="26"/>
        <item x="47"/>
        <item x="36"/>
        <item x="45"/>
        <item x="38"/>
        <item x="24"/>
        <item x="32"/>
        <item x="5"/>
        <item x="6"/>
        <item x="42"/>
        <item x="10"/>
        <item x="31"/>
        <item x="11"/>
        <item x="40"/>
        <item x="23"/>
        <item x="48"/>
        <item x="17"/>
        <item x="7"/>
        <item x="25"/>
        <item x="0"/>
        <item x="1"/>
        <item x="16"/>
        <item x="34"/>
        <item x="37"/>
        <item x="8"/>
        <item x="41"/>
        <item x="28"/>
        <item x="19"/>
        <item x="15"/>
        <item x="20"/>
        <item x="2"/>
        <item x="9"/>
        <item x="27"/>
        <item x="12"/>
        <item x="49"/>
        <item x="21"/>
        <item x="3"/>
        <item t="default"/>
      </items>
    </pivotField>
    <pivotField showAll="0">
      <items count="11">
        <item x="5"/>
        <item x="9"/>
        <item x="0"/>
        <item x="4"/>
        <item x="6"/>
        <item x="3"/>
        <item x="7"/>
        <item x="8"/>
        <item x="1"/>
        <item x="2"/>
        <item t="default"/>
      </items>
    </pivotField>
    <pivotField showAll="0"/>
    <pivotField dataField="1" showAll="0"/>
    <pivotField showAll="0"/>
    <pivotField showAll="0"/>
    <pivotField showAll="0"/>
    <pivotField showAll="0"/>
    <pivotField showAll="0"/>
    <pivotField showAll="0">
      <items count="4">
        <item x="2"/>
        <item x="1"/>
        <item x="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dataFields count="3">
    <dataField name="Count of Order ID" fld="0" subtotal="count" baseField="3" baseItem="0" numFmtId="43"/>
    <dataField name="Sum of Final Sales" fld="13" baseField="0" baseItem="0" numFmtId="44"/>
    <dataField name="Sum of Sales" fld="6" baseField="0" baseItem="0" numFmtId="44"/>
  </dataFields>
  <formats count="6">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fieldPosition="0">
        <references count="1">
          <reference field="3" count="0"/>
        </references>
      </pivotArea>
    </format>
    <format dxfId="24">
      <pivotArea dataOnly="0" labelOnly="1" grandRow="1" outline="0" fieldPosition="0"/>
    </format>
    <format dxfId="23">
      <pivotArea dataOnly="0" labelOnly="1" outline="0" fieldPosition="0">
        <references count="1">
          <reference field="4294967294" count="3">
            <x v="0"/>
            <x v="1"/>
            <x v="2"/>
          </reference>
        </references>
      </pivotArea>
    </format>
  </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2"/>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2"/>
          </reference>
        </references>
      </pivotArea>
    </chartFormat>
    <chartFormat chart="7"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 chart="13" format="13" series="1">
      <pivotArea type="data" outline="0" fieldPosition="0">
        <references count="1">
          <reference field="4294967294" count="1" selected="0">
            <x v="2"/>
          </reference>
        </references>
      </pivotArea>
    </chartFormat>
    <chartFormat chart="13" format="14" series="1">
      <pivotArea type="data" outline="0" fieldPosition="0">
        <references count="1">
          <reference field="4294967294" count="1" selected="0">
            <x v="0"/>
          </reference>
        </references>
      </pivotArea>
    </chartFormat>
    <chartFormat chart="15" format="18" series="1">
      <pivotArea type="data" outline="0" fieldPosition="0">
        <references count="1">
          <reference field="4294967294" count="1" selected="0">
            <x v="1"/>
          </reference>
        </references>
      </pivotArea>
    </chartFormat>
    <chartFormat chart="15" format="19" series="1">
      <pivotArea type="data" outline="0" fieldPosition="0">
        <references count="1">
          <reference field="4294967294" count="1" selected="0">
            <x v="2"/>
          </reference>
        </references>
      </pivotArea>
    </chartFormat>
    <chartFormat chart="15" format="20" series="1">
      <pivotArea type="data" outline="0" fieldPosition="0">
        <references count="1">
          <reference field="4294967294" count="1" selected="0">
            <x v="0"/>
          </reference>
        </references>
      </pivotArea>
    </chartFormat>
  </chart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9736D155-875E-4733-BD15-0C87A3CF4978}" sourceName="Order Type">
  <pivotTables>
    <pivotTable tabId="5" name="PivotTable1"/>
    <pivotTable tabId="7" name="PivotTable3"/>
    <pivotTable tabId="8" name="PivotTable4"/>
    <pivotTable tabId="6" name="PivotTable2"/>
  </pivotTables>
  <data>
    <tabular pivotCacheId="1995809060">
      <items count="10">
        <i x="5" s="1"/>
        <i x="9" s="1"/>
        <i x="0" s="1"/>
        <i x="4" s="1"/>
        <i x="6" s="1"/>
        <i x="3" s="1"/>
        <i x="7" s="1"/>
        <i x="8"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B76B5BB-6073-450E-A44E-95F2F1D1183E}" sourceName="Ship Mode">
  <pivotTables>
    <pivotTable tabId="5" name="PivotTable1"/>
    <pivotTable tabId="7" name="PivotTable3"/>
    <pivotTable tabId="8" name="PivotTable4"/>
    <pivotTable tabId="6" name="PivotTable2"/>
  </pivotTables>
  <data>
    <tabular pivotCacheId="19958090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Quantity" xr10:uid="{DD2A7F1F-E47C-4E1E-942D-0BCBD509C6F3}" sourceName="Order Quantity">
  <pivotTables>
    <pivotTable tabId="7" name="PivotTable3"/>
  </pivotTables>
  <data>
    <tabular pivotCacheId="1995809060">
      <items count="50">
        <i x="43" s="1"/>
        <i x="33" s="1"/>
        <i x="4" s="1"/>
        <i x="39" s="1"/>
        <i x="18" s="1"/>
        <i x="44" s="1"/>
        <i x="29" s="1"/>
        <i x="30" s="1"/>
        <i x="35" s="1"/>
        <i x="46" s="1"/>
        <i x="22" s="1"/>
        <i x="14" s="1"/>
        <i x="13" s="1"/>
        <i x="26" s="1"/>
        <i x="47" s="1"/>
        <i x="36" s="1"/>
        <i x="45" s="1"/>
        <i x="38" s="1"/>
        <i x="24" s="1"/>
        <i x="32" s="1"/>
        <i x="5" s="1"/>
        <i x="6" s="1"/>
        <i x="42" s="1"/>
        <i x="10" s="1"/>
        <i x="31" s="1"/>
        <i x="11" s="1"/>
        <i x="40" s="1"/>
        <i x="23" s="1"/>
        <i x="48" s="1"/>
        <i x="17" s="1"/>
        <i x="7" s="1"/>
        <i x="25" s="1"/>
        <i x="0" s="1"/>
        <i x="1" s="1"/>
        <i x="16" s="1"/>
        <i x="34" s="1"/>
        <i x="37" s="1"/>
        <i x="8" s="1"/>
        <i x="41" s="1"/>
        <i x="28" s="1"/>
        <i x="19" s="1"/>
        <i x="15" s="1"/>
        <i x="20" s="1"/>
        <i x="2" s="1"/>
        <i x="9" s="1"/>
        <i x="27" s="1"/>
        <i x="12" s="1"/>
        <i x="49" s="1"/>
        <i x="2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82CFE12-0ECD-4A49-9A8A-18068CD1BF40}" sourceName="Months (Order Date)">
  <pivotTables>
    <pivotTable tabId="5" name="PivotTable1"/>
    <pivotTable tabId="7" name="PivotTable3"/>
    <pivotTable tabId="8" name="PivotTable4"/>
    <pivotTable tabId="6" name="PivotTable2"/>
  </pivotTables>
  <data>
    <tabular pivotCacheId="199580906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18FD6A26-EBF8-45B5-849E-B14540E19E43}" cache="Slicer_Order_Type" caption="Order Type" style="SlicerStyleDark4" rowHeight="234950"/>
  <slicer name="Ship Mode" xr10:uid="{6BEE3B0F-C021-4963-A038-BA57315E5182}" cache="Slicer_Ship_Mode" caption="Ship Mode" style="SlicerStyleDark4" rowHeight="234950"/>
  <slicer name="Order Quantity" xr10:uid="{2EEE9C41-11A5-497E-A2D9-7B7148EBFC2D}" cache="Slicer_Order_Quantity" caption="Order Quantity" style="SlicerStyleDark4" rowHeight="234950"/>
  <slicer name="Months (Order Date)" xr10:uid="{452C9018-CE62-4090-AFCC-1763C6C9A59D}" cache="Slicer_Months__Order_Date" caption="Months (Order Date)"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4BF83-4F5D-4ED0-B225-E1E39595A925}" name="KPI_Table" displayName="KPI_Table" ref="A1:C15" headerRowDxfId="57" dataDxfId="55" totalsRowDxfId="53" headerRowBorderDxfId="56" tableBorderDxfId="54" totalsRowBorderDxfId="52">
  <autoFilter ref="A1:C15" xr:uid="{6E94BF83-4F5D-4ED0-B225-E1E39595A925}">
    <filterColumn colId="0" hiddenButton="1"/>
    <filterColumn colId="1" hiddenButton="1"/>
    <filterColumn colId="2" hiddenButton="1"/>
  </autoFilter>
  <tableColumns count="3">
    <tableColumn id="1" xr3:uid="{3C72AB24-273A-4002-BD13-8CDB56A32B9A}" name="Area" totalsRowLabel="Total" dataDxfId="51" totalsRowDxfId="50"/>
    <tableColumn id="2" xr3:uid="{C7DE4C7F-2527-4C0A-8BBF-094B7A342E21}" name="KPI Metric" dataDxfId="49" totalsRowDxfId="48"/>
    <tableColumn id="3" xr3:uid="{5479FD25-302F-42F9-9E61-8007E979F5FC}" name="KPI Value" totalsRowFunction="count" dataDxfId="47" totalsRowDxfId="46"/>
  </tableColumns>
  <tableStyleInfo name="TableStyleDark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76EF90-4A5F-4877-A777-314D3C81EC00}" name="Sales_Data" displayName="Sales_Data" ref="A1:O2101" totalsRowShown="0" headerRowDxfId="22" dataDxfId="21">
  <autoFilter ref="A1:O2101" xr:uid="{8876EF90-4A5F-4877-A777-314D3C81EC00}"/>
  <tableColumns count="15">
    <tableColumn id="1" xr3:uid="{83CE5DA1-A72E-47DC-97CA-85F7853618B2}" name="Order ID" dataDxfId="20"/>
    <tableColumn id="2" xr3:uid="{9A844670-996B-4126-996A-43F5A82097A9}" name="Order Date" dataDxfId="19"/>
    <tableColumn id="3" xr3:uid="{419B2D25-FDF4-4BEA-9F66-2058F3EE0A39}" name="Order Priority" dataDxfId="18"/>
    <tableColumn id="4" xr3:uid="{DBDAE964-5198-4822-9684-0B58C3AF5AA2}" name="Order Quantity" dataDxfId="17"/>
    <tableColumn id="5" xr3:uid="{6CA5EB35-E61E-4945-9046-631FF61D55BF}" name="Order Type"/>
    <tableColumn id="6" xr3:uid="{CF8E25F9-CD95-4F91-B787-C47FE4A641B2}" name="Expanded Order Type"/>
    <tableColumn id="7" xr3:uid="{335A0E29-0028-4CE7-BCC6-42F67A2B6652}" name="Sales" dataDxfId="16"/>
    <tableColumn id="8" xr3:uid="{E37DA482-745F-4905-BC25-E94E6CAE94AA}" name="Discount"/>
    <tableColumn id="20" xr3:uid="{5290EA5C-52A7-4774-A218-81D923C366A9}" name="Discount Amount" dataDxfId="15">
      <calculatedColumnFormula>Sales_Data[[#This Row],[Sales]]*Sales_Data[[#This Row],[Discount]]</calculatedColumnFormula>
    </tableColumn>
    <tableColumn id="9" xr3:uid="{2E9AA002-1955-4B7E-BEDD-AF899265D92D}" name="Sales with Discount"/>
    <tableColumn id="17" xr3:uid="{8897077B-B336-421E-BC9D-ACCBC59A0F3D}" name="Shipping Cost" dataDxfId="14"/>
    <tableColumn id="10" xr3:uid="{DBA81193-C00C-44CD-B64E-3CE781C75DBE}" name="Sales with Free Shipping" dataDxfId="13"/>
    <tableColumn id="11" xr3:uid="{2F24D636-67B3-4F49-8F98-84FA62331566}" name="Ship Mode" dataDxfId="12"/>
    <tableColumn id="19" xr3:uid="{7AA4DD9D-C12B-4B42-BFA9-020752567CBA}" name="Final Sales" dataDxfId="11">
      <calculatedColumnFormula>IF(Sales_Data[[#This Row],[Sales with Discount]]&lt;Sales_Data[[#This Row],[Sales with Free Shipping]],Sales_Data[[#This Row],[Sales with Discount]],Sales_Data[[#This Row],[Sales with Free Shipping]])</calculatedColumnFormula>
    </tableColumn>
    <tableColumn id="14" xr3:uid="{224FBAE1-CC4B-4780-B3E9-0BB4B9694D61}" name="Month Year" dataDxfId="10">
      <calculatedColumnFormula>TEXT(Sales_Data[[#This Row],[Order Date]], "MM-YYYY")</calculatedColumnFormula>
    </tableColumn>
  </tableColumns>
  <tableStyleInfo name="TableStyleDark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1116D8-7694-4205-9DB1-7F63A8D108E7}" name="Table1" displayName="Table1" ref="D1:O2101" totalsRowShown="0" headerRowDxfId="9" dataDxfId="8">
  <autoFilter ref="D1:O2101" xr:uid="{AE1116D8-7694-4205-9DB1-7F63A8D108E7}"/>
  <tableColumns count="12">
    <tableColumn id="1" xr3:uid="{DFF46808-7079-4CCB-9779-A91720E929C7}" name="Order ID" dataDxfId="7"/>
    <tableColumn id="2" xr3:uid="{EF375DD6-6230-4647-B1CA-44FAD272EEA4}" name="Order Date" dataDxfId="6"/>
    <tableColumn id="3" xr3:uid="{9B8783A2-3C26-48B2-946F-CF26A0F7C2A7}" name="Order Priority" dataDxfId="5"/>
    <tableColumn id="4" xr3:uid="{C544355F-3568-4179-BC3A-10F98E9ADEC0}" name="Order Quantity" dataDxfId="4"/>
    <tableColumn id="5" xr3:uid="{0ECD348B-C0F5-48D5-A6C1-5514AAAEFA5C}" name="Order Type">
      <calculatedColumnFormula>VLOOKUP(G2, $A$3:$B$12, 2, TRUE)</calculatedColumnFormula>
    </tableColumn>
    <tableColumn id="6" xr3:uid="{B6B27812-3980-41A8-8086-3AC69321DE3E}" name="Expanded Order Type">
      <calculatedColumnFormula>VLOOKUP(G2, $A$3:$B$12, 2, TRUE)</calculatedColumnFormula>
    </tableColumn>
    <tableColumn id="7" xr3:uid="{4F2DF1AB-0A09-49FA-83F4-FEBE16FB7F4D}" name="Sales" dataDxfId="3"/>
    <tableColumn id="8" xr3:uid="{093EB8F8-6DA1-45CA-BB25-E512A5CCCB13}" name="Discount">
      <calculatedColumnFormula>IF(OR(I2="Extra Large", I2="XX Large", I2="XXX Large"), 0.01, 0)</calculatedColumnFormula>
    </tableColumn>
    <tableColumn id="9" xr3:uid="{7484746C-07BA-458A-967A-0333BC95C086}" name="Sales with Discount">
      <calculatedColumnFormula>J2 * (1 - K2)</calculatedColumnFormula>
    </tableColumn>
    <tableColumn id="10" xr3:uid="{A21F2D58-A8AF-4470-9D8C-48B325E0F66E}" name="Sales with Free Shipping" dataDxfId="2">
      <calculatedColumnFormula>IF(OR(I2="Extra Large",I2="XX Large",I2="XXX Large"),J2-O2,J2)</calculatedColumnFormula>
    </tableColumn>
    <tableColumn id="11" xr3:uid="{C294A4A8-81C0-44FD-B30B-2DD7FFFBD276}" name="Ship Mode" dataDxfId="1"/>
    <tableColumn id="12" xr3:uid="{964B1159-3BA4-498F-9DB9-BAB621F936E3}" name="Shipping Cost" dataDxfId="0"/>
  </tableColumns>
  <tableStyleInfo name="TableStyleLight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68711-8A63-4399-9F83-8C57D06066EA}">
  <sheetPr>
    <tabColor theme="7" tint="-0.499984740745262"/>
  </sheetPr>
  <dimension ref="A1:Z19"/>
  <sheetViews>
    <sheetView tabSelected="1" zoomScaleNormal="100" workbookViewId="0">
      <selection activeCell="E3" sqref="E3"/>
    </sheetView>
  </sheetViews>
  <sheetFormatPr defaultRowHeight="14.4" x14ac:dyDescent="0.3"/>
  <cols>
    <col min="1" max="1" width="2.44140625" style="29" customWidth="1"/>
    <col min="2" max="4" width="8.88671875" style="29"/>
    <col min="5" max="5" width="2.44140625" style="29" customWidth="1"/>
    <col min="6" max="6" width="0.6640625" style="29" customWidth="1"/>
    <col min="7" max="7" width="12.77734375" style="29" customWidth="1"/>
    <col min="8" max="8" width="17.21875" style="29" bestFit="1" customWidth="1"/>
    <col min="9" max="9" width="2.44140625" style="29" customWidth="1"/>
    <col min="10" max="10" width="8.88671875" style="29" customWidth="1"/>
    <col min="11" max="11" width="10.109375" style="29" customWidth="1"/>
    <col min="12" max="12" width="15.77734375" style="29" customWidth="1"/>
    <col min="13" max="13" width="2.44140625" style="29" customWidth="1"/>
    <col min="14" max="14" width="8.88671875" style="29" customWidth="1"/>
    <col min="15" max="15" width="11.88671875" style="29" customWidth="1"/>
    <col min="16" max="16" width="15.44140625" style="29" customWidth="1"/>
    <col min="17" max="17" width="2.44140625" style="29" customWidth="1"/>
    <col min="18" max="18" width="8.88671875" style="29"/>
    <col min="19" max="19" width="10.5546875" style="29" customWidth="1"/>
    <col min="20" max="20" width="12.6640625" style="29" customWidth="1"/>
    <col min="21" max="21" width="2.44140625" style="29" customWidth="1"/>
    <col min="22" max="22" width="8.88671875" style="29"/>
    <col min="23" max="23" width="10.5546875" style="29" customWidth="1"/>
    <col min="24" max="24" width="9.5546875" style="29" customWidth="1"/>
    <col min="25" max="26" width="2.44140625" style="29" customWidth="1"/>
    <col min="27" max="16384" width="8.88671875" style="29"/>
  </cols>
  <sheetData>
    <row r="1" spans="1:26" ht="20.399999999999999" customHeight="1" x14ac:dyDescent="0.3">
      <c r="A1" s="31" t="s">
        <v>72</v>
      </c>
      <c r="B1" s="31"/>
      <c r="C1" s="31"/>
      <c r="D1" s="31"/>
      <c r="E1" s="31"/>
      <c r="F1" s="31"/>
      <c r="G1" s="31"/>
      <c r="H1" s="31"/>
      <c r="I1" s="31"/>
      <c r="J1" s="31"/>
      <c r="K1" s="31"/>
      <c r="L1" s="31"/>
      <c r="M1" s="31"/>
      <c r="N1" s="31"/>
      <c r="O1" s="31"/>
      <c r="P1" s="31"/>
      <c r="Q1" s="31"/>
      <c r="R1" s="31"/>
      <c r="S1" s="31"/>
      <c r="T1" s="31"/>
      <c r="U1" s="31"/>
      <c r="V1" s="31"/>
      <c r="W1" s="31"/>
      <c r="X1" s="31"/>
      <c r="Y1" s="31"/>
      <c r="Z1" s="31"/>
    </row>
    <row r="2" spans="1:26" ht="14.4" customHeight="1" x14ac:dyDescent="0.3">
      <c r="G2" s="36" t="s">
        <v>33</v>
      </c>
      <c r="H2" s="37">
        <f>SUM(Sales_Data[Final Sales])</f>
        <v>3958079.4379860018</v>
      </c>
      <c r="J2" s="36" t="s">
        <v>36</v>
      </c>
      <c r="K2" s="36"/>
      <c r="L2" s="38">
        <f>SUM(Sales_Data[Shipping Cost])</f>
        <v>29029.100000000002</v>
      </c>
      <c r="N2" s="36" t="s">
        <v>39</v>
      </c>
      <c r="O2" s="36"/>
      <c r="P2" s="38">
        <f>SUM(Sales_Data[Discount Amount])</f>
        <v>18081.666237999998</v>
      </c>
      <c r="R2" s="36" t="s">
        <v>34</v>
      </c>
      <c r="S2" s="36"/>
      <c r="T2" s="37">
        <f>AVERAGE(Sales_Data[Final Sales])</f>
        <v>1884.7997323742866</v>
      </c>
      <c r="V2" s="34" t="s">
        <v>37</v>
      </c>
      <c r="W2" s="34"/>
      <c r="X2" s="35">
        <f>AVERAGE(Sales_Data[Shipping Cost])</f>
        <v>13.823380952380953</v>
      </c>
    </row>
    <row r="3" spans="1:26" ht="14.4" customHeight="1" x14ac:dyDescent="0.3">
      <c r="G3" s="36"/>
      <c r="H3" s="37"/>
      <c r="J3" s="36"/>
      <c r="K3" s="36"/>
      <c r="L3" s="38"/>
      <c r="N3" s="36"/>
      <c r="O3" s="36"/>
      <c r="P3" s="38"/>
      <c r="R3" s="36"/>
      <c r="S3" s="36"/>
      <c r="T3" s="37"/>
      <c r="V3" s="34"/>
      <c r="W3" s="34"/>
      <c r="X3" s="35"/>
    </row>
    <row r="4" spans="1:26" x14ac:dyDescent="0.3">
      <c r="F4" s="33" t="s">
        <v>74</v>
      </c>
      <c r="N4" s="33" t="s">
        <v>75</v>
      </c>
    </row>
    <row r="18" spans="6:6" ht="11.4" customHeight="1" x14ac:dyDescent="0.3"/>
    <row r="19" spans="6:6" x14ac:dyDescent="0.3">
      <c r="F19" s="33" t="s">
        <v>73</v>
      </c>
    </row>
  </sheetData>
  <mergeCells count="11">
    <mergeCell ref="A1:Z1"/>
    <mergeCell ref="X2:X3"/>
    <mergeCell ref="P2:P3"/>
    <mergeCell ref="V2:W3"/>
    <mergeCell ref="R2:S3"/>
    <mergeCell ref="T2:T3"/>
    <mergeCell ref="J2:K3"/>
    <mergeCell ref="N2:O3"/>
    <mergeCell ref="G2:G3"/>
    <mergeCell ref="H2:H3"/>
    <mergeCell ref="L2: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24B94-9891-4D4B-98E7-3B64EF017354}">
  <sheetPr>
    <tabColor theme="7" tint="-0.499984740745262"/>
  </sheetPr>
  <dimension ref="A1:C15"/>
  <sheetViews>
    <sheetView workbookViewId="0">
      <selection activeCell="E7" sqref="E7"/>
    </sheetView>
  </sheetViews>
  <sheetFormatPr defaultRowHeight="15.6" x14ac:dyDescent="0.3"/>
  <cols>
    <col min="1" max="1" width="21.5546875" style="10" bestFit="1" customWidth="1"/>
    <col min="2" max="2" width="35.21875" style="10" bestFit="1" customWidth="1"/>
    <col min="3" max="3" width="40.33203125" style="10" bestFit="1" customWidth="1"/>
    <col min="4" max="16384" width="8.88671875" style="10"/>
  </cols>
  <sheetData>
    <row r="1" spans="1:3" ht="17.399999999999999" x14ac:dyDescent="0.3">
      <c r="A1" s="26" t="s">
        <v>31</v>
      </c>
      <c r="B1" s="27" t="s">
        <v>32</v>
      </c>
      <c r="C1" s="28" t="s">
        <v>71</v>
      </c>
    </row>
    <row r="2" spans="1:3" ht="18" x14ac:dyDescent="0.3">
      <c r="A2" s="13" t="s">
        <v>46</v>
      </c>
      <c r="B2" s="14" t="s">
        <v>33</v>
      </c>
      <c r="C2" s="15">
        <f>SUM(Sales_Data[Final Sales])</f>
        <v>3958079.4379860018</v>
      </c>
    </row>
    <row r="3" spans="1:3" ht="18" x14ac:dyDescent="0.3">
      <c r="A3" s="13"/>
      <c r="B3" s="14" t="s">
        <v>34</v>
      </c>
      <c r="C3" s="15">
        <f>AVERAGE(Sales_Data[Final Sales])</f>
        <v>1884.7997323742866</v>
      </c>
    </row>
    <row r="4" spans="1:3" ht="18" x14ac:dyDescent="0.3">
      <c r="A4" s="13"/>
      <c r="B4" s="14" t="s">
        <v>35</v>
      </c>
      <c r="C4" s="12">
        <f>COUNTA(Sales_Data[Order ID])</f>
        <v>2100</v>
      </c>
    </row>
    <row r="5" spans="1:3" ht="18" x14ac:dyDescent="0.3">
      <c r="A5" s="13" t="s">
        <v>47</v>
      </c>
      <c r="B5" s="14" t="s">
        <v>36</v>
      </c>
      <c r="C5" s="15">
        <f>SUM(Sales_Data[Shipping Cost])</f>
        <v>29029.100000000002</v>
      </c>
    </row>
    <row r="6" spans="1:3" ht="18" x14ac:dyDescent="0.3">
      <c r="A6" s="13"/>
      <c r="B6" s="14" t="s">
        <v>37</v>
      </c>
      <c r="C6" s="15">
        <f>AVERAGE(Sales_Data[Shipping Cost])</f>
        <v>13.823380952380953</v>
      </c>
    </row>
    <row r="7" spans="1:3" ht="18" x14ac:dyDescent="0.3">
      <c r="A7" s="13"/>
      <c r="B7" s="14" t="s">
        <v>38</v>
      </c>
      <c r="C7" s="30">
        <f>C5/C2</f>
        <v>7.3341377945590055E-3</v>
      </c>
    </row>
    <row r="8" spans="1:3" ht="18" x14ac:dyDescent="0.3">
      <c r="A8" s="13" t="s">
        <v>48</v>
      </c>
      <c r="B8" s="14" t="s">
        <v>39</v>
      </c>
      <c r="C8" s="15">
        <f>SUM(Sales_Data[Discount Amount])</f>
        <v>18081.666237999998</v>
      </c>
    </row>
    <row r="9" spans="1:3" ht="18" x14ac:dyDescent="0.3">
      <c r="A9" s="13"/>
      <c r="B9" s="14" t="s">
        <v>44</v>
      </c>
      <c r="C9" s="15">
        <f>AVERAGE(Sales_Data[Discount Amount])</f>
        <v>8.6103172561904753</v>
      </c>
    </row>
    <row r="10" spans="1:3" ht="18" x14ac:dyDescent="0.3">
      <c r="A10" s="13" t="s">
        <v>49</v>
      </c>
      <c r="B10" s="16" t="s">
        <v>40</v>
      </c>
      <c r="C10" s="17" t="s">
        <v>41</v>
      </c>
    </row>
    <row r="11" spans="1:3" x14ac:dyDescent="0.3">
      <c r="A11" s="18" t="s">
        <v>7</v>
      </c>
      <c r="B11" s="15">
        <f>SUMIF(Sales_Data[Order Priority],"Low",Sales_Data[Final Sales])</f>
        <v>840642.10344699945</v>
      </c>
      <c r="C11" s="12">
        <f>COUNTIF(Sales_Data[Order Priority],"Low")</f>
        <v>430</v>
      </c>
    </row>
    <row r="12" spans="1:3" x14ac:dyDescent="0.3">
      <c r="A12" s="18" t="s">
        <v>14</v>
      </c>
      <c r="B12" s="15">
        <f>SUMIF(Sales_Data[Order Priority],"Medium",Sales_Data[Final Sales])</f>
        <v>617294.71762300038</v>
      </c>
      <c r="C12" s="12">
        <f>COUNTIF(Sales_Data[Order Priority],"Medium")</f>
        <v>387</v>
      </c>
    </row>
    <row r="13" spans="1:3" x14ac:dyDescent="0.3">
      <c r="A13" s="18" t="s">
        <v>45</v>
      </c>
      <c r="B13" s="15">
        <f>SUMIF(Sales_Data[Order Priority],"High",Sales_Data[Final Sales])</f>
        <v>970829.52733000065</v>
      </c>
      <c r="C13" s="12">
        <f>COUNTIF(Sales_Data[Order Priority],"High")</f>
        <v>448</v>
      </c>
    </row>
    <row r="14" spans="1:3" x14ac:dyDescent="0.3">
      <c r="A14" s="18" t="s">
        <v>12</v>
      </c>
      <c r="B14" s="15">
        <f>SUMIF(Sales_Data[Order Priority],"Critical",Sales_Data[Final Sales])</f>
        <v>742899.88790700026</v>
      </c>
      <c r="C14" s="12">
        <f>COUNTIF(Sales_Data[Order Priority],"Critical")</f>
        <v>411</v>
      </c>
    </row>
    <row r="15" spans="1:3" x14ac:dyDescent="0.3">
      <c r="A15" s="25" t="s">
        <v>11</v>
      </c>
      <c r="B15" s="15">
        <f>SUMIF(Sales_Data[Order Priority],"Not Specified",Sales_Data[Final Sales])</f>
        <v>786413.20167899935</v>
      </c>
      <c r="C15" s="24">
        <f>COUNTIF(Sales_Data[Order Priority],"Not Specified")</f>
        <v>424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E084-EBCE-498F-B132-F4FB6A6516E4}">
  <sheetPr>
    <tabColor theme="7" tint="-0.249977111117893"/>
  </sheetPr>
  <dimension ref="A1:C14"/>
  <sheetViews>
    <sheetView workbookViewId="0">
      <selection sqref="A1:XFD1048576"/>
    </sheetView>
  </sheetViews>
  <sheetFormatPr defaultRowHeight="14.4" x14ac:dyDescent="0.3"/>
  <cols>
    <col min="1" max="1" width="12.5546875" bestFit="1" customWidth="1"/>
    <col min="2" max="2" width="16.21875" bestFit="1" customWidth="1"/>
    <col min="3" max="3" width="14.109375" bestFit="1" customWidth="1"/>
  </cols>
  <sheetData>
    <row r="1" spans="1:3" x14ac:dyDescent="0.3">
      <c r="A1" s="19" t="s">
        <v>50</v>
      </c>
      <c r="B1" s="20" t="s">
        <v>66</v>
      </c>
      <c r="C1" s="20" t="s">
        <v>68</v>
      </c>
    </row>
    <row r="2" spans="1:3" x14ac:dyDescent="0.3">
      <c r="A2" s="21" t="s">
        <v>52</v>
      </c>
      <c r="B2">
        <v>388031.70255500008</v>
      </c>
      <c r="C2">
        <v>390366.05019999988</v>
      </c>
    </row>
    <row r="3" spans="1:3" x14ac:dyDescent="0.3">
      <c r="A3" s="21" t="s">
        <v>53</v>
      </c>
      <c r="B3">
        <v>265090.86300199991</v>
      </c>
      <c r="C3">
        <v>266845.40539999981</v>
      </c>
    </row>
    <row r="4" spans="1:3" x14ac:dyDescent="0.3">
      <c r="A4" s="21" t="s">
        <v>54</v>
      </c>
      <c r="B4">
        <v>371191.80522899999</v>
      </c>
      <c r="C4">
        <v>372582.92490000004</v>
      </c>
    </row>
    <row r="5" spans="1:3" x14ac:dyDescent="0.3">
      <c r="A5" s="21" t="s">
        <v>55</v>
      </c>
      <c r="B5">
        <v>285255.99784500001</v>
      </c>
      <c r="C5">
        <v>286786.70959999994</v>
      </c>
    </row>
    <row r="6" spans="1:3" x14ac:dyDescent="0.3">
      <c r="A6" s="21" t="s">
        <v>56</v>
      </c>
      <c r="B6">
        <v>409644.36628299986</v>
      </c>
      <c r="C6">
        <v>411509.22300000011</v>
      </c>
    </row>
    <row r="7" spans="1:3" x14ac:dyDescent="0.3">
      <c r="A7" s="21" t="s">
        <v>57</v>
      </c>
      <c r="B7">
        <v>294263.47309600003</v>
      </c>
      <c r="C7">
        <v>295941.64450000017</v>
      </c>
    </row>
    <row r="8" spans="1:3" x14ac:dyDescent="0.3">
      <c r="A8" s="21" t="s">
        <v>58</v>
      </c>
      <c r="B8">
        <v>258447.76240499993</v>
      </c>
      <c r="C8">
        <v>259806.40369999997</v>
      </c>
    </row>
    <row r="9" spans="1:3" x14ac:dyDescent="0.3">
      <c r="A9" s="21" t="s">
        <v>59</v>
      </c>
      <c r="B9">
        <v>322435.11230000004</v>
      </c>
      <c r="C9">
        <v>323937.31810000009</v>
      </c>
    </row>
    <row r="10" spans="1:3" x14ac:dyDescent="0.3">
      <c r="A10" s="21" t="s">
        <v>60</v>
      </c>
      <c r="B10">
        <v>339092.96763299976</v>
      </c>
      <c r="C10">
        <v>340550.66199999984</v>
      </c>
    </row>
    <row r="11" spans="1:3" x14ac:dyDescent="0.3">
      <c r="A11" s="21" t="s">
        <v>61</v>
      </c>
      <c r="B11">
        <v>374107.30063100008</v>
      </c>
      <c r="C11">
        <v>375834.00600000011</v>
      </c>
    </row>
    <row r="12" spans="1:3" x14ac:dyDescent="0.3">
      <c r="A12" s="21" t="s">
        <v>62</v>
      </c>
      <c r="B12">
        <v>272696.60459</v>
      </c>
      <c r="C12">
        <v>273941.5232</v>
      </c>
    </row>
    <row r="13" spans="1:3" x14ac:dyDescent="0.3">
      <c r="A13" s="21" t="s">
        <v>63</v>
      </c>
      <c r="B13">
        <v>377821.48241700011</v>
      </c>
      <c r="C13">
        <v>379538.99300000007</v>
      </c>
    </row>
    <row r="14" spans="1:3" x14ac:dyDescent="0.3">
      <c r="A14" s="21" t="s">
        <v>51</v>
      </c>
      <c r="B14">
        <v>3958079.437986</v>
      </c>
      <c r="C14">
        <v>3977640.8636000007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A800C-6E70-4F36-B5C1-0F87D7F7915C}">
  <sheetPr>
    <tabColor theme="7" tint="-0.249977111117893"/>
  </sheetPr>
  <dimension ref="A1:D5"/>
  <sheetViews>
    <sheetView workbookViewId="0">
      <selection activeCell="J4" sqref="J4"/>
    </sheetView>
  </sheetViews>
  <sheetFormatPr defaultRowHeight="14.4" x14ac:dyDescent="0.3"/>
  <cols>
    <col min="1" max="1" width="12.88671875" bestFit="1" customWidth="1"/>
    <col min="2" max="2" width="28.21875" bestFit="1" customWidth="1"/>
    <col min="3" max="3" width="14.109375" bestFit="1" customWidth="1"/>
    <col min="4" max="4" width="19.6640625" bestFit="1" customWidth="1"/>
  </cols>
  <sheetData>
    <row r="1" spans="1:4" x14ac:dyDescent="0.3">
      <c r="A1" s="22" t="s">
        <v>50</v>
      </c>
      <c r="B1" t="s">
        <v>65</v>
      </c>
      <c r="C1" t="s">
        <v>68</v>
      </c>
      <c r="D1" t="s">
        <v>70</v>
      </c>
    </row>
    <row r="2" spans="1:4" x14ac:dyDescent="0.3">
      <c r="A2" s="23" t="s">
        <v>13</v>
      </c>
      <c r="B2">
        <v>1651492.0664000004</v>
      </c>
      <c r="C2">
        <v>1655415.3663999997</v>
      </c>
      <c r="D2">
        <v>0.99763002079137919</v>
      </c>
    </row>
    <row r="3" spans="1:4" x14ac:dyDescent="0.3">
      <c r="A3" s="23" t="s">
        <v>8</v>
      </c>
      <c r="B3">
        <v>277063.06060000014</v>
      </c>
      <c r="C3">
        <v>277701.86060000007</v>
      </c>
      <c r="D3">
        <v>0.99769969132140579</v>
      </c>
    </row>
    <row r="4" spans="1:4" x14ac:dyDescent="0.3">
      <c r="A4" s="23" t="s">
        <v>10</v>
      </c>
      <c r="B4">
        <v>2040639.8366000014</v>
      </c>
      <c r="C4">
        <v>2044523.6366000001</v>
      </c>
      <c r="D4">
        <v>0.99810038879938934</v>
      </c>
    </row>
    <row r="5" spans="1:4" x14ac:dyDescent="0.3">
      <c r="A5" s="23" t="s">
        <v>51</v>
      </c>
      <c r="B5">
        <v>3969194.9636000022</v>
      </c>
      <c r="C5">
        <v>3977640.8635999998</v>
      </c>
      <c r="D5">
        <v>0.99787665596527619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1013-2E90-43D3-8ADB-999CF8FCAA2D}">
  <sheetPr>
    <tabColor theme="7" tint="-0.249977111117893"/>
  </sheetPr>
  <dimension ref="A1:D12"/>
  <sheetViews>
    <sheetView workbookViewId="0">
      <selection activeCell="B2" sqref="B2:D12"/>
    </sheetView>
  </sheetViews>
  <sheetFormatPr defaultRowHeight="14.4" x14ac:dyDescent="0.3"/>
  <cols>
    <col min="1" max="1" width="13.44140625" bestFit="1" customWidth="1"/>
    <col min="2" max="2" width="24.109375" bestFit="1" customWidth="1"/>
    <col min="3" max="3" width="14.109375" bestFit="1" customWidth="1"/>
    <col min="4" max="4" width="22.6640625" bestFit="1" customWidth="1"/>
    <col min="5" max="5" width="22.44140625" bestFit="1" customWidth="1"/>
  </cols>
  <sheetData>
    <row r="1" spans="1:4" x14ac:dyDescent="0.3">
      <c r="A1" s="11" t="s">
        <v>50</v>
      </c>
      <c r="B1" s="20" t="s">
        <v>64</v>
      </c>
      <c r="C1" s="20" t="s">
        <v>68</v>
      </c>
      <c r="D1" s="20" t="s">
        <v>69</v>
      </c>
    </row>
    <row r="2" spans="1:4" x14ac:dyDescent="0.3">
      <c r="A2" s="23" t="s">
        <v>22</v>
      </c>
      <c r="B2">
        <v>472996.8465749998</v>
      </c>
      <c r="C2">
        <v>477774.59249999985</v>
      </c>
      <c r="D2">
        <v>4777.745925000002</v>
      </c>
    </row>
    <row r="3" spans="1:4" x14ac:dyDescent="0.3">
      <c r="A3" s="23" t="s">
        <v>17</v>
      </c>
      <c r="B3">
        <v>303685.67430000001</v>
      </c>
      <c r="C3">
        <v>303685.67430000001</v>
      </c>
      <c r="D3">
        <v>0</v>
      </c>
    </row>
    <row r="4" spans="1:4" x14ac:dyDescent="0.3">
      <c r="A4" s="23" t="s">
        <v>21</v>
      </c>
      <c r="B4">
        <v>495139.8019000002</v>
      </c>
      <c r="C4">
        <v>495139.8019000002</v>
      </c>
      <c r="D4">
        <v>0</v>
      </c>
    </row>
    <row r="5" spans="1:4" x14ac:dyDescent="0.3">
      <c r="A5" s="23" t="s">
        <v>14</v>
      </c>
      <c r="B5">
        <v>295191.88800000021</v>
      </c>
      <c r="C5">
        <v>295191.88800000021</v>
      </c>
      <c r="D5">
        <v>0</v>
      </c>
    </row>
    <row r="6" spans="1:4" x14ac:dyDescent="0.3">
      <c r="A6" s="23" t="s">
        <v>20</v>
      </c>
      <c r="B6">
        <v>507952.12890000036</v>
      </c>
      <c r="C6">
        <v>507952.12890000036</v>
      </c>
      <c r="D6">
        <v>0</v>
      </c>
    </row>
    <row r="7" spans="1:4" x14ac:dyDescent="0.3">
      <c r="A7" s="23" t="s">
        <v>16</v>
      </c>
      <c r="B7">
        <v>115722.36129999996</v>
      </c>
      <c r="C7">
        <v>115722.36129999996</v>
      </c>
      <c r="D7">
        <v>0</v>
      </c>
    </row>
    <row r="8" spans="1:4" x14ac:dyDescent="0.3">
      <c r="A8" s="23" t="s">
        <v>18</v>
      </c>
      <c r="B8">
        <v>231737.09810000006</v>
      </c>
      <c r="C8">
        <v>231737.09810000006</v>
      </c>
      <c r="D8">
        <v>0</v>
      </c>
    </row>
    <row r="9" spans="1:4" x14ac:dyDescent="0.3">
      <c r="A9" s="23" t="s">
        <v>19</v>
      </c>
      <c r="B9">
        <v>220045.28729999997</v>
      </c>
      <c r="C9">
        <v>220045.28729999997</v>
      </c>
      <c r="D9">
        <v>0</v>
      </c>
    </row>
    <row r="10" spans="1:4" x14ac:dyDescent="0.3">
      <c r="A10" s="23" t="s">
        <v>23</v>
      </c>
      <c r="B10">
        <v>595709.84345400007</v>
      </c>
      <c r="C10">
        <v>601727.11459999997</v>
      </c>
      <c r="D10">
        <v>6017.2711459999991</v>
      </c>
    </row>
    <row r="11" spans="1:4" x14ac:dyDescent="0.3">
      <c r="A11" s="23" t="s">
        <v>24</v>
      </c>
      <c r="B11">
        <v>721378.26753300021</v>
      </c>
      <c r="C11">
        <v>728664.91670000018</v>
      </c>
      <c r="D11">
        <v>7286.6491670000005</v>
      </c>
    </row>
    <row r="12" spans="1:4" x14ac:dyDescent="0.3">
      <c r="A12" s="23" t="s">
        <v>51</v>
      </c>
      <c r="B12">
        <v>3959559.1973620006</v>
      </c>
      <c r="C12">
        <v>3977640.8636000007</v>
      </c>
      <c r="D12">
        <v>18081.666238000002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8FDDA-5B85-4D71-A3DC-BD06DB1883CB}">
  <sheetPr>
    <tabColor theme="7" tint="-0.249977111117893"/>
  </sheetPr>
  <dimension ref="A1:D52"/>
  <sheetViews>
    <sheetView workbookViewId="0">
      <selection activeCell="E18" sqref="E18"/>
    </sheetView>
  </sheetViews>
  <sheetFormatPr defaultRowHeight="14.4" x14ac:dyDescent="0.3"/>
  <cols>
    <col min="1" max="1" width="12.5546875" bestFit="1" customWidth="1"/>
    <col min="2" max="2" width="15.88671875" bestFit="1" customWidth="1"/>
    <col min="3" max="3" width="16.33203125" bestFit="1" customWidth="1"/>
    <col min="4" max="4" width="14.109375" bestFit="1" customWidth="1"/>
  </cols>
  <sheetData>
    <row r="1" spans="1:4" x14ac:dyDescent="0.3">
      <c r="A1" s="11" t="s">
        <v>50</v>
      </c>
      <c r="B1" t="s">
        <v>67</v>
      </c>
      <c r="C1" t="s">
        <v>66</v>
      </c>
      <c r="D1" t="s">
        <v>68</v>
      </c>
    </row>
    <row r="2" spans="1:4" x14ac:dyDescent="0.3">
      <c r="A2" s="3">
        <v>1</v>
      </c>
      <c r="B2">
        <v>37</v>
      </c>
      <c r="C2">
        <v>17227.606299999996</v>
      </c>
      <c r="D2">
        <v>17227.606299999996</v>
      </c>
    </row>
    <row r="3" spans="1:4" x14ac:dyDescent="0.3">
      <c r="A3" s="3">
        <v>2</v>
      </c>
      <c r="B3">
        <v>37</v>
      </c>
      <c r="C3">
        <v>7951.7855999999983</v>
      </c>
      <c r="D3">
        <v>7951.7855999999983</v>
      </c>
    </row>
    <row r="4" spans="1:4" x14ac:dyDescent="0.3">
      <c r="A4" s="3">
        <v>3</v>
      </c>
      <c r="B4">
        <v>52</v>
      </c>
      <c r="C4">
        <v>27460.005399999998</v>
      </c>
      <c r="D4">
        <v>27460.005399999998</v>
      </c>
    </row>
    <row r="5" spans="1:4" x14ac:dyDescent="0.3">
      <c r="A5" s="3">
        <v>4</v>
      </c>
      <c r="B5">
        <v>53</v>
      </c>
      <c r="C5">
        <v>45641.082000000017</v>
      </c>
      <c r="D5">
        <v>45641.082000000017</v>
      </c>
    </row>
    <row r="6" spans="1:4" x14ac:dyDescent="0.3">
      <c r="A6" s="3">
        <v>5</v>
      </c>
      <c r="B6">
        <v>53</v>
      </c>
      <c r="C6">
        <v>17441.881999999998</v>
      </c>
      <c r="D6">
        <v>17441.881999999998</v>
      </c>
    </row>
    <row r="7" spans="1:4" x14ac:dyDescent="0.3">
      <c r="A7" s="3">
        <v>6</v>
      </c>
      <c r="B7">
        <v>40</v>
      </c>
      <c r="C7">
        <v>42728.499900000003</v>
      </c>
      <c r="D7">
        <v>42728.499900000003</v>
      </c>
    </row>
    <row r="8" spans="1:4" x14ac:dyDescent="0.3">
      <c r="A8" s="3">
        <v>7</v>
      </c>
      <c r="B8">
        <v>48</v>
      </c>
      <c r="C8">
        <v>55224.4041</v>
      </c>
      <c r="D8">
        <v>55224.4041</v>
      </c>
    </row>
    <row r="9" spans="1:4" x14ac:dyDescent="0.3">
      <c r="A9" s="3">
        <v>8</v>
      </c>
      <c r="B9">
        <v>38</v>
      </c>
      <c r="C9">
        <v>59561.567300000017</v>
      </c>
      <c r="D9">
        <v>59561.567300000017</v>
      </c>
    </row>
    <row r="10" spans="1:4" x14ac:dyDescent="0.3">
      <c r="A10" s="3">
        <v>9</v>
      </c>
      <c r="B10">
        <v>31</v>
      </c>
      <c r="C10">
        <v>116487.55879999997</v>
      </c>
      <c r="D10">
        <v>116487.55879999997</v>
      </c>
    </row>
    <row r="11" spans="1:4" x14ac:dyDescent="0.3">
      <c r="A11" s="3">
        <v>10</v>
      </c>
      <c r="B11">
        <v>46</v>
      </c>
      <c r="C11">
        <v>29683.644199999999</v>
      </c>
      <c r="D11">
        <v>29683.644199999999</v>
      </c>
    </row>
    <row r="12" spans="1:4" x14ac:dyDescent="0.3">
      <c r="A12" s="3">
        <v>11</v>
      </c>
      <c r="B12">
        <v>37</v>
      </c>
      <c r="C12">
        <v>62939.638300000006</v>
      </c>
      <c r="D12">
        <v>62939.638300000006</v>
      </c>
    </row>
    <row r="13" spans="1:4" x14ac:dyDescent="0.3">
      <c r="A13" s="3">
        <v>12</v>
      </c>
      <c r="B13">
        <v>41</v>
      </c>
      <c r="C13">
        <v>45975.535000000003</v>
      </c>
      <c r="D13">
        <v>45975.535000000003</v>
      </c>
    </row>
    <row r="14" spans="1:4" x14ac:dyDescent="0.3">
      <c r="A14" s="3">
        <v>13</v>
      </c>
      <c r="B14">
        <v>36</v>
      </c>
      <c r="C14">
        <v>38502.849000000002</v>
      </c>
      <c r="D14">
        <v>38502.849000000002</v>
      </c>
    </row>
    <row r="15" spans="1:4" x14ac:dyDescent="0.3">
      <c r="A15" s="3">
        <v>14</v>
      </c>
      <c r="B15">
        <v>33</v>
      </c>
      <c r="C15">
        <v>42412.439099999996</v>
      </c>
      <c r="D15">
        <v>42412.439099999996</v>
      </c>
    </row>
    <row r="16" spans="1:4" x14ac:dyDescent="0.3">
      <c r="A16" s="3">
        <v>15</v>
      </c>
      <c r="B16">
        <v>25</v>
      </c>
      <c r="C16">
        <v>41906.636700000003</v>
      </c>
      <c r="D16">
        <v>41906.636700000003</v>
      </c>
    </row>
    <row r="17" spans="1:4" x14ac:dyDescent="0.3">
      <c r="A17" s="3">
        <v>16</v>
      </c>
      <c r="B17">
        <v>49</v>
      </c>
      <c r="C17">
        <v>57672.069800000005</v>
      </c>
      <c r="D17">
        <v>57672.069800000005</v>
      </c>
    </row>
    <row r="18" spans="1:4" x14ac:dyDescent="0.3">
      <c r="A18" s="3">
        <v>17</v>
      </c>
      <c r="B18">
        <v>40</v>
      </c>
      <c r="C18">
        <v>43536.60679999998</v>
      </c>
      <c r="D18">
        <v>43536.60679999998</v>
      </c>
    </row>
    <row r="19" spans="1:4" x14ac:dyDescent="0.3">
      <c r="A19" s="3">
        <v>18</v>
      </c>
      <c r="B19">
        <v>37</v>
      </c>
      <c r="C19">
        <v>38627.067999999992</v>
      </c>
      <c r="D19">
        <v>38627.067999999992</v>
      </c>
    </row>
    <row r="20" spans="1:4" x14ac:dyDescent="0.3">
      <c r="A20" s="3">
        <v>19</v>
      </c>
      <c r="B20">
        <v>39</v>
      </c>
      <c r="C20">
        <v>36621.437100000003</v>
      </c>
      <c r="D20">
        <v>36621.437100000003</v>
      </c>
    </row>
    <row r="21" spans="1:4" x14ac:dyDescent="0.3">
      <c r="A21" s="3">
        <v>20</v>
      </c>
      <c r="B21">
        <v>38</v>
      </c>
      <c r="C21">
        <v>43588.105599999995</v>
      </c>
      <c r="D21">
        <v>43588.105599999995</v>
      </c>
    </row>
    <row r="22" spans="1:4" x14ac:dyDescent="0.3">
      <c r="A22" s="3">
        <v>21</v>
      </c>
      <c r="B22">
        <v>39</v>
      </c>
      <c r="C22">
        <v>55596.36529999999</v>
      </c>
      <c r="D22">
        <v>55596.36529999999</v>
      </c>
    </row>
    <row r="23" spans="1:4" x14ac:dyDescent="0.3">
      <c r="A23" s="3">
        <v>22</v>
      </c>
      <c r="B23">
        <v>38</v>
      </c>
      <c r="C23">
        <v>51959.777200000004</v>
      </c>
      <c r="D23">
        <v>51959.777200000004</v>
      </c>
    </row>
    <row r="24" spans="1:4" x14ac:dyDescent="0.3">
      <c r="A24" s="3">
        <v>23</v>
      </c>
      <c r="B24">
        <v>38</v>
      </c>
      <c r="C24">
        <v>63277.763000000006</v>
      </c>
      <c r="D24">
        <v>63277.763000000006</v>
      </c>
    </row>
    <row r="25" spans="1:4" x14ac:dyDescent="0.3">
      <c r="A25" s="3">
        <v>24</v>
      </c>
      <c r="B25">
        <v>49</v>
      </c>
      <c r="C25">
        <v>67570.463199999998</v>
      </c>
      <c r="D25">
        <v>67570.463199999998</v>
      </c>
    </row>
    <row r="26" spans="1:4" x14ac:dyDescent="0.3">
      <c r="A26" s="3">
        <v>25</v>
      </c>
      <c r="B26">
        <v>38</v>
      </c>
      <c r="C26">
        <v>56787.519300000022</v>
      </c>
      <c r="D26">
        <v>56787.519300000022</v>
      </c>
    </row>
    <row r="27" spans="1:4" x14ac:dyDescent="0.3">
      <c r="A27" s="3">
        <v>26</v>
      </c>
      <c r="B27">
        <v>40</v>
      </c>
      <c r="C27">
        <v>97215.340100000001</v>
      </c>
      <c r="D27">
        <v>97215.340100000001</v>
      </c>
    </row>
    <row r="28" spans="1:4" x14ac:dyDescent="0.3">
      <c r="A28" s="3">
        <v>27</v>
      </c>
      <c r="B28">
        <v>48</v>
      </c>
      <c r="C28">
        <v>133799.34890000001</v>
      </c>
      <c r="D28">
        <v>133799.34890000001</v>
      </c>
    </row>
    <row r="29" spans="1:4" x14ac:dyDescent="0.3">
      <c r="A29" s="3">
        <v>28</v>
      </c>
      <c r="B29">
        <v>38</v>
      </c>
      <c r="C29">
        <v>68015.34639999998</v>
      </c>
      <c r="D29">
        <v>68015.34639999998</v>
      </c>
    </row>
    <row r="30" spans="1:4" x14ac:dyDescent="0.3">
      <c r="A30" s="3">
        <v>29</v>
      </c>
      <c r="B30">
        <v>38</v>
      </c>
      <c r="C30">
        <v>82429.882000000012</v>
      </c>
      <c r="D30">
        <v>82429.882000000012</v>
      </c>
    </row>
    <row r="31" spans="1:4" x14ac:dyDescent="0.3">
      <c r="A31" s="3">
        <v>30</v>
      </c>
      <c r="B31">
        <v>47</v>
      </c>
      <c r="C31">
        <v>126492.21149999999</v>
      </c>
      <c r="D31">
        <v>126492.21149999999</v>
      </c>
    </row>
    <row r="32" spans="1:4" x14ac:dyDescent="0.3">
      <c r="A32" s="3">
        <v>31</v>
      </c>
      <c r="B32">
        <v>55</v>
      </c>
      <c r="C32">
        <v>106133.55759999999</v>
      </c>
      <c r="D32">
        <v>106133.55759999999</v>
      </c>
    </row>
    <row r="33" spans="1:4" x14ac:dyDescent="0.3">
      <c r="A33" s="3">
        <v>32</v>
      </c>
      <c r="B33">
        <v>56</v>
      </c>
      <c r="C33">
        <v>146324.57249999995</v>
      </c>
      <c r="D33">
        <v>146324.57249999995</v>
      </c>
    </row>
    <row r="34" spans="1:4" x14ac:dyDescent="0.3">
      <c r="A34" s="3">
        <v>33</v>
      </c>
      <c r="B34">
        <v>32</v>
      </c>
      <c r="C34">
        <v>78592.400199999989</v>
      </c>
      <c r="D34">
        <v>78592.400199999989</v>
      </c>
    </row>
    <row r="35" spans="1:4" x14ac:dyDescent="0.3">
      <c r="A35" s="3">
        <v>34</v>
      </c>
      <c r="B35">
        <v>35</v>
      </c>
      <c r="C35">
        <v>75741.982000000004</v>
      </c>
      <c r="D35">
        <v>75741.982000000004</v>
      </c>
    </row>
    <row r="36" spans="1:4" x14ac:dyDescent="0.3">
      <c r="A36" s="3">
        <v>35</v>
      </c>
      <c r="B36">
        <v>37</v>
      </c>
      <c r="C36">
        <v>88347.289600000004</v>
      </c>
      <c r="D36">
        <v>88347.289600000004</v>
      </c>
    </row>
    <row r="37" spans="1:4" x14ac:dyDescent="0.3">
      <c r="A37" s="3">
        <v>36</v>
      </c>
      <c r="B37">
        <v>52</v>
      </c>
      <c r="C37">
        <v>132946.96902399999</v>
      </c>
      <c r="D37">
        <v>134483.70219999997</v>
      </c>
    </row>
    <row r="38" spans="1:4" x14ac:dyDescent="0.3">
      <c r="A38" s="3">
        <v>37</v>
      </c>
      <c r="B38">
        <v>34</v>
      </c>
      <c r="C38">
        <v>84572.960999000003</v>
      </c>
      <c r="D38">
        <v>85491.173000000024</v>
      </c>
    </row>
    <row r="39" spans="1:4" x14ac:dyDescent="0.3">
      <c r="A39" s="3">
        <v>38</v>
      </c>
      <c r="B39">
        <v>34</v>
      </c>
      <c r="C39">
        <v>99542.784503000017</v>
      </c>
      <c r="D39">
        <v>100624.38429999999</v>
      </c>
    </row>
    <row r="40" spans="1:4" x14ac:dyDescent="0.3">
      <c r="A40" s="3">
        <v>39</v>
      </c>
      <c r="B40">
        <v>46</v>
      </c>
      <c r="C40">
        <v>89225.714782000025</v>
      </c>
      <c r="D40">
        <v>90277.969999999987</v>
      </c>
    </row>
    <row r="41" spans="1:4" x14ac:dyDescent="0.3">
      <c r="A41" s="3">
        <v>40</v>
      </c>
      <c r="B41">
        <v>40</v>
      </c>
      <c r="C41">
        <v>66048.55404399999</v>
      </c>
      <c r="D41">
        <v>66897.363000000012</v>
      </c>
    </row>
    <row r="42" spans="1:4" x14ac:dyDescent="0.3">
      <c r="A42" s="3">
        <v>41</v>
      </c>
      <c r="B42">
        <v>47</v>
      </c>
      <c r="C42">
        <v>71265.472957999998</v>
      </c>
      <c r="D42">
        <v>72065.684500000003</v>
      </c>
    </row>
    <row r="43" spans="1:4" x14ac:dyDescent="0.3">
      <c r="A43" s="3">
        <v>42</v>
      </c>
      <c r="B43">
        <v>49</v>
      </c>
      <c r="C43">
        <v>153484.68881500003</v>
      </c>
      <c r="D43">
        <v>155132.83259999999</v>
      </c>
    </row>
    <row r="44" spans="1:4" x14ac:dyDescent="0.3">
      <c r="A44" s="3">
        <v>43</v>
      </c>
      <c r="B44">
        <v>52</v>
      </c>
      <c r="C44">
        <v>154765.74833</v>
      </c>
      <c r="D44">
        <v>156408.04939999999</v>
      </c>
    </row>
    <row r="45" spans="1:4" x14ac:dyDescent="0.3">
      <c r="A45" s="3">
        <v>44</v>
      </c>
      <c r="B45">
        <v>32</v>
      </c>
      <c r="C45">
        <v>87661.486002000005</v>
      </c>
      <c r="D45">
        <v>88585.903900000005</v>
      </c>
    </row>
    <row r="46" spans="1:4" x14ac:dyDescent="0.3">
      <c r="A46" s="3">
        <v>45</v>
      </c>
      <c r="B46">
        <v>43</v>
      </c>
      <c r="C46">
        <v>128103.919417</v>
      </c>
      <c r="D46">
        <v>129534.6442</v>
      </c>
    </row>
    <row r="47" spans="1:4" x14ac:dyDescent="0.3">
      <c r="A47" s="3">
        <v>46</v>
      </c>
      <c r="B47">
        <v>58</v>
      </c>
      <c r="C47">
        <v>155368.19356800008</v>
      </c>
      <c r="D47">
        <v>157003.20190000001</v>
      </c>
    </row>
    <row r="48" spans="1:4" x14ac:dyDescent="0.3">
      <c r="A48" s="3">
        <v>47</v>
      </c>
      <c r="B48">
        <v>43</v>
      </c>
      <c r="C48">
        <v>213937.50054799995</v>
      </c>
      <c r="D48">
        <v>216232.97520000002</v>
      </c>
    </row>
    <row r="49" spans="1:4" x14ac:dyDescent="0.3">
      <c r="A49" s="3">
        <v>48</v>
      </c>
      <c r="B49">
        <v>41</v>
      </c>
      <c r="C49">
        <v>109870.10475500001</v>
      </c>
      <c r="D49">
        <v>111052.9271</v>
      </c>
    </row>
    <row r="50" spans="1:4" x14ac:dyDescent="0.3">
      <c r="A50" s="3">
        <v>49</v>
      </c>
      <c r="B50">
        <v>36</v>
      </c>
      <c r="C50">
        <v>114329.61301999999</v>
      </c>
      <c r="D50">
        <v>115508.59799999997</v>
      </c>
    </row>
    <row r="51" spans="1:4" x14ac:dyDescent="0.3">
      <c r="A51" s="3">
        <v>50</v>
      </c>
      <c r="B51">
        <v>55</v>
      </c>
      <c r="C51">
        <v>127481.48742100003</v>
      </c>
      <c r="D51">
        <v>128867.2145</v>
      </c>
    </row>
    <row r="52" spans="1:4" x14ac:dyDescent="0.3">
      <c r="A52" s="3" t="s">
        <v>51</v>
      </c>
      <c r="B52">
        <v>2100</v>
      </c>
      <c r="C52">
        <v>3958079.4379859949</v>
      </c>
      <c r="D52">
        <v>3977640.8635999956</v>
      </c>
    </row>
  </sheetData>
  <sortState xmlns:xlrd2="http://schemas.microsoft.com/office/spreadsheetml/2017/richdata2" columnSort="1" ref="A1:D52">
    <sortCondition ref="B1"/>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164CA-FE6D-4140-B5CB-777366DDA41B}">
  <sheetPr>
    <tabColor theme="7" tint="0.39997558519241921"/>
  </sheetPr>
  <dimension ref="A1:O2101"/>
  <sheetViews>
    <sheetView workbookViewId="0">
      <selection activeCell="J12" sqref="J12"/>
    </sheetView>
  </sheetViews>
  <sheetFormatPr defaultRowHeight="14.4" x14ac:dyDescent="0.3"/>
  <cols>
    <col min="1" max="1" width="13.44140625" bestFit="1" customWidth="1"/>
    <col min="2" max="2" width="15.88671875" bestFit="1" customWidth="1"/>
    <col min="3" max="3" width="18.44140625" bestFit="1" customWidth="1"/>
    <col min="4" max="4" width="19.77734375" bestFit="1" customWidth="1"/>
    <col min="5" max="5" width="15.88671875" bestFit="1" customWidth="1"/>
    <col min="6" max="6" width="26" bestFit="1" customWidth="1"/>
    <col min="7" max="7" width="11" bestFit="1" customWidth="1"/>
    <col min="8" max="8" width="13.6640625" bestFit="1" customWidth="1"/>
    <col min="9" max="9" width="22" bestFit="1" customWidth="1"/>
    <col min="10" max="10" width="23.88671875" bestFit="1" customWidth="1"/>
    <col min="11" max="11" width="18.21875" bestFit="1" customWidth="1"/>
    <col min="12" max="12" width="28.33203125" bestFit="1" customWidth="1"/>
    <col min="13" max="13" width="15.44140625" bestFit="1" customWidth="1"/>
    <col min="14" max="14" width="15.44140625" customWidth="1"/>
    <col min="15" max="15" width="16.44140625" bestFit="1" customWidth="1"/>
  </cols>
  <sheetData>
    <row r="1" spans="1:15" s="8" customFormat="1" ht="15.6" x14ac:dyDescent="0.3">
      <c r="A1" s="7" t="s">
        <v>0</v>
      </c>
      <c r="B1" s="7" t="s">
        <v>1</v>
      </c>
      <c r="C1" s="7" t="s">
        <v>2</v>
      </c>
      <c r="D1" s="7" t="s">
        <v>3</v>
      </c>
      <c r="E1" s="7" t="s">
        <v>25</v>
      </c>
      <c r="F1" s="7" t="s">
        <v>26</v>
      </c>
      <c r="G1" s="7" t="s">
        <v>4</v>
      </c>
      <c r="H1" s="7" t="s">
        <v>27</v>
      </c>
      <c r="I1" s="7" t="s">
        <v>43</v>
      </c>
      <c r="J1" s="7" t="s">
        <v>28</v>
      </c>
      <c r="K1" s="7" t="s">
        <v>6</v>
      </c>
      <c r="L1" s="7" t="s">
        <v>29</v>
      </c>
      <c r="M1" s="7" t="s">
        <v>5</v>
      </c>
      <c r="N1" s="7" t="s">
        <v>42</v>
      </c>
      <c r="O1" s="7" t="s">
        <v>30</v>
      </c>
    </row>
    <row r="2" spans="1:15" x14ac:dyDescent="0.3">
      <c r="A2" s="1">
        <v>53635</v>
      </c>
      <c r="B2" s="2">
        <v>43664</v>
      </c>
      <c r="C2" s="1" t="s">
        <v>11</v>
      </c>
      <c r="D2" s="1">
        <v>33</v>
      </c>
      <c r="E2" t="s">
        <v>21</v>
      </c>
      <c r="F2" t="s">
        <v>21</v>
      </c>
      <c r="G2" s="1">
        <v>111.1944</v>
      </c>
      <c r="H2">
        <v>0</v>
      </c>
      <c r="I2">
        <f>Sales_Data[[#This Row],[Sales]]*Sales_Data[[#This Row],[Discount]]</f>
        <v>0</v>
      </c>
      <c r="J2">
        <v>111.1944</v>
      </c>
      <c r="K2" s="1">
        <v>2.1</v>
      </c>
      <c r="L2" s="1">
        <v>111.1944</v>
      </c>
      <c r="M2" s="1" t="s">
        <v>10</v>
      </c>
      <c r="N2" s="1">
        <f>IF(Sales_Data[[#This Row],[Sales with Discount]]&lt;Sales_Data[[#This Row],[Sales with Free Shipping]],Sales_Data[[#This Row],[Sales with Discount]],Sales_Data[[#This Row],[Sales with Free Shipping]])</f>
        <v>111.1944</v>
      </c>
      <c r="O2" s="1" t="str">
        <f>TEXT(Sales_Data[[#This Row],[Order Date]], "MM-YYYY")</f>
        <v>07-2019</v>
      </c>
    </row>
    <row r="3" spans="1:15" x14ac:dyDescent="0.3">
      <c r="A3" s="1">
        <v>12804</v>
      </c>
      <c r="B3" s="2">
        <v>43610</v>
      </c>
      <c r="C3" s="1" t="s">
        <v>14</v>
      </c>
      <c r="D3" s="1">
        <v>34</v>
      </c>
      <c r="E3" t="s">
        <v>21</v>
      </c>
      <c r="F3" t="s">
        <v>21</v>
      </c>
      <c r="G3" s="1">
        <v>634.41999999999996</v>
      </c>
      <c r="H3">
        <v>0</v>
      </c>
      <c r="I3">
        <f>Sales_Data[[#This Row],[Sales]]*Sales_Data[[#This Row],[Discount]]</f>
        <v>0</v>
      </c>
      <c r="J3">
        <v>634.41999999999996</v>
      </c>
      <c r="K3" s="1">
        <v>8.9</v>
      </c>
      <c r="L3" s="1">
        <v>634.41999999999996</v>
      </c>
      <c r="M3" s="1" t="s">
        <v>8</v>
      </c>
      <c r="N3" s="1">
        <f>IF(Sales_Data[[#This Row],[Sales with Discount]]&lt;Sales_Data[[#This Row],[Sales with Free Shipping]],Sales_Data[[#This Row],[Sales with Discount]],Sales_Data[[#This Row],[Sales with Free Shipping]])</f>
        <v>634.41999999999996</v>
      </c>
      <c r="O3" s="1" t="str">
        <f>TEXT(Sales_Data[[#This Row],[Order Date]], "MM-YYYY")</f>
        <v>05-2019</v>
      </c>
    </row>
    <row r="4" spans="1:15" x14ac:dyDescent="0.3">
      <c r="A4" s="1">
        <v>1856</v>
      </c>
      <c r="B4" s="2">
        <v>43543</v>
      </c>
      <c r="C4" s="1" t="s">
        <v>11</v>
      </c>
      <c r="D4" s="1">
        <v>44</v>
      </c>
      <c r="E4" t="s">
        <v>23</v>
      </c>
      <c r="F4" t="s">
        <v>23</v>
      </c>
      <c r="G4" s="1">
        <v>4583.0600000000004</v>
      </c>
      <c r="H4">
        <v>0.01</v>
      </c>
      <c r="I4">
        <f>Sales_Data[[#This Row],[Sales]]*Sales_Data[[#This Row],[Discount]]</f>
        <v>45.830600000000004</v>
      </c>
      <c r="J4">
        <v>4537.2294000000002</v>
      </c>
      <c r="K4" s="1">
        <v>9.4</v>
      </c>
      <c r="L4" s="1">
        <v>4573.6600000000008</v>
      </c>
      <c r="M4" s="1" t="s">
        <v>10</v>
      </c>
      <c r="N4" s="1">
        <f>IF(Sales_Data[[#This Row],[Sales with Discount]]&lt;Sales_Data[[#This Row],[Sales with Free Shipping]],Sales_Data[[#This Row],[Sales with Discount]],Sales_Data[[#This Row],[Sales with Free Shipping]])</f>
        <v>4537.2294000000002</v>
      </c>
      <c r="O4" s="1" t="str">
        <f>TEXT(Sales_Data[[#This Row],[Order Date]], "MM-YYYY")</f>
        <v>03-2019</v>
      </c>
    </row>
    <row r="5" spans="1:15" x14ac:dyDescent="0.3">
      <c r="A5" s="1">
        <v>33670</v>
      </c>
      <c r="B5" s="2">
        <v>43582</v>
      </c>
      <c r="C5" s="1" t="s">
        <v>9</v>
      </c>
      <c r="D5" s="1">
        <v>50</v>
      </c>
      <c r="E5" t="s">
        <v>24</v>
      </c>
      <c r="F5" t="s">
        <v>24</v>
      </c>
      <c r="G5" s="1">
        <v>222.06780000000001</v>
      </c>
      <c r="H5">
        <v>0.01</v>
      </c>
      <c r="I5">
        <f>Sales_Data[[#This Row],[Sales]]*Sales_Data[[#This Row],[Discount]]</f>
        <v>2.2206779999999999</v>
      </c>
      <c r="J5">
        <v>219.84712200000001</v>
      </c>
      <c r="K5" s="1">
        <v>1.3</v>
      </c>
      <c r="L5" s="1">
        <v>220.76779999999999</v>
      </c>
      <c r="M5" s="1" t="s">
        <v>10</v>
      </c>
      <c r="N5" s="1">
        <f>IF(Sales_Data[[#This Row],[Sales with Discount]]&lt;Sales_Data[[#This Row],[Sales with Free Shipping]],Sales_Data[[#This Row],[Sales with Discount]],Sales_Data[[#This Row],[Sales with Free Shipping]])</f>
        <v>219.84712200000001</v>
      </c>
      <c r="O5" s="1" t="str">
        <f>TEXT(Sales_Data[[#This Row],[Order Date]], "MM-YYYY")</f>
        <v>04-2019</v>
      </c>
    </row>
    <row r="6" spans="1:15" x14ac:dyDescent="0.3">
      <c r="A6" s="1">
        <v>24801</v>
      </c>
      <c r="B6" s="2">
        <v>43784</v>
      </c>
      <c r="C6" s="1" t="s">
        <v>9</v>
      </c>
      <c r="D6" s="1">
        <v>3</v>
      </c>
      <c r="E6" t="s">
        <v>16</v>
      </c>
      <c r="F6" t="s">
        <v>16</v>
      </c>
      <c r="G6" s="1">
        <v>20.23</v>
      </c>
      <c r="H6">
        <v>0</v>
      </c>
      <c r="I6">
        <f>Sales_Data[[#This Row],[Sales]]*Sales_Data[[#This Row],[Discount]]</f>
        <v>0</v>
      </c>
      <c r="J6">
        <v>20.23</v>
      </c>
      <c r="K6" s="1">
        <v>7.5</v>
      </c>
      <c r="L6" s="1">
        <v>20.23</v>
      </c>
      <c r="M6" s="1" t="s">
        <v>10</v>
      </c>
      <c r="N6" s="1">
        <f>IF(Sales_Data[[#This Row],[Sales with Discount]]&lt;Sales_Data[[#This Row],[Sales with Free Shipping]],Sales_Data[[#This Row],[Sales with Discount]],Sales_Data[[#This Row],[Sales with Free Shipping]])</f>
        <v>20.23</v>
      </c>
      <c r="O6" s="1" t="str">
        <f>TEXT(Sales_Data[[#This Row],[Order Date]], "MM-YYYY")</f>
        <v>11-2019</v>
      </c>
    </row>
    <row r="7" spans="1:15" x14ac:dyDescent="0.3">
      <c r="A7" s="1">
        <v>18374</v>
      </c>
      <c r="B7" s="2">
        <v>43738</v>
      </c>
      <c r="C7" s="1" t="s">
        <v>7</v>
      </c>
      <c r="D7" s="1">
        <v>21</v>
      </c>
      <c r="E7" t="s">
        <v>14</v>
      </c>
      <c r="F7" t="s">
        <v>14</v>
      </c>
      <c r="G7" s="1">
        <v>160.66999999999999</v>
      </c>
      <c r="H7">
        <v>0</v>
      </c>
      <c r="I7">
        <f>Sales_Data[[#This Row],[Sales]]*Sales_Data[[#This Row],[Discount]]</f>
        <v>0</v>
      </c>
      <c r="J7">
        <v>160.66999999999999</v>
      </c>
      <c r="K7" s="1">
        <v>5.9</v>
      </c>
      <c r="L7" s="1">
        <v>160.66999999999999</v>
      </c>
      <c r="M7" s="1" t="s">
        <v>10</v>
      </c>
      <c r="N7" s="1">
        <f>IF(Sales_Data[[#This Row],[Sales with Discount]]&lt;Sales_Data[[#This Row],[Sales with Free Shipping]],Sales_Data[[#This Row],[Sales with Discount]],Sales_Data[[#This Row],[Sales with Free Shipping]])</f>
        <v>160.66999999999999</v>
      </c>
      <c r="O7" s="1" t="str">
        <f>TEXT(Sales_Data[[#This Row],[Order Date]], "MM-YYYY")</f>
        <v>09-2019</v>
      </c>
    </row>
    <row r="8" spans="1:15" x14ac:dyDescent="0.3">
      <c r="A8" s="1">
        <v>43493</v>
      </c>
      <c r="B8" s="2">
        <v>43595</v>
      </c>
      <c r="C8" s="1" t="s">
        <v>9</v>
      </c>
      <c r="D8" s="1">
        <v>22</v>
      </c>
      <c r="E8" t="s">
        <v>14</v>
      </c>
      <c r="F8" t="s">
        <v>14</v>
      </c>
      <c r="G8" s="1">
        <v>163.19999999999999</v>
      </c>
      <c r="H8">
        <v>0</v>
      </c>
      <c r="I8">
        <f>Sales_Data[[#This Row],[Sales]]*Sales_Data[[#This Row],[Discount]]</f>
        <v>0</v>
      </c>
      <c r="J8">
        <v>163.19999999999999</v>
      </c>
      <c r="K8" s="1">
        <v>6.4</v>
      </c>
      <c r="L8" s="1">
        <v>163.19999999999999</v>
      </c>
      <c r="M8" s="1" t="s">
        <v>10</v>
      </c>
      <c r="N8" s="1">
        <f>IF(Sales_Data[[#This Row],[Sales with Discount]]&lt;Sales_Data[[#This Row],[Sales with Free Shipping]],Sales_Data[[#This Row],[Sales with Discount]],Sales_Data[[#This Row],[Sales with Free Shipping]])</f>
        <v>163.19999999999999</v>
      </c>
      <c r="O8" s="1" t="str">
        <f>TEXT(Sales_Data[[#This Row],[Order Date]], "MM-YYYY")</f>
        <v>05-2019</v>
      </c>
    </row>
    <row r="9" spans="1:15" x14ac:dyDescent="0.3">
      <c r="A9" s="1">
        <v>10948</v>
      </c>
      <c r="B9" s="2">
        <v>43690</v>
      </c>
      <c r="C9" s="1" t="s">
        <v>14</v>
      </c>
      <c r="D9" s="1">
        <v>50</v>
      </c>
      <c r="E9" t="s">
        <v>24</v>
      </c>
      <c r="F9" t="s">
        <v>24</v>
      </c>
      <c r="G9" s="1">
        <v>206.63</v>
      </c>
      <c r="H9">
        <v>0.01</v>
      </c>
      <c r="I9">
        <f>Sales_Data[[#This Row],[Sales]]*Sales_Data[[#This Row],[Discount]]</f>
        <v>2.0663</v>
      </c>
      <c r="J9">
        <v>204.56369999999998</v>
      </c>
      <c r="K9" s="1">
        <v>7.5</v>
      </c>
      <c r="L9" s="1">
        <v>199.13</v>
      </c>
      <c r="M9" s="1" t="s">
        <v>10</v>
      </c>
      <c r="N9" s="1">
        <f>IF(Sales_Data[[#This Row],[Sales with Discount]]&lt;Sales_Data[[#This Row],[Sales with Free Shipping]],Sales_Data[[#This Row],[Sales with Discount]],Sales_Data[[#This Row],[Sales with Free Shipping]])</f>
        <v>199.13</v>
      </c>
      <c r="O9" s="1" t="str">
        <f>TEXT(Sales_Data[[#This Row],[Order Date]], "MM-YYYY")</f>
        <v>08-2019</v>
      </c>
    </row>
    <row r="10" spans="1:15" x14ac:dyDescent="0.3">
      <c r="A10" s="1">
        <v>49153</v>
      </c>
      <c r="B10" s="2">
        <v>43674</v>
      </c>
      <c r="C10" s="1" t="s">
        <v>14</v>
      </c>
      <c r="D10" s="1">
        <v>31</v>
      </c>
      <c r="E10" t="s">
        <v>21</v>
      </c>
      <c r="F10" t="s">
        <v>21</v>
      </c>
      <c r="G10" s="1">
        <v>2402.98</v>
      </c>
      <c r="H10">
        <v>0</v>
      </c>
      <c r="I10">
        <f>Sales_Data[[#This Row],[Sales]]*Sales_Data[[#This Row],[Discount]]</f>
        <v>0</v>
      </c>
      <c r="J10">
        <v>2402.98</v>
      </c>
      <c r="K10" s="1">
        <v>32.1</v>
      </c>
      <c r="L10" s="1">
        <v>2402.98</v>
      </c>
      <c r="M10" s="1" t="s">
        <v>13</v>
      </c>
      <c r="N10" s="1">
        <f>IF(Sales_Data[[#This Row],[Sales with Discount]]&lt;Sales_Data[[#This Row],[Sales with Free Shipping]],Sales_Data[[#This Row],[Sales with Discount]],Sales_Data[[#This Row],[Sales with Free Shipping]])</f>
        <v>2402.98</v>
      </c>
      <c r="O10" s="1" t="str">
        <f>TEXT(Sales_Data[[#This Row],[Order Date]], "MM-YYYY")</f>
        <v>07-2019</v>
      </c>
    </row>
    <row r="11" spans="1:15" x14ac:dyDescent="0.3">
      <c r="A11" s="1">
        <v>56161</v>
      </c>
      <c r="B11" s="2">
        <v>43569</v>
      </c>
      <c r="C11" s="1" t="s">
        <v>9</v>
      </c>
      <c r="D11" s="1">
        <v>38</v>
      </c>
      <c r="E11" t="s">
        <v>22</v>
      </c>
      <c r="F11" t="s">
        <v>22</v>
      </c>
      <c r="G11" s="1">
        <v>1609.52</v>
      </c>
      <c r="H11">
        <v>0.01</v>
      </c>
      <c r="I11">
        <f>Sales_Data[[#This Row],[Sales]]*Sales_Data[[#This Row],[Discount]]</f>
        <v>16.095199999999998</v>
      </c>
      <c r="J11">
        <v>1593.4248</v>
      </c>
      <c r="K11" s="1">
        <v>11</v>
      </c>
      <c r="L11" s="1">
        <v>1598.52</v>
      </c>
      <c r="M11" s="1" t="s">
        <v>8</v>
      </c>
      <c r="N11" s="1">
        <f>IF(Sales_Data[[#This Row],[Sales with Discount]]&lt;Sales_Data[[#This Row],[Sales with Free Shipping]],Sales_Data[[#This Row],[Sales with Discount]],Sales_Data[[#This Row],[Sales with Free Shipping]])</f>
        <v>1593.4248</v>
      </c>
      <c r="O11" s="1" t="str">
        <f>TEXT(Sales_Data[[#This Row],[Order Date]], "MM-YYYY")</f>
        <v>04-2019</v>
      </c>
    </row>
    <row r="12" spans="1:15" x14ac:dyDescent="0.3">
      <c r="A12" s="1">
        <v>31106</v>
      </c>
      <c r="B12" s="2">
        <v>43511</v>
      </c>
      <c r="C12" s="1" t="s">
        <v>7</v>
      </c>
      <c r="D12" s="1">
        <v>45</v>
      </c>
      <c r="E12" t="s">
        <v>23</v>
      </c>
      <c r="F12" t="s">
        <v>23</v>
      </c>
      <c r="G12" s="1">
        <v>277.31</v>
      </c>
      <c r="H12">
        <v>0.01</v>
      </c>
      <c r="I12">
        <f>Sales_Data[[#This Row],[Sales]]*Sales_Data[[#This Row],[Discount]]</f>
        <v>2.7730999999999999</v>
      </c>
      <c r="J12">
        <v>274.5369</v>
      </c>
      <c r="K12" s="1">
        <v>3.9</v>
      </c>
      <c r="L12" s="1">
        <v>273.41000000000003</v>
      </c>
      <c r="M12" s="1" t="s">
        <v>10</v>
      </c>
      <c r="N12" s="1">
        <f>IF(Sales_Data[[#This Row],[Sales with Discount]]&lt;Sales_Data[[#This Row],[Sales with Free Shipping]],Sales_Data[[#This Row],[Sales with Discount]],Sales_Data[[#This Row],[Sales with Free Shipping]])</f>
        <v>273.41000000000003</v>
      </c>
      <c r="O12" s="1" t="str">
        <f>TEXT(Sales_Data[[#This Row],[Order Date]], "MM-YYYY")</f>
        <v>02-2019</v>
      </c>
    </row>
    <row r="13" spans="1:15" x14ac:dyDescent="0.3">
      <c r="A13" s="1">
        <v>8390</v>
      </c>
      <c r="B13" s="2">
        <v>43576</v>
      </c>
      <c r="C13" s="1" t="s">
        <v>14</v>
      </c>
      <c r="D13" s="1">
        <v>24</v>
      </c>
      <c r="E13" t="s">
        <v>14</v>
      </c>
      <c r="F13" t="s">
        <v>14</v>
      </c>
      <c r="G13" s="1">
        <v>765.48</v>
      </c>
      <c r="H13">
        <v>0</v>
      </c>
      <c r="I13">
        <f>Sales_Data[[#This Row],[Sales]]*Sales_Data[[#This Row],[Discount]]</f>
        <v>0</v>
      </c>
      <c r="J13">
        <v>765.48</v>
      </c>
      <c r="K13" s="1">
        <v>4.3</v>
      </c>
      <c r="L13" s="1">
        <v>765.48</v>
      </c>
      <c r="M13" s="1" t="s">
        <v>10</v>
      </c>
      <c r="N13" s="1">
        <f>IF(Sales_Data[[#This Row],[Sales with Discount]]&lt;Sales_Data[[#This Row],[Sales with Free Shipping]],Sales_Data[[#This Row],[Sales with Discount]],Sales_Data[[#This Row],[Sales with Free Shipping]])</f>
        <v>765.48</v>
      </c>
      <c r="O13" s="1" t="str">
        <f>TEXT(Sales_Data[[#This Row],[Order Date]], "MM-YYYY")</f>
        <v>04-2019</v>
      </c>
    </row>
    <row r="14" spans="1:15" x14ac:dyDescent="0.3">
      <c r="A14" s="1">
        <v>31042</v>
      </c>
      <c r="B14" s="2">
        <v>43788</v>
      </c>
      <c r="C14" s="1" t="s">
        <v>14</v>
      </c>
      <c r="D14" s="1">
        <v>26</v>
      </c>
      <c r="E14" t="s">
        <v>20</v>
      </c>
      <c r="F14" t="s">
        <v>20</v>
      </c>
      <c r="G14" s="1">
        <v>3453.3</v>
      </c>
      <c r="H14">
        <v>0</v>
      </c>
      <c r="I14">
        <f>Sales_Data[[#This Row],[Sales]]*Sales_Data[[#This Row],[Discount]]</f>
        <v>0</v>
      </c>
      <c r="J14">
        <v>3453.3</v>
      </c>
      <c r="K14" s="1">
        <v>32.1</v>
      </c>
      <c r="L14" s="1">
        <v>3453.3</v>
      </c>
      <c r="M14" s="1" t="s">
        <v>13</v>
      </c>
      <c r="N14" s="1">
        <f>IF(Sales_Data[[#This Row],[Sales with Discount]]&lt;Sales_Data[[#This Row],[Sales with Free Shipping]],Sales_Data[[#This Row],[Sales with Discount]],Sales_Data[[#This Row],[Sales with Free Shipping]])</f>
        <v>3453.3</v>
      </c>
      <c r="O14" s="1" t="str">
        <f>TEXT(Sales_Data[[#This Row],[Order Date]], "MM-YYYY")</f>
        <v>11-2019</v>
      </c>
    </row>
    <row r="15" spans="1:15" x14ac:dyDescent="0.3">
      <c r="A15" s="1">
        <v>55623</v>
      </c>
      <c r="B15" s="2">
        <v>43743</v>
      </c>
      <c r="C15" s="1" t="s">
        <v>12</v>
      </c>
      <c r="D15" s="1">
        <v>47</v>
      </c>
      <c r="E15" t="s">
        <v>24</v>
      </c>
      <c r="F15" t="s">
        <v>24</v>
      </c>
      <c r="G15" s="1">
        <v>11073.14</v>
      </c>
      <c r="H15">
        <v>0.01</v>
      </c>
      <c r="I15">
        <f>Sales_Data[[#This Row],[Sales]]*Sales_Data[[#This Row],[Discount]]</f>
        <v>110.73139999999999</v>
      </c>
      <c r="J15">
        <v>10962.408599999999</v>
      </c>
      <c r="K15" s="1">
        <v>34.799999999999997</v>
      </c>
      <c r="L15" s="1">
        <v>11038.34</v>
      </c>
      <c r="M15" s="1" t="s">
        <v>13</v>
      </c>
      <c r="N15" s="1">
        <f>IF(Sales_Data[[#This Row],[Sales with Discount]]&lt;Sales_Data[[#This Row],[Sales with Free Shipping]],Sales_Data[[#This Row],[Sales with Discount]],Sales_Data[[#This Row],[Sales with Free Shipping]])</f>
        <v>10962.408599999999</v>
      </c>
      <c r="O15" s="1" t="str">
        <f>TEXT(Sales_Data[[#This Row],[Order Date]], "MM-YYYY")</f>
        <v>10-2019</v>
      </c>
    </row>
    <row r="16" spans="1:15" x14ac:dyDescent="0.3">
      <c r="A16" s="1">
        <v>23172</v>
      </c>
      <c r="B16" s="2">
        <v>43579</v>
      </c>
      <c r="C16" s="1" t="s">
        <v>7</v>
      </c>
      <c r="D16" s="1">
        <v>13</v>
      </c>
      <c r="E16" t="s">
        <v>18</v>
      </c>
      <c r="F16" t="s">
        <v>18</v>
      </c>
      <c r="G16" s="1">
        <v>1275.1500000000001</v>
      </c>
      <c r="H16">
        <v>0</v>
      </c>
      <c r="I16">
        <f>Sales_Data[[#This Row],[Sales]]*Sales_Data[[#This Row],[Discount]]</f>
        <v>0</v>
      </c>
      <c r="J16">
        <v>1275.1500000000001</v>
      </c>
      <c r="K16" s="1">
        <v>15</v>
      </c>
      <c r="L16" s="1">
        <v>1275.1500000000001</v>
      </c>
      <c r="M16" s="1" t="s">
        <v>10</v>
      </c>
      <c r="N16" s="1">
        <f>IF(Sales_Data[[#This Row],[Sales with Discount]]&lt;Sales_Data[[#This Row],[Sales with Free Shipping]],Sales_Data[[#This Row],[Sales with Discount]],Sales_Data[[#This Row],[Sales with Free Shipping]])</f>
        <v>1275.1500000000001</v>
      </c>
      <c r="O16" s="1" t="str">
        <f>TEXT(Sales_Data[[#This Row],[Order Date]], "MM-YYYY")</f>
        <v>04-2019</v>
      </c>
    </row>
    <row r="17" spans="1:15" x14ac:dyDescent="0.3">
      <c r="A17" s="1">
        <v>43045</v>
      </c>
      <c r="B17" s="2">
        <v>43630</v>
      </c>
      <c r="C17" s="1" t="s">
        <v>14</v>
      </c>
      <c r="D17" s="1">
        <v>47</v>
      </c>
      <c r="E17" t="s">
        <v>24</v>
      </c>
      <c r="F17" t="s">
        <v>24</v>
      </c>
      <c r="G17" s="1">
        <v>5672.28</v>
      </c>
      <c r="H17">
        <v>0.01</v>
      </c>
      <c r="I17">
        <f>Sales_Data[[#This Row],[Sales]]*Sales_Data[[#This Row],[Discount]]</f>
        <v>56.722799999999999</v>
      </c>
      <c r="J17">
        <v>5615.5571999999993</v>
      </c>
      <c r="K17" s="1">
        <v>10.8</v>
      </c>
      <c r="L17" s="1">
        <v>5661.48</v>
      </c>
      <c r="M17" s="1" t="s">
        <v>10</v>
      </c>
      <c r="N17" s="1">
        <f>IF(Sales_Data[[#This Row],[Sales with Discount]]&lt;Sales_Data[[#This Row],[Sales with Free Shipping]],Sales_Data[[#This Row],[Sales with Discount]],Sales_Data[[#This Row],[Sales with Free Shipping]])</f>
        <v>5615.5571999999993</v>
      </c>
      <c r="O17" s="1" t="str">
        <f>TEXT(Sales_Data[[#This Row],[Order Date]], "MM-YYYY")</f>
        <v>06-2019</v>
      </c>
    </row>
    <row r="18" spans="1:15" x14ac:dyDescent="0.3">
      <c r="A18" s="1">
        <v>17701</v>
      </c>
      <c r="B18" s="2">
        <v>43606</v>
      </c>
      <c r="C18" s="1" t="s">
        <v>12</v>
      </c>
      <c r="D18" s="1">
        <v>21</v>
      </c>
      <c r="E18" t="s">
        <v>14</v>
      </c>
      <c r="F18" t="s">
        <v>14</v>
      </c>
      <c r="G18" s="1">
        <v>86.08</v>
      </c>
      <c r="H18">
        <v>0</v>
      </c>
      <c r="I18">
        <f>Sales_Data[[#This Row],[Sales]]*Sales_Data[[#This Row],[Discount]]</f>
        <v>0</v>
      </c>
      <c r="J18">
        <v>86.08</v>
      </c>
      <c r="K18" s="1">
        <v>5</v>
      </c>
      <c r="L18" s="1">
        <v>86.08</v>
      </c>
      <c r="M18" s="1" t="s">
        <v>10</v>
      </c>
      <c r="N18" s="1">
        <f>IF(Sales_Data[[#This Row],[Sales with Discount]]&lt;Sales_Data[[#This Row],[Sales with Free Shipping]],Sales_Data[[#This Row],[Sales with Discount]],Sales_Data[[#This Row],[Sales with Free Shipping]])</f>
        <v>86.08</v>
      </c>
      <c r="O18" s="1" t="str">
        <f>TEXT(Sales_Data[[#This Row],[Order Date]], "MM-YYYY")</f>
        <v>05-2019</v>
      </c>
    </row>
    <row r="19" spans="1:15" x14ac:dyDescent="0.3">
      <c r="A19" s="1">
        <v>44199</v>
      </c>
      <c r="B19" s="2">
        <v>43528</v>
      </c>
      <c r="C19" s="1" t="s">
        <v>7</v>
      </c>
      <c r="D19" s="1">
        <v>12</v>
      </c>
      <c r="E19" t="s">
        <v>18</v>
      </c>
      <c r="F19" t="s">
        <v>18</v>
      </c>
      <c r="G19" s="1">
        <v>54.24</v>
      </c>
      <c r="H19">
        <v>0</v>
      </c>
      <c r="I19">
        <f>Sales_Data[[#This Row],[Sales]]*Sales_Data[[#This Row],[Discount]]</f>
        <v>0</v>
      </c>
      <c r="J19">
        <v>54.24</v>
      </c>
      <c r="K19" s="1">
        <v>2.1</v>
      </c>
      <c r="L19" s="1">
        <v>54.24</v>
      </c>
      <c r="M19" s="1" t="s">
        <v>10</v>
      </c>
      <c r="N19" s="1">
        <f>IF(Sales_Data[[#This Row],[Sales with Discount]]&lt;Sales_Data[[#This Row],[Sales with Free Shipping]],Sales_Data[[#This Row],[Sales with Discount]],Sales_Data[[#This Row],[Sales with Free Shipping]])</f>
        <v>54.24</v>
      </c>
      <c r="O19" s="1" t="str">
        <f>TEXT(Sales_Data[[#This Row],[Order Date]], "MM-YYYY")</f>
        <v>03-2019</v>
      </c>
    </row>
    <row r="20" spans="1:15" x14ac:dyDescent="0.3">
      <c r="A20" s="1">
        <v>43907</v>
      </c>
      <c r="B20" s="2">
        <v>43664</v>
      </c>
      <c r="C20" s="1" t="s">
        <v>12</v>
      </c>
      <c r="D20" s="1">
        <v>42</v>
      </c>
      <c r="E20" t="s">
        <v>23</v>
      </c>
      <c r="F20" t="s">
        <v>23</v>
      </c>
      <c r="G20" s="1">
        <v>1490.26</v>
      </c>
      <c r="H20">
        <v>0.01</v>
      </c>
      <c r="I20">
        <f>Sales_Data[[#This Row],[Sales]]*Sales_Data[[#This Row],[Discount]]</f>
        <v>14.9026</v>
      </c>
      <c r="J20">
        <v>1475.3573999999999</v>
      </c>
      <c r="K20" s="1">
        <v>48.7</v>
      </c>
      <c r="L20" s="1">
        <v>1441.56</v>
      </c>
      <c r="M20" s="1" t="s">
        <v>13</v>
      </c>
      <c r="N20" s="1">
        <f>IF(Sales_Data[[#This Row],[Sales with Discount]]&lt;Sales_Data[[#This Row],[Sales with Free Shipping]],Sales_Data[[#This Row],[Sales with Discount]],Sales_Data[[#This Row],[Sales with Free Shipping]])</f>
        <v>1441.56</v>
      </c>
      <c r="O20" s="1" t="str">
        <f>TEXT(Sales_Data[[#This Row],[Order Date]], "MM-YYYY")</f>
        <v>07-2019</v>
      </c>
    </row>
    <row r="21" spans="1:15" x14ac:dyDescent="0.3">
      <c r="A21" s="1">
        <v>36390</v>
      </c>
      <c r="B21" s="2">
        <v>43750</v>
      </c>
      <c r="C21" s="1" t="s">
        <v>9</v>
      </c>
      <c r="D21" s="1">
        <v>3</v>
      </c>
      <c r="E21" t="s">
        <v>16</v>
      </c>
      <c r="F21" t="s">
        <v>16</v>
      </c>
      <c r="G21" s="1">
        <v>352.7</v>
      </c>
      <c r="H21">
        <v>0</v>
      </c>
      <c r="I21">
        <f>Sales_Data[[#This Row],[Sales]]*Sales_Data[[#This Row],[Discount]]</f>
        <v>0</v>
      </c>
      <c r="J21">
        <v>352.7</v>
      </c>
      <c r="K21" s="1">
        <v>9.6</v>
      </c>
      <c r="L21" s="1">
        <v>352.7</v>
      </c>
      <c r="M21" s="1" t="s">
        <v>10</v>
      </c>
      <c r="N21" s="1">
        <f>IF(Sales_Data[[#This Row],[Sales with Discount]]&lt;Sales_Data[[#This Row],[Sales with Free Shipping]],Sales_Data[[#This Row],[Sales with Discount]],Sales_Data[[#This Row],[Sales with Free Shipping]])</f>
        <v>352.7</v>
      </c>
      <c r="O21" s="1" t="str">
        <f>TEXT(Sales_Data[[#This Row],[Order Date]], "MM-YYYY")</f>
        <v>10-2019</v>
      </c>
    </row>
    <row r="22" spans="1:15" x14ac:dyDescent="0.3">
      <c r="A22" s="1">
        <v>20096</v>
      </c>
      <c r="B22" s="2">
        <v>43696</v>
      </c>
      <c r="C22" s="1" t="s">
        <v>7</v>
      </c>
      <c r="D22" s="1">
        <v>35</v>
      </c>
      <c r="E22" t="s">
        <v>21</v>
      </c>
      <c r="F22" t="s">
        <v>21</v>
      </c>
      <c r="G22" s="1">
        <v>6544.24</v>
      </c>
      <c r="H22">
        <v>0</v>
      </c>
      <c r="I22">
        <f>Sales_Data[[#This Row],[Sales]]*Sales_Data[[#This Row],[Discount]]</f>
        <v>0</v>
      </c>
      <c r="J22">
        <v>6544.24</v>
      </c>
      <c r="K22" s="1">
        <v>31.3</v>
      </c>
      <c r="L22" s="1">
        <v>6544.24</v>
      </c>
      <c r="M22" s="1" t="s">
        <v>13</v>
      </c>
      <c r="N22" s="1">
        <f>IF(Sales_Data[[#This Row],[Sales with Discount]]&lt;Sales_Data[[#This Row],[Sales with Free Shipping]],Sales_Data[[#This Row],[Sales with Discount]],Sales_Data[[#This Row],[Sales with Free Shipping]])</f>
        <v>6544.24</v>
      </c>
      <c r="O22" s="1" t="str">
        <f>TEXT(Sales_Data[[#This Row],[Order Date]], "MM-YYYY")</f>
        <v>08-2019</v>
      </c>
    </row>
    <row r="23" spans="1:15" x14ac:dyDescent="0.3">
      <c r="A23" s="1">
        <v>46337</v>
      </c>
      <c r="B23" s="2">
        <v>43582</v>
      </c>
      <c r="C23" s="1" t="s">
        <v>7</v>
      </c>
      <c r="D23" s="1">
        <v>34</v>
      </c>
      <c r="E23" t="s">
        <v>21</v>
      </c>
      <c r="F23" t="s">
        <v>21</v>
      </c>
      <c r="G23" s="1">
        <v>65.75</v>
      </c>
      <c r="H23">
        <v>0</v>
      </c>
      <c r="I23">
        <f>Sales_Data[[#This Row],[Sales]]*Sales_Data[[#This Row],[Discount]]</f>
        <v>0</v>
      </c>
      <c r="J23">
        <v>65.75</v>
      </c>
      <c r="K23" s="1">
        <v>0.7</v>
      </c>
      <c r="L23" s="1">
        <v>65.75</v>
      </c>
      <c r="M23" s="1" t="s">
        <v>10</v>
      </c>
      <c r="N23" s="1">
        <f>IF(Sales_Data[[#This Row],[Sales with Discount]]&lt;Sales_Data[[#This Row],[Sales with Free Shipping]],Sales_Data[[#This Row],[Sales with Discount]],Sales_Data[[#This Row],[Sales with Free Shipping]])</f>
        <v>65.75</v>
      </c>
      <c r="O23" s="1" t="str">
        <f>TEXT(Sales_Data[[#This Row],[Order Date]], "MM-YYYY")</f>
        <v>04-2019</v>
      </c>
    </row>
    <row r="24" spans="1:15" x14ac:dyDescent="0.3">
      <c r="A24" s="1">
        <v>24643</v>
      </c>
      <c r="B24" s="2">
        <v>43584</v>
      </c>
      <c r="C24" s="1" t="s">
        <v>14</v>
      </c>
      <c r="D24" s="1">
        <v>30</v>
      </c>
      <c r="E24" t="s">
        <v>20</v>
      </c>
      <c r="F24" t="s">
        <v>20</v>
      </c>
      <c r="G24" s="1">
        <v>2533.94</v>
      </c>
      <c r="H24">
        <v>0</v>
      </c>
      <c r="I24">
        <f>Sales_Data[[#This Row],[Sales]]*Sales_Data[[#This Row],[Discount]]</f>
        <v>0</v>
      </c>
      <c r="J24">
        <v>2533.94</v>
      </c>
      <c r="K24" s="1">
        <v>1.3</v>
      </c>
      <c r="L24" s="1">
        <v>2533.94</v>
      </c>
      <c r="M24" s="1" t="s">
        <v>10</v>
      </c>
      <c r="N24" s="1">
        <f>IF(Sales_Data[[#This Row],[Sales with Discount]]&lt;Sales_Data[[#This Row],[Sales with Free Shipping]],Sales_Data[[#This Row],[Sales with Discount]],Sales_Data[[#This Row],[Sales with Free Shipping]])</f>
        <v>2533.94</v>
      </c>
      <c r="O24" s="1" t="str">
        <f>TEXT(Sales_Data[[#This Row],[Order Date]], "MM-YYYY")</f>
        <v>04-2019</v>
      </c>
    </row>
    <row r="25" spans="1:15" x14ac:dyDescent="0.3">
      <c r="A25" s="1">
        <v>2240</v>
      </c>
      <c r="B25" s="2">
        <v>43529</v>
      </c>
      <c r="C25" s="1" t="s">
        <v>11</v>
      </c>
      <c r="D25" s="1">
        <v>5</v>
      </c>
      <c r="E25" t="s">
        <v>16</v>
      </c>
      <c r="F25" t="s">
        <v>16</v>
      </c>
      <c r="G25" s="1">
        <v>152.41</v>
      </c>
      <c r="H25">
        <v>0</v>
      </c>
      <c r="I25">
        <f>Sales_Data[[#This Row],[Sales]]*Sales_Data[[#This Row],[Discount]]</f>
        <v>0</v>
      </c>
      <c r="J25">
        <v>152.41</v>
      </c>
      <c r="K25" s="1">
        <v>6.6</v>
      </c>
      <c r="L25" s="1">
        <v>152.41</v>
      </c>
      <c r="M25" s="1" t="s">
        <v>10</v>
      </c>
      <c r="N25" s="1">
        <f>IF(Sales_Data[[#This Row],[Sales with Discount]]&lt;Sales_Data[[#This Row],[Sales with Free Shipping]],Sales_Data[[#This Row],[Sales with Discount]],Sales_Data[[#This Row],[Sales with Free Shipping]])</f>
        <v>152.41</v>
      </c>
      <c r="O25" s="1" t="str">
        <f>TEXT(Sales_Data[[#This Row],[Order Date]], "MM-YYYY")</f>
        <v>03-2019</v>
      </c>
    </row>
    <row r="26" spans="1:15" x14ac:dyDescent="0.3">
      <c r="A26" s="1">
        <v>26274</v>
      </c>
      <c r="B26" s="2">
        <v>43628</v>
      </c>
      <c r="C26" s="1" t="s">
        <v>11</v>
      </c>
      <c r="D26" s="1">
        <v>41</v>
      </c>
      <c r="E26" t="s">
        <v>23</v>
      </c>
      <c r="F26" t="s">
        <v>23</v>
      </c>
      <c r="G26" s="1">
        <v>404.28</v>
      </c>
      <c r="H26">
        <v>0.01</v>
      </c>
      <c r="I26">
        <f>Sales_Data[[#This Row],[Sales]]*Sales_Data[[#This Row],[Discount]]</f>
        <v>4.0427999999999997</v>
      </c>
      <c r="J26">
        <v>400.23719999999997</v>
      </c>
      <c r="K26" s="1">
        <v>2.2999999999999998</v>
      </c>
      <c r="L26" s="1">
        <v>401.97999999999996</v>
      </c>
      <c r="M26" s="1" t="s">
        <v>10</v>
      </c>
      <c r="N26" s="1">
        <f>IF(Sales_Data[[#This Row],[Sales with Discount]]&lt;Sales_Data[[#This Row],[Sales with Free Shipping]],Sales_Data[[#This Row],[Sales with Discount]],Sales_Data[[#This Row],[Sales with Free Shipping]])</f>
        <v>400.23719999999997</v>
      </c>
      <c r="O26" s="1" t="str">
        <f>TEXT(Sales_Data[[#This Row],[Order Date]], "MM-YYYY")</f>
        <v>06-2019</v>
      </c>
    </row>
    <row r="27" spans="1:15" x14ac:dyDescent="0.3">
      <c r="A27" s="1">
        <v>44869</v>
      </c>
      <c r="B27" s="2">
        <v>43699</v>
      </c>
      <c r="C27" s="1" t="s">
        <v>14</v>
      </c>
      <c r="D27" s="1">
        <v>43</v>
      </c>
      <c r="E27" t="s">
        <v>23</v>
      </c>
      <c r="F27" t="s">
        <v>23</v>
      </c>
      <c r="G27" s="1">
        <v>303</v>
      </c>
      <c r="H27">
        <v>0.01</v>
      </c>
      <c r="I27">
        <f>Sales_Data[[#This Row],[Sales]]*Sales_Data[[#This Row],[Discount]]</f>
        <v>3.0300000000000002</v>
      </c>
      <c r="J27">
        <v>299.96999999999997</v>
      </c>
      <c r="K27" s="1">
        <v>8</v>
      </c>
      <c r="L27" s="1">
        <v>295</v>
      </c>
      <c r="M27" s="1" t="s">
        <v>10</v>
      </c>
      <c r="N27" s="1">
        <f>IF(Sales_Data[[#This Row],[Sales with Discount]]&lt;Sales_Data[[#This Row],[Sales with Free Shipping]],Sales_Data[[#This Row],[Sales with Discount]],Sales_Data[[#This Row],[Sales with Free Shipping]])</f>
        <v>295</v>
      </c>
      <c r="O27" s="1" t="str">
        <f>TEXT(Sales_Data[[#This Row],[Order Date]], "MM-YYYY")</f>
        <v>08-2019</v>
      </c>
    </row>
    <row r="28" spans="1:15" x14ac:dyDescent="0.3">
      <c r="A28" s="1">
        <v>49029</v>
      </c>
      <c r="B28" s="2">
        <v>43605</v>
      </c>
      <c r="C28" s="1" t="s">
        <v>9</v>
      </c>
      <c r="D28" s="1">
        <v>49</v>
      </c>
      <c r="E28" t="s">
        <v>24</v>
      </c>
      <c r="F28" t="s">
        <v>24</v>
      </c>
      <c r="G28" s="1">
        <v>8798.68</v>
      </c>
      <c r="H28">
        <v>0.01</v>
      </c>
      <c r="I28">
        <f>Sales_Data[[#This Row],[Sales]]*Sales_Data[[#This Row],[Discount]]</f>
        <v>87.986800000000002</v>
      </c>
      <c r="J28">
        <v>8710.6931999999997</v>
      </c>
      <c r="K28" s="1">
        <v>4.3</v>
      </c>
      <c r="L28" s="1">
        <v>8794.380000000001</v>
      </c>
      <c r="M28" s="1" t="s">
        <v>8</v>
      </c>
      <c r="N28" s="1">
        <f>IF(Sales_Data[[#This Row],[Sales with Discount]]&lt;Sales_Data[[#This Row],[Sales with Free Shipping]],Sales_Data[[#This Row],[Sales with Discount]],Sales_Data[[#This Row],[Sales with Free Shipping]])</f>
        <v>8710.6931999999997</v>
      </c>
      <c r="O28" s="1" t="str">
        <f>TEXT(Sales_Data[[#This Row],[Order Date]], "MM-YYYY")</f>
        <v>05-2019</v>
      </c>
    </row>
    <row r="29" spans="1:15" x14ac:dyDescent="0.3">
      <c r="A29" s="1">
        <v>38656</v>
      </c>
      <c r="B29" s="2">
        <v>43687</v>
      </c>
      <c r="C29" s="1" t="s">
        <v>7</v>
      </c>
      <c r="D29" s="1">
        <v>13</v>
      </c>
      <c r="E29" t="s">
        <v>18</v>
      </c>
      <c r="F29" t="s">
        <v>18</v>
      </c>
      <c r="G29" s="1">
        <v>68.97</v>
      </c>
      <c r="H29">
        <v>0</v>
      </c>
      <c r="I29">
        <f>Sales_Data[[#This Row],[Sales]]*Sales_Data[[#This Row],[Discount]]</f>
        <v>0</v>
      </c>
      <c r="J29">
        <v>68.97</v>
      </c>
      <c r="K29" s="1">
        <v>0.5</v>
      </c>
      <c r="L29" s="1">
        <v>68.97</v>
      </c>
      <c r="M29" s="1" t="s">
        <v>10</v>
      </c>
      <c r="N29" s="1">
        <f>IF(Sales_Data[[#This Row],[Sales with Discount]]&lt;Sales_Data[[#This Row],[Sales with Free Shipping]],Sales_Data[[#This Row],[Sales with Discount]],Sales_Data[[#This Row],[Sales with Free Shipping]])</f>
        <v>68.97</v>
      </c>
      <c r="O29" s="1" t="str">
        <f>TEXT(Sales_Data[[#This Row],[Order Date]], "MM-YYYY")</f>
        <v>08-2019</v>
      </c>
    </row>
    <row r="30" spans="1:15" x14ac:dyDescent="0.3">
      <c r="A30" s="1">
        <v>45571</v>
      </c>
      <c r="B30" s="2">
        <v>43731</v>
      </c>
      <c r="C30" s="1" t="s">
        <v>14</v>
      </c>
      <c r="D30" s="1">
        <v>47</v>
      </c>
      <c r="E30" t="s">
        <v>24</v>
      </c>
      <c r="F30" t="s">
        <v>24</v>
      </c>
      <c r="G30" s="1">
        <v>6393.3</v>
      </c>
      <c r="H30">
        <v>0.01</v>
      </c>
      <c r="I30">
        <f>Sales_Data[[#This Row],[Sales]]*Sales_Data[[#This Row],[Discount]]</f>
        <v>63.933</v>
      </c>
      <c r="J30">
        <v>6329.3670000000002</v>
      </c>
      <c r="K30" s="1">
        <v>9.6</v>
      </c>
      <c r="L30" s="1">
        <v>6383.7</v>
      </c>
      <c r="M30" s="1" t="s">
        <v>10</v>
      </c>
      <c r="N30" s="1">
        <f>IF(Sales_Data[[#This Row],[Sales with Discount]]&lt;Sales_Data[[#This Row],[Sales with Free Shipping]],Sales_Data[[#This Row],[Sales with Discount]],Sales_Data[[#This Row],[Sales with Free Shipping]])</f>
        <v>6329.3670000000002</v>
      </c>
      <c r="O30" s="1" t="str">
        <f>TEXT(Sales_Data[[#This Row],[Order Date]], "MM-YYYY")</f>
        <v>09-2019</v>
      </c>
    </row>
    <row r="31" spans="1:15" x14ac:dyDescent="0.3">
      <c r="A31" s="1">
        <v>44422</v>
      </c>
      <c r="B31" s="2">
        <v>43568</v>
      </c>
      <c r="C31" s="1" t="s">
        <v>14</v>
      </c>
      <c r="D31" s="1">
        <v>11</v>
      </c>
      <c r="E31" t="s">
        <v>18</v>
      </c>
      <c r="F31" t="s">
        <v>18</v>
      </c>
      <c r="G31" s="1">
        <v>215.71</v>
      </c>
      <c r="H31">
        <v>0</v>
      </c>
      <c r="I31">
        <f>Sales_Data[[#This Row],[Sales]]*Sales_Data[[#This Row],[Discount]]</f>
        <v>0</v>
      </c>
      <c r="J31">
        <v>215.71</v>
      </c>
      <c r="K31" s="1">
        <v>1.1000000000000001</v>
      </c>
      <c r="L31" s="1">
        <v>215.71</v>
      </c>
      <c r="M31" s="1" t="s">
        <v>10</v>
      </c>
      <c r="N31" s="1">
        <f>IF(Sales_Data[[#This Row],[Sales with Discount]]&lt;Sales_Data[[#This Row],[Sales with Free Shipping]],Sales_Data[[#This Row],[Sales with Discount]],Sales_Data[[#This Row],[Sales with Free Shipping]])</f>
        <v>215.71</v>
      </c>
      <c r="O31" s="1" t="str">
        <f>TEXT(Sales_Data[[#This Row],[Order Date]], "MM-YYYY")</f>
        <v>04-2019</v>
      </c>
    </row>
    <row r="32" spans="1:15" x14ac:dyDescent="0.3">
      <c r="A32" s="1">
        <v>33186</v>
      </c>
      <c r="B32" s="2">
        <v>43705</v>
      </c>
      <c r="C32" s="1" t="s">
        <v>7</v>
      </c>
      <c r="D32" s="1">
        <v>24</v>
      </c>
      <c r="E32" t="s">
        <v>14</v>
      </c>
      <c r="F32" t="s">
        <v>14</v>
      </c>
      <c r="G32" s="1">
        <v>1445.07</v>
      </c>
      <c r="H32">
        <v>0</v>
      </c>
      <c r="I32">
        <f>Sales_Data[[#This Row],[Sales]]*Sales_Data[[#This Row],[Discount]]</f>
        <v>0</v>
      </c>
      <c r="J32">
        <v>1445.07</v>
      </c>
      <c r="K32" s="1">
        <v>5.6</v>
      </c>
      <c r="L32" s="1">
        <v>1445.07</v>
      </c>
      <c r="M32" s="1" t="s">
        <v>10</v>
      </c>
      <c r="N32" s="1">
        <f>IF(Sales_Data[[#This Row],[Sales with Discount]]&lt;Sales_Data[[#This Row],[Sales with Free Shipping]],Sales_Data[[#This Row],[Sales with Discount]],Sales_Data[[#This Row],[Sales with Free Shipping]])</f>
        <v>1445.07</v>
      </c>
      <c r="O32" s="1" t="str">
        <f>TEXT(Sales_Data[[#This Row],[Order Date]], "MM-YYYY")</f>
        <v>08-2019</v>
      </c>
    </row>
    <row r="33" spans="1:15" x14ac:dyDescent="0.3">
      <c r="A33" s="1">
        <v>10439</v>
      </c>
      <c r="B33" s="2">
        <v>43552</v>
      </c>
      <c r="C33" s="1" t="s">
        <v>11</v>
      </c>
      <c r="D33" s="1">
        <v>30</v>
      </c>
      <c r="E33" t="s">
        <v>20</v>
      </c>
      <c r="F33" t="s">
        <v>20</v>
      </c>
      <c r="G33" s="1">
        <v>609.48270000000002</v>
      </c>
      <c r="H33">
        <v>0</v>
      </c>
      <c r="I33">
        <f>Sales_Data[[#This Row],[Sales]]*Sales_Data[[#This Row],[Discount]]</f>
        <v>0</v>
      </c>
      <c r="J33">
        <v>609.48270000000002</v>
      </c>
      <c r="K33" s="1">
        <v>4.3</v>
      </c>
      <c r="L33" s="1">
        <v>609.48270000000002</v>
      </c>
      <c r="M33" s="1" t="s">
        <v>10</v>
      </c>
      <c r="N33" s="1">
        <f>IF(Sales_Data[[#This Row],[Sales with Discount]]&lt;Sales_Data[[#This Row],[Sales with Free Shipping]],Sales_Data[[#This Row],[Sales with Discount]],Sales_Data[[#This Row],[Sales with Free Shipping]])</f>
        <v>609.48270000000002</v>
      </c>
      <c r="O33" s="1" t="str">
        <f>TEXT(Sales_Data[[#This Row],[Order Date]], "MM-YYYY")</f>
        <v>03-2019</v>
      </c>
    </row>
    <row r="34" spans="1:15" x14ac:dyDescent="0.3">
      <c r="A34" s="1">
        <v>30913</v>
      </c>
      <c r="B34" s="2">
        <v>43730</v>
      </c>
      <c r="C34" s="1" t="s">
        <v>14</v>
      </c>
      <c r="D34" s="1">
        <v>24</v>
      </c>
      <c r="E34" t="s">
        <v>14</v>
      </c>
      <c r="F34" t="s">
        <v>14</v>
      </c>
      <c r="G34" s="1">
        <v>531.38</v>
      </c>
      <c r="H34">
        <v>0</v>
      </c>
      <c r="I34">
        <f>Sales_Data[[#This Row],[Sales]]*Sales_Data[[#This Row],[Discount]]</f>
        <v>0</v>
      </c>
      <c r="J34">
        <v>531.38</v>
      </c>
      <c r="K34" s="1">
        <v>11.2</v>
      </c>
      <c r="L34" s="1">
        <v>531.38</v>
      </c>
      <c r="M34" s="1" t="s">
        <v>8</v>
      </c>
      <c r="N34" s="1">
        <f>IF(Sales_Data[[#This Row],[Sales with Discount]]&lt;Sales_Data[[#This Row],[Sales with Free Shipping]],Sales_Data[[#This Row],[Sales with Discount]],Sales_Data[[#This Row],[Sales with Free Shipping]])</f>
        <v>531.38</v>
      </c>
      <c r="O34" s="1" t="str">
        <f>TEXT(Sales_Data[[#This Row],[Order Date]], "MM-YYYY")</f>
        <v>09-2019</v>
      </c>
    </row>
    <row r="35" spans="1:15" x14ac:dyDescent="0.3">
      <c r="A35" s="1">
        <v>7427</v>
      </c>
      <c r="B35" s="2">
        <v>43814</v>
      </c>
      <c r="C35" s="1" t="s">
        <v>11</v>
      </c>
      <c r="D35" s="1">
        <v>47</v>
      </c>
      <c r="E35" t="s">
        <v>24</v>
      </c>
      <c r="F35" t="s">
        <v>24</v>
      </c>
      <c r="G35" s="1">
        <v>17122.45</v>
      </c>
      <c r="H35">
        <v>0.01</v>
      </c>
      <c r="I35">
        <f>Sales_Data[[#This Row],[Sales]]*Sales_Data[[#This Row],[Discount]]</f>
        <v>171.22450000000001</v>
      </c>
      <c r="J35">
        <v>16951.2255</v>
      </c>
      <c r="K35" s="1">
        <v>21.4</v>
      </c>
      <c r="L35" s="1">
        <v>17101.05</v>
      </c>
      <c r="M35" s="1" t="s">
        <v>10</v>
      </c>
      <c r="N35" s="1">
        <f>IF(Sales_Data[[#This Row],[Sales with Discount]]&lt;Sales_Data[[#This Row],[Sales with Free Shipping]],Sales_Data[[#This Row],[Sales with Discount]],Sales_Data[[#This Row],[Sales with Free Shipping]])</f>
        <v>16951.2255</v>
      </c>
      <c r="O35" s="1" t="str">
        <f>TEXT(Sales_Data[[#This Row],[Order Date]], "MM-YYYY")</f>
        <v>12-2019</v>
      </c>
    </row>
    <row r="36" spans="1:15" x14ac:dyDescent="0.3">
      <c r="A36" s="1">
        <v>53795</v>
      </c>
      <c r="B36" s="2">
        <v>43494</v>
      </c>
      <c r="C36" s="1" t="s">
        <v>9</v>
      </c>
      <c r="D36" s="1">
        <v>21</v>
      </c>
      <c r="E36" t="s">
        <v>14</v>
      </c>
      <c r="F36" t="s">
        <v>14</v>
      </c>
      <c r="G36" s="1">
        <v>3591.7064999999998</v>
      </c>
      <c r="H36">
        <v>0</v>
      </c>
      <c r="I36">
        <f>Sales_Data[[#This Row],[Sales]]*Sales_Data[[#This Row],[Discount]]</f>
        <v>0</v>
      </c>
      <c r="J36">
        <v>3591.7064999999998</v>
      </c>
      <c r="K36" s="1">
        <v>4.5</v>
      </c>
      <c r="L36" s="1">
        <v>3591.7064999999998</v>
      </c>
      <c r="M36" s="1" t="s">
        <v>10</v>
      </c>
      <c r="N36" s="1">
        <f>IF(Sales_Data[[#This Row],[Sales with Discount]]&lt;Sales_Data[[#This Row],[Sales with Free Shipping]],Sales_Data[[#This Row],[Sales with Discount]],Sales_Data[[#This Row],[Sales with Free Shipping]])</f>
        <v>3591.7064999999998</v>
      </c>
      <c r="O36" s="1" t="str">
        <f>TEXT(Sales_Data[[#This Row],[Order Date]], "MM-YYYY")</f>
        <v>01-2019</v>
      </c>
    </row>
    <row r="37" spans="1:15" x14ac:dyDescent="0.3">
      <c r="A37" s="1">
        <v>42886</v>
      </c>
      <c r="B37" s="2">
        <v>43472</v>
      </c>
      <c r="C37" s="1" t="s">
        <v>14</v>
      </c>
      <c r="D37" s="1">
        <v>42</v>
      </c>
      <c r="E37" t="s">
        <v>23</v>
      </c>
      <c r="F37" t="s">
        <v>23</v>
      </c>
      <c r="G37" s="1">
        <v>173.94990000000001</v>
      </c>
      <c r="H37">
        <v>0.01</v>
      </c>
      <c r="I37">
        <f>Sales_Data[[#This Row],[Sales]]*Sales_Data[[#This Row],[Discount]]</f>
        <v>1.7394990000000001</v>
      </c>
      <c r="J37">
        <v>172.21040100000002</v>
      </c>
      <c r="K37" s="1">
        <v>0.5</v>
      </c>
      <c r="L37" s="1">
        <v>173.44990000000001</v>
      </c>
      <c r="M37" s="1" t="s">
        <v>10</v>
      </c>
      <c r="N37" s="1">
        <f>IF(Sales_Data[[#This Row],[Sales with Discount]]&lt;Sales_Data[[#This Row],[Sales with Free Shipping]],Sales_Data[[#This Row],[Sales with Discount]],Sales_Data[[#This Row],[Sales with Free Shipping]])</f>
        <v>172.21040100000002</v>
      </c>
      <c r="O37" s="1" t="str">
        <f>TEXT(Sales_Data[[#This Row],[Order Date]], "MM-YYYY")</f>
        <v>01-2019</v>
      </c>
    </row>
    <row r="38" spans="1:15" x14ac:dyDescent="0.3">
      <c r="A38" s="1">
        <v>48706</v>
      </c>
      <c r="B38" s="2">
        <v>43768</v>
      </c>
      <c r="C38" s="1" t="s">
        <v>7</v>
      </c>
      <c r="D38" s="1">
        <v>28</v>
      </c>
      <c r="E38" t="s">
        <v>20</v>
      </c>
      <c r="F38" t="s">
        <v>20</v>
      </c>
      <c r="G38" s="1">
        <v>33.380000000000003</v>
      </c>
      <c r="H38">
        <v>0</v>
      </c>
      <c r="I38">
        <f>Sales_Data[[#This Row],[Sales]]*Sales_Data[[#This Row],[Discount]]</f>
        <v>0</v>
      </c>
      <c r="J38">
        <v>33.380000000000003</v>
      </c>
      <c r="K38" s="1">
        <v>0.7</v>
      </c>
      <c r="L38" s="1">
        <v>33.380000000000003</v>
      </c>
      <c r="M38" s="1" t="s">
        <v>10</v>
      </c>
      <c r="N38" s="1">
        <f>IF(Sales_Data[[#This Row],[Sales with Discount]]&lt;Sales_Data[[#This Row],[Sales with Free Shipping]],Sales_Data[[#This Row],[Sales with Discount]],Sales_Data[[#This Row],[Sales with Free Shipping]])</f>
        <v>33.380000000000003</v>
      </c>
      <c r="O38" s="1" t="str">
        <f>TEXT(Sales_Data[[#This Row],[Order Date]], "MM-YYYY")</f>
        <v>10-2019</v>
      </c>
    </row>
    <row r="39" spans="1:15" x14ac:dyDescent="0.3">
      <c r="A39" s="1">
        <v>20292</v>
      </c>
      <c r="B39" s="2">
        <v>43777</v>
      </c>
      <c r="C39" s="1" t="s">
        <v>14</v>
      </c>
      <c r="D39" s="1">
        <v>26</v>
      </c>
      <c r="E39" t="s">
        <v>20</v>
      </c>
      <c r="F39" t="s">
        <v>20</v>
      </c>
      <c r="G39" s="1">
        <v>484.06</v>
      </c>
      <c r="H39">
        <v>0</v>
      </c>
      <c r="I39">
        <f>Sales_Data[[#This Row],[Sales]]*Sales_Data[[#This Row],[Discount]]</f>
        <v>0</v>
      </c>
      <c r="J39">
        <v>484.06</v>
      </c>
      <c r="K39" s="1">
        <v>8.6999999999999993</v>
      </c>
      <c r="L39" s="1">
        <v>484.06</v>
      </c>
      <c r="M39" s="1" t="s">
        <v>10</v>
      </c>
      <c r="N39" s="1">
        <f>IF(Sales_Data[[#This Row],[Sales with Discount]]&lt;Sales_Data[[#This Row],[Sales with Free Shipping]],Sales_Data[[#This Row],[Sales with Discount]],Sales_Data[[#This Row],[Sales with Free Shipping]])</f>
        <v>484.06</v>
      </c>
      <c r="O39" s="1" t="str">
        <f>TEXT(Sales_Data[[#This Row],[Order Date]], "MM-YYYY")</f>
        <v>11-2019</v>
      </c>
    </row>
    <row r="40" spans="1:15" x14ac:dyDescent="0.3">
      <c r="A40" s="1">
        <v>59909</v>
      </c>
      <c r="B40" s="2">
        <v>43682</v>
      </c>
      <c r="C40" s="1" t="s">
        <v>7</v>
      </c>
      <c r="D40" s="1">
        <v>11</v>
      </c>
      <c r="E40" t="s">
        <v>18</v>
      </c>
      <c r="F40" t="s">
        <v>18</v>
      </c>
      <c r="G40" s="1">
        <v>1343.36</v>
      </c>
      <c r="H40">
        <v>0</v>
      </c>
      <c r="I40">
        <f>Sales_Data[[#This Row],[Sales]]*Sales_Data[[#This Row],[Discount]]</f>
        <v>0</v>
      </c>
      <c r="J40">
        <v>1343.36</v>
      </c>
      <c r="K40" s="1">
        <v>60.1</v>
      </c>
      <c r="L40" s="1">
        <v>1343.36</v>
      </c>
      <c r="M40" s="1" t="s">
        <v>13</v>
      </c>
      <c r="N40" s="1">
        <f>IF(Sales_Data[[#This Row],[Sales with Discount]]&lt;Sales_Data[[#This Row],[Sales with Free Shipping]],Sales_Data[[#This Row],[Sales with Discount]],Sales_Data[[#This Row],[Sales with Free Shipping]])</f>
        <v>1343.36</v>
      </c>
      <c r="O40" s="1" t="str">
        <f>TEXT(Sales_Data[[#This Row],[Order Date]], "MM-YYYY")</f>
        <v>08-2019</v>
      </c>
    </row>
    <row r="41" spans="1:15" x14ac:dyDescent="0.3">
      <c r="A41" s="1">
        <v>11875</v>
      </c>
      <c r="B41" s="2">
        <v>43697</v>
      </c>
      <c r="C41" s="1" t="s">
        <v>14</v>
      </c>
      <c r="D41" s="1">
        <v>19</v>
      </c>
      <c r="E41" t="s">
        <v>19</v>
      </c>
      <c r="F41" t="s">
        <v>19</v>
      </c>
      <c r="G41" s="1">
        <v>259.61</v>
      </c>
      <c r="H41">
        <v>0</v>
      </c>
      <c r="I41">
        <f>Sales_Data[[#This Row],[Sales]]*Sales_Data[[#This Row],[Discount]]</f>
        <v>0</v>
      </c>
      <c r="J41">
        <v>259.61</v>
      </c>
      <c r="K41" s="1">
        <v>6.7</v>
      </c>
      <c r="L41" s="1">
        <v>259.61</v>
      </c>
      <c r="M41" s="1" t="s">
        <v>10</v>
      </c>
      <c r="N41" s="1">
        <f>IF(Sales_Data[[#This Row],[Sales with Discount]]&lt;Sales_Data[[#This Row],[Sales with Free Shipping]],Sales_Data[[#This Row],[Sales with Discount]],Sales_Data[[#This Row],[Sales with Free Shipping]])</f>
        <v>259.61</v>
      </c>
      <c r="O41" s="1" t="str">
        <f>TEXT(Sales_Data[[#This Row],[Order Date]], "MM-YYYY")</f>
        <v>08-2019</v>
      </c>
    </row>
    <row r="42" spans="1:15" x14ac:dyDescent="0.3">
      <c r="A42" s="1">
        <v>25442</v>
      </c>
      <c r="B42" s="2">
        <v>43469</v>
      </c>
      <c r="C42" s="1" t="s">
        <v>9</v>
      </c>
      <c r="D42" s="1">
        <v>32</v>
      </c>
      <c r="E42" t="s">
        <v>21</v>
      </c>
      <c r="F42" t="s">
        <v>21</v>
      </c>
      <c r="G42" s="1">
        <v>1782.62</v>
      </c>
      <c r="H42">
        <v>0</v>
      </c>
      <c r="I42">
        <f>Sales_Data[[#This Row],[Sales]]*Sales_Data[[#This Row],[Discount]]</f>
        <v>0</v>
      </c>
      <c r="J42">
        <v>1782.62</v>
      </c>
      <c r="K42" s="1">
        <v>5.2</v>
      </c>
      <c r="L42" s="1">
        <v>1782.62</v>
      </c>
      <c r="M42" s="1" t="s">
        <v>10</v>
      </c>
      <c r="N42" s="1">
        <f>IF(Sales_Data[[#This Row],[Sales with Discount]]&lt;Sales_Data[[#This Row],[Sales with Free Shipping]],Sales_Data[[#This Row],[Sales with Discount]],Sales_Data[[#This Row],[Sales with Free Shipping]])</f>
        <v>1782.62</v>
      </c>
      <c r="O42" s="1" t="str">
        <f>TEXT(Sales_Data[[#This Row],[Order Date]], "MM-YYYY")</f>
        <v>01-2019</v>
      </c>
    </row>
    <row r="43" spans="1:15" x14ac:dyDescent="0.3">
      <c r="A43" s="1">
        <v>48322</v>
      </c>
      <c r="B43" s="2">
        <v>43528</v>
      </c>
      <c r="C43" s="1" t="s">
        <v>14</v>
      </c>
      <c r="D43" s="1">
        <v>14</v>
      </c>
      <c r="E43" t="s">
        <v>18</v>
      </c>
      <c r="F43" t="s">
        <v>18</v>
      </c>
      <c r="G43" s="1">
        <v>44.27</v>
      </c>
      <c r="H43">
        <v>0</v>
      </c>
      <c r="I43">
        <f>Sales_Data[[#This Row],[Sales]]*Sales_Data[[#This Row],[Discount]]</f>
        <v>0</v>
      </c>
      <c r="J43">
        <v>44.27</v>
      </c>
      <c r="K43" s="1">
        <v>0.7</v>
      </c>
      <c r="L43" s="1">
        <v>44.27</v>
      </c>
      <c r="M43" s="1" t="s">
        <v>10</v>
      </c>
      <c r="N43" s="1">
        <f>IF(Sales_Data[[#This Row],[Sales with Discount]]&lt;Sales_Data[[#This Row],[Sales with Free Shipping]],Sales_Data[[#This Row],[Sales with Discount]],Sales_Data[[#This Row],[Sales with Free Shipping]])</f>
        <v>44.27</v>
      </c>
      <c r="O43" s="1" t="str">
        <f>TEXT(Sales_Data[[#This Row],[Order Date]], "MM-YYYY")</f>
        <v>03-2019</v>
      </c>
    </row>
    <row r="44" spans="1:15" x14ac:dyDescent="0.3">
      <c r="A44" s="1">
        <v>7107</v>
      </c>
      <c r="B44" s="2">
        <v>43468</v>
      </c>
      <c r="C44" s="1" t="s">
        <v>11</v>
      </c>
      <c r="D44" s="1">
        <v>3</v>
      </c>
      <c r="E44" t="s">
        <v>16</v>
      </c>
      <c r="F44" t="s">
        <v>16</v>
      </c>
      <c r="G44" s="1">
        <v>184.08</v>
      </c>
      <c r="H44">
        <v>0</v>
      </c>
      <c r="I44">
        <f>Sales_Data[[#This Row],[Sales]]*Sales_Data[[#This Row],[Discount]]</f>
        <v>0</v>
      </c>
      <c r="J44">
        <v>184.08</v>
      </c>
      <c r="K44" s="1">
        <v>11.9</v>
      </c>
      <c r="L44" s="1">
        <v>184.08</v>
      </c>
      <c r="M44" s="1" t="s">
        <v>10</v>
      </c>
      <c r="N44" s="1">
        <f>IF(Sales_Data[[#This Row],[Sales with Discount]]&lt;Sales_Data[[#This Row],[Sales with Free Shipping]],Sales_Data[[#This Row],[Sales with Discount]],Sales_Data[[#This Row],[Sales with Free Shipping]])</f>
        <v>184.08</v>
      </c>
      <c r="O44" s="1" t="str">
        <f>TEXT(Sales_Data[[#This Row],[Order Date]], "MM-YYYY")</f>
        <v>01-2019</v>
      </c>
    </row>
    <row r="45" spans="1:15" x14ac:dyDescent="0.3">
      <c r="A45" s="1">
        <v>28929</v>
      </c>
      <c r="B45" s="2">
        <v>43747</v>
      </c>
      <c r="C45" s="1" t="s">
        <v>14</v>
      </c>
      <c r="D45" s="1">
        <v>46</v>
      </c>
      <c r="E45" t="s">
        <v>24</v>
      </c>
      <c r="F45" t="s">
        <v>24</v>
      </c>
      <c r="G45" s="1">
        <v>773.79</v>
      </c>
      <c r="H45">
        <v>0.01</v>
      </c>
      <c r="I45">
        <f>Sales_Data[[#This Row],[Sales]]*Sales_Data[[#This Row],[Discount]]</f>
        <v>7.7378999999999998</v>
      </c>
      <c r="J45">
        <v>766.0521</v>
      </c>
      <c r="K45" s="1">
        <v>13.3</v>
      </c>
      <c r="L45" s="1">
        <v>760.49</v>
      </c>
      <c r="M45" s="1" t="s">
        <v>10</v>
      </c>
      <c r="N45" s="1">
        <f>IF(Sales_Data[[#This Row],[Sales with Discount]]&lt;Sales_Data[[#This Row],[Sales with Free Shipping]],Sales_Data[[#This Row],[Sales with Discount]],Sales_Data[[#This Row],[Sales with Free Shipping]])</f>
        <v>760.49</v>
      </c>
      <c r="O45" s="1" t="str">
        <f>TEXT(Sales_Data[[#This Row],[Order Date]], "MM-YYYY")</f>
        <v>10-2019</v>
      </c>
    </row>
    <row r="46" spans="1:15" x14ac:dyDescent="0.3">
      <c r="A46" s="1">
        <v>55073</v>
      </c>
      <c r="B46" s="2">
        <v>43544</v>
      </c>
      <c r="C46" s="1" t="s">
        <v>7</v>
      </c>
      <c r="D46" s="1">
        <v>40</v>
      </c>
      <c r="E46" t="s">
        <v>22</v>
      </c>
      <c r="F46" t="s">
        <v>22</v>
      </c>
      <c r="G46" s="1">
        <v>2543.0801999999999</v>
      </c>
      <c r="H46">
        <v>0.01</v>
      </c>
      <c r="I46">
        <f>Sales_Data[[#This Row],[Sales]]*Sales_Data[[#This Row],[Discount]]</f>
        <v>25.430802</v>
      </c>
      <c r="J46">
        <v>2517.649398</v>
      </c>
      <c r="K46" s="1">
        <v>4.3</v>
      </c>
      <c r="L46" s="1">
        <v>2538.7801999999997</v>
      </c>
      <c r="M46" s="1" t="s">
        <v>10</v>
      </c>
      <c r="N46" s="1">
        <f>IF(Sales_Data[[#This Row],[Sales with Discount]]&lt;Sales_Data[[#This Row],[Sales with Free Shipping]],Sales_Data[[#This Row],[Sales with Discount]],Sales_Data[[#This Row],[Sales with Free Shipping]])</f>
        <v>2517.649398</v>
      </c>
      <c r="O46" s="1" t="str">
        <f>TEXT(Sales_Data[[#This Row],[Order Date]], "MM-YYYY")</f>
        <v>03-2019</v>
      </c>
    </row>
    <row r="47" spans="1:15" x14ac:dyDescent="0.3">
      <c r="A47" s="1">
        <v>40193</v>
      </c>
      <c r="B47" s="2">
        <v>43710</v>
      </c>
      <c r="C47" s="1" t="s">
        <v>9</v>
      </c>
      <c r="D47" s="1">
        <v>34</v>
      </c>
      <c r="E47" t="s">
        <v>21</v>
      </c>
      <c r="F47" t="s">
        <v>21</v>
      </c>
      <c r="G47" s="1">
        <v>3349.32</v>
      </c>
      <c r="H47">
        <v>0</v>
      </c>
      <c r="I47">
        <f>Sales_Data[[#This Row],[Sales]]*Sales_Data[[#This Row],[Discount]]</f>
        <v>0</v>
      </c>
      <c r="J47">
        <v>3349.32</v>
      </c>
      <c r="K47" s="1">
        <v>2.7</v>
      </c>
      <c r="L47" s="1">
        <v>3349.32</v>
      </c>
      <c r="M47" s="1" t="s">
        <v>8</v>
      </c>
      <c r="N47" s="1">
        <f>IF(Sales_Data[[#This Row],[Sales with Discount]]&lt;Sales_Data[[#This Row],[Sales with Free Shipping]],Sales_Data[[#This Row],[Sales with Discount]],Sales_Data[[#This Row],[Sales with Free Shipping]])</f>
        <v>3349.32</v>
      </c>
      <c r="O47" s="1" t="str">
        <f>TEXT(Sales_Data[[#This Row],[Order Date]], "MM-YYYY")</f>
        <v>09-2019</v>
      </c>
    </row>
    <row r="48" spans="1:15" x14ac:dyDescent="0.3">
      <c r="A48" s="1">
        <v>56384</v>
      </c>
      <c r="B48" s="2">
        <v>43677</v>
      </c>
      <c r="C48" s="1" t="s">
        <v>12</v>
      </c>
      <c r="D48" s="1">
        <v>47</v>
      </c>
      <c r="E48" t="s">
        <v>24</v>
      </c>
      <c r="F48" t="s">
        <v>24</v>
      </c>
      <c r="G48" s="1">
        <v>275.2</v>
      </c>
      <c r="H48">
        <v>0.01</v>
      </c>
      <c r="I48">
        <f>Sales_Data[[#This Row],[Sales]]*Sales_Data[[#This Row],[Discount]]</f>
        <v>2.7519999999999998</v>
      </c>
      <c r="J48">
        <v>272.44799999999998</v>
      </c>
      <c r="K48" s="1">
        <v>52.4</v>
      </c>
      <c r="L48" s="1">
        <v>222.79999999999998</v>
      </c>
      <c r="M48" s="1" t="s">
        <v>10</v>
      </c>
      <c r="N48" s="1">
        <f>IF(Sales_Data[[#This Row],[Sales with Discount]]&lt;Sales_Data[[#This Row],[Sales with Free Shipping]],Sales_Data[[#This Row],[Sales with Discount]],Sales_Data[[#This Row],[Sales with Free Shipping]])</f>
        <v>222.79999999999998</v>
      </c>
      <c r="O48" s="1" t="str">
        <f>TEXT(Sales_Data[[#This Row],[Order Date]], "MM-YYYY")</f>
        <v>07-2019</v>
      </c>
    </row>
    <row r="49" spans="1:15" x14ac:dyDescent="0.3">
      <c r="A49" s="1">
        <v>16005</v>
      </c>
      <c r="B49" s="2">
        <v>43823</v>
      </c>
      <c r="C49" s="1" t="s">
        <v>11</v>
      </c>
      <c r="D49" s="1">
        <v>7</v>
      </c>
      <c r="E49" t="s">
        <v>17</v>
      </c>
      <c r="F49" t="s">
        <v>17</v>
      </c>
      <c r="G49" s="1">
        <v>54.6</v>
      </c>
      <c r="H49">
        <v>0</v>
      </c>
      <c r="I49">
        <f>Sales_Data[[#This Row],[Sales]]*Sales_Data[[#This Row],[Discount]]</f>
        <v>0</v>
      </c>
      <c r="J49">
        <v>54.6</v>
      </c>
      <c r="K49" s="1">
        <v>5.9</v>
      </c>
      <c r="L49" s="1">
        <v>54.6</v>
      </c>
      <c r="M49" s="1" t="s">
        <v>10</v>
      </c>
      <c r="N49" s="1">
        <f>IF(Sales_Data[[#This Row],[Sales with Discount]]&lt;Sales_Data[[#This Row],[Sales with Free Shipping]],Sales_Data[[#This Row],[Sales with Discount]],Sales_Data[[#This Row],[Sales with Free Shipping]])</f>
        <v>54.6</v>
      </c>
      <c r="O49" s="1" t="str">
        <f>TEXT(Sales_Data[[#This Row],[Order Date]], "MM-YYYY")</f>
        <v>12-2019</v>
      </c>
    </row>
    <row r="50" spans="1:15" x14ac:dyDescent="0.3">
      <c r="A50" s="1">
        <v>53600</v>
      </c>
      <c r="B50" s="2">
        <v>43656</v>
      </c>
      <c r="C50" s="1" t="s">
        <v>14</v>
      </c>
      <c r="D50" s="1">
        <v>8</v>
      </c>
      <c r="E50" t="s">
        <v>17</v>
      </c>
      <c r="F50" t="s">
        <v>17</v>
      </c>
      <c r="G50" s="1">
        <v>59.48</v>
      </c>
      <c r="H50">
        <v>0</v>
      </c>
      <c r="I50">
        <f>Sales_Data[[#This Row],[Sales]]*Sales_Data[[#This Row],[Discount]]</f>
        <v>0</v>
      </c>
      <c r="J50">
        <v>59.48</v>
      </c>
      <c r="K50" s="1">
        <v>6.1</v>
      </c>
      <c r="L50" s="1">
        <v>59.48</v>
      </c>
      <c r="M50" s="1" t="s">
        <v>8</v>
      </c>
      <c r="N50" s="1">
        <f>IF(Sales_Data[[#This Row],[Sales with Discount]]&lt;Sales_Data[[#This Row],[Sales with Free Shipping]],Sales_Data[[#This Row],[Sales with Discount]],Sales_Data[[#This Row],[Sales with Free Shipping]])</f>
        <v>59.48</v>
      </c>
      <c r="O50" s="1" t="str">
        <f>TEXT(Sales_Data[[#This Row],[Order Date]], "MM-YYYY")</f>
        <v>07-2019</v>
      </c>
    </row>
    <row r="51" spans="1:15" x14ac:dyDescent="0.3">
      <c r="A51" s="1">
        <v>50370</v>
      </c>
      <c r="B51" s="2">
        <v>43775</v>
      </c>
      <c r="C51" s="1" t="s">
        <v>12</v>
      </c>
      <c r="D51" s="1">
        <v>25</v>
      </c>
      <c r="E51" t="s">
        <v>14</v>
      </c>
      <c r="F51" t="s">
        <v>14</v>
      </c>
      <c r="G51" s="1">
        <v>130.59</v>
      </c>
      <c r="H51">
        <v>0</v>
      </c>
      <c r="I51">
        <f>Sales_Data[[#This Row],[Sales]]*Sales_Data[[#This Row],[Discount]]</f>
        <v>0</v>
      </c>
      <c r="J51">
        <v>130.59</v>
      </c>
      <c r="K51" s="1">
        <v>5.8</v>
      </c>
      <c r="L51" s="1">
        <v>130.59</v>
      </c>
      <c r="M51" s="1" t="s">
        <v>8</v>
      </c>
      <c r="N51" s="1">
        <f>IF(Sales_Data[[#This Row],[Sales with Discount]]&lt;Sales_Data[[#This Row],[Sales with Free Shipping]],Sales_Data[[#This Row],[Sales with Discount]],Sales_Data[[#This Row],[Sales with Free Shipping]])</f>
        <v>130.59</v>
      </c>
      <c r="O51" s="1" t="str">
        <f>TEXT(Sales_Data[[#This Row],[Order Date]], "MM-YYYY")</f>
        <v>11-2019</v>
      </c>
    </row>
    <row r="52" spans="1:15" x14ac:dyDescent="0.3">
      <c r="A52" s="1">
        <v>46979</v>
      </c>
      <c r="B52" s="2">
        <v>43662</v>
      </c>
      <c r="C52" s="1" t="s">
        <v>7</v>
      </c>
      <c r="D52" s="1">
        <v>26</v>
      </c>
      <c r="E52" t="s">
        <v>20</v>
      </c>
      <c r="F52" t="s">
        <v>20</v>
      </c>
      <c r="G52" s="1">
        <v>145.38999999999999</v>
      </c>
      <c r="H52">
        <v>0</v>
      </c>
      <c r="I52">
        <f>Sales_Data[[#This Row],[Sales]]*Sales_Data[[#This Row],[Discount]]</f>
        <v>0</v>
      </c>
      <c r="J52">
        <v>145.38999999999999</v>
      </c>
      <c r="K52" s="1">
        <v>5.9</v>
      </c>
      <c r="L52" s="1">
        <v>145.38999999999999</v>
      </c>
      <c r="M52" s="1" t="s">
        <v>10</v>
      </c>
      <c r="N52" s="1">
        <f>IF(Sales_Data[[#This Row],[Sales with Discount]]&lt;Sales_Data[[#This Row],[Sales with Free Shipping]],Sales_Data[[#This Row],[Sales with Discount]],Sales_Data[[#This Row],[Sales with Free Shipping]])</f>
        <v>145.38999999999999</v>
      </c>
      <c r="O52" s="1" t="str">
        <f>TEXT(Sales_Data[[#This Row],[Order Date]], "MM-YYYY")</f>
        <v>07-2019</v>
      </c>
    </row>
    <row r="53" spans="1:15" x14ac:dyDescent="0.3">
      <c r="A53" s="1">
        <v>29376</v>
      </c>
      <c r="B53" s="2">
        <v>43688</v>
      </c>
      <c r="C53" s="1" t="s">
        <v>12</v>
      </c>
      <c r="D53" s="1">
        <v>20</v>
      </c>
      <c r="E53" t="s">
        <v>19</v>
      </c>
      <c r="F53" t="s">
        <v>19</v>
      </c>
      <c r="G53" s="1">
        <v>3049.83</v>
      </c>
      <c r="H53">
        <v>0</v>
      </c>
      <c r="I53">
        <f>Sales_Data[[#This Row],[Sales]]*Sales_Data[[#This Row],[Discount]]</f>
        <v>0</v>
      </c>
      <c r="J53">
        <v>3049.83</v>
      </c>
      <c r="K53" s="1">
        <v>7.6</v>
      </c>
      <c r="L53" s="1">
        <v>3049.83</v>
      </c>
      <c r="M53" s="1" t="s">
        <v>10</v>
      </c>
      <c r="N53" s="1">
        <f>IF(Sales_Data[[#This Row],[Sales with Discount]]&lt;Sales_Data[[#This Row],[Sales with Free Shipping]],Sales_Data[[#This Row],[Sales with Discount]],Sales_Data[[#This Row],[Sales with Free Shipping]])</f>
        <v>3049.83</v>
      </c>
      <c r="O53" s="1" t="str">
        <f>TEXT(Sales_Data[[#This Row],[Order Date]], "MM-YYYY")</f>
        <v>08-2019</v>
      </c>
    </row>
    <row r="54" spans="1:15" x14ac:dyDescent="0.3">
      <c r="A54" s="1">
        <v>56930</v>
      </c>
      <c r="B54" s="2">
        <v>43694</v>
      </c>
      <c r="C54" s="1" t="s">
        <v>7</v>
      </c>
      <c r="D54" s="1">
        <v>47</v>
      </c>
      <c r="E54" t="s">
        <v>24</v>
      </c>
      <c r="F54" t="s">
        <v>24</v>
      </c>
      <c r="G54" s="1">
        <v>244.29</v>
      </c>
      <c r="H54">
        <v>0.01</v>
      </c>
      <c r="I54">
        <f>Sales_Data[[#This Row],[Sales]]*Sales_Data[[#This Row],[Discount]]</f>
        <v>2.4428999999999998</v>
      </c>
      <c r="J54">
        <v>241.84709999999998</v>
      </c>
      <c r="K54" s="1">
        <v>0.7</v>
      </c>
      <c r="L54" s="1">
        <v>243.59</v>
      </c>
      <c r="M54" s="1" t="s">
        <v>10</v>
      </c>
      <c r="N54" s="1">
        <f>IF(Sales_Data[[#This Row],[Sales with Discount]]&lt;Sales_Data[[#This Row],[Sales with Free Shipping]],Sales_Data[[#This Row],[Sales with Discount]],Sales_Data[[#This Row],[Sales with Free Shipping]])</f>
        <v>241.84709999999998</v>
      </c>
      <c r="O54" s="1" t="str">
        <f>TEXT(Sales_Data[[#This Row],[Order Date]], "MM-YYYY")</f>
        <v>08-2019</v>
      </c>
    </row>
    <row r="55" spans="1:15" x14ac:dyDescent="0.3">
      <c r="A55" s="1">
        <v>50532</v>
      </c>
      <c r="B55" s="2">
        <v>43691</v>
      </c>
      <c r="C55" s="1" t="s">
        <v>14</v>
      </c>
      <c r="D55" s="1">
        <v>22</v>
      </c>
      <c r="E55" t="s">
        <v>14</v>
      </c>
      <c r="F55" t="s">
        <v>14</v>
      </c>
      <c r="G55" s="1">
        <v>88.79</v>
      </c>
      <c r="H55">
        <v>0</v>
      </c>
      <c r="I55">
        <f>Sales_Data[[#This Row],[Sales]]*Sales_Data[[#This Row],[Discount]]</f>
        <v>0</v>
      </c>
      <c r="J55">
        <v>88.79</v>
      </c>
      <c r="K55" s="1">
        <v>1.4</v>
      </c>
      <c r="L55" s="1">
        <v>88.79</v>
      </c>
      <c r="M55" s="1" t="s">
        <v>10</v>
      </c>
      <c r="N55" s="1">
        <f>IF(Sales_Data[[#This Row],[Sales with Discount]]&lt;Sales_Data[[#This Row],[Sales with Free Shipping]],Sales_Data[[#This Row],[Sales with Discount]],Sales_Data[[#This Row],[Sales with Free Shipping]])</f>
        <v>88.79</v>
      </c>
      <c r="O55" s="1" t="str">
        <f>TEXT(Sales_Data[[#This Row],[Order Date]], "MM-YYYY")</f>
        <v>08-2019</v>
      </c>
    </row>
    <row r="56" spans="1:15" x14ac:dyDescent="0.3">
      <c r="A56" s="1">
        <v>9505</v>
      </c>
      <c r="B56" s="2">
        <v>43623</v>
      </c>
      <c r="C56" s="1" t="s">
        <v>9</v>
      </c>
      <c r="D56" s="1">
        <v>2</v>
      </c>
      <c r="E56" t="s">
        <v>16</v>
      </c>
      <c r="F56" t="s">
        <v>16</v>
      </c>
      <c r="G56" s="1">
        <v>338.68</v>
      </c>
      <c r="H56">
        <v>0</v>
      </c>
      <c r="I56">
        <f>Sales_Data[[#This Row],[Sales]]*Sales_Data[[#This Row],[Discount]]</f>
        <v>0</v>
      </c>
      <c r="J56">
        <v>338.68</v>
      </c>
      <c r="K56" s="1">
        <v>4.3</v>
      </c>
      <c r="L56" s="1">
        <v>338.68</v>
      </c>
      <c r="M56" s="1" t="s">
        <v>10</v>
      </c>
      <c r="N56" s="1">
        <f>IF(Sales_Data[[#This Row],[Sales with Discount]]&lt;Sales_Data[[#This Row],[Sales with Free Shipping]],Sales_Data[[#This Row],[Sales with Discount]],Sales_Data[[#This Row],[Sales with Free Shipping]])</f>
        <v>338.68</v>
      </c>
      <c r="O56" s="1" t="str">
        <f>TEXT(Sales_Data[[#This Row],[Order Date]], "MM-YYYY")</f>
        <v>06-2019</v>
      </c>
    </row>
    <row r="57" spans="1:15" x14ac:dyDescent="0.3">
      <c r="A57" s="1">
        <v>35492</v>
      </c>
      <c r="B57" s="2">
        <v>43505</v>
      </c>
      <c r="C57" s="1" t="s">
        <v>14</v>
      </c>
      <c r="D57" s="1">
        <v>36</v>
      </c>
      <c r="E57" t="s">
        <v>22</v>
      </c>
      <c r="F57" t="s">
        <v>22</v>
      </c>
      <c r="G57" s="1">
        <v>487.85</v>
      </c>
      <c r="H57">
        <v>0.01</v>
      </c>
      <c r="I57">
        <f>Sales_Data[[#This Row],[Sales]]*Sales_Data[[#This Row],[Discount]]</f>
        <v>4.8785000000000007</v>
      </c>
      <c r="J57">
        <v>482.97149999999999</v>
      </c>
      <c r="K57" s="1">
        <v>5.3</v>
      </c>
      <c r="L57" s="1">
        <v>482.55</v>
      </c>
      <c r="M57" s="1" t="s">
        <v>8</v>
      </c>
      <c r="N57" s="1">
        <f>IF(Sales_Data[[#This Row],[Sales with Discount]]&lt;Sales_Data[[#This Row],[Sales with Free Shipping]],Sales_Data[[#This Row],[Sales with Discount]],Sales_Data[[#This Row],[Sales with Free Shipping]])</f>
        <v>482.55</v>
      </c>
      <c r="O57" s="1" t="str">
        <f>TEXT(Sales_Data[[#This Row],[Order Date]], "MM-YYYY")</f>
        <v>02-2019</v>
      </c>
    </row>
    <row r="58" spans="1:15" x14ac:dyDescent="0.3">
      <c r="A58" s="1">
        <v>7267</v>
      </c>
      <c r="B58" s="2">
        <v>43705</v>
      </c>
      <c r="C58" s="1" t="s">
        <v>9</v>
      </c>
      <c r="D58" s="1">
        <v>19</v>
      </c>
      <c r="E58" t="s">
        <v>19</v>
      </c>
      <c r="F58" t="s">
        <v>19</v>
      </c>
      <c r="G58" s="1">
        <v>280.68</v>
      </c>
      <c r="H58">
        <v>0</v>
      </c>
      <c r="I58">
        <f>Sales_Data[[#This Row],[Sales]]*Sales_Data[[#This Row],[Discount]]</f>
        <v>0</v>
      </c>
      <c r="J58">
        <v>280.68</v>
      </c>
      <c r="K58" s="1">
        <v>6.9</v>
      </c>
      <c r="L58" s="1">
        <v>280.68</v>
      </c>
      <c r="M58" s="1" t="s">
        <v>10</v>
      </c>
      <c r="N58" s="1">
        <f>IF(Sales_Data[[#This Row],[Sales with Discount]]&lt;Sales_Data[[#This Row],[Sales with Free Shipping]],Sales_Data[[#This Row],[Sales with Discount]],Sales_Data[[#This Row],[Sales with Free Shipping]])</f>
        <v>280.68</v>
      </c>
      <c r="O58" s="1" t="str">
        <f>TEXT(Sales_Data[[#This Row],[Order Date]], "MM-YYYY")</f>
        <v>08-2019</v>
      </c>
    </row>
    <row r="59" spans="1:15" x14ac:dyDescent="0.3">
      <c r="A59" s="1">
        <v>11362</v>
      </c>
      <c r="B59" s="2">
        <v>43718</v>
      </c>
      <c r="C59" s="1" t="s">
        <v>7</v>
      </c>
      <c r="D59" s="1">
        <v>9</v>
      </c>
      <c r="E59" t="s">
        <v>17</v>
      </c>
      <c r="F59" t="s">
        <v>17</v>
      </c>
      <c r="G59" s="1">
        <v>6870.3308999999999</v>
      </c>
      <c r="H59">
        <v>0</v>
      </c>
      <c r="I59">
        <f>Sales_Data[[#This Row],[Sales]]*Sales_Data[[#This Row],[Discount]]</f>
        <v>0</v>
      </c>
      <c r="J59">
        <v>6870.3308999999999</v>
      </c>
      <c r="K59" s="1">
        <v>26.2</v>
      </c>
      <c r="L59" s="1">
        <v>6870.3308999999999</v>
      </c>
      <c r="M59" s="1" t="s">
        <v>10</v>
      </c>
      <c r="N59" s="1">
        <f>IF(Sales_Data[[#This Row],[Sales with Discount]]&lt;Sales_Data[[#This Row],[Sales with Free Shipping]],Sales_Data[[#This Row],[Sales with Discount]],Sales_Data[[#This Row],[Sales with Free Shipping]])</f>
        <v>6870.3308999999999</v>
      </c>
      <c r="O59" s="1" t="str">
        <f>TEXT(Sales_Data[[#This Row],[Order Date]], "MM-YYYY")</f>
        <v>09-2019</v>
      </c>
    </row>
    <row r="60" spans="1:15" x14ac:dyDescent="0.3">
      <c r="A60" s="1">
        <v>47041</v>
      </c>
      <c r="B60" s="2">
        <v>43556</v>
      </c>
      <c r="C60" s="1" t="s">
        <v>11</v>
      </c>
      <c r="D60" s="1">
        <v>35</v>
      </c>
      <c r="E60" t="s">
        <v>21</v>
      </c>
      <c r="F60" t="s">
        <v>21</v>
      </c>
      <c r="G60" s="1">
        <v>164.78</v>
      </c>
      <c r="H60">
        <v>0</v>
      </c>
      <c r="I60">
        <f>Sales_Data[[#This Row],[Sales]]*Sales_Data[[#This Row],[Discount]]</f>
        <v>0</v>
      </c>
      <c r="J60">
        <v>164.78</v>
      </c>
      <c r="K60" s="1">
        <v>2.1</v>
      </c>
      <c r="L60" s="1">
        <v>164.78</v>
      </c>
      <c r="M60" s="1" t="s">
        <v>10</v>
      </c>
      <c r="N60" s="1">
        <f>IF(Sales_Data[[#This Row],[Sales with Discount]]&lt;Sales_Data[[#This Row],[Sales with Free Shipping]],Sales_Data[[#This Row],[Sales with Discount]],Sales_Data[[#This Row],[Sales with Free Shipping]])</f>
        <v>164.78</v>
      </c>
      <c r="O60" s="1" t="str">
        <f>TEXT(Sales_Data[[#This Row],[Order Date]], "MM-YYYY")</f>
        <v>04-2019</v>
      </c>
    </row>
    <row r="61" spans="1:15" x14ac:dyDescent="0.3">
      <c r="A61" s="1">
        <v>1154</v>
      </c>
      <c r="B61" s="2">
        <v>43509</v>
      </c>
      <c r="C61" s="1" t="s">
        <v>12</v>
      </c>
      <c r="D61" s="1">
        <v>11</v>
      </c>
      <c r="E61" t="s">
        <v>18</v>
      </c>
      <c r="F61" t="s">
        <v>18</v>
      </c>
      <c r="G61" s="1">
        <v>710.25</v>
      </c>
      <c r="H61">
        <v>0</v>
      </c>
      <c r="I61">
        <f>Sales_Data[[#This Row],[Sales]]*Sales_Data[[#This Row],[Discount]]</f>
        <v>0</v>
      </c>
      <c r="J61">
        <v>710.25</v>
      </c>
      <c r="K61" s="1">
        <v>73.8</v>
      </c>
      <c r="L61" s="1">
        <v>710.25</v>
      </c>
      <c r="M61" s="1" t="s">
        <v>10</v>
      </c>
      <c r="N61" s="1">
        <f>IF(Sales_Data[[#This Row],[Sales with Discount]]&lt;Sales_Data[[#This Row],[Sales with Free Shipping]],Sales_Data[[#This Row],[Sales with Discount]],Sales_Data[[#This Row],[Sales with Free Shipping]])</f>
        <v>710.25</v>
      </c>
      <c r="O61" s="1" t="str">
        <f>TEXT(Sales_Data[[#This Row],[Order Date]], "MM-YYYY")</f>
        <v>02-2019</v>
      </c>
    </row>
    <row r="62" spans="1:15" x14ac:dyDescent="0.3">
      <c r="A62" s="1">
        <v>29985</v>
      </c>
      <c r="B62" s="2">
        <v>43657</v>
      </c>
      <c r="C62" s="1" t="s">
        <v>12</v>
      </c>
      <c r="D62" s="1">
        <v>2</v>
      </c>
      <c r="E62" t="s">
        <v>16</v>
      </c>
      <c r="F62" t="s">
        <v>16</v>
      </c>
      <c r="G62" s="1">
        <v>26.23</v>
      </c>
      <c r="H62">
        <v>0</v>
      </c>
      <c r="I62">
        <f>Sales_Data[[#This Row],[Sales]]*Sales_Data[[#This Row],[Discount]]</f>
        <v>0</v>
      </c>
      <c r="J62">
        <v>26.23</v>
      </c>
      <c r="K62" s="1">
        <v>9.6</v>
      </c>
      <c r="L62" s="1">
        <v>26.23</v>
      </c>
      <c r="M62" s="1" t="s">
        <v>10</v>
      </c>
      <c r="N62" s="1">
        <f>IF(Sales_Data[[#This Row],[Sales with Discount]]&lt;Sales_Data[[#This Row],[Sales with Free Shipping]],Sales_Data[[#This Row],[Sales with Discount]],Sales_Data[[#This Row],[Sales with Free Shipping]])</f>
        <v>26.23</v>
      </c>
      <c r="O62" s="1" t="str">
        <f>TEXT(Sales_Data[[#This Row],[Order Date]], "MM-YYYY")</f>
        <v>07-2019</v>
      </c>
    </row>
    <row r="63" spans="1:15" x14ac:dyDescent="0.3">
      <c r="A63" s="1">
        <v>24263</v>
      </c>
      <c r="B63" s="2">
        <v>43723</v>
      </c>
      <c r="C63" s="1" t="s">
        <v>7</v>
      </c>
      <c r="D63" s="1">
        <v>16</v>
      </c>
      <c r="E63" t="s">
        <v>19</v>
      </c>
      <c r="F63" t="s">
        <v>19</v>
      </c>
      <c r="G63" s="1">
        <v>548.71</v>
      </c>
      <c r="H63">
        <v>0</v>
      </c>
      <c r="I63">
        <f>Sales_Data[[#This Row],[Sales]]*Sales_Data[[#This Row],[Discount]]</f>
        <v>0</v>
      </c>
      <c r="J63">
        <v>548.71</v>
      </c>
      <c r="K63" s="1">
        <v>20.5</v>
      </c>
      <c r="L63" s="1">
        <v>548.71</v>
      </c>
      <c r="M63" s="1" t="s">
        <v>13</v>
      </c>
      <c r="N63" s="1">
        <f>IF(Sales_Data[[#This Row],[Sales with Discount]]&lt;Sales_Data[[#This Row],[Sales with Free Shipping]],Sales_Data[[#This Row],[Sales with Discount]],Sales_Data[[#This Row],[Sales with Free Shipping]])</f>
        <v>548.71</v>
      </c>
      <c r="O63" s="1" t="str">
        <f>TEXT(Sales_Data[[#This Row],[Order Date]], "MM-YYYY")</f>
        <v>09-2019</v>
      </c>
    </row>
    <row r="64" spans="1:15" x14ac:dyDescent="0.3">
      <c r="A64" s="1">
        <v>23428</v>
      </c>
      <c r="B64" s="2">
        <v>43766</v>
      </c>
      <c r="C64" s="1" t="s">
        <v>9</v>
      </c>
      <c r="D64" s="1">
        <v>41</v>
      </c>
      <c r="E64" t="s">
        <v>23</v>
      </c>
      <c r="F64" t="s">
        <v>23</v>
      </c>
      <c r="G64" s="1">
        <v>1049.6199999999999</v>
      </c>
      <c r="H64">
        <v>0.01</v>
      </c>
      <c r="I64">
        <f>Sales_Data[[#This Row],[Sales]]*Sales_Data[[#This Row],[Discount]]</f>
        <v>10.4962</v>
      </c>
      <c r="J64">
        <v>1039.1237999999998</v>
      </c>
      <c r="K64" s="1">
        <v>8.8000000000000007</v>
      </c>
      <c r="L64" s="1">
        <v>1040.82</v>
      </c>
      <c r="M64" s="1" t="s">
        <v>10</v>
      </c>
      <c r="N64" s="1">
        <f>IF(Sales_Data[[#This Row],[Sales with Discount]]&lt;Sales_Data[[#This Row],[Sales with Free Shipping]],Sales_Data[[#This Row],[Sales with Discount]],Sales_Data[[#This Row],[Sales with Free Shipping]])</f>
        <v>1039.1237999999998</v>
      </c>
      <c r="O64" s="1" t="str">
        <f>TEXT(Sales_Data[[#This Row],[Order Date]], "MM-YYYY")</f>
        <v>10-2019</v>
      </c>
    </row>
    <row r="65" spans="1:15" x14ac:dyDescent="0.3">
      <c r="A65" s="1">
        <v>22272</v>
      </c>
      <c r="B65" s="2">
        <v>43591</v>
      </c>
      <c r="C65" s="1" t="s">
        <v>9</v>
      </c>
      <c r="D65" s="1">
        <v>30</v>
      </c>
      <c r="E65" t="s">
        <v>20</v>
      </c>
      <c r="F65" t="s">
        <v>20</v>
      </c>
      <c r="G65" s="1">
        <v>1108.47</v>
      </c>
      <c r="H65">
        <v>0</v>
      </c>
      <c r="I65">
        <f>Sales_Data[[#This Row],[Sales]]*Sales_Data[[#This Row],[Discount]]</f>
        <v>0</v>
      </c>
      <c r="J65">
        <v>1108.47</v>
      </c>
      <c r="K65" s="1">
        <v>2.1</v>
      </c>
      <c r="L65" s="1">
        <v>1108.47</v>
      </c>
      <c r="M65" s="1" t="s">
        <v>10</v>
      </c>
      <c r="N65" s="1">
        <f>IF(Sales_Data[[#This Row],[Sales with Discount]]&lt;Sales_Data[[#This Row],[Sales with Free Shipping]],Sales_Data[[#This Row],[Sales with Discount]],Sales_Data[[#This Row],[Sales with Free Shipping]])</f>
        <v>1108.47</v>
      </c>
      <c r="O65" s="1" t="str">
        <f>TEXT(Sales_Data[[#This Row],[Order Date]], "MM-YYYY")</f>
        <v>05-2019</v>
      </c>
    </row>
    <row r="66" spans="1:15" x14ac:dyDescent="0.3">
      <c r="A66" s="1">
        <v>18464</v>
      </c>
      <c r="B66" s="2">
        <v>43552</v>
      </c>
      <c r="C66" s="1" t="s">
        <v>9</v>
      </c>
      <c r="D66" s="1">
        <v>37</v>
      </c>
      <c r="E66" t="s">
        <v>22</v>
      </c>
      <c r="F66" t="s">
        <v>22</v>
      </c>
      <c r="G66" s="1">
        <v>6461.84</v>
      </c>
      <c r="H66">
        <v>0.01</v>
      </c>
      <c r="I66">
        <f>Sales_Data[[#This Row],[Sales]]*Sales_Data[[#This Row],[Discount]]</f>
        <v>64.618400000000008</v>
      </c>
      <c r="J66">
        <v>6397.2215999999999</v>
      </c>
      <c r="K66" s="1">
        <v>70.900000000000006</v>
      </c>
      <c r="L66" s="1">
        <v>6390.9400000000005</v>
      </c>
      <c r="M66" s="1" t="s">
        <v>13</v>
      </c>
      <c r="N66" s="1">
        <f>IF(Sales_Data[[#This Row],[Sales with Discount]]&lt;Sales_Data[[#This Row],[Sales with Free Shipping]],Sales_Data[[#This Row],[Sales with Discount]],Sales_Data[[#This Row],[Sales with Free Shipping]])</f>
        <v>6390.9400000000005</v>
      </c>
      <c r="O66" s="1" t="str">
        <f>TEXT(Sales_Data[[#This Row],[Order Date]], "MM-YYYY")</f>
        <v>03-2019</v>
      </c>
    </row>
    <row r="67" spans="1:15" x14ac:dyDescent="0.3">
      <c r="A67" s="1">
        <v>55938</v>
      </c>
      <c r="B67" s="2">
        <v>43648</v>
      </c>
      <c r="C67" s="1" t="s">
        <v>11</v>
      </c>
      <c r="D67" s="1">
        <v>18</v>
      </c>
      <c r="E67" t="s">
        <v>19</v>
      </c>
      <c r="F67" t="s">
        <v>19</v>
      </c>
      <c r="G67" s="1">
        <v>1893.79</v>
      </c>
      <c r="H67">
        <v>0</v>
      </c>
      <c r="I67">
        <f>Sales_Data[[#This Row],[Sales]]*Sales_Data[[#This Row],[Discount]]</f>
        <v>0</v>
      </c>
      <c r="J67">
        <v>1893.79</v>
      </c>
      <c r="K67" s="1">
        <v>37.5</v>
      </c>
      <c r="L67" s="1">
        <v>1893.79</v>
      </c>
      <c r="M67" s="1" t="s">
        <v>8</v>
      </c>
      <c r="N67" s="1">
        <f>IF(Sales_Data[[#This Row],[Sales with Discount]]&lt;Sales_Data[[#This Row],[Sales with Free Shipping]],Sales_Data[[#This Row],[Sales with Discount]],Sales_Data[[#This Row],[Sales with Free Shipping]])</f>
        <v>1893.79</v>
      </c>
      <c r="O67" s="1" t="str">
        <f>TEXT(Sales_Data[[#This Row],[Order Date]], "MM-YYYY")</f>
        <v>07-2019</v>
      </c>
    </row>
    <row r="68" spans="1:15" x14ac:dyDescent="0.3">
      <c r="A68" s="1">
        <v>28485</v>
      </c>
      <c r="B68" s="2">
        <v>43476</v>
      </c>
      <c r="C68" s="1" t="s">
        <v>9</v>
      </c>
      <c r="D68" s="1">
        <v>12</v>
      </c>
      <c r="E68" t="s">
        <v>18</v>
      </c>
      <c r="F68" t="s">
        <v>18</v>
      </c>
      <c r="G68" s="1">
        <v>52.622599999999998</v>
      </c>
      <c r="H68">
        <v>0</v>
      </c>
      <c r="I68">
        <f>Sales_Data[[#This Row],[Sales]]*Sales_Data[[#This Row],[Discount]]</f>
        <v>0</v>
      </c>
      <c r="J68">
        <v>52.622599999999998</v>
      </c>
      <c r="K68" s="1">
        <v>1</v>
      </c>
      <c r="L68" s="1">
        <v>52.622599999999998</v>
      </c>
      <c r="M68" s="1" t="s">
        <v>10</v>
      </c>
      <c r="N68" s="1">
        <f>IF(Sales_Data[[#This Row],[Sales with Discount]]&lt;Sales_Data[[#This Row],[Sales with Free Shipping]],Sales_Data[[#This Row],[Sales with Discount]],Sales_Data[[#This Row],[Sales with Free Shipping]])</f>
        <v>52.622599999999998</v>
      </c>
      <c r="O68" s="1" t="str">
        <f>TEXT(Sales_Data[[#This Row],[Order Date]], "MM-YYYY")</f>
        <v>01-2019</v>
      </c>
    </row>
    <row r="69" spans="1:15" x14ac:dyDescent="0.3">
      <c r="A69" s="1">
        <v>17187</v>
      </c>
      <c r="B69" s="2">
        <v>43731</v>
      </c>
      <c r="C69" s="1" t="s">
        <v>9</v>
      </c>
      <c r="D69" s="1">
        <v>4</v>
      </c>
      <c r="E69" t="s">
        <v>16</v>
      </c>
      <c r="F69" t="s">
        <v>16</v>
      </c>
      <c r="G69" s="1">
        <v>3158.61</v>
      </c>
      <c r="H69">
        <v>0</v>
      </c>
      <c r="I69">
        <f>Sales_Data[[#This Row],[Sales]]*Sales_Data[[#This Row],[Discount]]</f>
        <v>0</v>
      </c>
      <c r="J69">
        <v>3158.61</v>
      </c>
      <c r="K69" s="1">
        <v>17.2</v>
      </c>
      <c r="L69" s="1">
        <v>3158.61</v>
      </c>
      <c r="M69" s="1" t="s">
        <v>13</v>
      </c>
      <c r="N69" s="1">
        <f>IF(Sales_Data[[#This Row],[Sales with Discount]]&lt;Sales_Data[[#This Row],[Sales with Free Shipping]],Sales_Data[[#This Row],[Sales with Discount]],Sales_Data[[#This Row],[Sales with Free Shipping]])</f>
        <v>3158.61</v>
      </c>
      <c r="O69" s="1" t="str">
        <f>TEXT(Sales_Data[[#This Row],[Order Date]], "MM-YYYY")</f>
        <v>09-2019</v>
      </c>
    </row>
    <row r="70" spans="1:15" x14ac:dyDescent="0.3">
      <c r="A70" s="1">
        <v>13923</v>
      </c>
      <c r="B70" s="2">
        <v>43654</v>
      </c>
      <c r="C70" s="1" t="s">
        <v>9</v>
      </c>
      <c r="D70" s="1">
        <v>27</v>
      </c>
      <c r="E70" t="s">
        <v>20</v>
      </c>
      <c r="F70" t="s">
        <v>20</v>
      </c>
      <c r="G70" s="1">
        <v>6583.5</v>
      </c>
      <c r="H70">
        <v>0</v>
      </c>
      <c r="I70">
        <f>Sales_Data[[#This Row],[Sales]]*Sales_Data[[#This Row],[Discount]]</f>
        <v>0</v>
      </c>
      <c r="J70">
        <v>6583.5</v>
      </c>
      <c r="K70" s="1">
        <v>30.7</v>
      </c>
      <c r="L70" s="1">
        <v>6583.5</v>
      </c>
      <c r="M70" s="1" t="s">
        <v>13</v>
      </c>
      <c r="N70" s="1">
        <f>IF(Sales_Data[[#This Row],[Sales with Discount]]&lt;Sales_Data[[#This Row],[Sales with Free Shipping]],Sales_Data[[#This Row],[Sales with Discount]],Sales_Data[[#This Row],[Sales with Free Shipping]])</f>
        <v>6583.5</v>
      </c>
      <c r="O70" s="1" t="str">
        <f>TEXT(Sales_Data[[#This Row],[Order Date]], "MM-YYYY")</f>
        <v>07-2019</v>
      </c>
    </row>
    <row r="71" spans="1:15" x14ac:dyDescent="0.3">
      <c r="A71" s="1">
        <v>16359</v>
      </c>
      <c r="B71" s="2">
        <v>43599</v>
      </c>
      <c r="C71" s="1" t="s">
        <v>12</v>
      </c>
      <c r="D71" s="1">
        <v>39</v>
      </c>
      <c r="E71" t="s">
        <v>22</v>
      </c>
      <c r="F71" t="s">
        <v>22</v>
      </c>
      <c r="G71" s="1">
        <v>1437.65</v>
      </c>
      <c r="H71">
        <v>0.01</v>
      </c>
      <c r="I71">
        <f>Sales_Data[[#This Row],[Sales]]*Sales_Data[[#This Row],[Discount]]</f>
        <v>14.376500000000002</v>
      </c>
      <c r="J71">
        <v>1423.2735</v>
      </c>
      <c r="K71" s="1">
        <v>15.8</v>
      </c>
      <c r="L71" s="1">
        <v>1421.8500000000001</v>
      </c>
      <c r="M71" s="1" t="s">
        <v>10</v>
      </c>
      <c r="N71" s="1">
        <f>IF(Sales_Data[[#This Row],[Sales with Discount]]&lt;Sales_Data[[#This Row],[Sales with Free Shipping]],Sales_Data[[#This Row],[Sales with Discount]],Sales_Data[[#This Row],[Sales with Free Shipping]])</f>
        <v>1421.8500000000001</v>
      </c>
      <c r="O71" s="1" t="str">
        <f>TEXT(Sales_Data[[#This Row],[Order Date]], "MM-YYYY")</f>
        <v>05-2019</v>
      </c>
    </row>
    <row r="72" spans="1:15" x14ac:dyDescent="0.3">
      <c r="A72" s="1">
        <v>43906</v>
      </c>
      <c r="B72" s="2">
        <v>43503</v>
      </c>
      <c r="C72" s="1" t="s">
        <v>9</v>
      </c>
      <c r="D72" s="1">
        <v>50</v>
      </c>
      <c r="E72" t="s">
        <v>24</v>
      </c>
      <c r="F72" t="s">
        <v>24</v>
      </c>
      <c r="G72" s="1">
        <v>3853.1448999999998</v>
      </c>
      <c r="H72">
        <v>0.01</v>
      </c>
      <c r="I72">
        <f>Sales_Data[[#This Row],[Sales]]*Sales_Data[[#This Row],[Discount]]</f>
        <v>38.531449000000002</v>
      </c>
      <c r="J72">
        <v>3814.6134509999997</v>
      </c>
      <c r="K72" s="1">
        <v>15.5</v>
      </c>
      <c r="L72" s="1">
        <v>3837.6448999999998</v>
      </c>
      <c r="M72" s="1" t="s">
        <v>10</v>
      </c>
      <c r="N72" s="1">
        <f>IF(Sales_Data[[#This Row],[Sales with Discount]]&lt;Sales_Data[[#This Row],[Sales with Free Shipping]],Sales_Data[[#This Row],[Sales with Discount]],Sales_Data[[#This Row],[Sales with Free Shipping]])</f>
        <v>3814.6134509999997</v>
      </c>
      <c r="O72" s="1" t="str">
        <f>TEXT(Sales_Data[[#This Row],[Order Date]], "MM-YYYY")</f>
        <v>02-2019</v>
      </c>
    </row>
    <row r="73" spans="1:15" x14ac:dyDescent="0.3">
      <c r="A73" s="1">
        <v>1345</v>
      </c>
      <c r="B73" s="2">
        <v>43765</v>
      </c>
      <c r="C73" s="1" t="s">
        <v>7</v>
      </c>
      <c r="D73" s="1">
        <v>24</v>
      </c>
      <c r="E73" t="s">
        <v>14</v>
      </c>
      <c r="F73" t="s">
        <v>14</v>
      </c>
      <c r="G73" s="1">
        <v>2614.92</v>
      </c>
      <c r="H73">
        <v>0</v>
      </c>
      <c r="I73">
        <f>Sales_Data[[#This Row],[Sales]]*Sales_Data[[#This Row],[Discount]]</f>
        <v>0</v>
      </c>
      <c r="J73">
        <v>2614.92</v>
      </c>
      <c r="K73" s="1">
        <v>38.299999999999997</v>
      </c>
      <c r="L73" s="1">
        <v>2614.92</v>
      </c>
      <c r="M73" s="1" t="s">
        <v>13</v>
      </c>
      <c r="N73" s="1">
        <f>IF(Sales_Data[[#This Row],[Sales with Discount]]&lt;Sales_Data[[#This Row],[Sales with Free Shipping]],Sales_Data[[#This Row],[Sales with Discount]],Sales_Data[[#This Row],[Sales with Free Shipping]])</f>
        <v>2614.92</v>
      </c>
      <c r="O73" s="1" t="str">
        <f>TEXT(Sales_Data[[#This Row],[Order Date]], "MM-YYYY")</f>
        <v>10-2019</v>
      </c>
    </row>
    <row r="74" spans="1:15" x14ac:dyDescent="0.3">
      <c r="A74" s="1">
        <v>11776</v>
      </c>
      <c r="B74" s="2">
        <v>43519</v>
      </c>
      <c r="C74" s="1" t="s">
        <v>7</v>
      </c>
      <c r="D74" s="1">
        <v>40</v>
      </c>
      <c r="E74" t="s">
        <v>22</v>
      </c>
      <c r="F74" t="s">
        <v>22</v>
      </c>
      <c r="G74" s="1">
        <v>61.25</v>
      </c>
      <c r="H74">
        <v>0.01</v>
      </c>
      <c r="I74">
        <f>Sales_Data[[#This Row],[Sales]]*Sales_Data[[#This Row],[Discount]]</f>
        <v>0.61250000000000004</v>
      </c>
      <c r="J74">
        <v>60.637500000000003</v>
      </c>
      <c r="K74" s="1">
        <v>0.7</v>
      </c>
      <c r="L74" s="1">
        <v>60.55</v>
      </c>
      <c r="M74" s="1" t="s">
        <v>8</v>
      </c>
      <c r="N74" s="1">
        <f>IF(Sales_Data[[#This Row],[Sales with Discount]]&lt;Sales_Data[[#This Row],[Sales with Free Shipping]],Sales_Data[[#This Row],[Sales with Discount]],Sales_Data[[#This Row],[Sales with Free Shipping]])</f>
        <v>60.55</v>
      </c>
      <c r="O74" s="1" t="str">
        <f>TEXT(Sales_Data[[#This Row],[Order Date]], "MM-YYYY")</f>
        <v>02-2019</v>
      </c>
    </row>
    <row r="75" spans="1:15" x14ac:dyDescent="0.3">
      <c r="A75" s="1">
        <v>17953</v>
      </c>
      <c r="B75" s="2">
        <v>43697</v>
      </c>
      <c r="C75" s="1" t="s">
        <v>9</v>
      </c>
      <c r="D75" s="1">
        <v>30</v>
      </c>
      <c r="E75" t="s">
        <v>20</v>
      </c>
      <c r="F75" t="s">
        <v>20</v>
      </c>
      <c r="G75" s="1">
        <v>1043.3800000000001</v>
      </c>
      <c r="H75">
        <v>0</v>
      </c>
      <c r="I75">
        <f>Sales_Data[[#This Row],[Sales]]*Sales_Data[[#This Row],[Discount]]</f>
        <v>0</v>
      </c>
      <c r="J75">
        <v>1043.3800000000001</v>
      </c>
      <c r="K75" s="1">
        <v>20.9</v>
      </c>
      <c r="L75" s="1">
        <v>1043.3800000000001</v>
      </c>
      <c r="M75" s="1" t="s">
        <v>10</v>
      </c>
      <c r="N75" s="1">
        <f>IF(Sales_Data[[#This Row],[Sales with Discount]]&lt;Sales_Data[[#This Row],[Sales with Free Shipping]],Sales_Data[[#This Row],[Sales with Discount]],Sales_Data[[#This Row],[Sales with Free Shipping]])</f>
        <v>1043.3800000000001</v>
      </c>
      <c r="O75" s="1" t="str">
        <f>TEXT(Sales_Data[[#This Row],[Order Date]], "MM-YYYY")</f>
        <v>08-2019</v>
      </c>
    </row>
    <row r="76" spans="1:15" x14ac:dyDescent="0.3">
      <c r="A76" s="1">
        <v>59204</v>
      </c>
      <c r="B76" s="2">
        <v>43524</v>
      </c>
      <c r="C76" s="1" t="s">
        <v>14</v>
      </c>
      <c r="D76" s="1">
        <v>7</v>
      </c>
      <c r="E76" t="s">
        <v>17</v>
      </c>
      <c r="F76" t="s">
        <v>17</v>
      </c>
      <c r="G76" s="1">
        <v>269.2</v>
      </c>
      <c r="H76">
        <v>0</v>
      </c>
      <c r="I76">
        <f>Sales_Data[[#This Row],[Sales]]*Sales_Data[[#This Row],[Discount]]</f>
        <v>0</v>
      </c>
      <c r="J76">
        <v>269.2</v>
      </c>
      <c r="K76" s="1">
        <v>5.4</v>
      </c>
      <c r="L76" s="1">
        <v>269.2</v>
      </c>
      <c r="M76" s="1" t="s">
        <v>10</v>
      </c>
      <c r="N76" s="1">
        <f>IF(Sales_Data[[#This Row],[Sales with Discount]]&lt;Sales_Data[[#This Row],[Sales with Free Shipping]],Sales_Data[[#This Row],[Sales with Discount]],Sales_Data[[#This Row],[Sales with Free Shipping]])</f>
        <v>269.2</v>
      </c>
      <c r="O76" s="1" t="str">
        <f>TEXT(Sales_Data[[#This Row],[Order Date]], "MM-YYYY")</f>
        <v>02-2019</v>
      </c>
    </row>
    <row r="77" spans="1:15" x14ac:dyDescent="0.3">
      <c r="A77" s="1">
        <v>58658</v>
      </c>
      <c r="B77" s="2">
        <v>43627</v>
      </c>
      <c r="C77" s="1" t="s">
        <v>14</v>
      </c>
      <c r="D77" s="1">
        <v>41</v>
      </c>
      <c r="E77" t="s">
        <v>23</v>
      </c>
      <c r="F77" t="s">
        <v>23</v>
      </c>
      <c r="G77" s="1">
        <v>981.46</v>
      </c>
      <c r="H77">
        <v>0.01</v>
      </c>
      <c r="I77">
        <f>Sales_Data[[#This Row],[Sales]]*Sales_Data[[#This Row],[Discount]]</f>
        <v>9.8146000000000004</v>
      </c>
      <c r="J77">
        <v>971.6454</v>
      </c>
      <c r="K77" s="1">
        <v>7</v>
      </c>
      <c r="L77" s="1">
        <v>974.46</v>
      </c>
      <c r="M77" s="1" t="s">
        <v>10</v>
      </c>
      <c r="N77" s="1">
        <f>IF(Sales_Data[[#This Row],[Sales with Discount]]&lt;Sales_Data[[#This Row],[Sales with Free Shipping]],Sales_Data[[#This Row],[Sales with Discount]],Sales_Data[[#This Row],[Sales with Free Shipping]])</f>
        <v>971.6454</v>
      </c>
      <c r="O77" s="1" t="str">
        <f>TEXT(Sales_Data[[#This Row],[Order Date]], "MM-YYYY")</f>
        <v>06-2019</v>
      </c>
    </row>
    <row r="78" spans="1:15" x14ac:dyDescent="0.3">
      <c r="A78" s="1">
        <v>26084</v>
      </c>
      <c r="B78" s="2">
        <v>43754</v>
      </c>
      <c r="C78" s="1" t="s">
        <v>7</v>
      </c>
      <c r="D78" s="1">
        <v>33</v>
      </c>
      <c r="E78" t="s">
        <v>21</v>
      </c>
      <c r="F78" t="s">
        <v>21</v>
      </c>
      <c r="G78" s="1">
        <v>244.84</v>
      </c>
      <c r="H78">
        <v>0</v>
      </c>
      <c r="I78">
        <f>Sales_Data[[#This Row],[Sales]]*Sales_Data[[#This Row],[Discount]]</f>
        <v>0</v>
      </c>
      <c r="J78">
        <v>244.84</v>
      </c>
      <c r="K78" s="1">
        <v>7.8</v>
      </c>
      <c r="L78" s="1">
        <v>244.84</v>
      </c>
      <c r="M78" s="1" t="s">
        <v>8</v>
      </c>
      <c r="N78" s="1">
        <f>IF(Sales_Data[[#This Row],[Sales with Discount]]&lt;Sales_Data[[#This Row],[Sales with Free Shipping]],Sales_Data[[#This Row],[Sales with Discount]],Sales_Data[[#This Row],[Sales with Free Shipping]])</f>
        <v>244.84</v>
      </c>
      <c r="O78" s="1" t="str">
        <f>TEXT(Sales_Data[[#This Row],[Order Date]], "MM-YYYY")</f>
        <v>10-2019</v>
      </c>
    </row>
    <row r="79" spans="1:15" x14ac:dyDescent="0.3">
      <c r="A79" s="1">
        <v>57157</v>
      </c>
      <c r="B79" s="2">
        <v>43521</v>
      </c>
      <c r="C79" s="1" t="s">
        <v>12</v>
      </c>
      <c r="D79" s="1">
        <v>18</v>
      </c>
      <c r="E79" t="s">
        <v>19</v>
      </c>
      <c r="F79" t="s">
        <v>19</v>
      </c>
      <c r="G79" s="1">
        <v>217.82</v>
      </c>
      <c r="H79">
        <v>0</v>
      </c>
      <c r="I79">
        <f>Sales_Data[[#This Row],[Sales]]*Sales_Data[[#This Row],[Discount]]</f>
        <v>0</v>
      </c>
      <c r="J79">
        <v>217.82</v>
      </c>
      <c r="K79" s="1">
        <v>4.3</v>
      </c>
      <c r="L79" s="1">
        <v>217.82</v>
      </c>
      <c r="M79" s="1" t="s">
        <v>10</v>
      </c>
      <c r="N79" s="1">
        <f>IF(Sales_Data[[#This Row],[Sales with Discount]]&lt;Sales_Data[[#This Row],[Sales with Free Shipping]],Sales_Data[[#This Row],[Sales with Discount]],Sales_Data[[#This Row],[Sales with Free Shipping]])</f>
        <v>217.82</v>
      </c>
      <c r="O79" s="1" t="str">
        <f>TEXT(Sales_Data[[#This Row],[Order Date]], "MM-YYYY")</f>
        <v>02-2019</v>
      </c>
    </row>
    <row r="80" spans="1:15" x14ac:dyDescent="0.3">
      <c r="A80" s="1">
        <v>51747</v>
      </c>
      <c r="B80" s="2">
        <v>43651</v>
      </c>
      <c r="C80" s="1" t="s">
        <v>14</v>
      </c>
      <c r="D80" s="1">
        <v>3</v>
      </c>
      <c r="E80" t="s">
        <v>16</v>
      </c>
      <c r="F80" t="s">
        <v>16</v>
      </c>
      <c r="G80" s="1">
        <v>12.96</v>
      </c>
      <c r="H80">
        <v>0</v>
      </c>
      <c r="I80">
        <f>Sales_Data[[#This Row],[Sales]]*Sales_Data[[#This Row],[Discount]]</f>
        <v>0</v>
      </c>
      <c r="J80">
        <v>12.96</v>
      </c>
      <c r="K80" s="1">
        <v>0.5</v>
      </c>
      <c r="L80" s="1">
        <v>12.96</v>
      </c>
      <c r="M80" s="1" t="s">
        <v>10</v>
      </c>
      <c r="N80" s="1">
        <f>IF(Sales_Data[[#This Row],[Sales with Discount]]&lt;Sales_Data[[#This Row],[Sales with Free Shipping]],Sales_Data[[#This Row],[Sales with Discount]],Sales_Data[[#This Row],[Sales with Free Shipping]])</f>
        <v>12.96</v>
      </c>
      <c r="O80" s="1" t="str">
        <f>TEXT(Sales_Data[[#This Row],[Order Date]], "MM-YYYY")</f>
        <v>07-2019</v>
      </c>
    </row>
    <row r="81" spans="1:15" x14ac:dyDescent="0.3">
      <c r="A81" s="1">
        <v>56644</v>
      </c>
      <c r="B81" s="2">
        <v>43797</v>
      </c>
      <c r="C81" s="1" t="s">
        <v>11</v>
      </c>
      <c r="D81" s="1">
        <v>36</v>
      </c>
      <c r="E81" t="s">
        <v>22</v>
      </c>
      <c r="F81" t="s">
        <v>22</v>
      </c>
      <c r="G81" s="1">
        <v>87.84</v>
      </c>
      <c r="H81">
        <v>0.01</v>
      </c>
      <c r="I81">
        <f>Sales_Data[[#This Row],[Sales]]*Sales_Data[[#This Row],[Discount]]</f>
        <v>0.87840000000000007</v>
      </c>
      <c r="J81">
        <v>86.961600000000004</v>
      </c>
      <c r="K81" s="1">
        <v>1.1000000000000001</v>
      </c>
      <c r="L81" s="1">
        <v>86.740000000000009</v>
      </c>
      <c r="M81" s="1" t="s">
        <v>10</v>
      </c>
      <c r="N81" s="1">
        <f>IF(Sales_Data[[#This Row],[Sales with Discount]]&lt;Sales_Data[[#This Row],[Sales with Free Shipping]],Sales_Data[[#This Row],[Sales with Discount]],Sales_Data[[#This Row],[Sales with Free Shipping]])</f>
        <v>86.740000000000009</v>
      </c>
      <c r="O81" s="1" t="str">
        <f>TEXT(Sales_Data[[#This Row],[Order Date]], "MM-YYYY")</f>
        <v>11-2019</v>
      </c>
    </row>
    <row r="82" spans="1:15" x14ac:dyDescent="0.3">
      <c r="A82" s="1">
        <v>10982</v>
      </c>
      <c r="B82" s="2">
        <v>43809</v>
      </c>
      <c r="C82" s="1" t="s">
        <v>11</v>
      </c>
      <c r="D82" s="1">
        <v>14</v>
      </c>
      <c r="E82" t="s">
        <v>18</v>
      </c>
      <c r="F82" t="s">
        <v>18</v>
      </c>
      <c r="G82" s="1">
        <v>22.416499999999999</v>
      </c>
      <c r="H82">
        <v>0</v>
      </c>
      <c r="I82">
        <f>Sales_Data[[#This Row],[Sales]]*Sales_Data[[#This Row],[Discount]]</f>
        <v>0</v>
      </c>
      <c r="J82">
        <v>22.416499999999999</v>
      </c>
      <c r="K82" s="1">
        <v>0.7</v>
      </c>
      <c r="L82" s="1">
        <v>22.416499999999999</v>
      </c>
      <c r="M82" s="1" t="s">
        <v>8</v>
      </c>
      <c r="N82" s="1">
        <f>IF(Sales_Data[[#This Row],[Sales with Discount]]&lt;Sales_Data[[#This Row],[Sales with Free Shipping]],Sales_Data[[#This Row],[Sales with Discount]],Sales_Data[[#This Row],[Sales with Free Shipping]])</f>
        <v>22.416499999999999</v>
      </c>
      <c r="O82" s="1" t="str">
        <f>TEXT(Sales_Data[[#This Row],[Order Date]], "MM-YYYY")</f>
        <v>12-2019</v>
      </c>
    </row>
    <row r="83" spans="1:15" x14ac:dyDescent="0.3">
      <c r="A83" s="1">
        <v>42887</v>
      </c>
      <c r="B83" s="2">
        <v>43626</v>
      </c>
      <c r="C83" s="1" t="s">
        <v>14</v>
      </c>
      <c r="D83" s="1">
        <v>11</v>
      </c>
      <c r="E83" t="s">
        <v>18</v>
      </c>
      <c r="F83" t="s">
        <v>18</v>
      </c>
      <c r="G83" s="1">
        <v>251.19</v>
      </c>
      <c r="H83">
        <v>0</v>
      </c>
      <c r="I83">
        <f>Sales_Data[[#This Row],[Sales]]*Sales_Data[[#This Row],[Discount]]</f>
        <v>0</v>
      </c>
      <c r="J83">
        <v>251.19</v>
      </c>
      <c r="K83" s="1">
        <v>9.6</v>
      </c>
      <c r="L83" s="1">
        <v>251.19</v>
      </c>
      <c r="M83" s="1" t="s">
        <v>10</v>
      </c>
      <c r="N83" s="1">
        <f>IF(Sales_Data[[#This Row],[Sales with Discount]]&lt;Sales_Data[[#This Row],[Sales with Free Shipping]],Sales_Data[[#This Row],[Sales with Discount]],Sales_Data[[#This Row],[Sales with Free Shipping]])</f>
        <v>251.19</v>
      </c>
      <c r="O83" s="1" t="str">
        <f>TEXT(Sales_Data[[#This Row],[Order Date]], "MM-YYYY")</f>
        <v>06-2019</v>
      </c>
    </row>
    <row r="84" spans="1:15" x14ac:dyDescent="0.3">
      <c r="A84" s="1">
        <v>51175</v>
      </c>
      <c r="B84" s="2">
        <v>43691</v>
      </c>
      <c r="C84" s="1" t="s">
        <v>9</v>
      </c>
      <c r="D84" s="1">
        <v>28</v>
      </c>
      <c r="E84" t="s">
        <v>20</v>
      </c>
      <c r="F84" t="s">
        <v>20</v>
      </c>
      <c r="G84" s="1">
        <v>1214.71</v>
      </c>
      <c r="H84">
        <v>0</v>
      </c>
      <c r="I84">
        <f>Sales_Data[[#This Row],[Sales]]*Sales_Data[[#This Row],[Discount]]</f>
        <v>0</v>
      </c>
      <c r="J84">
        <v>1214.71</v>
      </c>
      <c r="K84" s="1">
        <v>4.8</v>
      </c>
      <c r="L84" s="1">
        <v>1214.71</v>
      </c>
      <c r="M84" s="1" t="s">
        <v>10</v>
      </c>
      <c r="N84" s="1">
        <f>IF(Sales_Data[[#This Row],[Sales with Discount]]&lt;Sales_Data[[#This Row],[Sales with Free Shipping]],Sales_Data[[#This Row],[Sales with Discount]],Sales_Data[[#This Row],[Sales with Free Shipping]])</f>
        <v>1214.71</v>
      </c>
      <c r="O84" s="1" t="str">
        <f>TEXT(Sales_Data[[#This Row],[Order Date]], "MM-YYYY")</f>
        <v>08-2019</v>
      </c>
    </row>
    <row r="85" spans="1:15" x14ac:dyDescent="0.3">
      <c r="A85" s="1">
        <v>9024</v>
      </c>
      <c r="B85" s="2">
        <v>43618</v>
      </c>
      <c r="C85" s="1" t="s">
        <v>14</v>
      </c>
      <c r="D85" s="1">
        <v>30</v>
      </c>
      <c r="E85" t="s">
        <v>20</v>
      </c>
      <c r="F85" t="s">
        <v>20</v>
      </c>
      <c r="G85" s="1">
        <v>1215.9908</v>
      </c>
      <c r="H85">
        <v>0</v>
      </c>
      <c r="I85">
        <f>Sales_Data[[#This Row],[Sales]]*Sales_Data[[#This Row],[Discount]]</f>
        <v>0</v>
      </c>
      <c r="J85">
        <v>1215.9908</v>
      </c>
      <c r="K85" s="1">
        <v>7</v>
      </c>
      <c r="L85" s="1">
        <v>1215.9908</v>
      </c>
      <c r="M85" s="1" t="s">
        <v>10</v>
      </c>
      <c r="N85" s="1">
        <f>IF(Sales_Data[[#This Row],[Sales with Discount]]&lt;Sales_Data[[#This Row],[Sales with Free Shipping]],Sales_Data[[#This Row],[Sales with Discount]],Sales_Data[[#This Row],[Sales with Free Shipping]])</f>
        <v>1215.9908</v>
      </c>
      <c r="O85" s="1" t="str">
        <f>TEXT(Sales_Data[[#This Row],[Order Date]], "MM-YYYY")</f>
        <v>06-2019</v>
      </c>
    </row>
    <row r="86" spans="1:15" x14ac:dyDescent="0.3">
      <c r="A86" s="1">
        <v>26756</v>
      </c>
      <c r="B86" s="2">
        <v>43595</v>
      </c>
      <c r="C86" s="1" t="s">
        <v>14</v>
      </c>
      <c r="D86" s="1">
        <v>40</v>
      </c>
      <c r="E86" t="s">
        <v>22</v>
      </c>
      <c r="F86" t="s">
        <v>22</v>
      </c>
      <c r="G86" s="1">
        <v>271.66000000000003</v>
      </c>
      <c r="H86">
        <v>0.01</v>
      </c>
      <c r="I86">
        <f>Sales_Data[[#This Row],[Sales]]*Sales_Data[[#This Row],[Discount]]</f>
        <v>2.7166000000000001</v>
      </c>
      <c r="J86">
        <v>268.9434</v>
      </c>
      <c r="K86" s="1">
        <v>6.7</v>
      </c>
      <c r="L86" s="1">
        <v>264.96000000000004</v>
      </c>
      <c r="M86" s="1" t="s">
        <v>10</v>
      </c>
      <c r="N86" s="1">
        <f>IF(Sales_Data[[#This Row],[Sales with Discount]]&lt;Sales_Data[[#This Row],[Sales with Free Shipping]],Sales_Data[[#This Row],[Sales with Discount]],Sales_Data[[#This Row],[Sales with Free Shipping]])</f>
        <v>264.96000000000004</v>
      </c>
      <c r="O86" s="1" t="str">
        <f>TEXT(Sales_Data[[#This Row],[Order Date]], "MM-YYYY")</f>
        <v>05-2019</v>
      </c>
    </row>
    <row r="87" spans="1:15" x14ac:dyDescent="0.3">
      <c r="A87" s="1">
        <v>25478</v>
      </c>
      <c r="B87" s="2">
        <v>43579</v>
      </c>
      <c r="C87" s="1" t="s">
        <v>12</v>
      </c>
      <c r="D87" s="1">
        <v>47</v>
      </c>
      <c r="E87" t="s">
        <v>24</v>
      </c>
      <c r="F87" t="s">
        <v>24</v>
      </c>
      <c r="G87" s="1">
        <v>5055.8500000000004</v>
      </c>
      <c r="H87">
        <v>0.01</v>
      </c>
      <c r="I87">
        <f>Sales_Data[[#This Row],[Sales]]*Sales_Data[[#This Row],[Discount]]</f>
        <v>50.558500000000002</v>
      </c>
      <c r="J87">
        <v>5005.2915000000003</v>
      </c>
      <c r="K87" s="1">
        <v>2.7</v>
      </c>
      <c r="L87" s="1">
        <v>5053.1500000000005</v>
      </c>
      <c r="M87" s="1" t="s">
        <v>10</v>
      </c>
      <c r="N87" s="1">
        <f>IF(Sales_Data[[#This Row],[Sales with Discount]]&lt;Sales_Data[[#This Row],[Sales with Free Shipping]],Sales_Data[[#This Row],[Sales with Discount]],Sales_Data[[#This Row],[Sales with Free Shipping]])</f>
        <v>5005.2915000000003</v>
      </c>
      <c r="O87" s="1" t="str">
        <f>TEXT(Sales_Data[[#This Row],[Order Date]], "MM-YYYY")</f>
        <v>04-2019</v>
      </c>
    </row>
    <row r="88" spans="1:15" x14ac:dyDescent="0.3">
      <c r="A88" s="1">
        <v>26310</v>
      </c>
      <c r="B88" s="2">
        <v>43675</v>
      </c>
      <c r="C88" s="1" t="s">
        <v>11</v>
      </c>
      <c r="D88" s="1">
        <v>5</v>
      </c>
      <c r="E88" t="s">
        <v>16</v>
      </c>
      <c r="F88" t="s">
        <v>16</v>
      </c>
      <c r="G88" s="1">
        <v>82.83</v>
      </c>
      <c r="H88">
        <v>0</v>
      </c>
      <c r="I88">
        <f>Sales_Data[[#This Row],[Sales]]*Sales_Data[[#This Row],[Discount]]</f>
        <v>0</v>
      </c>
      <c r="J88">
        <v>82.83</v>
      </c>
      <c r="K88" s="1">
        <v>1.5</v>
      </c>
      <c r="L88" s="1">
        <v>82.83</v>
      </c>
      <c r="M88" s="1" t="s">
        <v>10</v>
      </c>
      <c r="N88" s="1">
        <f>IF(Sales_Data[[#This Row],[Sales with Discount]]&lt;Sales_Data[[#This Row],[Sales with Free Shipping]],Sales_Data[[#This Row],[Sales with Discount]],Sales_Data[[#This Row],[Sales with Free Shipping]])</f>
        <v>82.83</v>
      </c>
      <c r="O88" s="1" t="str">
        <f>TEXT(Sales_Data[[#This Row],[Order Date]], "MM-YYYY")</f>
        <v>07-2019</v>
      </c>
    </row>
    <row r="89" spans="1:15" x14ac:dyDescent="0.3">
      <c r="A89" s="1">
        <v>20933</v>
      </c>
      <c r="B89" s="2">
        <v>43703</v>
      </c>
      <c r="C89" s="1" t="s">
        <v>9</v>
      </c>
      <c r="D89" s="1">
        <v>45</v>
      </c>
      <c r="E89" t="s">
        <v>23</v>
      </c>
      <c r="F89" t="s">
        <v>23</v>
      </c>
      <c r="G89" s="1">
        <v>2225.04</v>
      </c>
      <c r="H89">
        <v>0.01</v>
      </c>
      <c r="I89">
        <f>Sales_Data[[#This Row],[Sales]]*Sales_Data[[#This Row],[Discount]]</f>
        <v>22.250399999999999</v>
      </c>
      <c r="J89">
        <v>2202.7896000000001</v>
      </c>
      <c r="K89" s="1">
        <v>5.4</v>
      </c>
      <c r="L89" s="1">
        <v>2219.64</v>
      </c>
      <c r="M89" s="1" t="s">
        <v>10</v>
      </c>
      <c r="N89" s="1">
        <f>IF(Sales_Data[[#This Row],[Sales with Discount]]&lt;Sales_Data[[#This Row],[Sales with Free Shipping]],Sales_Data[[#This Row],[Sales with Discount]],Sales_Data[[#This Row],[Sales with Free Shipping]])</f>
        <v>2202.7896000000001</v>
      </c>
      <c r="O89" s="1" t="str">
        <f>TEXT(Sales_Data[[#This Row],[Order Date]], "MM-YYYY")</f>
        <v>08-2019</v>
      </c>
    </row>
    <row r="90" spans="1:15" x14ac:dyDescent="0.3">
      <c r="A90" s="1">
        <v>29761</v>
      </c>
      <c r="B90" s="2">
        <v>43649</v>
      </c>
      <c r="C90" s="1" t="s">
        <v>14</v>
      </c>
      <c r="D90" s="1">
        <v>42</v>
      </c>
      <c r="E90" t="s">
        <v>23</v>
      </c>
      <c r="F90" t="s">
        <v>23</v>
      </c>
      <c r="G90" s="1">
        <v>1161.3800000000001</v>
      </c>
      <c r="H90">
        <v>0.01</v>
      </c>
      <c r="I90">
        <f>Sales_Data[[#This Row],[Sales]]*Sales_Data[[#This Row],[Discount]]</f>
        <v>11.613800000000001</v>
      </c>
      <c r="J90">
        <v>1149.7662</v>
      </c>
      <c r="K90" s="1">
        <v>5.7</v>
      </c>
      <c r="L90" s="1">
        <v>1155.68</v>
      </c>
      <c r="M90" s="1" t="s">
        <v>10</v>
      </c>
      <c r="N90" s="1">
        <f>IF(Sales_Data[[#This Row],[Sales with Discount]]&lt;Sales_Data[[#This Row],[Sales with Free Shipping]],Sales_Data[[#This Row],[Sales with Discount]],Sales_Data[[#This Row],[Sales with Free Shipping]])</f>
        <v>1149.7662</v>
      </c>
      <c r="O90" s="1" t="str">
        <f>TEXT(Sales_Data[[#This Row],[Order Date]], "MM-YYYY")</f>
        <v>07-2019</v>
      </c>
    </row>
    <row r="91" spans="1:15" x14ac:dyDescent="0.3">
      <c r="A91" s="1">
        <v>33570</v>
      </c>
      <c r="B91" s="2">
        <v>43815</v>
      </c>
      <c r="C91" s="1" t="s">
        <v>11</v>
      </c>
      <c r="D91" s="1">
        <v>46</v>
      </c>
      <c r="E91" t="s">
        <v>24</v>
      </c>
      <c r="F91" t="s">
        <v>24</v>
      </c>
      <c r="G91" s="1">
        <v>284.49</v>
      </c>
      <c r="H91">
        <v>0.01</v>
      </c>
      <c r="I91">
        <f>Sales_Data[[#This Row],[Sales]]*Sales_Data[[#This Row],[Discount]]</f>
        <v>2.8449</v>
      </c>
      <c r="J91">
        <v>281.64510000000001</v>
      </c>
      <c r="K91" s="1">
        <v>5.4</v>
      </c>
      <c r="L91" s="1">
        <v>279.09000000000003</v>
      </c>
      <c r="M91" s="1" t="s">
        <v>10</v>
      </c>
      <c r="N91" s="1">
        <f>IF(Sales_Data[[#This Row],[Sales with Discount]]&lt;Sales_Data[[#This Row],[Sales with Free Shipping]],Sales_Data[[#This Row],[Sales with Discount]],Sales_Data[[#This Row],[Sales with Free Shipping]])</f>
        <v>279.09000000000003</v>
      </c>
      <c r="O91" s="1" t="str">
        <f>TEXT(Sales_Data[[#This Row],[Order Date]], "MM-YYYY")</f>
        <v>12-2019</v>
      </c>
    </row>
    <row r="92" spans="1:15" x14ac:dyDescent="0.3">
      <c r="A92" s="1">
        <v>34822</v>
      </c>
      <c r="B92" s="2">
        <v>43656</v>
      </c>
      <c r="C92" s="1" t="s">
        <v>11</v>
      </c>
      <c r="D92" s="1">
        <v>23</v>
      </c>
      <c r="E92" t="s">
        <v>14</v>
      </c>
      <c r="F92" t="s">
        <v>14</v>
      </c>
      <c r="G92" s="1">
        <v>1059.8399999999999</v>
      </c>
      <c r="H92">
        <v>0</v>
      </c>
      <c r="I92">
        <f>Sales_Data[[#This Row],[Sales]]*Sales_Data[[#This Row],[Discount]]</f>
        <v>0</v>
      </c>
      <c r="J92">
        <v>1059.8399999999999</v>
      </c>
      <c r="K92" s="1">
        <v>2.1</v>
      </c>
      <c r="L92" s="1">
        <v>1059.8399999999999</v>
      </c>
      <c r="M92" s="1" t="s">
        <v>10</v>
      </c>
      <c r="N92" s="1">
        <f>IF(Sales_Data[[#This Row],[Sales with Discount]]&lt;Sales_Data[[#This Row],[Sales with Free Shipping]],Sales_Data[[#This Row],[Sales with Discount]],Sales_Data[[#This Row],[Sales with Free Shipping]])</f>
        <v>1059.8399999999999</v>
      </c>
      <c r="O92" s="1" t="str">
        <f>TEXT(Sales_Data[[#This Row],[Order Date]], "MM-YYYY")</f>
        <v>07-2019</v>
      </c>
    </row>
    <row r="93" spans="1:15" x14ac:dyDescent="0.3">
      <c r="A93" s="1">
        <v>9505</v>
      </c>
      <c r="B93" s="2">
        <v>43623</v>
      </c>
      <c r="C93" s="1" t="s">
        <v>9</v>
      </c>
      <c r="D93" s="1">
        <v>5</v>
      </c>
      <c r="E93" t="s">
        <v>16</v>
      </c>
      <c r="F93" t="s">
        <v>16</v>
      </c>
      <c r="G93" s="1">
        <v>166.27</v>
      </c>
      <c r="H93">
        <v>0</v>
      </c>
      <c r="I93">
        <f>Sales_Data[[#This Row],[Sales]]*Sales_Data[[#This Row],[Discount]]</f>
        <v>0</v>
      </c>
      <c r="J93">
        <v>166.27</v>
      </c>
      <c r="K93" s="1">
        <v>5.9</v>
      </c>
      <c r="L93" s="1">
        <v>166.27</v>
      </c>
      <c r="M93" s="1" t="s">
        <v>10</v>
      </c>
      <c r="N93" s="1">
        <f>IF(Sales_Data[[#This Row],[Sales with Discount]]&lt;Sales_Data[[#This Row],[Sales with Free Shipping]],Sales_Data[[#This Row],[Sales with Discount]],Sales_Data[[#This Row],[Sales with Free Shipping]])</f>
        <v>166.27</v>
      </c>
      <c r="O93" s="1" t="str">
        <f>TEXT(Sales_Data[[#This Row],[Order Date]], "MM-YYYY")</f>
        <v>06-2019</v>
      </c>
    </row>
    <row r="94" spans="1:15" x14ac:dyDescent="0.3">
      <c r="A94" s="1">
        <v>54339</v>
      </c>
      <c r="B94" s="2">
        <v>43587</v>
      </c>
      <c r="C94" s="1" t="s">
        <v>7</v>
      </c>
      <c r="D94" s="1">
        <v>41</v>
      </c>
      <c r="E94" t="s">
        <v>23</v>
      </c>
      <c r="F94" t="s">
        <v>23</v>
      </c>
      <c r="G94" s="1">
        <v>2364.1815999999999</v>
      </c>
      <c r="H94">
        <v>0.01</v>
      </c>
      <c r="I94">
        <f>Sales_Data[[#This Row],[Sales]]*Sales_Data[[#This Row],[Discount]]</f>
        <v>23.641815999999999</v>
      </c>
      <c r="J94">
        <v>2340.5397840000001</v>
      </c>
      <c r="K94" s="1">
        <v>5.7</v>
      </c>
      <c r="L94" s="1">
        <v>2358.4816000000001</v>
      </c>
      <c r="M94" s="1" t="s">
        <v>10</v>
      </c>
      <c r="N94" s="1">
        <f>IF(Sales_Data[[#This Row],[Sales with Discount]]&lt;Sales_Data[[#This Row],[Sales with Free Shipping]],Sales_Data[[#This Row],[Sales with Discount]],Sales_Data[[#This Row],[Sales with Free Shipping]])</f>
        <v>2340.5397840000001</v>
      </c>
      <c r="O94" s="1" t="str">
        <f>TEXT(Sales_Data[[#This Row],[Order Date]], "MM-YYYY")</f>
        <v>05-2019</v>
      </c>
    </row>
    <row r="95" spans="1:15" x14ac:dyDescent="0.3">
      <c r="A95" s="1">
        <v>50433</v>
      </c>
      <c r="B95" s="2">
        <v>43483</v>
      </c>
      <c r="C95" s="1" t="s">
        <v>12</v>
      </c>
      <c r="D95" s="1">
        <v>50</v>
      </c>
      <c r="E95" t="s">
        <v>24</v>
      </c>
      <c r="F95" t="s">
        <v>24</v>
      </c>
      <c r="G95" s="1">
        <v>7092.55</v>
      </c>
      <c r="H95">
        <v>0.01</v>
      </c>
      <c r="I95">
        <f>Sales_Data[[#This Row],[Sales]]*Sales_Data[[#This Row],[Discount]]</f>
        <v>70.9255</v>
      </c>
      <c r="J95">
        <v>7021.6244999999999</v>
      </c>
      <c r="K95" s="1">
        <v>19.100000000000001</v>
      </c>
      <c r="L95" s="1">
        <v>7073.45</v>
      </c>
      <c r="M95" s="1" t="s">
        <v>13</v>
      </c>
      <c r="N95" s="1">
        <f>IF(Sales_Data[[#This Row],[Sales with Discount]]&lt;Sales_Data[[#This Row],[Sales with Free Shipping]],Sales_Data[[#This Row],[Sales with Discount]],Sales_Data[[#This Row],[Sales with Free Shipping]])</f>
        <v>7021.6244999999999</v>
      </c>
      <c r="O95" s="1" t="str">
        <f>TEXT(Sales_Data[[#This Row],[Order Date]], "MM-YYYY")</f>
        <v>01-2019</v>
      </c>
    </row>
    <row r="96" spans="1:15" x14ac:dyDescent="0.3">
      <c r="A96" s="1">
        <v>48902</v>
      </c>
      <c r="B96" s="2">
        <v>43761</v>
      </c>
      <c r="C96" s="1" t="s">
        <v>14</v>
      </c>
      <c r="D96" s="1">
        <v>7</v>
      </c>
      <c r="E96" t="s">
        <v>17</v>
      </c>
      <c r="F96" t="s">
        <v>17</v>
      </c>
      <c r="G96" s="1">
        <v>57.02</v>
      </c>
      <c r="H96">
        <v>0</v>
      </c>
      <c r="I96">
        <f>Sales_Data[[#This Row],[Sales]]*Sales_Data[[#This Row],[Discount]]</f>
        <v>0</v>
      </c>
      <c r="J96">
        <v>57.02</v>
      </c>
      <c r="K96" s="1">
        <v>8</v>
      </c>
      <c r="L96" s="1">
        <v>57.02</v>
      </c>
      <c r="M96" s="1" t="s">
        <v>10</v>
      </c>
      <c r="N96" s="1">
        <f>IF(Sales_Data[[#This Row],[Sales with Discount]]&lt;Sales_Data[[#This Row],[Sales with Free Shipping]],Sales_Data[[#This Row],[Sales with Discount]],Sales_Data[[#This Row],[Sales with Free Shipping]])</f>
        <v>57.02</v>
      </c>
      <c r="O96" s="1" t="str">
        <f>TEXT(Sales_Data[[#This Row],[Order Date]], "MM-YYYY")</f>
        <v>10-2019</v>
      </c>
    </row>
    <row r="97" spans="1:15" x14ac:dyDescent="0.3">
      <c r="A97" s="1">
        <v>13284</v>
      </c>
      <c r="B97" s="2">
        <v>43689</v>
      </c>
      <c r="C97" s="1" t="s">
        <v>9</v>
      </c>
      <c r="D97" s="1">
        <v>49</v>
      </c>
      <c r="E97" t="s">
        <v>24</v>
      </c>
      <c r="F97" t="s">
        <v>24</v>
      </c>
      <c r="G97" s="1">
        <v>1778.95</v>
      </c>
      <c r="H97">
        <v>0.01</v>
      </c>
      <c r="I97">
        <f>Sales_Data[[#This Row],[Sales]]*Sales_Data[[#This Row],[Discount]]</f>
        <v>17.7895</v>
      </c>
      <c r="J97">
        <v>1761.1605</v>
      </c>
      <c r="K97" s="1">
        <v>3.2</v>
      </c>
      <c r="L97" s="1">
        <v>1775.75</v>
      </c>
      <c r="M97" s="1" t="s">
        <v>10</v>
      </c>
      <c r="N97" s="1">
        <f>IF(Sales_Data[[#This Row],[Sales with Discount]]&lt;Sales_Data[[#This Row],[Sales with Free Shipping]],Sales_Data[[#This Row],[Sales with Discount]],Sales_Data[[#This Row],[Sales with Free Shipping]])</f>
        <v>1761.1605</v>
      </c>
      <c r="O97" s="1" t="str">
        <f>TEXT(Sales_Data[[#This Row],[Order Date]], "MM-YYYY")</f>
        <v>08-2019</v>
      </c>
    </row>
    <row r="98" spans="1:15" x14ac:dyDescent="0.3">
      <c r="A98" s="1">
        <v>42243</v>
      </c>
      <c r="B98" s="2">
        <v>43535</v>
      </c>
      <c r="C98" s="1" t="s">
        <v>14</v>
      </c>
      <c r="D98" s="1">
        <v>42</v>
      </c>
      <c r="E98" t="s">
        <v>23</v>
      </c>
      <c r="F98" t="s">
        <v>23</v>
      </c>
      <c r="G98" s="1">
        <v>2007.42</v>
      </c>
      <c r="H98">
        <v>0.01</v>
      </c>
      <c r="I98">
        <f>Sales_Data[[#This Row],[Sales]]*Sales_Data[[#This Row],[Discount]]</f>
        <v>20.074200000000001</v>
      </c>
      <c r="J98">
        <v>1987.3458000000001</v>
      </c>
      <c r="K98" s="1">
        <v>3.2</v>
      </c>
      <c r="L98" s="1">
        <v>2004.22</v>
      </c>
      <c r="M98" s="1" t="s">
        <v>10</v>
      </c>
      <c r="N98" s="1">
        <f>IF(Sales_Data[[#This Row],[Sales with Discount]]&lt;Sales_Data[[#This Row],[Sales with Free Shipping]],Sales_Data[[#This Row],[Sales with Discount]],Sales_Data[[#This Row],[Sales with Free Shipping]])</f>
        <v>1987.3458000000001</v>
      </c>
      <c r="O98" s="1" t="str">
        <f>TEXT(Sales_Data[[#This Row],[Order Date]], "MM-YYYY")</f>
        <v>03-2019</v>
      </c>
    </row>
    <row r="99" spans="1:15" x14ac:dyDescent="0.3">
      <c r="A99" s="1">
        <v>44839</v>
      </c>
      <c r="B99" s="2">
        <v>43627</v>
      </c>
      <c r="C99" s="1" t="s">
        <v>12</v>
      </c>
      <c r="D99" s="1">
        <v>27</v>
      </c>
      <c r="E99" t="s">
        <v>20</v>
      </c>
      <c r="F99" t="s">
        <v>20</v>
      </c>
      <c r="G99" s="1">
        <v>962.97</v>
      </c>
      <c r="H99">
        <v>0</v>
      </c>
      <c r="I99">
        <f>Sales_Data[[#This Row],[Sales]]*Sales_Data[[#This Row],[Discount]]</f>
        <v>0</v>
      </c>
      <c r="J99">
        <v>962.97</v>
      </c>
      <c r="K99" s="1">
        <v>21.4</v>
      </c>
      <c r="L99" s="1">
        <v>962.97</v>
      </c>
      <c r="M99" s="1" t="s">
        <v>8</v>
      </c>
      <c r="N99" s="1">
        <f>IF(Sales_Data[[#This Row],[Sales with Discount]]&lt;Sales_Data[[#This Row],[Sales with Free Shipping]],Sales_Data[[#This Row],[Sales with Discount]],Sales_Data[[#This Row],[Sales with Free Shipping]])</f>
        <v>962.97</v>
      </c>
      <c r="O99" s="1" t="str">
        <f>TEXT(Sales_Data[[#This Row],[Order Date]], "MM-YYYY")</f>
        <v>06-2019</v>
      </c>
    </row>
    <row r="100" spans="1:15" x14ac:dyDescent="0.3">
      <c r="A100" s="1">
        <v>59586</v>
      </c>
      <c r="B100" s="2">
        <v>43531</v>
      </c>
      <c r="C100" s="1" t="s">
        <v>7</v>
      </c>
      <c r="D100" s="1">
        <v>25</v>
      </c>
      <c r="E100" t="s">
        <v>14</v>
      </c>
      <c r="F100" t="s">
        <v>14</v>
      </c>
      <c r="G100" s="1">
        <v>178.94</v>
      </c>
      <c r="H100">
        <v>0</v>
      </c>
      <c r="I100">
        <f>Sales_Data[[#This Row],[Sales]]*Sales_Data[[#This Row],[Discount]]</f>
        <v>0</v>
      </c>
      <c r="J100">
        <v>178.94</v>
      </c>
      <c r="K100" s="1">
        <v>5.8</v>
      </c>
      <c r="L100" s="1">
        <v>178.94</v>
      </c>
      <c r="M100" s="1" t="s">
        <v>10</v>
      </c>
      <c r="N100" s="1">
        <f>IF(Sales_Data[[#This Row],[Sales with Discount]]&lt;Sales_Data[[#This Row],[Sales with Free Shipping]],Sales_Data[[#This Row],[Sales with Discount]],Sales_Data[[#This Row],[Sales with Free Shipping]])</f>
        <v>178.94</v>
      </c>
      <c r="O100" s="1" t="str">
        <f>TEXT(Sales_Data[[#This Row],[Order Date]], "MM-YYYY")</f>
        <v>03-2019</v>
      </c>
    </row>
    <row r="101" spans="1:15" x14ac:dyDescent="0.3">
      <c r="A101" s="1">
        <v>30720</v>
      </c>
      <c r="B101" s="2">
        <v>43735</v>
      </c>
      <c r="C101" s="1" t="s">
        <v>7</v>
      </c>
      <c r="D101" s="1">
        <v>37</v>
      </c>
      <c r="E101" t="s">
        <v>22</v>
      </c>
      <c r="F101" t="s">
        <v>22</v>
      </c>
      <c r="G101" s="1">
        <v>1820.64</v>
      </c>
      <c r="H101">
        <v>0.01</v>
      </c>
      <c r="I101">
        <f>Sales_Data[[#This Row],[Sales]]*Sales_Data[[#This Row],[Discount]]</f>
        <v>18.206400000000002</v>
      </c>
      <c r="J101">
        <v>1802.4336000000001</v>
      </c>
      <c r="K101" s="1">
        <v>2.1</v>
      </c>
      <c r="L101" s="1">
        <v>1818.5400000000002</v>
      </c>
      <c r="M101" s="1" t="s">
        <v>8</v>
      </c>
      <c r="N101" s="1">
        <f>IF(Sales_Data[[#This Row],[Sales with Discount]]&lt;Sales_Data[[#This Row],[Sales with Free Shipping]],Sales_Data[[#This Row],[Sales with Discount]],Sales_Data[[#This Row],[Sales with Free Shipping]])</f>
        <v>1802.4336000000001</v>
      </c>
      <c r="O101" s="1" t="str">
        <f>TEXT(Sales_Data[[#This Row],[Order Date]], "MM-YYYY")</f>
        <v>09-2019</v>
      </c>
    </row>
    <row r="102" spans="1:15" x14ac:dyDescent="0.3">
      <c r="A102" s="1">
        <v>32804</v>
      </c>
      <c r="B102" s="2">
        <v>43717</v>
      </c>
      <c r="C102" s="1" t="s">
        <v>14</v>
      </c>
      <c r="D102" s="1">
        <v>20</v>
      </c>
      <c r="E102" t="s">
        <v>19</v>
      </c>
      <c r="F102" t="s">
        <v>19</v>
      </c>
      <c r="G102" s="1">
        <v>95.78</v>
      </c>
      <c r="H102">
        <v>0</v>
      </c>
      <c r="I102">
        <f>Sales_Data[[#This Row],[Sales]]*Sales_Data[[#This Row],[Discount]]</f>
        <v>0</v>
      </c>
      <c r="J102">
        <v>95.78</v>
      </c>
      <c r="K102" s="1">
        <v>5.6</v>
      </c>
      <c r="L102" s="1">
        <v>95.78</v>
      </c>
      <c r="M102" s="1" t="s">
        <v>10</v>
      </c>
      <c r="N102" s="1">
        <f>IF(Sales_Data[[#This Row],[Sales with Discount]]&lt;Sales_Data[[#This Row],[Sales with Free Shipping]],Sales_Data[[#This Row],[Sales with Discount]],Sales_Data[[#This Row],[Sales with Free Shipping]])</f>
        <v>95.78</v>
      </c>
      <c r="O102" s="1" t="str">
        <f>TEXT(Sales_Data[[#This Row],[Order Date]], "MM-YYYY")</f>
        <v>09-2019</v>
      </c>
    </row>
    <row r="103" spans="1:15" x14ac:dyDescent="0.3">
      <c r="A103" s="1">
        <v>53216</v>
      </c>
      <c r="B103" s="2">
        <v>43803</v>
      </c>
      <c r="C103" s="1" t="s">
        <v>9</v>
      </c>
      <c r="D103" s="1">
        <v>36</v>
      </c>
      <c r="E103" t="s">
        <v>22</v>
      </c>
      <c r="F103" t="s">
        <v>22</v>
      </c>
      <c r="G103" s="1">
        <v>243.97069999999999</v>
      </c>
      <c r="H103">
        <v>0.01</v>
      </c>
      <c r="I103">
        <f>Sales_Data[[#This Row],[Sales]]*Sales_Data[[#This Row],[Discount]]</f>
        <v>2.4397069999999998</v>
      </c>
      <c r="J103">
        <v>241.530993</v>
      </c>
      <c r="K103" s="1">
        <v>9.3000000000000007</v>
      </c>
      <c r="L103" s="1">
        <v>234.67069999999998</v>
      </c>
      <c r="M103" s="1" t="s">
        <v>10</v>
      </c>
      <c r="N103" s="1">
        <f>IF(Sales_Data[[#This Row],[Sales with Discount]]&lt;Sales_Data[[#This Row],[Sales with Free Shipping]],Sales_Data[[#This Row],[Sales with Discount]],Sales_Data[[#This Row],[Sales with Free Shipping]])</f>
        <v>234.67069999999998</v>
      </c>
      <c r="O103" s="1" t="str">
        <f>TEXT(Sales_Data[[#This Row],[Order Date]], "MM-YYYY")</f>
        <v>12-2019</v>
      </c>
    </row>
    <row r="104" spans="1:15" x14ac:dyDescent="0.3">
      <c r="A104" s="1">
        <v>55777</v>
      </c>
      <c r="B104" s="2">
        <v>43779</v>
      </c>
      <c r="C104" s="1" t="s">
        <v>11</v>
      </c>
      <c r="D104" s="1">
        <v>1</v>
      </c>
      <c r="E104" t="s">
        <v>16</v>
      </c>
      <c r="F104" t="s">
        <v>16</v>
      </c>
      <c r="G104" s="1">
        <v>70.349999999999994</v>
      </c>
      <c r="H104">
        <v>0</v>
      </c>
      <c r="I104">
        <f>Sales_Data[[#This Row],[Sales]]*Sales_Data[[#This Row],[Discount]]</f>
        <v>0</v>
      </c>
      <c r="J104">
        <v>70.349999999999994</v>
      </c>
      <c r="K104" s="1">
        <v>4.3</v>
      </c>
      <c r="L104" s="1">
        <v>70.349999999999994</v>
      </c>
      <c r="M104" s="1" t="s">
        <v>8</v>
      </c>
      <c r="N104" s="1">
        <f>IF(Sales_Data[[#This Row],[Sales with Discount]]&lt;Sales_Data[[#This Row],[Sales with Free Shipping]],Sales_Data[[#This Row],[Sales with Discount]],Sales_Data[[#This Row],[Sales with Free Shipping]])</f>
        <v>70.349999999999994</v>
      </c>
      <c r="O104" s="1" t="str">
        <f>TEXT(Sales_Data[[#This Row],[Order Date]], "MM-YYYY")</f>
        <v>11-2019</v>
      </c>
    </row>
    <row r="105" spans="1:15" x14ac:dyDescent="0.3">
      <c r="A105" s="1">
        <v>35011</v>
      </c>
      <c r="B105" s="2">
        <v>43809</v>
      </c>
      <c r="C105" s="1" t="s">
        <v>11</v>
      </c>
      <c r="D105" s="1">
        <v>14</v>
      </c>
      <c r="E105" t="s">
        <v>18</v>
      </c>
      <c r="F105" t="s">
        <v>18</v>
      </c>
      <c r="G105" s="1">
        <v>165.26</v>
      </c>
      <c r="H105">
        <v>0</v>
      </c>
      <c r="I105">
        <f>Sales_Data[[#This Row],[Sales]]*Sales_Data[[#This Row],[Discount]]</f>
        <v>0</v>
      </c>
      <c r="J105">
        <v>165.26</v>
      </c>
      <c r="K105" s="1">
        <v>3.6</v>
      </c>
      <c r="L105" s="1">
        <v>165.26</v>
      </c>
      <c r="M105" s="1" t="s">
        <v>10</v>
      </c>
      <c r="N105" s="1">
        <f>IF(Sales_Data[[#This Row],[Sales with Discount]]&lt;Sales_Data[[#This Row],[Sales with Free Shipping]],Sales_Data[[#This Row],[Sales with Discount]],Sales_Data[[#This Row],[Sales with Free Shipping]])</f>
        <v>165.26</v>
      </c>
      <c r="O105" s="1" t="str">
        <f>TEXT(Sales_Data[[#This Row],[Order Date]], "MM-YYYY")</f>
        <v>12-2019</v>
      </c>
    </row>
    <row r="106" spans="1:15" x14ac:dyDescent="0.3">
      <c r="A106" s="1">
        <v>16706</v>
      </c>
      <c r="B106" s="2">
        <v>43643</v>
      </c>
      <c r="C106" s="1" t="s">
        <v>9</v>
      </c>
      <c r="D106" s="1">
        <v>6</v>
      </c>
      <c r="E106" t="s">
        <v>17</v>
      </c>
      <c r="F106" t="s">
        <v>17</v>
      </c>
      <c r="G106" s="1">
        <v>19.655899999999999</v>
      </c>
      <c r="H106">
        <v>0</v>
      </c>
      <c r="I106">
        <f>Sales_Data[[#This Row],[Sales]]*Sales_Data[[#This Row],[Discount]]</f>
        <v>0</v>
      </c>
      <c r="J106">
        <v>19.655899999999999</v>
      </c>
      <c r="K106" s="1">
        <v>1.3</v>
      </c>
      <c r="L106" s="1">
        <v>19.655899999999999</v>
      </c>
      <c r="M106" s="1" t="s">
        <v>10</v>
      </c>
      <c r="N106" s="1">
        <f>IF(Sales_Data[[#This Row],[Sales with Discount]]&lt;Sales_Data[[#This Row],[Sales with Free Shipping]],Sales_Data[[#This Row],[Sales with Discount]],Sales_Data[[#This Row],[Sales with Free Shipping]])</f>
        <v>19.655899999999999</v>
      </c>
      <c r="O106" s="1" t="str">
        <f>TEXT(Sales_Data[[#This Row],[Order Date]], "MM-YYYY")</f>
        <v>06-2019</v>
      </c>
    </row>
    <row r="107" spans="1:15" x14ac:dyDescent="0.3">
      <c r="A107" s="1">
        <v>4069</v>
      </c>
      <c r="B107" s="2">
        <v>43597</v>
      </c>
      <c r="C107" s="1" t="s">
        <v>14</v>
      </c>
      <c r="D107" s="1">
        <v>47</v>
      </c>
      <c r="E107" t="s">
        <v>24</v>
      </c>
      <c r="F107" t="s">
        <v>24</v>
      </c>
      <c r="G107" s="1">
        <v>133.69</v>
      </c>
      <c r="H107">
        <v>0.01</v>
      </c>
      <c r="I107">
        <f>Sales_Data[[#This Row],[Sales]]*Sales_Data[[#This Row],[Discount]]</f>
        <v>1.3369</v>
      </c>
      <c r="J107">
        <v>132.35309999999998</v>
      </c>
      <c r="K107" s="1">
        <v>1.4</v>
      </c>
      <c r="L107" s="1">
        <v>132.29</v>
      </c>
      <c r="M107" s="1" t="s">
        <v>8</v>
      </c>
      <c r="N107" s="1">
        <f>IF(Sales_Data[[#This Row],[Sales with Discount]]&lt;Sales_Data[[#This Row],[Sales with Free Shipping]],Sales_Data[[#This Row],[Sales with Discount]],Sales_Data[[#This Row],[Sales with Free Shipping]])</f>
        <v>132.29</v>
      </c>
      <c r="O107" s="1" t="str">
        <f>TEXT(Sales_Data[[#This Row],[Order Date]], "MM-YYYY")</f>
        <v>05-2019</v>
      </c>
    </row>
    <row r="108" spans="1:15" x14ac:dyDescent="0.3">
      <c r="A108" s="1">
        <v>22272</v>
      </c>
      <c r="B108" s="2">
        <v>43591</v>
      </c>
      <c r="C108" s="1" t="s">
        <v>9</v>
      </c>
      <c r="D108" s="1">
        <v>37</v>
      </c>
      <c r="E108" t="s">
        <v>22</v>
      </c>
      <c r="F108" t="s">
        <v>22</v>
      </c>
      <c r="G108" s="1">
        <v>5759</v>
      </c>
      <c r="H108">
        <v>0.01</v>
      </c>
      <c r="I108">
        <f>Sales_Data[[#This Row],[Sales]]*Sales_Data[[#This Row],[Discount]]</f>
        <v>57.59</v>
      </c>
      <c r="J108">
        <v>5701.41</v>
      </c>
      <c r="K108" s="1">
        <v>4.3</v>
      </c>
      <c r="L108" s="1">
        <v>5754.7</v>
      </c>
      <c r="M108" s="1" t="s">
        <v>10</v>
      </c>
      <c r="N108" s="1">
        <f>IF(Sales_Data[[#This Row],[Sales with Discount]]&lt;Sales_Data[[#This Row],[Sales with Free Shipping]],Sales_Data[[#This Row],[Sales with Discount]],Sales_Data[[#This Row],[Sales with Free Shipping]])</f>
        <v>5701.41</v>
      </c>
      <c r="O108" s="1" t="str">
        <f>TEXT(Sales_Data[[#This Row],[Order Date]], "MM-YYYY")</f>
        <v>05-2019</v>
      </c>
    </row>
    <row r="109" spans="1:15" x14ac:dyDescent="0.3">
      <c r="A109" s="1">
        <v>27300</v>
      </c>
      <c r="B109" s="2">
        <v>43738</v>
      </c>
      <c r="C109" s="1" t="s">
        <v>11</v>
      </c>
      <c r="D109" s="1">
        <v>27</v>
      </c>
      <c r="E109" t="s">
        <v>20</v>
      </c>
      <c r="F109" t="s">
        <v>20</v>
      </c>
      <c r="G109" s="1">
        <v>59.58</v>
      </c>
      <c r="H109">
        <v>0</v>
      </c>
      <c r="I109">
        <f>Sales_Data[[#This Row],[Sales]]*Sales_Data[[#This Row],[Discount]]</f>
        <v>0</v>
      </c>
      <c r="J109">
        <v>59.58</v>
      </c>
      <c r="K109" s="1">
        <v>0.7</v>
      </c>
      <c r="L109" s="1">
        <v>59.58</v>
      </c>
      <c r="M109" s="1" t="s">
        <v>10</v>
      </c>
      <c r="N109" s="1">
        <f>IF(Sales_Data[[#This Row],[Sales with Discount]]&lt;Sales_Data[[#This Row],[Sales with Free Shipping]],Sales_Data[[#This Row],[Sales with Discount]],Sales_Data[[#This Row],[Sales with Free Shipping]])</f>
        <v>59.58</v>
      </c>
      <c r="O109" s="1" t="str">
        <f>TEXT(Sales_Data[[#This Row],[Order Date]], "MM-YYYY")</f>
        <v>09-2019</v>
      </c>
    </row>
    <row r="110" spans="1:15" x14ac:dyDescent="0.3">
      <c r="A110" s="1">
        <v>46787</v>
      </c>
      <c r="B110" s="2">
        <v>43553</v>
      </c>
      <c r="C110" s="1" t="s">
        <v>14</v>
      </c>
      <c r="D110" s="1">
        <v>28</v>
      </c>
      <c r="E110" t="s">
        <v>20</v>
      </c>
      <c r="F110" t="s">
        <v>20</v>
      </c>
      <c r="G110" s="1">
        <v>186.29</v>
      </c>
      <c r="H110">
        <v>0</v>
      </c>
      <c r="I110">
        <f>Sales_Data[[#This Row],[Sales]]*Sales_Data[[#This Row],[Discount]]</f>
        <v>0</v>
      </c>
      <c r="J110">
        <v>186.29</v>
      </c>
      <c r="K110" s="1">
        <v>9.8000000000000007</v>
      </c>
      <c r="L110" s="1">
        <v>186.29</v>
      </c>
      <c r="M110" s="1" t="s">
        <v>10</v>
      </c>
      <c r="N110" s="1">
        <f>IF(Sales_Data[[#This Row],[Sales with Discount]]&lt;Sales_Data[[#This Row],[Sales with Free Shipping]],Sales_Data[[#This Row],[Sales with Discount]],Sales_Data[[#This Row],[Sales with Free Shipping]])</f>
        <v>186.29</v>
      </c>
      <c r="O110" s="1" t="str">
        <f>TEXT(Sales_Data[[#This Row],[Order Date]], "MM-YYYY")</f>
        <v>03-2019</v>
      </c>
    </row>
    <row r="111" spans="1:15" x14ac:dyDescent="0.3">
      <c r="A111" s="1">
        <v>26912</v>
      </c>
      <c r="B111" s="2">
        <v>43582</v>
      </c>
      <c r="C111" s="1" t="s">
        <v>7</v>
      </c>
      <c r="D111" s="1">
        <v>21</v>
      </c>
      <c r="E111" t="s">
        <v>14</v>
      </c>
      <c r="F111" t="s">
        <v>14</v>
      </c>
      <c r="G111" s="1">
        <v>1166.42</v>
      </c>
      <c r="H111">
        <v>0</v>
      </c>
      <c r="I111">
        <f>Sales_Data[[#This Row],[Sales]]*Sales_Data[[#This Row],[Discount]]</f>
        <v>0</v>
      </c>
      <c r="J111">
        <v>1166.42</v>
      </c>
      <c r="K111" s="1">
        <v>5.9</v>
      </c>
      <c r="L111" s="1">
        <v>1166.42</v>
      </c>
      <c r="M111" s="1" t="s">
        <v>10</v>
      </c>
      <c r="N111" s="1">
        <f>IF(Sales_Data[[#This Row],[Sales with Discount]]&lt;Sales_Data[[#This Row],[Sales with Free Shipping]],Sales_Data[[#This Row],[Sales with Discount]],Sales_Data[[#This Row],[Sales with Free Shipping]])</f>
        <v>1166.42</v>
      </c>
      <c r="O111" s="1" t="str">
        <f>TEXT(Sales_Data[[#This Row],[Order Date]], "MM-YYYY")</f>
        <v>04-2019</v>
      </c>
    </row>
    <row r="112" spans="1:15" x14ac:dyDescent="0.3">
      <c r="A112" s="1">
        <v>50055</v>
      </c>
      <c r="B112" s="2">
        <v>43756</v>
      </c>
      <c r="C112" s="1" t="s">
        <v>14</v>
      </c>
      <c r="D112" s="1">
        <v>1</v>
      </c>
      <c r="E112" t="s">
        <v>16</v>
      </c>
      <c r="F112" t="s">
        <v>16</v>
      </c>
      <c r="G112" s="1">
        <v>14.39</v>
      </c>
      <c r="H112">
        <v>0</v>
      </c>
      <c r="I112">
        <f>Sales_Data[[#This Row],[Sales]]*Sales_Data[[#This Row],[Discount]]</f>
        <v>0</v>
      </c>
      <c r="J112">
        <v>14.39</v>
      </c>
      <c r="K112" s="1">
        <v>8.3000000000000007</v>
      </c>
      <c r="L112" s="1">
        <v>14.39</v>
      </c>
      <c r="M112" s="1" t="s">
        <v>10</v>
      </c>
      <c r="N112" s="1">
        <f>IF(Sales_Data[[#This Row],[Sales with Discount]]&lt;Sales_Data[[#This Row],[Sales with Free Shipping]],Sales_Data[[#This Row],[Sales with Discount]],Sales_Data[[#This Row],[Sales with Free Shipping]])</f>
        <v>14.39</v>
      </c>
      <c r="O112" s="1" t="str">
        <f>TEXT(Sales_Data[[#This Row],[Order Date]], "MM-YYYY")</f>
        <v>10-2019</v>
      </c>
    </row>
    <row r="113" spans="1:15" x14ac:dyDescent="0.3">
      <c r="A113" s="1">
        <v>59329</v>
      </c>
      <c r="B113" s="2">
        <v>43803</v>
      </c>
      <c r="C113" s="1" t="s">
        <v>12</v>
      </c>
      <c r="D113" s="1">
        <v>25</v>
      </c>
      <c r="E113" t="s">
        <v>14</v>
      </c>
      <c r="F113" t="s">
        <v>14</v>
      </c>
      <c r="G113" s="1">
        <v>177.21</v>
      </c>
      <c r="H113">
        <v>0</v>
      </c>
      <c r="I113">
        <f>Sales_Data[[#This Row],[Sales]]*Sales_Data[[#This Row],[Discount]]</f>
        <v>0</v>
      </c>
      <c r="J113">
        <v>177.21</v>
      </c>
      <c r="K113" s="1">
        <v>5.6</v>
      </c>
      <c r="L113" s="1">
        <v>177.21</v>
      </c>
      <c r="M113" s="1" t="s">
        <v>10</v>
      </c>
      <c r="N113" s="1">
        <f>IF(Sales_Data[[#This Row],[Sales with Discount]]&lt;Sales_Data[[#This Row],[Sales with Free Shipping]],Sales_Data[[#This Row],[Sales with Discount]],Sales_Data[[#This Row],[Sales with Free Shipping]])</f>
        <v>177.21</v>
      </c>
      <c r="O113" s="1" t="str">
        <f>TEXT(Sales_Data[[#This Row],[Order Date]], "MM-YYYY")</f>
        <v>12-2019</v>
      </c>
    </row>
    <row r="114" spans="1:15" x14ac:dyDescent="0.3">
      <c r="A114" s="1">
        <v>23681</v>
      </c>
      <c r="B114" s="2">
        <v>43604</v>
      </c>
      <c r="C114" s="1" t="s">
        <v>9</v>
      </c>
      <c r="D114" s="1">
        <v>42</v>
      </c>
      <c r="E114" t="s">
        <v>23</v>
      </c>
      <c r="F114" t="s">
        <v>23</v>
      </c>
      <c r="G114" s="1">
        <v>4475.3</v>
      </c>
      <c r="H114">
        <v>0.01</v>
      </c>
      <c r="I114">
        <f>Sales_Data[[#This Row],[Sales]]*Sales_Data[[#This Row],[Discount]]</f>
        <v>44.753</v>
      </c>
      <c r="J114">
        <v>4430.5470000000005</v>
      </c>
      <c r="K114" s="1">
        <v>37.5</v>
      </c>
      <c r="L114" s="1">
        <v>4437.8</v>
      </c>
      <c r="M114" s="1" t="s">
        <v>8</v>
      </c>
      <c r="N114" s="1">
        <f>IF(Sales_Data[[#This Row],[Sales with Discount]]&lt;Sales_Data[[#This Row],[Sales with Free Shipping]],Sales_Data[[#This Row],[Sales with Discount]],Sales_Data[[#This Row],[Sales with Free Shipping]])</f>
        <v>4430.5470000000005</v>
      </c>
      <c r="O114" s="1" t="str">
        <f>TEXT(Sales_Data[[#This Row],[Order Date]], "MM-YYYY")</f>
        <v>05-2019</v>
      </c>
    </row>
    <row r="115" spans="1:15" x14ac:dyDescent="0.3">
      <c r="A115" s="1">
        <v>54181</v>
      </c>
      <c r="B115" s="2">
        <v>43603</v>
      </c>
      <c r="C115" s="1" t="s">
        <v>9</v>
      </c>
      <c r="D115" s="1">
        <v>12</v>
      </c>
      <c r="E115" t="s">
        <v>18</v>
      </c>
      <c r="F115" t="s">
        <v>18</v>
      </c>
      <c r="G115" s="1">
        <v>2791.41</v>
      </c>
      <c r="H115">
        <v>0</v>
      </c>
      <c r="I115">
        <f>Sales_Data[[#This Row],[Sales]]*Sales_Data[[#This Row],[Discount]]</f>
        <v>0</v>
      </c>
      <c r="J115">
        <v>2791.41</v>
      </c>
      <c r="K115" s="1">
        <v>15.7</v>
      </c>
      <c r="L115" s="1">
        <v>2791.41</v>
      </c>
      <c r="M115" s="1" t="s">
        <v>13</v>
      </c>
      <c r="N115" s="1">
        <f>IF(Sales_Data[[#This Row],[Sales with Discount]]&lt;Sales_Data[[#This Row],[Sales with Free Shipping]],Sales_Data[[#This Row],[Sales with Discount]],Sales_Data[[#This Row],[Sales with Free Shipping]])</f>
        <v>2791.41</v>
      </c>
      <c r="O115" s="1" t="str">
        <f>TEXT(Sales_Data[[#This Row],[Order Date]], "MM-YYYY")</f>
        <v>05-2019</v>
      </c>
    </row>
    <row r="116" spans="1:15" x14ac:dyDescent="0.3">
      <c r="A116" s="1">
        <v>13988</v>
      </c>
      <c r="B116" s="2">
        <v>43678</v>
      </c>
      <c r="C116" s="1" t="s">
        <v>11</v>
      </c>
      <c r="D116" s="1">
        <v>34</v>
      </c>
      <c r="E116" t="s">
        <v>21</v>
      </c>
      <c r="F116" t="s">
        <v>21</v>
      </c>
      <c r="G116" s="1">
        <v>192.89</v>
      </c>
      <c r="H116">
        <v>0</v>
      </c>
      <c r="I116">
        <f>Sales_Data[[#This Row],[Sales]]*Sales_Data[[#This Row],[Discount]]</f>
        <v>0</v>
      </c>
      <c r="J116">
        <v>192.89</v>
      </c>
      <c r="K116" s="1">
        <v>5.7</v>
      </c>
      <c r="L116" s="1">
        <v>192.89</v>
      </c>
      <c r="M116" s="1" t="s">
        <v>10</v>
      </c>
      <c r="N116" s="1">
        <f>IF(Sales_Data[[#This Row],[Sales with Discount]]&lt;Sales_Data[[#This Row],[Sales with Free Shipping]],Sales_Data[[#This Row],[Sales with Discount]],Sales_Data[[#This Row],[Sales with Free Shipping]])</f>
        <v>192.89</v>
      </c>
      <c r="O116" s="1" t="str">
        <f>TEXT(Sales_Data[[#This Row],[Order Date]], "MM-YYYY")</f>
        <v>08-2019</v>
      </c>
    </row>
    <row r="117" spans="1:15" x14ac:dyDescent="0.3">
      <c r="A117" s="1">
        <v>27265</v>
      </c>
      <c r="B117" s="2">
        <v>43591</v>
      </c>
      <c r="C117" s="1" t="s">
        <v>12</v>
      </c>
      <c r="D117" s="1">
        <v>49</v>
      </c>
      <c r="E117" t="s">
        <v>24</v>
      </c>
      <c r="F117" t="s">
        <v>24</v>
      </c>
      <c r="G117" s="1">
        <v>429.49</v>
      </c>
      <c r="H117">
        <v>0.01</v>
      </c>
      <c r="I117">
        <f>Sales_Data[[#This Row],[Sales]]*Sales_Data[[#This Row],[Discount]]</f>
        <v>4.2949000000000002</v>
      </c>
      <c r="J117">
        <v>425.19510000000002</v>
      </c>
      <c r="K117" s="1">
        <v>1</v>
      </c>
      <c r="L117" s="1">
        <v>428.49</v>
      </c>
      <c r="M117" s="1" t="s">
        <v>8</v>
      </c>
      <c r="N117" s="1">
        <f>IF(Sales_Data[[#This Row],[Sales with Discount]]&lt;Sales_Data[[#This Row],[Sales with Free Shipping]],Sales_Data[[#This Row],[Sales with Discount]],Sales_Data[[#This Row],[Sales with Free Shipping]])</f>
        <v>425.19510000000002</v>
      </c>
      <c r="O117" s="1" t="str">
        <f>TEXT(Sales_Data[[#This Row],[Order Date]], "MM-YYYY")</f>
        <v>05-2019</v>
      </c>
    </row>
    <row r="118" spans="1:15" x14ac:dyDescent="0.3">
      <c r="A118" s="1">
        <v>56672</v>
      </c>
      <c r="B118" s="2">
        <v>43597</v>
      </c>
      <c r="C118" s="1" t="s">
        <v>9</v>
      </c>
      <c r="D118" s="1">
        <v>45</v>
      </c>
      <c r="E118" t="s">
        <v>23</v>
      </c>
      <c r="F118" t="s">
        <v>23</v>
      </c>
      <c r="G118" s="1">
        <v>2609.06</v>
      </c>
      <c r="H118">
        <v>0.01</v>
      </c>
      <c r="I118">
        <f>Sales_Data[[#This Row],[Sales]]*Sales_Data[[#This Row],[Discount]]</f>
        <v>26.090599999999998</v>
      </c>
      <c r="J118">
        <v>2582.9694</v>
      </c>
      <c r="K118" s="1">
        <v>9.6</v>
      </c>
      <c r="L118" s="1">
        <v>2599.46</v>
      </c>
      <c r="M118" s="1" t="s">
        <v>10</v>
      </c>
      <c r="N118" s="1">
        <f>IF(Sales_Data[[#This Row],[Sales with Discount]]&lt;Sales_Data[[#This Row],[Sales with Free Shipping]],Sales_Data[[#This Row],[Sales with Discount]],Sales_Data[[#This Row],[Sales with Free Shipping]])</f>
        <v>2582.9694</v>
      </c>
      <c r="O118" s="1" t="str">
        <f>TEXT(Sales_Data[[#This Row],[Order Date]], "MM-YYYY")</f>
        <v>05-2019</v>
      </c>
    </row>
    <row r="119" spans="1:15" x14ac:dyDescent="0.3">
      <c r="A119" s="1">
        <v>4896</v>
      </c>
      <c r="B119" s="2">
        <v>43698</v>
      </c>
      <c r="C119" s="1" t="s">
        <v>12</v>
      </c>
      <c r="D119" s="1">
        <v>25</v>
      </c>
      <c r="E119" t="s">
        <v>14</v>
      </c>
      <c r="F119" t="s">
        <v>14</v>
      </c>
      <c r="G119" s="1">
        <v>889.72640000000001</v>
      </c>
      <c r="H119">
        <v>0</v>
      </c>
      <c r="I119">
        <f>Sales_Data[[#This Row],[Sales]]*Sales_Data[[#This Row],[Discount]]</f>
        <v>0</v>
      </c>
      <c r="J119">
        <v>889.72640000000001</v>
      </c>
      <c r="K119" s="1">
        <v>2.1</v>
      </c>
      <c r="L119" s="1">
        <v>889.72640000000001</v>
      </c>
      <c r="M119" s="1" t="s">
        <v>10</v>
      </c>
      <c r="N119" s="1">
        <f>IF(Sales_Data[[#This Row],[Sales with Discount]]&lt;Sales_Data[[#This Row],[Sales with Free Shipping]],Sales_Data[[#This Row],[Sales with Discount]],Sales_Data[[#This Row],[Sales with Free Shipping]])</f>
        <v>889.72640000000001</v>
      </c>
      <c r="O119" s="1" t="str">
        <f>TEXT(Sales_Data[[#This Row],[Order Date]], "MM-YYYY")</f>
        <v>08-2019</v>
      </c>
    </row>
    <row r="120" spans="1:15" x14ac:dyDescent="0.3">
      <c r="A120" s="1">
        <v>21763</v>
      </c>
      <c r="B120" s="2">
        <v>43613</v>
      </c>
      <c r="C120" s="1" t="s">
        <v>7</v>
      </c>
      <c r="D120" s="1">
        <v>22</v>
      </c>
      <c r="E120" t="s">
        <v>14</v>
      </c>
      <c r="F120" t="s">
        <v>14</v>
      </c>
      <c r="G120" s="1">
        <v>1326.21</v>
      </c>
      <c r="H120">
        <v>0</v>
      </c>
      <c r="I120">
        <f>Sales_Data[[#This Row],[Sales]]*Sales_Data[[#This Row],[Discount]]</f>
        <v>0</v>
      </c>
      <c r="J120">
        <v>1326.21</v>
      </c>
      <c r="K120" s="1">
        <v>4.3</v>
      </c>
      <c r="L120" s="1">
        <v>1326.21</v>
      </c>
      <c r="M120" s="1" t="s">
        <v>10</v>
      </c>
      <c r="N120" s="1">
        <f>IF(Sales_Data[[#This Row],[Sales with Discount]]&lt;Sales_Data[[#This Row],[Sales with Free Shipping]],Sales_Data[[#This Row],[Sales with Discount]],Sales_Data[[#This Row],[Sales with Free Shipping]])</f>
        <v>1326.21</v>
      </c>
      <c r="O120" s="1" t="str">
        <f>TEXT(Sales_Data[[#This Row],[Order Date]], "MM-YYYY")</f>
        <v>05-2019</v>
      </c>
    </row>
    <row r="121" spans="1:15" x14ac:dyDescent="0.3">
      <c r="A121" s="1">
        <v>32102</v>
      </c>
      <c r="B121" s="2">
        <v>43813</v>
      </c>
      <c r="C121" s="1" t="s">
        <v>14</v>
      </c>
      <c r="D121" s="1">
        <v>2</v>
      </c>
      <c r="E121" t="s">
        <v>16</v>
      </c>
      <c r="F121" t="s">
        <v>16</v>
      </c>
      <c r="G121" s="1">
        <v>21.2</v>
      </c>
      <c r="H121">
        <v>0</v>
      </c>
      <c r="I121">
        <f>Sales_Data[[#This Row],[Sales]]*Sales_Data[[#This Row],[Discount]]</f>
        <v>0</v>
      </c>
      <c r="J121">
        <v>21.2</v>
      </c>
      <c r="K121" s="1">
        <v>6.7</v>
      </c>
      <c r="L121" s="1">
        <v>21.2</v>
      </c>
      <c r="M121" s="1" t="s">
        <v>10</v>
      </c>
      <c r="N121" s="1">
        <f>IF(Sales_Data[[#This Row],[Sales with Discount]]&lt;Sales_Data[[#This Row],[Sales with Free Shipping]],Sales_Data[[#This Row],[Sales with Discount]],Sales_Data[[#This Row],[Sales with Free Shipping]])</f>
        <v>21.2</v>
      </c>
      <c r="O121" s="1" t="str">
        <f>TEXT(Sales_Data[[#This Row],[Order Date]], "MM-YYYY")</f>
        <v>12-2019</v>
      </c>
    </row>
    <row r="122" spans="1:15" x14ac:dyDescent="0.3">
      <c r="A122" s="1">
        <v>15937</v>
      </c>
      <c r="B122" s="2">
        <v>43775</v>
      </c>
      <c r="C122" s="1" t="s">
        <v>7</v>
      </c>
      <c r="D122" s="1">
        <v>17</v>
      </c>
      <c r="E122" t="s">
        <v>19</v>
      </c>
      <c r="F122" t="s">
        <v>19</v>
      </c>
      <c r="G122" s="1">
        <v>230.75</v>
      </c>
      <c r="H122">
        <v>0</v>
      </c>
      <c r="I122">
        <f>Sales_Data[[#This Row],[Sales]]*Sales_Data[[#This Row],[Discount]]</f>
        <v>0</v>
      </c>
      <c r="J122">
        <v>230.75</v>
      </c>
      <c r="K122" s="1">
        <v>3</v>
      </c>
      <c r="L122" s="1">
        <v>230.75</v>
      </c>
      <c r="M122" s="1" t="s">
        <v>8</v>
      </c>
      <c r="N122" s="1">
        <f>IF(Sales_Data[[#This Row],[Sales with Discount]]&lt;Sales_Data[[#This Row],[Sales with Free Shipping]],Sales_Data[[#This Row],[Sales with Discount]],Sales_Data[[#This Row],[Sales with Free Shipping]])</f>
        <v>230.75</v>
      </c>
      <c r="O122" s="1" t="str">
        <f>TEXT(Sales_Data[[#This Row],[Order Date]], "MM-YYYY")</f>
        <v>11-2019</v>
      </c>
    </row>
    <row r="123" spans="1:15" x14ac:dyDescent="0.3">
      <c r="A123" s="1">
        <v>32000</v>
      </c>
      <c r="B123" s="2">
        <v>43721</v>
      </c>
      <c r="C123" s="1" t="s">
        <v>7</v>
      </c>
      <c r="D123" s="1">
        <v>49</v>
      </c>
      <c r="E123" t="s">
        <v>24</v>
      </c>
      <c r="F123" t="s">
        <v>24</v>
      </c>
      <c r="G123" s="1">
        <v>173.51</v>
      </c>
      <c r="H123">
        <v>0.01</v>
      </c>
      <c r="I123">
        <f>Sales_Data[[#This Row],[Sales]]*Sales_Data[[#This Row],[Discount]]</f>
        <v>1.7350999999999999</v>
      </c>
      <c r="J123">
        <v>171.7749</v>
      </c>
      <c r="K123" s="1">
        <v>1.4</v>
      </c>
      <c r="L123" s="1">
        <v>172.10999999999999</v>
      </c>
      <c r="M123" s="1" t="s">
        <v>10</v>
      </c>
      <c r="N123" s="1">
        <f>IF(Sales_Data[[#This Row],[Sales with Discount]]&lt;Sales_Data[[#This Row],[Sales with Free Shipping]],Sales_Data[[#This Row],[Sales with Discount]],Sales_Data[[#This Row],[Sales with Free Shipping]])</f>
        <v>171.7749</v>
      </c>
      <c r="O123" s="1" t="str">
        <f>TEXT(Sales_Data[[#This Row],[Order Date]], "MM-YYYY")</f>
        <v>09-2019</v>
      </c>
    </row>
    <row r="124" spans="1:15" x14ac:dyDescent="0.3">
      <c r="A124" s="1">
        <v>43296</v>
      </c>
      <c r="B124" s="2">
        <v>43527</v>
      </c>
      <c r="C124" s="1" t="s">
        <v>14</v>
      </c>
      <c r="D124" s="1">
        <v>41</v>
      </c>
      <c r="E124" t="s">
        <v>23</v>
      </c>
      <c r="F124" t="s">
        <v>23</v>
      </c>
      <c r="G124" s="1">
        <v>1782.4167</v>
      </c>
      <c r="H124">
        <v>0.01</v>
      </c>
      <c r="I124">
        <f>Sales_Data[[#This Row],[Sales]]*Sales_Data[[#This Row],[Discount]]</f>
        <v>17.824166999999999</v>
      </c>
      <c r="J124">
        <v>1764.592533</v>
      </c>
      <c r="K124" s="1">
        <v>8</v>
      </c>
      <c r="L124" s="1">
        <v>1774.4167</v>
      </c>
      <c r="M124" s="1" t="s">
        <v>10</v>
      </c>
      <c r="N124" s="1">
        <f>IF(Sales_Data[[#This Row],[Sales with Discount]]&lt;Sales_Data[[#This Row],[Sales with Free Shipping]],Sales_Data[[#This Row],[Sales with Discount]],Sales_Data[[#This Row],[Sales with Free Shipping]])</f>
        <v>1764.592533</v>
      </c>
      <c r="O124" s="1" t="str">
        <f>TEXT(Sales_Data[[#This Row],[Order Date]], "MM-YYYY")</f>
        <v>03-2019</v>
      </c>
    </row>
    <row r="125" spans="1:15" x14ac:dyDescent="0.3">
      <c r="A125" s="1">
        <v>27750</v>
      </c>
      <c r="B125" s="2">
        <v>43757</v>
      </c>
      <c r="C125" s="1" t="s">
        <v>7</v>
      </c>
      <c r="D125" s="1">
        <v>12</v>
      </c>
      <c r="E125" t="s">
        <v>18</v>
      </c>
      <c r="F125" t="s">
        <v>18</v>
      </c>
      <c r="G125" s="1">
        <v>823.01</v>
      </c>
      <c r="H125">
        <v>0</v>
      </c>
      <c r="I125">
        <f>Sales_Data[[#This Row],[Sales]]*Sales_Data[[#This Row],[Discount]]</f>
        <v>0</v>
      </c>
      <c r="J125">
        <v>823.01</v>
      </c>
      <c r="K125" s="1">
        <v>39.200000000000003</v>
      </c>
      <c r="L125" s="1">
        <v>823.01</v>
      </c>
      <c r="M125" s="1" t="s">
        <v>13</v>
      </c>
      <c r="N125" s="1">
        <f>IF(Sales_Data[[#This Row],[Sales with Discount]]&lt;Sales_Data[[#This Row],[Sales with Free Shipping]],Sales_Data[[#This Row],[Sales with Discount]],Sales_Data[[#This Row],[Sales with Free Shipping]])</f>
        <v>823.01</v>
      </c>
      <c r="O125" s="1" t="str">
        <f>TEXT(Sales_Data[[#This Row],[Order Date]], "MM-YYYY")</f>
        <v>10-2019</v>
      </c>
    </row>
    <row r="126" spans="1:15" x14ac:dyDescent="0.3">
      <c r="A126" s="1">
        <v>51333</v>
      </c>
      <c r="B126" s="2">
        <v>43742</v>
      </c>
      <c r="C126" s="1" t="s">
        <v>11</v>
      </c>
      <c r="D126" s="1">
        <v>30</v>
      </c>
      <c r="E126" t="s">
        <v>20</v>
      </c>
      <c r="F126" t="s">
        <v>20</v>
      </c>
      <c r="G126" s="1">
        <v>2375.1799999999998</v>
      </c>
      <c r="H126">
        <v>0</v>
      </c>
      <c r="I126">
        <f>Sales_Data[[#This Row],[Sales]]*Sales_Data[[#This Row],[Discount]]</f>
        <v>0</v>
      </c>
      <c r="J126">
        <v>2375.1799999999998</v>
      </c>
      <c r="K126" s="1">
        <v>36</v>
      </c>
      <c r="L126" s="1">
        <v>2375.1799999999998</v>
      </c>
      <c r="M126" s="1" t="s">
        <v>13</v>
      </c>
      <c r="N126" s="1">
        <f>IF(Sales_Data[[#This Row],[Sales with Discount]]&lt;Sales_Data[[#This Row],[Sales with Free Shipping]],Sales_Data[[#This Row],[Sales with Discount]],Sales_Data[[#This Row],[Sales with Free Shipping]])</f>
        <v>2375.1799999999998</v>
      </c>
      <c r="O126" s="1" t="str">
        <f>TEXT(Sales_Data[[#This Row],[Order Date]], "MM-YYYY")</f>
        <v>10-2019</v>
      </c>
    </row>
    <row r="127" spans="1:15" x14ac:dyDescent="0.3">
      <c r="A127" s="1">
        <v>16193</v>
      </c>
      <c r="B127" s="2">
        <v>43564</v>
      </c>
      <c r="C127" s="1" t="s">
        <v>11</v>
      </c>
      <c r="D127" s="1">
        <v>8</v>
      </c>
      <c r="E127" t="s">
        <v>17</v>
      </c>
      <c r="F127" t="s">
        <v>17</v>
      </c>
      <c r="G127" s="1">
        <v>321.20999999999998</v>
      </c>
      <c r="H127">
        <v>0</v>
      </c>
      <c r="I127">
        <f>Sales_Data[[#This Row],[Sales]]*Sales_Data[[#This Row],[Discount]]</f>
        <v>0</v>
      </c>
      <c r="J127">
        <v>321.20999999999998</v>
      </c>
      <c r="K127" s="1">
        <v>8.8000000000000007</v>
      </c>
      <c r="L127" s="1">
        <v>321.20999999999998</v>
      </c>
      <c r="M127" s="1" t="s">
        <v>10</v>
      </c>
      <c r="N127" s="1">
        <f>IF(Sales_Data[[#This Row],[Sales with Discount]]&lt;Sales_Data[[#This Row],[Sales with Free Shipping]],Sales_Data[[#This Row],[Sales with Discount]],Sales_Data[[#This Row],[Sales with Free Shipping]])</f>
        <v>321.20999999999998</v>
      </c>
      <c r="O127" s="1" t="str">
        <f>TEXT(Sales_Data[[#This Row],[Order Date]], "MM-YYYY")</f>
        <v>04-2019</v>
      </c>
    </row>
    <row r="128" spans="1:15" x14ac:dyDescent="0.3">
      <c r="A128" s="1">
        <v>46977</v>
      </c>
      <c r="B128" s="2">
        <v>43592</v>
      </c>
      <c r="C128" s="1" t="s">
        <v>14</v>
      </c>
      <c r="D128" s="1">
        <v>10</v>
      </c>
      <c r="E128" t="s">
        <v>17</v>
      </c>
      <c r="F128" t="s">
        <v>17</v>
      </c>
      <c r="G128" s="1">
        <v>53.95</v>
      </c>
      <c r="H128">
        <v>0</v>
      </c>
      <c r="I128">
        <f>Sales_Data[[#This Row],[Sales]]*Sales_Data[[#This Row],[Discount]]</f>
        <v>0</v>
      </c>
      <c r="J128">
        <v>53.95</v>
      </c>
      <c r="K128" s="1">
        <v>1.6</v>
      </c>
      <c r="L128" s="1">
        <v>53.95</v>
      </c>
      <c r="M128" s="1" t="s">
        <v>10</v>
      </c>
      <c r="N128" s="1">
        <f>IF(Sales_Data[[#This Row],[Sales with Discount]]&lt;Sales_Data[[#This Row],[Sales with Free Shipping]],Sales_Data[[#This Row],[Sales with Discount]],Sales_Data[[#This Row],[Sales with Free Shipping]])</f>
        <v>53.95</v>
      </c>
      <c r="O128" s="1" t="str">
        <f>TEXT(Sales_Data[[#This Row],[Order Date]], "MM-YYYY")</f>
        <v>05-2019</v>
      </c>
    </row>
    <row r="129" spans="1:15" x14ac:dyDescent="0.3">
      <c r="A129" s="1">
        <v>57861</v>
      </c>
      <c r="B129" s="2">
        <v>43763</v>
      </c>
      <c r="C129" s="1" t="s">
        <v>14</v>
      </c>
      <c r="D129" s="1">
        <v>40</v>
      </c>
      <c r="E129" t="s">
        <v>22</v>
      </c>
      <c r="F129" t="s">
        <v>22</v>
      </c>
      <c r="G129" s="1">
        <v>128.56</v>
      </c>
      <c r="H129">
        <v>0.01</v>
      </c>
      <c r="I129">
        <f>Sales_Data[[#This Row],[Sales]]*Sales_Data[[#This Row],[Discount]]</f>
        <v>1.2856000000000001</v>
      </c>
      <c r="J129">
        <v>127.2744</v>
      </c>
      <c r="K129" s="1">
        <v>1.6</v>
      </c>
      <c r="L129" s="1">
        <v>126.96000000000001</v>
      </c>
      <c r="M129" s="1" t="s">
        <v>10</v>
      </c>
      <c r="N129" s="1">
        <f>IF(Sales_Data[[#This Row],[Sales with Discount]]&lt;Sales_Data[[#This Row],[Sales with Free Shipping]],Sales_Data[[#This Row],[Sales with Discount]],Sales_Data[[#This Row],[Sales with Free Shipping]])</f>
        <v>126.96000000000001</v>
      </c>
      <c r="O129" s="1" t="str">
        <f>TEXT(Sales_Data[[#This Row],[Order Date]], "MM-YYYY")</f>
        <v>10-2019</v>
      </c>
    </row>
    <row r="130" spans="1:15" x14ac:dyDescent="0.3">
      <c r="A130" s="1">
        <v>11202</v>
      </c>
      <c r="B130" s="2">
        <v>43541</v>
      </c>
      <c r="C130" s="1" t="s">
        <v>14</v>
      </c>
      <c r="D130" s="1">
        <v>8</v>
      </c>
      <c r="E130" t="s">
        <v>17</v>
      </c>
      <c r="F130" t="s">
        <v>17</v>
      </c>
      <c r="G130" s="1">
        <v>363.6</v>
      </c>
      <c r="H130">
        <v>0</v>
      </c>
      <c r="I130">
        <f>Sales_Data[[#This Row],[Sales]]*Sales_Data[[#This Row],[Discount]]</f>
        <v>0</v>
      </c>
      <c r="J130">
        <v>363.6</v>
      </c>
      <c r="K130" s="1">
        <v>3.2</v>
      </c>
      <c r="L130" s="1">
        <v>363.6</v>
      </c>
      <c r="M130" s="1" t="s">
        <v>10</v>
      </c>
      <c r="N130" s="1">
        <f>IF(Sales_Data[[#This Row],[Sales with Discount]]&lt;Sales_Data[[#This Row],[Sales with Free Shipping]],Sales_Data[[#This Row],[Sales with Discount]],Sales_Data[[#This Row],[Sales with Free Shipping]])</f>
        <v>363.6</v>
      </c>
      <c r="O130" s="1" t="str">
        <f>TEXT(Sales_Data[[#This Row],[Order Date]], "MM-YYYY")</f>
        <v>03-2019</v>
      </c>
    </row>
    <row r="131" spans="1:15" x14ac:dyDescent="0.3">
      <c r="A131" s="1">
        <v>34279</v>
      </c>
      <c r="B131" s="2">
        <v>43552</v>
      </c>
      <c r="C131" s="1" t="s">
        <v>11</v>
      </c>
      <c r="D131" s="1">
        <v>3</v>
      </c>
      <c r="E131" t="s">
        <v>16</v>
      </c>
      <c r="F131" t="s">
        <v>16</v>
      </c>
      <c r="G131" s="1">
        <v>899.39</v>
      </c>
      <c r="H131">
        <v>0</v>
      </c>
      <c r="I131">
        <f>Sales_Data[[#This Row],[Sales]]*Sales_Data[[#This Row],[Discount]]</f>
        <v>0</v>
      </c>
      <c r="J131">
        <v>899.39</v>
      </c>
      <c r="K131" s="1">
        <v>64.2</v>
      </c>
      <c r="L131" s="1">
        <v>899.39</v>
      </c>
      <c r="M131" s="1" t="s">
        <v>13</v>
      </c>
      <c r="N131" s="1">
        <f>IF(Sales_Data[[#This Row],[Sales with Discount]]&lt;Sales_Data[[#This Row],[Sales with Free Shipping]],Sales_Data[[#This Row],[Sales with Discount]],Sales_Data[[#This Row],[Sales with Free Shipping]])</f>
        <v>899.39</v>
      </c>
      <c r="O131" s="1" t="str">
        <f>TEXT(Sales_Data[[#This Row],[Order Date]], "MM-YYYY")</f>
        <v>03-2019</v>
      </c>
    </row>
    <row r="132" spans="1:15" x14ac:dyDescent="0.3">
      <c r="A132" s="1">
        <v>19207</v>
      </c>
      <c r="B132" s="2">
        <v>43539</v>
      </c>
      <c r="C132" s="1" t="s">
        <v>11</v>
      </c>
      <c r="D132" s="1">
        <v>11</v>
      </c>
      <c r="E132" t="s">
        <v>18</v>
      </c>
      <c r="F132" t="s">
        <v>18</v>
      </c>
      <c r="G132" s="1">
        <v>16.62</v>
      </c>
      <c r="H132">
        <v>0</v>
      </c>
      <c r="I132">
        <f>Sales_Data[[#This Row],[Sales]]*Sales_Data[[#This Row],[Discount]]</f>
        <v>0</v>
      </c>
      <c r="J132">
        <v>16.62</v>
      </c>
      <c r="K132" s="1">
        <v>0.7</v>
      </c>
      <c r="L132" s="1">
        <v>16.62</v>
      </c>
      <c r="M132" s="1" t="s">
        <v>10</v>
      </c>
      <c r="N132" s="1">
        <f>IF(Sales_Data[[#This Row],[Sales with Discount]]&lt;Sales_Data[[#This Row],[Sales with Free Shipping]],Sales_Data[[#This Row],[Sales with Discount]],Sales_Data[[#This Row],[Sales with Free Shipping]])</f>
        <v>16.62</v>
      </c>
      <c r="O132" s="1" t="str">
        <f>TEXT(Sales_Data[[#This Row],[Order Date]], "MM-YYYY")</f>
        <v>03-2019</v>
      </c>
    </row>
    <row r="133" spans="1:15" x14ac:dyDescent="0.3">
      <c r="A133" s="1">
        <v>52419</v>
      </c>
      <c r="B133" s="2">
        <v>43726</v>
      </c>
      <c r="C133" s="1" t="s">
        <v>9</v>
      </c>
      <c r="D133" s="1">
        <v>32</v>
      </c>
      <c r="E133" t="s">
        <v>21</v>
      </c>
      <c r="F133" t="s">
        <v>21</v>
      </c>
      <c r="G133" s="1">
        <v>3745.5243</v>
      </c>
      <c r="H133">
        <v>0</v>
      </c>
      <c r="I133">
        <f>Sales_Data[[#This Row],[Sales]]*Sales_Data[[#This Row],[Discount]]</f>
        <v>0</v>
      </c>
      <c r="J133">
        <v>3745.5243</v>
      </c>
      <c r="K133" s="1">
        <v>9.1999999999999993</v>
      </c>
      <c r="L133" s="1">
        <v>3745.5243</v>
      </c>
      <c r="M133" s="1" t="s">
        <v>10</v>
      </c>
      <c r="N133" s="1">
        <f>IF(Sales_Data[[#This Row],[Sales with Discount]]&lt;Sales_Data[[#This Row],[Sales with Free Shipping]],Sales_Data[[#This Row],[Sales with Discount]],Sales_Data[[#This Row],[Sales with Free Shipping]])</f>
        <v>3745.5243</v>
      </c>
      <c r="O133" s="1" t="str">
        <f>TEXT(Sales_Data[[#This Row],[Order Date]], "MM-YYYY")</f>
        <v>09-2019</v>
      </c>
    </row>
    <row r="134" spans="1:15" x14ac:dyDescent="0.3">
      <c r="A134" s="1">
        <v>31684</v>
      </c>
      <c r="B134" s="2">
        <v>43724</v>
      </c>
      <c r="C134" s="1" t="s">
        <v>12</v>
      </c>
      <c r="D134" s="1">
        <v>15</v>
      </c>
      <c r="E134" t="s">
        <v>18</v>
      </c>
      <c r="F134" t="s">
        <v>18</v>
      </c>
      <c r="G134" s="1">
        <v>96.27</v>
      </c>
      <c r="H134">
        <v>0</v>
      </c>
      <c r="I134">
        <f>Sales_Data[[#This Row],[Sales]]*Sales_Data[[#This Row],[Discount]]</f>
        <v>0</v>
      </c>
      <c r="J134">
        <v>96.27</v>
      </c>
      <c r="K134" s="1">
        <v>1.6</v>
      </c>
      <c r="L134" s="1">
        <v>96.27</v>
      </c>
      <c r="M134" s="1" t="s">
        <v>10</v>
      </c>
      <c r="N134" s="1">
        <f>IF(Sales_Data[[#This Row],[Sales with Discount]]&lt;Sales_Data[[#This Row],[Sales with Free Shipping]],Sales_Data[[#This Row],[Sales with Discount]],Sales_Data[[#This Row],[Sales with Free Shipping]])</f>
        <v>96.27</v>
      </c>
      <c r="O134" s="1" t="str">
        <f>TEXT(Sales_Data[[#This Row],[Order Date]], "MM-YYYY")</f>
        <v>09-2019</v>
      </c>
    </row>
    <row r="135" spans="1:15" x14ac:dyDescent="0.3">
      <c r="A135" s="1">
        <v>35299</v>
      </c>
      <c r="B135" s="2">
        <v>43687</v>
      </c>
      <c r="C135" s="1" t="s">
        <v>11</v>
      </c>
      <c r="D135" s="1">
        <v>41</v>
      </c>
      <c r="E135" t="s">
        <v>23</v>
      </c>
      <c r="F135" t="s">
        <v>23</v>
      </c>
      <c r="G135" s="1">
        <v>4664.13</v>
      </c>
      <c r="H135">
        <v>0.01</v>
      </c>
      <c r="I135">
        <f>Sales_Data[[#This Row],[Sales]]*Sales_Data[[#This Row],[Discount]]</f>
        <v>46.641300000000001</v>
      </c>
      <c r="J135">
        <v>4617.4886999999999</v>
      </c>
      <c r="K135" s="1">
        <v>21.4</v>
      </c>
      <c r="L135" s="1">
        <v>4642.7300000000005</v>
      </c>
      <c r="M135" s="1" t="s">
        <v>10</v>
      </c>
      <c r="N135" s="1">
        <f>IF(Sales_Data[[#This Row],[Sales with Discount]]&lt;Sales_Data[[#This Row],[Sales with Free Shipping]],Sales_Data[[#This Row],[Sales with Discount]],Sales_Data[[#This Row],[Sales with Free Shipping]])</f>
        <v>4617.4886999999999</v>
      </c>
      <c r="O135" s="1" t="str">
        <f>TEXT(Sales_Data[[#This Row],[Order Date]], "MM-YYYY")</f>
        <v>08-2019</v>
      </c>
    </row>
    <row r="136" spans="1:15" x14ac:dyDescent="0.3">
      <c r="A136" s="1">
        <v>9761</v>
      </c>
      <c r="B136" s="2">
        <v>43486</v>
      </c>
      <c r="C136" s="1" t="s">
        <v>11</v>
      </c>
      <c r="D136" s="1">
        <v>23</v>
      </c>
      <c r="E136" t="s">
        <v>14</v>
      </c>
      <c r="F136" t="s">
        <v>14</v>
      </c>
      <c r="G136" s="1">
        <v>143.05000000000001</v>
      </c>
      <c r="H136">
        <v>0</v>
      </c>
      <c r="I136">
        <f>Sales_Data[[#This Row],[Sales]]*Sales_Data[[#This Row],[Discount]]</f>
        <v>0</v>
      </c>
      <c r="J136">
        <v>143.05000000000001</v>
      </c>
      <c r="K136" s="1">
        <v>7.7</v>
      </c>
      <c r="L136" s="1">
        <v>143.05000000000001</v>
      </c>
      <c r="M136" s="1" t="s">
        <v>10</v>
      </c>
      <c r="N136" s="1">
        <f>IF(Sales_Data[[#This Row],[Sales with Discount]]&lt;Sales_Data[[#This Row],[Sales with Free Shipping]],Sales_Data[[#This Row],[Sales with Discount]],Sales_Data[[#This Row],[Sales with Free Shipping]])</f>
        <v>143.05000000000001</v>
      </c>
      <c r="O136" s="1" t="str">
        <f>TEXT(Sales_Data[[#This Row],[Order Date]], "MM-YYYY")</f>
        <v>01-2019</v>
      </c>
    </row>
    <row r="137" spans="1:15" x14ac:dyDescent="0.3">
      <c r="A137" s="1">
        <v>9509</v>
      </c>
      <c r="B137" s="2">
        <v>43745</v>
      </c>
      <c r="C137" s="1" t="s">
        <v>11</v>
      </c>
      <c r="D137" s="1">
        <v>32</v>
      </c>
      <c r="E137" t="s">
        <v>21</v>
      </c>
      <c r="F137" t="s">
        <v>21</v>
      </c>
      <c r="G137" s="1">
        <v>1696.63</v>
      </c>
      <c r="H137">
        <v>0</v>
      </c>
      <c r="I137">
        <f>Sales_Data[[#This Row],[Sales]]*Sales_Data[[#This Row],[Discount]]</f>
        <v>0</v>
      </c>
      <c r="J137">
        <v>1696.63</v>
      </c>
      <c r="K137" s="1">
        <v>6.2</v>
      </c>
      <c r="L137" s="1">
        <v>1696.63</v>
      </c>
      <c r="M137" s="1" t="s">
        <v>10</v>
      </c>
      <c r="N137" s="1">
        <f>IF(Sales_Data[[#This Row],[Sales with Discount]]&lt;Sales_Data[[#This Row],[Sales with Free Shipping]],Sales_Data[[#This Row],[Sales with Discount]],Sales_Data[[#This Row],[Sales with Free Shipping]])</f>
        <v>1696.63</v>
      </c>
      <c r="O137" s="1" t="str">
        <f>TEXT(Sales_Data[[#This Row],[Order Date]], "MM-YYYY")</f>
        <v>10-2019</v>
      </c>
    </row>
    <row r="138" spans="1:15" x14ac:dyDescent="0.3">
      <c r="A138" s="1">
        <v>1540</v>
      </c>
      <c r="B138" s="2">
        <v>43681</v>
      </c>
      <c r="C138" s="1" t="s">
        <v>9</v>
      </c>
      <c r="D138" s="1">
        <v>30</v>
      </c>
      <c r="E138" t="s">
        <v>20</v>
      </c>
      <c r="F138" t="s">
        <v>20</v>
      </c>
      <c r="G138" s="1">
        <v>86.563000000000002</v>
      </c>
      <c r="H138">
        <v>0</v>
      </c>
      <c r="I138">
        <f>Sales_Data[[#This Row],[Sales]]*Sales_Data[[#This Row],[Discount]]</f>
        <v>0</v>
      </c>
      <c r="J138">
        <v>86.563000000000002</v>
      </c>
      <c r="K138" s="1">
        <v>0.7</v>
      </c>
      <c r="L138" s="1">
        <v>86.563000000000002</v>
      </c>
      <c r="M138" s="1" t="s">
        <v>10</v>
      </c>
      <c r="N138" s="1">
        <f>IF(Sales_Data[[#This Row],[Sales with Discount]]&lt;Sales_Data[[#This Row],[Sales with Free Shipping]],Sales_Data[[#This Row],[Sales with Discount]],Sales_Data[[#This Row],[Sales with Free Shipping]])</f>
        <v>86.563000000000002</v>
      </c>
      <c r="O138" s="1" t="str">
        <f>TEXT(Sales_Data[[#This Row],[Order Date]], "MM-YYYY")</f>
        <v>08-2019</v>
      </c>
    </row>
    <row r="139" spans="1:15" x14ac:dyDescent="0.3">
      <c r="A139" s="1">
        <v>14980</v>
      </c>
      <c r="B139" s="2">
        <v>43660</v>
      </c>
      <c r="C139" s="1" t="s">
        <v>12</v>
      </c>
      <c r="D139" s="1">
        <v>27</v>
      </c>
      <c r="E139" t="s">
        <v>20</v>
      </c>
      <c r="F139" t="s">
        <v>20</v>
      </c>
      <c r="G139" s="1">
        <v>961.82</v>
      </c>
      <c r="H139">
        <v>0</v>
      </c>
      <c r="I139">
        <f>Sales_Data[[#This Row],[Sales]]*Sales_Data[[#This Row],[Discount]]</f>
        <v>0</v>
      </c>
      <c r="J139">
        <v>961.82</v>
      </c>
      <c r="K139" s="1">
        <v>2.1</v>
      </c>
      <c r="L139" s="1">
        <v>961.82</v>
      </c>
      <c r="M139" s="1" t="s">
        <v>10</v>
      </c>
      <c r="N139" s="1">
        <f>IF(Sales_Data[[#This Row],[Sales with Discount]]&lt;Sales_Data[[#This Row],[Sales with Free Shipping]],Sales_Data[[#This Row],[Sales with Discount]],Sales_Data[[#This Row],[Sales with Free Shipping]])</f>
        <v>961.82</v>
      </c>
      <c r="O139" s="1" t="str">
        <f>TEXT(Sales_Data[[#This Row],[Order Date]], "MM-YYYY")</f>
        <v>07-2019</v>
      </c>
    </row>
    <row r="140" spans="1:15" x14ac:dyDescent="0.3">
      <c r="A140" s="1">
        <v>18531</v>
      </c>
      <c r="B140" s="2">
        <v>43767</v>
      </c>
      <c r="C140" s="1" t="s">
        <v>12</v>
      </c>
      <c r="D140" s="1">
        <v>50</v>
      </c>
      <c r="E140" t="s">
        <v>24</v>
      </c>
      <c r="F140" t="s">
        <v>24</v>
      </c>
      <c r="G140" s="1">
        <v>1389.73</v>
      </c>
      <c r="H140">
        <v>0.01</v>
      </c>
      <c r="I140">
        <f>Sales_Data[[#This Row],[Sales]]*Sales_Data[[#This Row],[Discount]]</f>
        <v>13.897300000000001</v>
      </c>
      <c r="J140">
        <v>1375.8326999999999</v>
      </c>
      <c r="K140" s="1">
        <v>15.4</v>
      </c>
      <c r="L140" s="1">
        <v>1374.33</v>
      </c>
      <c r="M140" s="1" t="s">
        <v>13</v>
      </c>
      <c r="N140" s="1">
        <f>IF(Sales_Data[[#This Row],[Sales with Discount]]&lt;Sales_Data[[#This Row],[Sales with Free Shipping]],Sales_Data[[#This Row],[Sales with Discount]],Sales_Data[[#This Row],[Sales with Free Shipping]])</f>
        <v>1374.33</v>
      </c>
      <c r="O140" s="1" t="str">
        <f>TEXT(Sales_Data[[#This Row],[Order Date]], "MM-YYYY")</f>
        <v>10-2019</v>
      </c>
    </row>
    <row r="141" spans="1:15" x14ac:dyDescent="0.3">
      <c r="A141" s="1">
        <v>13570</v>
      </c>
      <c r="B141" s="2">
        <v>43801</v>
      </c>
      <c r="C141" s="1" t="s">
        <v>11</v>
      </c>
      <c r="D141" s="1">
        <v>2</v>
      </c>
      <c r="E141" t="s">
        <v>16</v>
      </c>
      <c r="F141" t="s">
        <v>16</v>
      </c>
      <c r="G141" s="1">
        <v>18.16</v>
      </c>
      <c r="H141">
        <v>0</v>
      </c>
      <c r="I141">
        <f>Sales_Data[[#This Row],[Sales]]*Sales_Data[[#This Row],[Discount]]</f>
        <v>0</v>
      </c>
      <c r="J141">
        <v>18.16</v>
      </c>
      <c r="K141" s="1">
        <v>1</v>
      </c>
      <c r="L141" s="1">
        <v>18.16</v>
      </c>
      <c r="M141" s="1" t="s">
        <v>10</v>
      </c>
      <c r="N141" s="1">
        <f>IF(Sales_Data[[#This Row],[Sales with Discount]]&lt;Sales_Data[[#This Row],[Sales with Free Shipping]],Sales_Data[[#This Row],[Sales with Discount]],Sales_Data[[#This Row],[Sales with Free Shipping]])</f>
        <v>18.16</v>
      </c>
      <c r="O141" s="1" t="str">
        <f>TEXT(Sales_Data[[#This Row],[Order Date]], "MM-YYYY")</f>
        <v>12-2019</v>
      </c>
    </row>
    <row r="142" spans="1:15" x14ac:dyDescent="0.3">
      <c r="A142" s="1">
        <v>51365</v>
      </c>
      <c r="B142" s="2">
        <v>43684</v>
      </c>
      <c r="C142" s="1" t="s">
        <v>9</v>
      </c>
      <c r="D142" s="1">
        <v>35</v>
      </c>
      <c r="E142" t="s">
        <v>21</v>
      </c>
      <c r="F142" t="s">
        <v>21</v>
      </c>
      <c r="G142" s="1">
        <v>4335.43</v>
      </c>
      <c r="H142">
        <v>0</v>
      </c>
      <c r="I142">
        <f>Sales_Data[[#This Row],[Sales]]*Sales_Data[[#This Row],[Discount]]</f>
        <v>0</v>
      </c>
      <c r="J142">
        <v>4335.43</v>
      </c>
      <c r="K142" s="1">
        <v>55.6</v>
      </c>
      <c r="L142" s="1">
        <v>4335.43</v>
      </c>
      <c r="M142" s="1" t="s">
        <v>13</v>
      </c>
      <c r="N142" s="1">
        <f>IF(Sales_Data[[#This Row],[Sales with Discount]]&lt;Sales_Data[[#This Row],[Sales with Free Shipping]],Sales_Data[[#This Row],[Sales with Discount]],Sales_Data[[#This Row],[Sales with Free Shipping]])</f>
        <v>4335.43</v>
      </c>
      <c r="O142" s="1" t="str">
        <f>TEXT(Sales_Data[[#This Row],[Order Date]], "MM-YYYY")</f>
        <v>08-2019</v>
      </c>
    </row>
    <row r="143" spans="1:15" x14ac:dyDescent="0.3">
      <c r="A143" s="1">
        <v>32640</v>
      </c>
      <c r="B143" s="2">
        <v>43723</v>
      </c>
      <c r="C143" s="1" t="s">
        <v>9</v>
      </c>
      <c r="D143" s="1">
        <v>18</v>
      </c>
      <c r="E143" t="s">
        <v>19</v>
      </c>
      <c r="F143" t="s">
        <v>19</v>
      </c>
      <c r="G143" s="1">
        <v>135.56</v>
      </c>
      <c r="H143">
        <v>0</v>
      </c>
      <c r="I143">
        <f>Sales_Data[[#This Row],[Sales]]*Sales_Data[[#This Row],[Discount]]</f>
        <v>0</v>
      </c>
      <c r="J143">
        <v>135.56</v>
      </c>
      <c r="K143" s="1">
        <v>5.9</v>
      </c>
      <c r="L143" s="1">
        <v>135.56</v>
      </c>
      <c r="M143" s="1" t="s">
        <v>10</v>
      </c>
      <c r="N143" s="1">
        <f>IF(Sales_Data[[#This Row],[Sales with Discount]]&lt;Sales_Data[[#This Row],[Sales with Free Shipping]],Sales_Data[[#This Row],[Sales with Discount]],Sales_Data[[#This Row],[Sales with Free Shipping]])</f>
        <v>135.56</v>
      </c>
      <c r="O143" s="1" t="str">
        <f>TEXT(Sales_Data[[#This Row],[Order Date]], "MM-YYYY")</f>
        <v>09-2019</v>
      </c>
    </row>
    <row r="144" spans="1:15" x14ac:dyDescent="0.3">
      <c r="A144" s="1">
        <v>29191</v>
      </c>
      <c r="B144" s="2">
        <v>43644</v>
      </c>
      <c r="C144" s="1" t="s">
        <v>14</v>
      </c>
      <c r="D144" s="1">
        <v>26</v>
      </c>
      <c r="E144" t="s">
        <v>20</v>
      </c>
      <c r="F144" t="s">
        <v>20</v>
      </c>
      <c r="G144" s="1">
        <v>7706.02</v>
      </c>
      <c r="H144">
        <v>0</v>
      </c>
      <c r="I144">
        <f>Sales_Data[[#This Row],[Sales]]*Sales_Data[[#This Row],[Discount]]</f>
        <v>0</v>
      </c>
      <c r="J144">
        <v>7706.02</v>
      </c>
      <c r="K144" s="1">
        <v>57.9</v>
      </c>
      <c r="L144" s="1">
        <v>7706.02</v>
      </c>
      <c r="M144" s="1" t="s">
        <v>13</v>
      </c>
      <c r="N144" s="1">
        <f>IF(Sales_Data[[#This Row],[Sales with Discount]]&lt;Sales_Data[[#This Row],[Sales with Free Shipping]],Sales_Data[[#This Row],[Sales with Discount]],Sales_Data[[#This Row],[Sales with Free Shipping]])</f>
        <v>7706.02</v>
      </c>
      <c r="O144" s="1" t="str">
        <f>TEXT(Sales_Data[[#This Row],[Order Date]], "MM-YYYY")</f>
        <v>06-2019</v>
      </c>
    </row>
    <row r="145" spans="1:15" x14ac:dyDescent="0.3">
      <c r="A145" s="1">
        <v>29220</v>
      </c>
      <c r="B145" s="2">
        <v>43828</v>
      </c>
      <c r="C145" s="1" t="s">
        <v>14</v>
      </c>
      <c r="D145" s="1">
        <v>36</v>
      </c>
      <c r="E145" t="s">
        <v>22</v>
      </c>
      <c r="F145" t="s">
        <v>22</v>
      </c>
      <c r="G145" s="1">
        <v>13578.65</v>
      </c>
      <c r="H145">
        <v>0.01</v>
      </c>
      <c r="I145">
        <f>Sales_Data[[#This Row],[Sales]]*Sales_Data[[#This Row],[Discount]]</f>
        <v>135.78649999999999</v>
      </c>
      <c r="J145">
        <v>13442.863499999999</v>
      </c>
      <c r="K145" s="1">
        <v>21.4</v>
      </c>
      <c r="L145" s="1">
        <v>13557.25</v>
      </c>
      <c r="M145" s="1" t="s">
        <v>8</v>
      </c>
      <c r="N145" s="1">
        <f>IF(Sales_Data[[#This Row],[Sales with Discount]]&lt;Sales_Data[[#This Row],[Sales with Free Shipping]],Sales_Data[[#This Row],[Sales with Discount]],Sales_Data[[#This Row],[Sales with Free Shipping]])</f>
        <v>13442.863499999999</v>
      </c>
      <c r="O145" s="1" t="str">
        <f>TEXT(Sales_Data[[#This Row],[Order Date]], "MM-YYYY")</f>
        <v>12-2019</v>
      </c>
    </row>
    <row r="146" spans="1:15" x14ac:dyDescent="0.3">
      <c r="A146" s="1">
        <v>57056</v>
      </c>
      <c r="B146" s="2">
        <v>43777</v>
      </c>
      <c r="C146" s="1" t="s">
        <v>7</v>
      </c>
      <c r="D146" s="1">
        <v>29</v>
      </c>
      <c r="E146" t="s">
        <v>20</v>
      </c>
      <c r="F146" t="s">
        <v>20</v>
      </c>
      <c r="G146" s="1">
        <v>2338.6</v>
      </c>
      <c r="H146">
        <v>0</v>
      </c>
      <c r="I146">
        <f>Sales_Data[[#This Row],[Sales]]*Sales_Data[[#This Row],[Discount]]</f>
        <v>0</v>
      </c>
      <c r="J146">
        <v>2338.6</v>
      </c>
      <c r="K146" s="1">
        <v>95.6</v>
      </c>
      <c r="L146" s="1">
        <v>2338.6</v>
      </c>
      <c r="M146" s="1" t="s">
        <v>13</v>
      </c>
      <c r="N146" s="1">
        <f>IF(Sales_Data[[#This Row],[Sales with Discount]]&lt;Sales_Data[[#This Row],[Sales with Free Shipping]],Sales_Data[[#This Row],[Sales with Discount]],Sales_Data[[#This Row],[Sales with Free Shipping]])</f>
        <v>2338.6</v>
      </c>
      <c r="O146" s="1" t="str">
        <f>TEXT(Sales_Data[[#This Row],[Order Date]], "MM-YYYY")</f>
        <v>11-2019</v>
      </c>
    </row>
    <row r="147" spans="1:15" x14ac:dyDescent="0.3">
      <c r="A147" s="1">
        <v>37124</v>
      </c>
      <c r="B147" s="2">
        <v>43554</v>
      </c>
      <c r="C147" s="1" t="s">
        <v>7</v>
      </c>
      <c r="D147" s="1">
        <v>33</v>
      </c>
      <c r="E147" t="s">
        <v>21</v>
      </c>
      <c r="F147" t="s">
        <v>21</v>
      </c>
      <c r="G147" s="1">
        <v>22689.884999999998</v>
      </c>
      <c r="H147">
        <v>0</v>
      </c>
      <c r="I147">
        <f>Sales_Data[[#This Row],[Sales]]*Sales_Data[[#This Row],[Discount]]</f>
        <v>0</v>
      </c>
      <c r="J147">
        <v>22689.884999999998</v>
      </c>
      <c r="K147" s="1">
        <v>26.2</v>
      </c>
      <c r="L147" s="1">
        <v>22689.884999999998</v>
      </c>
      <c r="M147" s="1" t="s">
        <v>10</v>
      </c>
      <c r="N147" s="1">
        <f>IF(Sales_Data[[#This Row],[Sales with Discount]]&lt;Sales_Data[[#This Row],[Sales with Free Shipping]],Sales_Data[[#This Row],[Sales with Discount]],Sales_Data[[#This Row],[Sales with Free Shipping]])</f>
        <v>22689.884999999998</v>
      </c>
      <c r="O147" s="1" t="str">
        <f>TEXT(Sales_Data[[#This Row],[Order Date]], "MM-YYYY")</f>
        <v>03-2019</v>
      </c>
    </row>
    <row r="148" spans="1:15" x14ac:dyDescent="0.3">
      <c r="A148" s="1">
        <v>40608</v>
      </c>
      <c r="B148" s="2">
        <v>43696</v>
      </c>
      <c r="C148" s="1" t="s">
        <v>11</v>
      </c>
      <c r="D148" s="1">
        <v>29</v>
      </c>
      <c r="E148" t="s">
        <v>20</v>
      </c>
      <c r="F148" t="s">
        <v>20</v>
      </c>
      <c r="G148" s="1">
        <v>614.15</v>
      </c>
      <c r="H148">
        <v>0</v>
      </c>
      <c r="I148">
        <f>Sales_Data[[#This Row],[Sales]]*Sales_Data[[#This Row],[Discount]]</f>
        <v>0</v>
      </c>
      <c r="J148">
        <v>614.15</v>
      </c>
      <c r="K148" s="1">
        <v>10.199999999999999</v>
      </c>
      <c r="L148" s="1">
        <v>614.15</v>
      </c>
      <c r="M148" s="1" t="s">
        <v>10</v>
      </c>
      <c r="N148" s="1">
        <f>IF(Sales_Data[[#This Row],[Sales with Discount]]&lt;Sales_Data[[#This Row],[Sales with Free Shipping]],Sales_Data[[#This Row],[Sales with Discount]],Sales_Data[[#This Row],[Sales with Free Shipping]])</f>
        <v>614.15</v>
      </c>
      <c r="O148" s="1" t="str">
        <f>TEXT(Sales_Data[[#This Row],[Order Date]], "MM-YYYY")</f>
        <v>08-2019</v>
      </c>
    </row>
    <row r="149" spans="1:15" x14ac:dyDescent="0.3">
      <c r="A149" s="1">
        <v>45734</v>
      </c>
      <c r="B149" s="2">
        <v>43663</v>
      </c>
      <c r="C149" s="1" t="s">
        <v>12</v>
      </c>
      <c r="D149" s="1">
        <v>47</v>
      </c>
      <c r="E149" t="s">
        <v>24</v>
      </c>
      <c r="F149" t="s">
        <v>24</v>
      </c>
      <c r="G149" s="1">
        <v>596.54999999999995</v>
      </c>
      <c r="H149">
        <v>0.01</v>
      </c>
      <c r="I149">
        <f>Sales_Data[[#This Row],[Sales]]*Sales_Data[[#This Row],[Discount]]</f>
        <v>5.9654999999999996</v>
      </c>
      <c r="J149">
        <v>590.58449999999993</v>
      </c>
      <c r="K149" s="1">
        <v>8.5</v>
      </c>
      <c r="L149" s="1">
        <v>588.04999999999995</v>
      </c>
      <c r="M149" s="1" t="s">
        <v>8</v>
      </c>
      <c r="N149" s="1">
        <f>IF(Sales_Data[[#This Row],[Sales with Discount]]&lt;Sales_Data[[#This Row],[Sales with Free Shipping]],Sales_Data[[#This Row],[Sales with Discount]],Sales_Data[[#This Row],[Sales with Free Shipping]])</f>
        <v>588.04999999999995</v>
      </c>
      <c r="O149" s="1" t="str">
        <f>TEXT(Sales_Data[[#This Row],[Order Date]], "MM-YYYY")</f>
        <v>07-2019</v>
      </c>
    </row>
    <row r="150" spans="1:15" x14ac:dyDescent="0.3">
      <c r="A150" s="1">
        <v>36743</v>
      </c>
      <c r="B150" s="2">
        <v>43716</v>
      </c>
      <c r="C150" s="1" t="s">
        <v>12</v>
      </c>
      <c r="D150" s="1">
        <v>3</v>
      </c>
      <c r="E150" t="s">
        <v>16</v>
      </c>
      <c r="F150" t="s">
        <v>16</v>
      </c>
      <c r="G150" s="1">
        <v>27.96</v>
      </c>
      <c r="H150">
        <v>0</v>
      </c>
      <c r="I150">
        <f>Sales_Data[[#This Row],[Sales]]*Sales_Data[[#This Row],[Discount]]</f>
        <v>0</v>
      </c>
      <c r="J150">
        <v>27.96</v>
      </c>
      <c r="K150" s="1">
        <v>4.3</v>
      </c>
      <c r="L150" s="1">
        <v>27.96</v>
      </c>
      <c r="M150" s="1" t="s">
        <v>10</v>
      </c>
      <c r="N150" s="1">
        <f>IF(Sales_Data[[#This Row],[Sales with Discount]]&lt;Sales_Data[[#This Row],[Sales with Free Shipping]],Sales_Data[[#This Row],[Sales with Discount]],Sales_Data[[#This Row],[Sales with Free Shipping]])</f>
        <v>27.96</v>
      </c>
      <c r="O150" s="1" t="str">
        <f>TEXT(Sales_Data[[#This Row],[Order Date]], "MM-YYYY")</f>
        <v>09-2019</v>
      </c>
    </row>
    <row r="151" spans="1:15" x14ac:dyDescent="0.3">
      <c r="A151" s="1">
        <v>32513</v>
      </c>
      <c r="B151" s="2">
        <v>43497</v>
      </c>
      <c r="C151" s="1" t="s">
        <v>7</v>
      </c>
      <c r="D151" s="1">
        <v>40</v>
      </c>
      <c r="E151" t="s">
        <v>22</v>
      </c>
      <c r="F151" t="s">
        <v>22</v>
      </c>
      <c r="G151" s="1">
        <v>71.209999999999994</v>
      </c>
      <c r="H151">
        <v>0.01</v>
      </c>
      <c r="I151">
        <f>Sales_Data[[#This Row],[Sales]]*Sales_Data[[#This Row],[Discount]]</f>
        <v>0.71209999999999996</v>
      </c>
      <c r="J151">
        <v>70.497899999999987</v>
      </c>
      <c r="K151" s="1">
        <v>1.4</v>
      </c>
      <c r="L151" s="1">
        <v>69.809999999999988</v>
      </c>
      <c r="M151" s="1" t="s">
        <v>10</v>
      </c>
      <c r="N151" s="1">
        <f>IF(Sales_Data[[#This Row],[Sales with Discount]]&lt;Sales_Data[[#This Row],[Sales with Free Shipping]],Sales_Data[[#This Row],[Sales with Discount]],Sales_Data[[#This Row],[Sales with Free Shipping]])</f>
        <v>69.809999999999988</v>
      </c>
      <c r="O151" s="1" t="str">
        <f>TEXT(Sales_Data[[#This Row],[Order Date]], "MM-YYYY")</f>
        <v>02-2019</v>
      </c>
    </row>
    <row r="152" spans="1:15" x14ac:dyDescent="0.3">
      <c r="A152" s="1">
        <v>23847</v>
      </c>
      <c r="B152" s="2">
        <v>43778</v>
      </c>
      <c r="C152" s="1" t="s">
        <v>11</v>
      </c>
      <c r="D152" s="1">
        <v>7</v>
      </c>
      <c r="E152" t="s">
        <v>17</v>
      </c>
      <c r="F152" t="s">
        <v>17</v>
      </c>
      <c r="G152" s="1">
        <v>1368.15</v>
      </c>
      <c r="H152">
        <v>0</v>
      </c>
      <c r="I152">
        <f>Sales_Data[[#This Row],[Sales]]*Sales_Data[[#This Row],[Discount]]</f>
        <v>0</v>
      </c>
      <c r="J152">
        <v>1368.15</v>
      </c>
      <c r="K152" s="1">
        <v>4.5</v>
      </c>
      <c r="L152" s="1">
        <v>1368.15</v>
      </c>
      <c r="M152" s="1" t="s">
        <v>10</v>
      </c>
      <c r="N152" s="1">
        <f>IF(Sales_Data[[#This Row],[Sales with Discount]]&lt;Sales_Data[[#This Row],[Sales with Free Shipping]],Sales_Data[[#This Row],[Sales with Discount]],Sales_Data[[#This Row],[Sales with Free Shipping]])</f>
        <v>1368.15</v>
      </c>
      <c r="O152" s="1" t="str">
        <f>TEXT(Sales_Data[[#This Row],[Order Date]], "MM-YYYY")</f>
        <v>11-2019</v>
      </c>
    </row>
    <row r="153" spans="1:15" x14ac:dyDescent="0.3">
      <c r="A153" s="1">
        <v>25152</v>
      </c>
      <c r="B153" s="2">
        <v>43753</v>
      </c>
      <c r="C153" s="1" t="s">
        <v>12</v>
      </c>
      <c r="D153" s="1">
        <v>29</v>
      </c>
      <c r="E153" t="s">
        <v>20</v>
      </c>
      <c r="F153" t="s">
        <v>20</v>
      </c>
      <c r="G153" s="1">
        <v>208.87</v>
      </c>
      <c r="H153">
        <v>0</v>
      </c>
      <c r="I153">
        <f>Sales_Data[[#This Row],[Sales]]*Sales_Data[[#This Row],[Discount]]</f>
        <v>0</v>
      </c>
      <c r="J153">
        <v>208.87</v>
      </c>
      <c r="K153" s="1">
        <v>2.5</v>
      </c>
      <c r="L153" s="1">
        <v>208.87</v>
      </c>
      <c r="M153" s="1" t="s">
        <v>10</v>
      </c>
      <c r="N153" s="1">
        <f>IF(Sales_Data[[#This Row],[Sales with Discount]]&lt;Sales_Data[[#This Row],[Sales with Free Shipping]],Sales_Data[[#This Row],[Sales with Discount]],Sales_Data[[#This Row],[Sales with Free Shipping]])</f>
        <v>208.87</v>
      </c>
      <c r="O153" s="1" t="str">
        <f>TEXT(Sales_Data[[#This Row],[Order Date]], "MM-YYYY")</f>
        <v>10-2019</v>
      </c>
    </row>
    <row r="154" spans="1:15" x14ac:dyDescent="0.3">
      <c r="A154" s="1">
        <v>14497</v>
      </c>
      <c r="B154" s="2">
        <v>43605</v>
      </c>
      <c r="C154" s="1" t="s">
        <v>14</v>
      </c>
      <c r="D154" s="1">
        <v>34</v>
      </c>
      <c r="E154" t="s">
        <v>21</v>
      </c>
      <c r="F154" t="s">
        <v>21</v>
      </c>
      <c r="G154" s="1">
        <v>229.01</v>
      </c>
      <c r="H154">
        <v>0</v>
      </c>
      <c r="I154">
        <f>Sales_Data[[#This Row],[Sales]]*Sales_Data[[#This Row],[Discount]]</f>
        <v>0</v>
      </c>
      <c r="J154">
        <v>229.01</v>
      </c>
      <c r="K154" s="1">
        <v>8.5</v>
      </c>
      <c r="L154" s="1">
        <v>229.01</v>
      </c>
      <c r="M154" s="1" t="s">
        <v>10</v>
      </c>
      <c r="N154" s="1">
        <f>IF(Sales_Data[[#This Row],[Sales with Discount]]&lt;Sales_Data[[#This Row],[Sales with Free Shipping]],Sales_Data[[#This Row],[Sales with Discount]],Sales_Data[[#This Row],[Sales with Free Shipping]])</f>
        <v>229.01</v>
      </c>
      <c r="O154" s="1" t="str">
        <f>TEXT(Sales_Data[[#This Row],[Order Date]], "MM-YYYY")</f>
        <v>05-2019</v>
      </c>
    </row>
    <row r="155" spans="1:15" x14ac:dyDescent="0.3">
      <c r="A155" s="1">
        <v>38498</v>
      </c>
      <c r="B155" s="2">
        <v>43582</v>
      </c>
      <c r="C155" s="1" t="s">
        <v>12</v>
      </c>
      <c r="D155" s="1">
        <v>1</v>
      </c>
      <c r="E155" t="s">
        <v>16</v>
      </c>
      <c r="F155" t="s">
        <v>16</v>
      </c>
      <c r="G155" s="1">
        <v>46.972999999999999</v>
      </c>
      <c r="H155">
        <v>0</v>
      </c>
      <c r="I155">
        <f>Sales_Data[[#This Row],[Sales]]*Sales_Data[[#This Row],[Discount]]</f>
        <v>0</v>
      </c>
      <c r="J155">
        <v>46.972999999999999</v>
      </c>
      <c r="K155" s="1">
        <v>4.5999999999999996</v>
      </c>
      <c r="L155" s="1">
        <v>46.972999999999999</v>
      </c>
      <c r="M155" s="1" t="s">
        <v>10</v>
      </c>
      <c r="N155" s="1">
        <f>IF(Sales_Data[[#This Row],[Sales with Discount]]&lt;Sales_Data[[#This Row],[Sales with Free Shipping]],Sales_Data[[#This Row],[Sales with Discount]],Sales_Data[[#This Row],[Sales with Free Shipping]])</f>
        <v>46.972999999999999</v>
      </c>
      <c r="O155" s="1" t="str">
        <f>TEXT(Sales_Data[[#This Row],[Order Date]], "MM-YYYY")</f>
        <v>04-2019</v>
      </c>
    </row>
    <row r="156" spans="1:15" x14ac:dyDescent="0.3">
      <c r="A156" s="1">
        <v>37287</v>
      </c>
      <c r="B156" s="2">
        <v>43770</v>
      </c>
      <c r="C156" s="1" t="s">
        <v>7</v>
      </c>
      <c r="D156" s="1">
        <v>22</v>
      </c>
      <c r="E156" t="s">
        <v>14</v>
      </c>
      <c r="F156" t="s">
        <v>14</v>
      </c>
      <c r="G156" s="1">
        <v>2195.92</v>
      </c>
      <c r="H156">
        <v>0</v>
      </c>
      <c r="I156">
        <f>Sales_Data[[#This Row],[Sales]]*Sales_Data[[#This Row],[Discount]]</f>
        <v>0</v>
      </c>
      <c r="J156">
        <v>2195.92</v>
      </c>
      <c r="K156" s="1">
        <v>2.7</v>
      </c>
      <c r="L156" s="1">
        <v>2195.92</v>
      </c>
      <c r="M156" s="1" t="s">
        <v>10</v>
      </c>
      <c r="N156" s="1">
        <f>IF(Sales_Data[[#This Row],[Sales with Discount]]&lt;Sales_Data[[#This Row],[Sales with Free Shipping]],Sales_Data[[#This Row],[Sales with Discount]],Sales_Data[[#This Row],[Sales with Free Shipping]])</f>
        <v>2195.92</v>
      </c>
      <c r="O156" s="1" t="str">
        <f>TEXT(Sales_Data[[#This Row],[Order Date]], "MM-YYYY")</f>
        <v>11-2019</v>
      </c>
    </row>
    <row r="157" spans="1:15" x14ac:dyDescent="0.3">
      <c r="A157" s="1">
        <v>49350</v>
      </c>
      <c r="B157" s="2">
        <v>43699</v>
      </c>
      <c r="C157" s="1" t="s">
        <v>9</v>
      </c>
      <c r="D157" s="1">
        <v>50</v>
      </c>
      <c r="E157" t="s">
        <v>24</v>
      </c>
      <c r="F157" t="s">
        <v>24</v>
      </c>
      <c r="G157" s="1">
        <v>401.37</v>
      </c>
      <c r="H157">
        <v>0.01</v>
      </c>
      <c r="I157">
        <f>Sales_Data[[#This Row],[Sales]]*Sales_Data[[#This Row],[Discount]]</f>
        <v>4.0137</v>
      </c>
      <c r="J157">
        <v>397.35629999999998</v>
      </c>
      <c r="K157" s="1">
        <v>11.9</v>
      </c>
      <c r="L157" s="1">
        <v>389.47</v>
      </c>
      <c r="M157" s="1" t="s">
        <v>10</v>
      </c>
      <c r="N157" s="1">
        <f>IF(Sales_Data[[#This Row],[Sales with Discount]]&lt;Sales_Data[[#This Row],[Sales with Free Shipping]],Sales_Data[[#This Row],[Sales with Discount]],Sales_Data[[#This Row],[Sales with Free Shipping]])</f>
        <v>389.47</v>
      </c>
      <c r="O157" s="1" t="str">
        <f>TEXT(Sales_Data[[#This Row],[Order Date]], "MM-YYYY")</f>
        <v>08-2019</v>
      </c>
    </row>
    <row r="158" spans="1:15" x14ac:dyDescent="0.3">
      <c r="A158" s="1">
        <v>23713</v>
      </c>
      <c r="B158" s="2">
        <v>43797</v>
      </c>
      <c r="C158" s="1" t="s">
        <v>11</v>
      </c>
      <c r="D158" s="1">
        <v>38</v>
      </c>
      <c r="E158" t="s">
        <v>22</v>
      </c>
      <c r="F158" t="s">
        <v>22</v>
      </c>
      <c r="G158" s="1">
        <v>3960.63</v>
      </c>
      <c r="H158">
        <v>0.01</v>
      </c>
      <c r="I158">
        <f>Sales_Data[[#This Row],[Sales]]*Sales_Data[[#This Row],[Discount]]</f>
        <v>39.606300000000005</v>
      </c>
      <c r="J158">
        <v>3921.0237000000002</v>
      </c>
      <c r="K158" s="1">
        <v>6.3</v>
      </c>
      <c r="L158" s="1">
        <v>3954.33</v>
      </c>
      <c r="M158" s="1" t="s">
        <v>10</v>
      </c>
      <c r="N158" s="1">
        <f>IF(Sales_Data[[#This Row],[Sales with Discount]]&lt;Sales_Data[[#This Row],[Sales with Free Shipping]],Sales_Data[[#This Row],[Sales with Discount]],Sales_Data[[#This Row],[Sales with Free Shipping]])</f>
        <v>3921.0237000000002</v>
      </c>
      <c r="O158" s="1" t="str">
        <f>TEXT(Sales_Data[[#This Row],[Order Date]], "MM-YYYY")</f>
        <v>11-2019</v>
      </c>
    </row>
    <row r="159" spans="1:15" x14ac:dyDescent="0.3">
      <c r="A159" s="1">
        <v>4294</v>
      </c>
      <c r="B159" s="2">
        <v>43691</v>
      </c>
      <c r="C159" s="1" t="s">
        <v>14</v>
      </c>
      <c r="D159" s="1">
        <v>8</v>
      </c>
      <c r="E159" t="s">
        <v>17</v>
      </c>
      <c r="F159" t="s">
        <v>17</v>
      </c>
      <c r="G159" s="1">
        <v>18.96</v>
      </c>
      <c r="H159">
        <v>0</v>
      </c>
      <c r="I159">
        <f>Sales_Data[[#This Row],[Sales]]*Sales_Data[[#This Row],[Discount]]</f>
        <v>0</v>
      </c>
      <c r="J159">
        <v>18.96</v>
      </c>
      <c r="K159" s="1">
        <v>4.4000000000000004</v>
      </c>
      <c r="L159" s="1">
        <v>18.96</v>
      </c>
      <c r="M159" s="1" t="s">
        <v>10</v>
      </c>
      <c r="N159" s="1">
        <f>IF(Sales_Data[[#This Row],[Sales with Discount]]&lt;Sales_Data[[#This Row],[Sales with Free Shipping]],Sales_Data[[#This Row],[Sales with Discount]],Sales_Data[[#This Row],[Sales with Free Shipping]])</f>
        <v>18.96</v>
      </c>
      <c r="O159" s="1" t="str">
        <f>TEXT(Sales_Data[[#This Row],[Order Date]], "MM-YYYY")</f>
        <v>08-2019</v>
      </c>
    </row>
    <row r="160" spans="1:15" x14ac:dyDescent="0.3">
      <c r="A160" s="1">
        <v>24386</v>
      </c>
      <c r="B160" s="2">
        <v>43642</v>
      </c>
      <c r="C160" s="1" t="s">
        <v>9</v>
      </c>
      <c r="D160" s="1">
        <v>12</v>
      </c>
      <c r="E160" t="s">
        <v>18</v>
      </c>
      <c r="F160" t="s">
        <v>18</v>
      </c>
      <c r="G160" s="1">
        <v>538.29999999999995</v>
      </c>
      <c r="H160">
        <v>0</v>
      </c>
      <c r="I160">
        <f>Sales_Data[[#This Row],[Sales]]*Sales_Data[[#This Row],[Discount]]</f>
        <v>0</v>
      </c>
      <c r="J160">
        <v>538.29999999999995</v>
      </c>
      <c r="K160" s="1">
        <v>7</v>
      </c>
      <c r="L160" s="1">
        <v>538.29999999999995</v>
      </c>
      <c r="M160" s="1" t="s">
        <v>10</v>
      </c>
      <c r="N160" s="1">
        <f>IF(Sales_Data[[#This Row],[Sales with Discount]]&lt;Sales_Data[[#This Row],[Sales with Free Shipping]],Sales_Data[[#This Row],[Sales with Discount]],Sales_Data[[#This Row],[Sales with Free Shipping]])</f>
        <v>538.29999999999995</v>
      </c>
      <c r="O160" s="1" t="str">
        <f>TEXT(Sales_Data[[#This Row],[Order Date]], "MM-YYYY")</f>
        <v>06-2019</v>
      </c>
    </row>
    <row r="161" spans="1:15" x14ac:dyDescent="0.3">
      <c r="A161" s="1">
        <v>34595</v>
      </c>
      <c r="B161" s="2">
        <v>43665</v>
      </c>
      <c r="C161" s="1" t="s">
        <v>14</v>
      </c>
      <c r="D161" s="1">
        <v>12</v>
      </c>
      <c r="E161" t="s">
        <v>18</v>
      </c>
      <c r="F161" t="s">
        <v>18</v>
      </c>
      <c r="G161" s="1">
        <v>522.86</v>
      </c>
      <c r="H161">
        <v>0</v>
      </c>
      <c r="I161">
        <f>Sales_Data[[#This Row],[Sales]]*Sales_Data[[#This Row],[Discount]]</f>
        <v>0</v>
      </c>
      <c r="J161">
        <v>522.86</v>
      </c>
      <c r="K161" s="1">
        <v>18.7</v>
      </c>
      <c r="L161" s="1">
        <v>522.86</v>
      </c>
      <c r="M161" s="1" t="s">
        <v>10</v>
      </c>
      <c r="N161" s="1">
        <f>IF(Sales_Data[[#This Row],[Sales with Discount]]&lt;Sales_Data[[#This Row],[Sales with Free Shipping]],Sales_Data[[#This Row],[Sales with Discount]],Sales_Data[[#This Row],[Sales with Free Shipping]])</f>
        <v>522.86</v>
      </c>
      <c r="O161" s="1" t="str">
        <f>TEXT(Sales_Data[[#This Row],[Order Date]], "MM-YYYY")</f>
        <v>07-2019</v>
      </c>
    </row>
    <row r="162" spans="1:15" x14ac:dyDescent="0.3">
      <c r="A162" s="1">
        <v>43010</v>
      </c>
      <c r="B162" s="2">
        <v>43747</v>
      </c>
      <c r="C162" s="1" t="s">
        <v>12</v>
      </c>
      <c r="D162" s="1">
        <v>40</v>
      </c>
      <c r="E162" t="s">
        <v>22</v>
      </c>
      <c r="F162" t="s">
        <v>22</v>
      </c>
      <c r="G162" s="1">
        <v>249.524</v>
      </c>
      <c r="H162">
        <v>0.01</v>
      </c>
      <c r="I162">
        <f>Sales_Data[[#This Row],[Sales]]*Sales_Data[[#This Row],[Discount]]</f>
        <v>2.4952399999999999</v>
      </c>
      <c r="J162">
        <v>247.02876000000001</v>
      </c>
      <c r="K162" s="1">
        <v>1.6</v>
      </c>
      <c r="L162" s="1">
        <v>247.92400000000001</v>
      </c>
      <c r="M162" s="1" t="s">
        <v>10</v>
      </c>
      <c r="N162" s="1">
        <f>IF(Sales_Data[[#This Row],[Sales with Discount]]&lt;Sales_Data[[#This Row],[Sales with Free Shipping]],Sales_Data[[#This Row],[Sales with Discount]],Sales_Data[[#This Row],[Sales with Free Shipping]])</f>
        <v>247.02876000000001</v>
      </c>
      <c r="O162" s="1" t="str">
        <f>TEXT(Sales_Data[[#This Row],[Order Date]], "MM-YYYY")</f>
        <v>10-2019</v>
      </c>
    </row>
    <row r="163" spans="1:15" x14ac:dyDescent="0.3">
      <c r="A163" s="1">
        <v>2912</v>
      </c>
      <c r="B163" s="2">
        <v>43535</v>
      </c>
      <c r="C163" s="1" t="s">
        <v>7</v>
      </c>
      <c r="D163" s="1">
        <v>9</v>
      </c>
      <c r="E163" t="s">
        <v>17</v>
      </c>
      <c r="F163" t="s">
        <v>17</v>
      </c>
      <c r="G163" s="1">
        <v>543.54</v>
      </c>
      <c r="H163">
        <v>0</v>
      </c>
      <c r="I163">
        <f>Sales_Data[[#This Row],[Sales]]*Sales_Data[[#This Row],[Discount]]</f>
        <v>0</v>
      </c>
      <c r="J163">
        <v>543.54</v>
      </c>
      <c r="K163" s="1">
        <v>5.2</v>
      </c>
      <c r="L163" s="1">
        <v>543.54</v>
      </c>
      <c r="M163" s="1" t="s">
        <v>8</v>
      </c>
      <c r="N163" s="1">
        <f>IF(Sales_Data[[#This Row],[Sales with Discount]]&lt;Sales_Data[[#This Row],[Sales with Free Shipping]],Sales_Data[[#This Row],[Sales with Discount]],Sales_Data[[#This Row],[Sales with Free Shipping]])</f>
        <v>543.54</v>
      </c>
      <c r="O163" s="1" t="str">
        <f>TEXT(Sales_Data[[#This Row],[Order Date]], "MM-YYYY")</f>
        <v>03-2019</v>
      </c>
    </row>
    <row r="164" spans="1:15" x14ac:dyDescent="0.3">
      <c r="A164" s="1">
        <v>38853</v>
      </c>
      <c r="B164" s="2">
        <v>43547</v>
      </c>
      <c r="C164" s="1" t="s">
        <v>7</v>
      </c>
      <c r="D164" s="1">
        <v>13</v>
      </c>
      <c r="E164" t="s">
        <v>18</v>
      </c>
      <c r="F164" t="s">
        <v>18</v>
      </c>
      <c r="G164" s="1">
        <v>778.99</v>
      </c>
      <c r="H164">
        <v>0</v>
      </c>
      <c r="I164">
        <f>Sales_Data[[#This Row],[Sales]]*Sales_Data[[#This Row],[Discount]]</f>
        <v>0</v>
      </c>
      <c r="J164">
        <v>778.99</v>
      </c>
      <c r="K164" s="1">
        <v>2.7</v>
      </c>
      <c r="L164" s="1">
        <v>778.99</v>
      </c>
      <c r="M164" s="1" t="s">
        <v>10</v>
      </c>
      <c r="N164" s="1">
        <f>IF(Sales_Data[[#This Row],[Sales with Discount]]&lt;Sales_Data[[#This Row],[Sales with Free Shipping]],Sales_Data[[#This Row],[Sales with Discount]],Sales_Data[[#This Row],[Sales with Free Shipping]])</f>
        <v>778.99</v>
      </c>
      <c r="O164" s="1" t="str">
        <f>TEXT(Sales_Data[[#This Row],[Order Date]], "MM-YYYY")</f>
        <v>03-2019</v>
      </c>
    </row>
    <row r="165" spans="1:15" x14ac:dyDescent="0.3">
      <c r="A165" s="1">
        <v>1187</v>
      </c>
      <c r="B165" s="2">
        <v>43788</v>
      </c>
      <c r="C165" s="1" t="s">
        <v>14</v>
      </c>
      <c r="D165" s="1">
        <v>14</v>
      </c>
      <c r="E165" t="s">
        <v>18</v>
      </c>
      <c r="F165" t="s">
        <v>18</v>
      </c>
      <c r="G165" s="1">
        <v>238.51</v>
      </c>
      <c r="H165">
        <v>0</v>
      </c>
      <c r="I165">
        <f>Sales_Data[[#This Row],[Sales]]*Sales_Data[[#This Row],[Discount]]</f>
        <v>0</v>
      </c>
      <c r="J165">
        <v>238.51</v>
      </c>
      <c r="K165" s="1">
        <v>4.3</v>
      </c>
      <c r="L165" s="1">
        <v>238.51</v>
      </c>
      <c r="M165" s="1" t="s">
        <v>10</v>
      </c>
      <c r="N165" s="1">
        <f>IF(Sales_Data[[#This Row],[Sales with Discount]]&lt;Sales_Data[[#This Row],[Sales with Free Shipping]],Sales_Data[[#This Row],[Sales with Discount]],Sales_Data[[#This Row],[Sales with Free Shipping]])</f>
        <v>238.51</v>
      </c>
      <c r="O165" s="1" t="str">
        <f>TEXT(Sales_Data[[#This Row],[Order Date]], "MM-YYYY")</f>
        <v>11-2019</v>
      </c>
    </row>
    <row r="166" spans="1:15" x14ac:dyDescent="0.3">
      <c r="A166" s="1">
        <v>54656</v>
      </c>
      <c r="B166" s="2">
        <v>43788</v>
      </c>
      <c r="C166" s="1" t="s">
        <v>9</v>
      </c>
      <c r="D166" s="1">
        <v>22</v>
      </c>
      <c r="E166" t="s">
        <v>14</v>
      </c>
      <c r="F166" t="s">
        <v>14</v>
      </c>
      <c r="G166" s="1">
        <v>117.19</v>
      </c>
      <c r="H166">
        <v>0</v>
      </c>
      <c r="I166">
        <f>Sales_Data[[#This Row],[Sales]]*Sales_Data[[#This Row],[Discount]]</f>
        <v>0</v>
      </c>
      <c r="J166">
        <v>117.19</v>
      </c>
      <c r="K166" s="1">
        <v>6.2</v>
      </c>
      <c r="L166" s="1">
        <v>117.19</v>
      </c>
      <c r="M166" s="1" t="s">
        <v>8</v>
      </c>
      <c r="N166" s="1">
        <f>IF(Sales_Data[[#This Row],[Sales with Discount]]&lt;Sales_Data[[#This Row],[Sales with Free Shipping]],Sales_Data[[#This Row],[Sales with Discount]],Sales_Data[[#This Row],[Sales with Free Shipping]])</f>
        <v>117.19</v>
      </c>
      <c r="O166" s="1" t="str">
        <f>TEXT(Sales_Data[[#This Row],[Order Date]], "MM-YYYY")</f>
        <v>11-2019</v>
      </c>
    </row>
    <row r="167" spans="1:15" x14ac:dyDescent="0.3">
      <c r="A167" s="1">
        <v>25767</v>
      </c>
      <c r="B167" s="2">
        <v>43527</v>
      </c>
      <c r="C167" s="1" t="s">
        <v>9</v>
      </c>
      <c r="D167" s="1">
        <v>7</v>
      </c>
      <c r="E167" t="s">
        <v>17</v>
      </c>
      <c r="F167" t="s">
        <v>17</v>
      </c>
      <c r="G167" s="1">
        <v>280.21159999999998</v>
      </c>
      <c r="H167">
        <v>0</v>
      </c>
      <c r="I167">
        <f>Sales_Data[[#This Row],[Sales]]*Sales_Data[[#This Row],[Discount]]</f>
        <v>0</v>
      </c>
      <c r="J167">
        <v>280.21159999999998</v>
      </c>
      <c r="K167" s="1">
        <v>2.1</v>
      </c>
      <c r="L167" s="1">
        <v>280.21159999999998</v>
      </c>
      <c r="M167" s="1" t="s">
        <v>10</v>
      </c>
      <c r="N167" s="1">
        <f>IF(Sales_Data[[#This Row],[Sales with Discount]]&lt;Sales_Data[[#This Row],[Sales with Free Shipping]],Sales_Data[[#This Row],[Sales with Discount]],Sales_Data[[#This Row],[Sales with Free Shipping]])</f>
        <v>280.21159999999998</v>
      </c>
      <c r="O167" s="1" t="str">
        <f>TEXT(Sales_Data[[#This Row],[Order Date]], "MM-YYYY")</f>
        <v>03-2019</v>
      </c>
    </row>
    <row r="168" spans="1:15" x14ac:dyDescent="0.3">
      <c r="A168" s="1">
        <v>5635</v>
      </c>
      <c r="B168" s="2">
        <v>43692</v>
      </c>
      <c r="C168" s="1" t="s">
        <v>14</v>
      </c>
      <c r="D168" s="1">
        <v>50</v>
      </c>
      <c r="E168" t="s">
        <v>24</v>
      </c>
      <c r="F168" t="s">
        <v>24</v>
      </c>
      <c r="G168" s="1">
        <v>301.29000000000002</v>
      </c>
      <c r="H168">
        <v>0.01</v>
      </c>
      <c r="I168">
        <f>Sales_Data[[#This Row],[Sales]]*Sales_Data[[#This Row],[Discount]]</f>
        <v>3.0129000000000001</v>
      </c>
      <c r="J168">
        <v>298.27710000000002</v>
      </c>
      <c r="K168" s="1">
        <v>6.3</v>
      </c>
      <c r="L168" s="1">
        <v>294.99</v>
      </c>
      <c r="M168" s="1" t="s">
        <v>10</v>
      </c>
      <c r="N168" s="1">
        <f>IF(Sales_Data[[#This Row],[Sales with Discount]]&lt;Sales_Data[[#This Row],[Sales with Free Shipping]],Sales_Data[[#This Row],[Sales with Discount]],Sales_Data[[#This Row],[Sales with Free Shipping]])</f>
        <v>294.99</v>
      </c>
      <c r="O168" s="1" t="str">
        <f>TEXT(Sales_Data[[#This Row],[Order Date]], "MM-YYYY")</f>
        <v>08-2019</v>
      </c>
    </row>
    <row r="169" spans="1:15" x14ac:dyDescent="0.3">
      <c r="A169" s="1">
        <v>33031</v>
      </c>
      <c r="B169" s="2">
        <v>43701</v>
      </c>
      <c r="C169" s="1" t="s">
        <v>9</v>
      </c>
      <c r="D169" s="1">
        <v>18</v>
      </c>
      <c r="E169" t="s">
        <v>19</v>
      </c>
      <c r="F169" t="s">
        <v>19</v>
      </c>
      <c r="G169" s="1">
        <v>129.43</v>
      </c>
      <c r="H169">
        <v>0</v>
      </c>
      <c r="I169">
        <f>Sales_Data[[#This Row],[Sales]]*Sales_Data[[#This Row],[Discount]]</f>
        <v>0</v>
      </c>
      <c r="J169">
        <v>129.43</v>
      </c>
      <c r="K169" s="1">
        <v>7.1</v>
      </c>
      <c r="L169" s="1">
        <v>129.43</v>
      </c>
      <c r="M169" s="1" t="s">
        <v>10</v>
      </c>
      <c r="N169" s="1">
        <f>IF(Sales_Data[[#This Row],[Sales with Discount]]&lt;Sales_Data[[#This Row],[Sales with Free Shipping]],Sales_Data[[#This Row],[Sales with Discount]],Sales_Data[[#This Row],[Sales with Free Shipping]])</f>
        <v>129.43</v>
      </c>
      <c r="O169" s="1" t="str">
        <f>TEXT(Sales_Data[[#This Row],[Order Date]], "MM-YYYY")</f>
        <v>08-2019</v>
      </c>
    </row>
    <row r="170" spans="1:15" x14ac:dyDescent="0.3">
      <c r="A170" s="1">
        <v>21604</v>
      </c>
      <c r="B170" s="2">
        <v>43556</v>
      </c>
      <c r="C170" s="1" t="s">
        <v>14</v>
      </c>
      <c r="D170" s="1">
        <v>6</v>
      </c>
      <c r="E170" t="s">
        <v>17</v>
      </c>
      <c r="F170" t="s">
        <v>17</v>
      </c>
      <c r="G170" s="1">
        <v>2652.4</v>
      </c>
      <c r="H170">
        <v>0</v>
      </c>
      <c r="I170">
        <f>Sales_Data[[#This Row],[Sales]]*Sales_Data[[#This Row],[Discount]]</f>
        <v>0</v>
      </c>
      <c r="J170">
        <v>2652.4</v>
      </c>
      <c r="K170" s="1">
        <v>21.4</v>
      </c>
      <c r="L170" s="1">
        <v>2652.4</v>
      </c>
      <c r="M170" s="1" t="s">
        <v>8</v>
      </c>
      <c r="N170" s="1">
        <f>IF(Sales_Data[[#This Row],[Sales with Discount]]&lt;Sales_Data[[#This Row],[Sales with Free Shipping]],Sales_Data[[#This Row],[Sales with Discount]],Sales_Data[[#This Row],[Sales with Free Shipping]])</f>
        <v>2652.4</v>
      </c>
      <c r="O170" s="1" t="str">
        <f>TEXT(Sales_Data[[#This Row],[Order Date]], "MM-YYYY")</f>
        <v>04-2019</v>
      </c>
    </row>
    <row r="171" spans="1:15" x14ac:dyDescent="0.3">
      <c r="A171" s="1">
        <v>11301</v>
      </c>
      <c r="B171" s="2">
        <v>43546</v>
      </c>
      <c r="C171" s="1" t="s">
        <v>14</v>
      </c>
      <c r="D171" s="1">
        <v>29</v>
      </c>
      <c r="E171" t="s">
        <v>20</v>
      </c>
      <c r="F171" t="s">
        <v>20</v>
      </c>
      <c r="G171" s="1">
        <v>1278.6099999999999</v>
      </c>
      <c r="H171">
        <v>0</v>
      </c>
      <c r="I171">
        <f>Sales_Data[[#This Row],[Sales]]*Sales_Data[[#This Row],[Discount]]</f>
        <v>0</v>
      </c>
      <c r="J171">
        <v>1278.6099999999999</v>
      </c>
      <c r="K171" s="1">
        <v>4.3</v>
      </c>
      <c r="L171" s="1">
        <v>1278.6099999999999</v>
      </c>
      <c r="M171" s="1" t="s">
        <v>10</v>
      </c>
      <c r="N171" s="1">
        <f>IF(Sales_Data[[#This Row],[Sales with Discount]]&lt;Sales_Data[[#This Row],[Sales with Free Shipping]],Sales_Data[[#This Row],[Sales with Discount]],Sales_Data[[#This Row],[Sales with Free Shipping]])</f>
        <v>1278.6099999999999</v>
      </c>
      <c r="O171" s="1" t="str">
        <f>TEXT(Sales_Data[[#This Row],[Order Date]], "MM-YYYY")</f>
        <v>03-2019</v>
      </c>
    </row>
    <row r="172" spans="1:15" x14ac:dyDescent="0.3">
      <c r="A172" s="1">
        <v>18466</v>
      </c>
      <c r="B172" s="2">
        <v>43606</v>
      </c>
      <c r="C172" s="1" t="s">
        <v>7</v>
      </c>
      <c r="D172" s="1">
        <v>24</v>
      </c>
      <c r="E172" t="s">
        <v>14</v>
      </c>
      <c r="F172" t="s">
        <v>14</v>
      </c>
      <c r="G172" s="1">
        <v>2882.59</v>
      </c>
      <c r="H172">
        <v>0</v>
      </c>
      <c r="I172">
        <f>Sales_Data[[#This Row],[Sales]]*Sales_Data[[#This Row],[Discount]]</f>
        <v>0</v>
      </c>
      <c r="J172">
        <v>2882.59</v>
      </c>
      <c r="K172" s="1">
        <v>7.6</v>
      </c>
      <c r="L172" s="1">
        <v>2882.59</v>
      </c>
      <c r="M172" s="1" t="s">
        <v>8</v>
      </c>
      <c r="N172" s="1">
        <f>IF(Sales_Data[[#This Row],[Sales with Discount]]&lt;Sales_Data[[#This Row],[Sales with Free Shipping]],Sales_Data[[#This Row],[Sales with Discount]],Sales_Data[[#This Row],[Sales with Free Shipping]])</f>
        <v>2882.59</v>
      </c>
      <c r="O172" s="1" t="str">
        <f>TEXT(Sales_Data[[#This Row],[Order Date]], "MM-YYYY")</f>
        <v>05-2019</v>
      </c>
    </row>
    <row r="173" spans="1:15" x14ac:dyDescent="0.3">
      <c r="A173" s="1">
        <v>18368</v>
      </c>
      <c r="B173" s="2">
        <v>43799</v>
      </c>
      <c r="C173" s="1" t="s">
        <v>11</v>
      </c>
      <c r="D173" s="1">
        <v>3</v>
      </c>
      <c r="E173" t="s">
        <v>16</v>
      </c>
      <c r="F173" t="s">
        <v>16</v>
      </c>
      <c r="G173" s="1">
        <v>227.81</v>
      </c>
      <c r="H173">
        <v>0</v>
      </c>
      <c r="I173">
        <f>Sales_Data[[#This Row],[Sales]]*Sales_Data[[#This Row],[Discount]]</f>
        <v>0</v>
      </c>
      <c r="J173">
        <v>227.81</v>
      </c>
      <c r="K173" s="1">
        <v>3.7</v>
      </c>
      <c r="L173" s="1">
        <v>227.81</v>
      </c>
      <c r="M173" s="1" t="s">
        <v>10</v>
      </c>
      <c r="N173" s="1">
        <f>IF(Sales_Data[[#This Row],[Sales with Discount]]&lt;Sales_Data[[#This Row],[Sales with Free Shipping]],Sales_Data[[#This Row],[Sales with Discount]],Sales_Data[[#This Row],[Sales with Free Shipping]])</f>
        <v>227.81</v>
      </c>
      <c r="O173" s="1" t="str">
        <f>TEXT(Sales_Data[[#This Row],[Order Date]], "MM-YYYY")</f>
        <v>11-2019</v>
      </c>
    </row>
    <row r="174" spans="1:15" x14ac:dyDescent="0.3">
      <c r="A174" s="1">
        <v>55268</v>
      </c>
      <c r="B174" s="2">
        <v>43541</v>
      </c>
      <c r="C174" s="1" t="s">
        <v>9</v>
      </c>
      <c r="D174" s="1">
        <v>11</v>
      </c>
      <c r="E174" t="s">
        <v>18</v>
      </c>
      <c r="F174" t="s">
        <v>18</v>
      </c>
      <c r="G174" s="1">
        <v>65.760000000000005</v>
      </c>
      <c r="H174">
        <v>0</v>
      </c>
      <c r="I174">
        <f>Sales_Data[[#This Row],[Sales]]*Sales_Data[[#This Row],[Discount]]</f>
        <v>0</v>
      </c>
      <c r="J174">
        <v>65.760000000000005</v>
      </c>
      <c r="K174" s="1">
        <v>5.3</v>
      </c>
      <c r="L174" s="1">
        <v>65.760000000000005</v>
      </c>
      <c r="M174" s="1" t="s">
        <v>8</v>
      </c>
      <c r="N174" s="1">
        <f>IF(Sales_Data[[#This Row],[Sales with Discount]]&lt;Sales_Data[[#This Row],[Sales with Free Shipping]],Sales_Data[[#This Row],[Sales with Discount]],Sales_Data[[#This Row],[Sales with Free Shipping]])</f>
        <v>65.760000000000005</v>
      </c>
      <c r="O174" s="1" t="str">
        <f>TEXT(Sales_Data[[#This Row],[Order Date]], "MM-YYYY")</f>
        <v>03-2019</v>
      </c>
    </row>
    <row r="175" spans="1:15" x14ac:dyDescent="0.3">
      <c r="A175" s="1">
        <v>26726</v>
      </c>
      <c r="B175" s="2">
        <v>43826</v>
      </c>
      <c r="C175" s="1" t="s">
        <v>9</v>
      </c>
      <c r="D175" s="1">
        <v>41</v>
      </c>
      <c r="E175" t="s">
        <v>23</v>
      </c>
      <c r="F175" t="s">
        <v>23</v>
      </c>
      <c r="G175" s="1">
        <v>891.86</v>
      </c>
      <c r="H175">
        <v>0.01</v>
      </c>
      <c r="I175">
        <f>Sales_Data[[#This Row],[Sales]]*Sales_Data[[#This Row],[Discount]]</f>
        <v>8.9185999999999996</v>
      </c>
      <c r="J175">
        <v>882.94140000000004</v>
      </c>
      <c r="K175" s="1">
        <v>1.6</v>
      </c>
      <c r="L175" s="1">
        <v>890.26</v>
      </c>
      <c r="M175" s="1" t="s">
        <v>10</v>
      </c>
      <c r="N175" s="1">
        <f>IF(Sales_Data[[#This Row],[Sales with Discount]]&lt;Sales_Data[[#This Row],[Sales with Free Shipping]],Sales_Data[[#This Row],[Sales with Discount]],Sales_Data[[#This Row],[Sales with Free Shipping]])</f>
        <v>882.94140000000004</v>
      </c>
      <c r="O175" s="1" t="str">
        <f>TEXT(Sales_Data[[#This Row],[Order Date]], "MM-YYYY")</f>
        <v>12-2019</v>
      </c>
    </row>
    <row r="176" spans="1:15" x14ac:dyDescent="0.3">
      <c r="A176" s="1">
        <v>34470</v>
      </c>
      <c r="B176" s="2">
        <v>43496</v>
      </c>
      <c r="C176" s="1" t="s">
        <v>12</v>
      </c>
      <c r="D176" s="1">
        <v>31</v>
      </c>
      <c r="E176" t="s">
        <v>21</v>
      </c>
      <c r="F176" t="s">
        <v>21</v>
      </c>
      <c r="G176" s="1">
        <v>3173.7591000000002</v>
      </c>
      <c r="H176">
        <v>0</v>
      </c>
      <c r="I176">
        <f>Sales_Data[[#This Row],[Sales]]*Sales_Data[[#This Row],[Discount]]</f>
        <v>0</v>
      </c>
      <c r="J176">
        <v>3173.7591000000002</v>
      </c>
      <c r="K176" s="1">
        <v>61.4</v>
      </c>
      <c r="L176" s="1">
        <v>3173.7591000000002</v>
      </c>
      <c r="M176" s="1" t="s">
        <v>13</v>
      </c>
      <c r="N176" s="1">
        <f>IF(Sales_Data[[#This Row],[Sales with Discount]]&lt;Sales_Data[[#This Row],[Sales with Free Shipping]],Sales_Data[[#This Row],[Sales with Discount]],Sales_Data[[#This Row],[Sales with Free Shipping]])</f>
        <v>3173.7591000000002</v>
      </c>
      <c r="O176" s="1" t="str">
        <f>TEXT(Sales_Data[[#This Row],[Order Date]], "MM-YYYY")</f>
        <v>01-2019</v>
      </c>
    </row>
    <row r="177" spans="1:15" x14ac:dyDescent="0.3">
      <c r="A177" s="1">
        <v>29537</v>
      </c>
      <c r="B177" s="2">
        <v>43727</v>
      </c>
      <c r="C177" s="1" t="s">
        <v>7</v>
      </c>
      <c r="D177" s="1">
        <v>30</v>
      </c>
      <c r="E177" t="s">
        <v>20</v>
      </c>
      <c r="F177" t="s">
        <v>20</v>
      </c>
      <c r="G177" s="1">
        <v>340.85919999999999</v>
      </c>
      <c r="H177">
        <v>0</v>
      </c>
      <c r="I177">
        <f>Sales_Data[[#This Row],[Sales]]*Sales_Data[[#This Row],[Discount]]</f>
        <v>0</v>
      </c>
      <c r="J177">
        <v>340.85919999999999</v>
      </c>
      <c r="K177" s="1">
        <v>4.8</v>
      </c>
      <c r="L177" s="1">
        <v>340.85919999999999</v>
      </c>
      <c r="M177" s="1" t="s">
        <v>8</v>
      </c>
      <c r="N177" s="1">
        <f>IF(Sales_Data[[#This Row],[Sales with Discount]]&lt;Sales_Data[[#This Row],[Sales with Free Shipping]],Sales_Data[[#This Row],[Sales with Discount]],Sales_Data[[#This Row],[Sales with Free Shipping]])</f>
        <v>340.85919999999999</v>
      </c>
      <c r="O177" s="1" t="str">
        <f>TEXT(Sales_Data[[#This Row],[Order Date]], "MM-YYYY")</f>
        <v>09-2019</v>
      </c>
    </row>
    <row r="178" spans="1:15" x14ac:dyDescent="0.3">
      <c r="A178" s="1">
        <v>42436</v>
      </c>
      <c r="B178" s="2">
        <v>43686</v>
      </c>
      <c r="C178" s="1" t="s">
        <v>12</v>
      </c>
      <c r="D178" s="1">
        <v>30</v>
      </c>
      <c r="E178" t="s">
        <v>20</v>
      </c>
      <c r="F178" t="s">
        <v>20</v>
      </c>
      <c r="G178" s="1">
        <v>11764.37</v>
      </c>
      <c r="H178">
        <v>0</v>
      </c>
      <c r="I178">
        <f>Sales_Data[[#This Row],[Sales]]*Sales_Data[[#This Row],[Discount]]</f>
        <v>0</v>
      </c>
      <c r="J178">
        <v>11764.37</v>
      </c>
      <c r="K178" s="1">
        <v>51.6</v>
      </c>
      <c r="L178" s="1">
        <v>11764.37</v>
      </c>
      <c r="M178" s="1" t="s">
        <v>13</v>
      </c>
      <c r="N178" s="1">
        <f>IF(Sales_Data[[#This Row],[Sales with Discount]]&lt;Sales_Data[[#This Row],[Sales with Free Shipping]],Sales_Data[[#This Row],[Sales with Discount]],Sales_Data[[#This Row],[Sales with Free Shipping]])</f>
        <v>11764.37</v>
      </c>
      <c r="O178" s="1" t="str">
        <f>TEXT(Sales_Data[[#This Row],[Order Date]], "MM-YYYY")</f>
        <v>08-2019</v>
      </c>
    </row>
    <row r="179" spans="1:15" x14ac:dyDescent="0.3">
      <c r="A179" s="1">
        <v>14212</v>
      </c>
      <c r="B179" s="2">
        <v>43511</v>
      </c>
      <c r="C179" s="1" t="s">
        <v>12</v>
      </c>
      <c r="D179" s="1">
        <v>8</v>
      </c>
      <c r="E179" t="s">
        <v>17</v>
      </c>
      <c r="F179" t="s">
        <v>17</v>
      </c>
      <c r="G179" s="1">
        <v>23.53</v>
      </c>
      <c r="H179">
        <v>0</v>
      </c>
      <c r="I179">
        <f>Sales_Data[[#This Row],[Sales]]*Sales_Data[[#This Row],[Discount]]</f>
        <v>0</v>
      </c>
      <c r="J179">
        <v>23.53</v>
      </c>
      <c r="K179" s="1">
        <v>0.5</v>
      </c>
      <c r="L179" s="1">
        <v>23.53</v>
      </c>
      <c r="M179" s="1" t="s">
        <v>10</v>
      </c>
      <c r="N179" s="1">
        <f>IF(Sales_Data[[#This Row],[Sales with Discount]]&lt;Sales_Data[[#This Row],[Sales with Free Shipping]],Sales_Data[[#This Row],[Sales with Discount]],Sales_Data[[#This Row],[Sales with Free Shipping]])</f>
        <v>23.53</v>
      </c>
      <c r="O179" s="1" t="str">
        <f>TEXT(Sales_Data[[#This Row],[Order Date]], "MM-YYYY")</f>
        <v>02-2019</v>
      </c>
    </row>
    <row r="180" spans="1:15" x14ac:dyDescent="0.3">
      <c r="A180" s="1">
        <v>8454</v>
      </c>
      <c r="B180" s="2">
        <v>43692</v>
      </c>
      <c r="C180" s="1" t="s">
        <v>14</v>
      </c>
      <c r="D180" s="1">
        <v>38</v>
      </c>
      <c r="E180" t="s">
        <v>22</v>
      </c>
      <c r="F180" t="s">
        <v>22</v>
      </c>
      <c r="G180" s="1">
        <v>234.08</v>
      </c>
      <c r="H180">
        <v>0.01</v>
      </c>
      <c r="I180">
        <f>Sales_Data[[#This Row],[Sales]]*Sales_Data[[#This Row],[Discount]]</f>
        <v>2.3408000000000002</v>
      </c>
      <c r="J180">
        <v>231.73920000000001</v>
      </c>
      <c r="K180" s="1">
        <v>8.3000000000000007</v>
      </c>
      <c r="L180" s="1">
        <v>225.78</v>
      </c>
      <c r="M180" s="1" t="s">
        <v>10</v>
      </c>
      <c r="N180" s="1">
        <f>IF(Sales_Data[[#This Row],[Sales with Discount]]&lt;Sales_Data[[#This Row],[Sales with Free Shipping]],Sales_Data[[#This Row],[Sales with Discount]],Sales_Data[[#This Row],[Sales with Free Shipping]])</f>
        <v>225.78</v>
      </c>
      <c r="O180" s="1" t="str">
        <f>TEXT(Sales_Data[[#This Row],[Order Date]], "MM-YYYY")</f>
        <v>08-2019</v>
      </c>
    </row>
    <row r="181" spans="1:15" x14ac:dyDescent="0.3">
      <c r="A181" s="1">
        <v>56672</v>
      </c>
      <c r="B181" s="2">
        <v>43597</v>
      </c>
      <c r="C181" s="1" t="s">
        <v>9</v>
      </c>
      <c r="D181" s="1">
        <v>34</v>
      </c>
      <c r="E181" t="s">
        <v>21</v>
      </c>
      <c r="F181" t="s">
        <v>21</v>
      </c>
      <c r="G181" s="1">
        <v>1211.58</v>
      </c>
      <c r="H181">
        <v>0</v>
      </c>
      <c r="I181">
        <f>Sales_Data[[#This Row],[Sales]]*Sales_Data[[#This Row],[Discount]]</f>
        <v>0</v>
      </c>
      <c r="J181">
        <v>1211.58</v>
      </c>
      <c r="K181" s="1">
        <v>14.9</v>
      </c>
      <c r="L181" s="1">
        <v>1211.58</v>
      </c>
      <c r="M181" s="1" t="s">
        <v>10</v>
      </c>
      <c r="N181" s="1">
        <f>IF(Sales_Data[[#This Row],[Sales with Discount]]&lt;Sales_Data[[#This Row],[Sales with Free Shipping]],Sales_Data[[#This Row],[Sales with Discount]],Sales_Data[[#This Row],[Sales with Free Shipping]])</f>
        <v>1211.58</v>
      </c>
      <c r="O181" s="1" t="str">
        <f>TEXT(Sales_Data[[#This Row],[Order Date]], "MM-YYYY")</f>
        <v>05-2019</v>
      </c>
    </row>
    <row r="182" spans="1:15" x14ac:dyDescent="0.3">
      <c r="A182" s="1">
        <v>43588</v>
      </c>
      <c r="B182" s="2">
        <v>43709</v>
      </c>
      <c r="C182" s="1" t="s">
        <v>14</v>
      </c>
      <c r="D182" s="1">
        <v>16</v>
      </c>
      <c r="E182" t="s">
        <v>19</v>
      </c>
      <c r="F182" t="s">
        <v>19</v>
      </c>
      <c r="G182" s="1">
        <v>3291.05</v>
      </c>
      <c r="H182">
        <v>0</v>
      </c>
      <c r="I182">
        <f>Sales_Data[[#This Row],[Sales]]*Sales_Data[[#This Row],[Discount]]</f>
        <v>0</v>
      </c>
      <c r="J182">
        <v>3291.05</v>
      </c>
      <c r="K182" s="1">
        <v>63.4</v>
      </c>
      <c r="L182" s="1">
        <v>3291.05</v>
      </c>
      <c r="M182" s="1" t="s">
        <v>13</v>
      </c>
      <c r="N182" s="1">
        <f>IF(Sales_Data[[#This Row],[Sales with Discount]]&lt;Sales_Data[[#This Row],[Sales with Free Shipping]],Sales_Data[[#This Row],[Sales with Discount]],Sales_Data[[#This Row],[Sales with Free Shipping]])</f>
        <v>3291.05</v>
      </c>
      <c r="O182" s="1" t="str">
        <f>TEXT(Sales_Data[[#This Row],[Order Date]], "MM-YYYY")</f>
        <v>09-2019</v>
      </c>
    </row>
    <row r="183" spans="1:15" x14ac:dyDescent="0.3">
      <c r="A183" s="1">
        <v>50565</v>
      </c>
      <c r="B183" s="2">
        <v>43707</v>
      </c>
      <c r="C183" s="1" t="s">
        <v>9</v>
      </c>
      <c r="D183" s="1">
        <v>43</v>
      </c>
      <c r="E183" t="s">
        <v>23</v>
      </c>
      <c r="F183" t="s">
        <v>23</v>
      </c>
      <c r="G183" s="1">
        <v>731.30219999999997</v>
      </c>
      <c r="H183">
        <v>0.01</v>
      </c>
      <c r="I183">
        <f>Sales_Data[[#This Row],[Sales]]*Sales_Data[[#This Row],[Discount]]</f>
        <v>7.3130220000000001</v>
      </c>
      <c r="J183">
        <v>723.98917799999992</v>
      </c>
      <c r="K183" s="1">
        <v>13.3</v>
      </c>
      <c r="L183" s="1">
        <v>718.00220000000002</v>
      </c>
      <c r="M183" s="1" t="s">
        <v>10</v>
      </c>
      <c r="N183" s="1">
        <f>IF(Sales_Data[[#This Row],[Sales with Discount]]&lt;Sales_Data[[#This Row],[Sales with Free Shipping]],Sales_Data[[#This Row],[Sales with Discount]],Sales_Data[[#This Row],[Sales with Free Shipping]])</f>
        <v>718.00220000000002</v>
      </c>
      <c r="O183" s="1" t="str">
        <f>TEXT(Sales_Data[[#This Row],[Order Date]], "MM-YYYY")</f>
        <v>08-2019</v>
      </c>
    </row>
    <row r="184" spans="1:15" x14ac:dyDescent="0.3">
      <c r="A184" s="1">
        <v>39783</v>
      </c>
      <c r="B184" s="2">
        <v>43728</v>
      </c>
      <c r="C184" s="1" t="s">
        <v>11</v>
      </c>
      <c r="D184" s="1">
        <v>29</v>
      </c>
      <c r="E184" t="s">
        <v>20</v>
      </c>
      <c r="F184" t="s">
        <v>20</v>
      </c>
      <c r="G184" s="1">
        <v>101.12</v>
      </c>
      <c r="H184">
        <v>0</v>
      </c>
      <c r="I184">
        <f>Sales_Data[[#This Row],[Sales]]*Sales_Data[[#This Row],[Discount]]</f>
        <v>0</v>
      </c>
      <c r="J184">
        <v>101.12</v>
      </c>
      <c r="K184" s="1">
        <v>0.5</v>
      </c>
      <c r="L184" s="1">
        <v>101.12</v>
      </c>
      <c r="M184" s="1" t="s">
        <v>10</v>
      </c>
      <c r="N184" s="1">
        <f>IF(Sales_Data[[#This Row],[Sales with Discount]]&lt;Sales_Data[[#This Row],[Sales with Free Shipping]],Sales_Data[[#This Row],[Sales with Discount]],Sales_Data[[#This Row],[Sales with Free Shipping]])</f>
        <v>101.12</v>
      </c>
      <c r="O184" s="1" t="str">
        <f>TEXT(Sales_Data[[#This Row],[Order Date]], "MM-YYYY")</f>
        <v>09-2019</v>
      </c>
    </row>
    <row r="185" spans="1:15" x14ac:dyDescent="0.3">
      <c r="A185" s="1">
        <v>37350</v>
      </c>
      <c r="B185" s="2">
        <v>43605</v>
      </c>
      <c r="C185" s="1" t="s">
        <v>12</v>
      </c>
      <c r="D185" s="1">
        <v>7</v>
      </c>
      <c r="E185" t="s">
        <v>17</v>
      </c>
      <c r="F185" t="s">
        <v>17</v>
      </c>
      <c r="G185" s="1">
        <v>174.56</v>
      </c>
      <c r="H185">
        <v>0</v>
      </c>
      <c r="I185">
        <f>Sales_Data[[#This Row],[Sales]]*Sales_Data[[#This Row],[Discount]]</f>
        <v>0</v>
      </c>
      <c r="J185">
        <v>174.56</v>
      </c>
      <c r="K185" s="1">
        <v>9.6</v>
      </c>
      <c r="L185" s="1">
        <v>174.56</v>
      </c>
      <c r="M185" s="1" t="s">
        <v>10</v>
      </c>
      <c r="N185" s="1">
        <f>IF(Sales_Data[[#This Row],[Sales with Discount]]&lt;Sales_Data[[#This Row],[Sales with Free Shipping]],Sales_Data[[#This Row],[Sales with Discount]],Sales_Data[[#This Row],[Sales with Free Shipping]])</f>
        <v>174.56</v>
      </c>
      <c r="O185" s="1" t="str">
        <f>TEXT(Sales_Data[[#This Row],[Order Date]], "MM-YYYY")</f>
        <v>05-2019</v>
      </c>
    </row>
    <row r="186" spans="1:15" x14ac:dyDescent="0.3">
      <c r="A186" s="1">
        <v>53667</v>
      </c>
      <c r="B186" s="2">
        <v>43602</v>
      </c>
      <c r="C186" s="1" t="s">
        <v>14</v>
      </c>
      <c r="D186" s="1">
        <v>16</v>
      </c>
      <c r="E186" t="s">
        <v>19</v>
      </c>
      <c r="F186" t="s">
        <v>19</v>
      </c>
      <c r="G186" s="1">
        <v>514.72239999999999</v>
      </c>
      <c r="H186">
        <v>0</v>
      </c>
      <c r="I186">
        <f>Sales_Data[[#This Row],[Sales]]*Sales_Data[[#This Row],[Discount]]</f>
        <v>0</v>
      </c>
      <c r="J186">
        <v>514.72239999999999</v>
      </c>
      <c r="K186" s="1">
        <v>1.2</v>
      </c>
      <c r="L186" s="1">
        <v>514.72239999999999</v>
      </c>
      <c r="M186" s="1" t="s">
        <v>10</v>
      </c>
      <c r="N186" s="1">
        <f>IF(Sales_Data[[#This Row],[Sales with Discount]]&lt;Sales_Data[[#This Row],[Sales with Free Shipping]],Sales_Data[[#This Row],[Sales with Discount]],Sales_Data[[#This Row],[Sales with Free Shipping]])</f>
        <v>514.72239999999999</v>
      </c>
      <c r="O186" s="1" t="str">
        <f>TEXT(Sales_Data[[#This Row],[Order Date]], "MM-YYYY")</f>
        <v>05-2019</v>
      </c>
    </row>
    <row r="187" spans="1:15" x14ac:dyDescent="0.3">
      <c r="A187" s="1">
        <v>26818</v>
      </c>
      <c r="B187" s="2">
        <v>43472</v>
      </c>
      <c r="C187" s="1" t="s">
        <v>11</v>
      </c>
      <c r="D187" s="1">
        <v>23</v>
      </c>
      <c r="E187" t="s">
        <v>14</v>
      </c>
      <c r="F187" t="s">
        <v>14</v>
      </c>
      <c r="G187" s="1">
        <v>217.04</v>
      </c>
      <c r="H187">
        <v>0</v>
      </c>
      <c r="I187">
        <f>Sales_Data[[#This Row],[Sales]]*Sales_Data[[#This Row],[Discount]]</f>
        <v>0</v>
      </c>
      <c r="J187">
        <v>217.04</v>
      </c>
      <c r="K187" s="1">
        <v>6</v>
      </c>
      <c r="L187" s="1">
        <v>217.04</v>
      </c>
      <c r="M187" s="1" t="s">
        <v>10</v>
      </c>
      <c r="N187" s="1">
        <f>IF(Sales_Data[[#This Row],[Sales with Discount]]&lt;Sales_Data[[#This Row],[Sales with Free Shipping]],Sales_Data[[#This Row],[Sales with Discount]],Sales_Data[[#This Row],[Sales with Free Shipping]])</f>
        <v>217.04</v>
      </c>
      <c r="O187" s="1" t="str">
        <f>TEXT(Sales_Data[[#This Row],[Order Date]], "MM-YYYY")</f>
        <v>01-2019</v>
      </c>
    </row>
    <row r="188" spans="1:15" x14ac:dyDescent="0.3">
      <c r="A188" s="1">
        <v>42400</v>
      </c>
      <c r="B188" s="2">
        <v>43686</v>
      </c>
      <c r="C188" s="1" t="s">
        <v>7</v>
      </c>
      <c r="D188" s="1">
        <v>44</v>
      </c>
      <c r="E188" t="s">
        <v>23</v>
      </c>
      <c r="F188" t="s">
        <v>23</v>
      </c>
      <c r="G188" s="1">
        <v>925.84</v>
      </c>
      <c r="H188">
        <v>0.01</v>
      </c>
      <c r="I188">
        <f>Sales_Data[[#This Row],[Sales]]*Sales_Data[[#This Row],[Discount]]</f>
        <v>9.2584</v>
      </c>
      <c r="J188">
        <v>916.58159999999998</v>
      </c>
      <c r="K188" s="1">
        <v>4.3</v>
      </c>
      <c r="L188" s="1">
        <v>921.54000000000008</v>
      </c>
      <c r="M188" s="1" t="s">
        <v>10</v>
      </c>
      <c r="N188" s="1">
        <f>IF(Sales_Data[[#This Row],[Sales with Discount]]&lt;Sales_Data[[#This Row],[Sales with Free Shipping]],Sales_Data[[#This Row],[Sales with Discount]],Sales_Data[[#This Row],[Sales with Free Shipping]])</f>
        <v>916.58159999999998</v>
      </c>
      <c r="O188" s="1" t="str">
        <f>TEXT(Sales_Data[[#This Row],[Order Date]], "MM-YYYY")</f>
        <v>08-2019</v>
      </c>
    </row>
    <row r="189" spans="1:15" x14ac:dyDescent="0.3">
      <c r="A189" s="1">
        <v>9925</v>
      </c>
      <c r="B189" s="2">
        <v>43494</v>
      </c>
      <c r="C189" s="1" t="s">
        <v>12</v>
      </c>
      <c r="D189" s="1">
        <v>43</v>
      </c>
      <c r="E189" t="s">
        <v>23</v>
      </c>
      <c r="F189" t="s">
        <v>23</v>
      </c>
      <c r="G189" s="1">
        <v>1874.3</v>
      </c>
      <c r="H189">
        <v>0.01</v>
      </c>
      <c r="I189">
        <f>Sales_Data[[#This Row],[Sales]]*Sales_Data[[#This Row],[Discount]]</f>
        <v>18.742999999999999</v>
      </c>
      <c r="J189">
        <v>1855.557</v>
      </c>
      <c r="K189" s="1">
        <v>3.2</v>
      </c>
      <c r="L189" s="1">
        <v>1871.1</v>
      </c>
      <c r="M189" s="1" t="s">
        <v>8</v>
      </c>
      <c r="N189" s="1">
        <f>IF(Sales_Data[[#This Row],[Sales with Discount]]&lt;Sales_Data[[#This Row],[Sales with Free Shipping]],Sales_Data[[#This Row],[Sales with Discount]],Sales_Data[[#This Row],[Sales with Free Shipping]])</f>
        <v>1855.557</v>
      </c>
      <c r="O189" s="1" t="str">
        <f>TEXT(Sales_Data[[#This Row],[Order Date]], "MM-YYYY")</f>
        <v>01-2019</v>
      </c>
    </row>
    <row r="190" spans="1:15" x14ac:dyDescent="0.3">
      <c r="A190" s="1">
        <v>32292</v>
      </c>
      <c r="B190" s="2">
        <v>43510</v>
      </c>
      <c r="C190" s="1" t="s">
        <v>7</v>
      </c>
      <c r="D190" s="1">
        <v>1</v>
      </c>
      <c r="E190" t="s">
        <v>16</v>
      </c>
      <c r="F190" t="s">
        <v>16</v>
      </c>
      <c r="G190" s="1">
        <v>14.48</v>
      </c>
      <c r="H190">
        <v>0</v>
      </c>
      <c r="I190">
        <f>Sales_Data[[#This Row],[Sales]]*Sales_Data[[#This Row],[Discount]]</f>
        <v>0</v>
      </c>
      <c r="J190">
        <v>14.48</v>
      </c>
      <c r="K190" s="1">
        <v>2.5</v>
      </c>
      <c r="L190" s="1">
        <v>14.48</v>
      </c>
      <c r="M190" s="1" t="s">
        <v>10</v>
      </c>
      <c r="N190" s="1">
        <f>IF(Sales_Data[[#This Row],[Sales with Discount]]&lt;Sales_Data[[#This Row],[Sales with Free Shipping]],Sales_Data[[#This Row],[Sales with Discount]],Sales_Data[[#This Row],[Sales with Free Shipping]])</f>
        <v>14.48</v>
      </c>
      <c r="O190" s="1" t="str">
        <f>TEXT(Sales_Data[[#This Row],[Order Date]], "MM-YYYY")</f>
        <v>02-2019</v>
      </c>
    </row>
    <row r="191" spans="1:15" x14ac:dyDescent="0.3">
      <c r="A191" s="1">
        <v>56645</v>
      </c>
      <c r="B191" s="2">
        <v>43470</v>
      </c>
      <c r="C191" s="1" t="s">
        <v>7</v>
      </c>
      <c r="D191" s="1">
        <v>46</v>
      </c>
      <c r="E191" t="s">
        <v>24</v>
      </c>
      <c r="F191" t="s">
        <v>24</v>
      </c>
      <c r="G191" s="1">
        <v>1587.33</v>
      </c>
      <c r="H191">
        <v>0.01</v>
      </c>
      <c r="I191">
        <f>Sales_Data[[#This Row],[Sales]]*Sales_Data[[#This Row],[Discount]]</f>
        <v>15.8733</v>
      </c>
      <c r="J191">
        <v>1571.4567</v>
      </c>
      <c r="K191" s="1">
        <v>18.3</v>
      </c>
      <c r="L191" s="1">
        <v>1569.03</v>
      </c>
      <c r="M191" s="1" t="s">
        <v>10</v>
      </c>
      <c r="N191" s="1">
        <f>IF(Sales_Data[[#This Row],[Sales with Discount]]&lt;Sales_Data[[#This Row],[Sales with Free Shipping]],Sales_Data[[#This Row],[Sales with Discount]],Sales_Data[[#This Row],[Sales with Free Shipping]])</f>
        <v>1569.03</v>
      </c>
      <c r="O191" s="1" t="str">
        <f>TEXT(Sales_Data[[#This Row],[Order Date]], "MM-YYYY")</f>
        <v>01-2019</v>
      </c>
    </row>
    <row r="192" spans="1:15" x14ac:dyDescent="0.3">
      <c r="A192" s="1">
        <v>34532</v>
      </c>
      <c r="B192" s="2">
        <v>43810</v>
      </c>
      <c r="C192" s="1" t="s">
        <v>7</v>
      </c>
      <c r="D192" s="1">
        <v>41</v>
      </c>
      <c r="E192" t="s">
        <v>23</v>
      </c>
      <c r="F192" t="s">
        <v>23</v>
      </c>
      <c r="G192" s="1">
        <v>1320.77</v>
      </c>
      <c r="H192">
        <v>0.01</v>
      </c>
      <c r="I192">
        <f>Sales_Data[[#This Row],[Sales]]*Sales_Data[[#This Row],[Discount]]</f>
        <v>13.207700000000001</v>
      </c>
      <c r="J192">
        <v>1307.5623000000001</v>
      </c>
      <c r="K192" s="1">
        <v>20.9</v>
      </c>
      <c r="L192" s="1">
        <v>1299.8699999999999</v>
      </c>
      <c r="M192" s="1" t="s">
        <v>8</v>
      </c>
      <c r="N192" s="1">
        <f>IF(Sales_Data[[#This Row],[Sales with Discount]]&lt;Sales_Data[[#This Row],[Sales with Free Shipping]],Sales_Data[[#This Row],[Sales with Discount]],Sales_Data[[#This Row],[Sales with Free Shipping]])</f>
        <v>1299.8699999999999</v>
      </c>
      <c r="O192" s="1" t="str">
        <f>TEXT(Sales_Data[[#This Row],[Order Date]], "MM-YYYY")</f>
        <v>12-2019</v>
      </c>
    </row>
    <row r="193" spans="1:15" x14ac:dyDescent="0.3">
      <c r="A193" s="1">
        <v>36998</v>
      </c>
      <c r="B193" s="2">
        <v>43737</v>
      </c>
      <c r="C193" s="1" t="s">
        <v>7</v>
      </c>
      <c r="D193" s="1">
        <v>50</v>
      </c>
      <c r="E193" t="s">
        <v>24</v>
      </c>
      <c r="F193" t="s">
        <v>24</v>
      </c>
      <c r="G193" s="1">
        <v>514.91999999999996</v>
      </c>
      <c r="H193">
        <v>0.01</v>
      </c>
      <c r="I193">
        <f>Sales_Data[[#This Row],[Sales]]*Sales_Data[[#This Row],[Discount]]</f>
        <v>5.1491999999999996</v>
      </c>
      <c r="J193">
        <v>509.77079999999995</v>
      </c>
      <c r="K193" s="1">
        <v>13.4</v>
      </c>
      <c r="L193" s="1">
        <v>501.52</v>
      </c>
      <c r="M193" s="1" t="s">
        <v>10</v>
      </c>
      <c r="N193" s="1">
        <f>IF(Sales_Data[[#This Row],[Sales with Discount]]&lt;Sales_Data[[#This Row],[Sales with Free Shipping]],Sales_Data[[#This Row],[Sales with Discount]],Sales_Data[[#This Row],[Sales with Free Shipping]])</f>
        <v>501.52</v>
      </c>
      <c r="O193" s="1" t="str">
        <f>TEXT(Sales_Data[[#This Row],[Order Date]], "MM-YYYY")</f>
        <v>09-2019</v>
      </c>
    </row>
    <row r="194" spans="1:15" x14ac:dyDescent="0.3">
      <c r="A194" s="1">
        <v>42887</v>
      </c>
      <c r="B194" s="2">
        <v>43626</v>
      </c>
      <c r="C194" s="1" t="s">
        <v>14</v>
      </c>
      <c r="D194" s="1">
        <v>3</v>
      </c>
      <c r="E194" t="s">
        <v>16</v>
      </c>
      <c r="F194" t="s">
        <v>16</v>
      </c>
      <c r="G194" s="1">
        <v>533.38</v>
      </c>
      <c r="H194">
        <v>0</v>
      </c>
      <c r="I194">
        <f>Sales_Data[[#This Row],[Sales]]*Sales_Data[[#This Row],[Discount]]</f>
        <v>0</v>
      </c>
      <c r="J194">
        <v>533.38</v>
      </c>
      <c r="K194" s="1">
        <v>55.6</v>
      </c>
      <c r="L194" s="1">
        <v>533.38</v>
      </c>
      <c r="M194" s="1" t="s">
        <v>13</v>
      </c>
      <c r="N194" s="1">
        <f>IF(Sales_Data[[#This Row],[Sales with Discount]]&lt;Sales_Data[[#This Row],[Sales with Free Shipping]],Sales_Data[[#This Row],[Sales with Discount]],Sales_Data[[#This Row],[Sales with Free Shipping]])</f>
        <v>533.38</v>
      </c>
      <c r="O194" s="1" t="str">
        <f>TEXT(Sales_Data[[#This Row],[Order Date]], "MM-YYYY")</f>
        <v>06-2019</v>
      </c>
    </row>
    <row r="195" spans="1:15" x14ac:dyDescent="0.3">
      <c r="A195" s="1">
        <v>1027</v>
      </c>
      <c r="B195" s="2">
        <v>43618</v>
      </c>
      <c r="C195" s="1" t="s">
        <v>14</v>
      </c>
      <c r="D195" s="1">
        <v>19</v>
      </c>
      <c r="E195" t="s">
        <v>19</v>
      </c>
      <c r="F195" t="s">
        <v>19</v>
      </c>
      <c r="G195" s="1">
        <v>1504.58</v>
      </c>
      <c r="H195">
        <v>0</v>
      </c>
      <c r="I195">
        <f>Sales_Data[[#This Row],[Sales]]*Sales_Data[[#This Row],[Discount]]</f>
        <v>0</v>
      </c>
      <c r="J195">
        <v>1504.58</v>
      </c>
      <c r="K195" s="1">
        <v>50</v>
      </c>
      <c r="L195" s="1">
        <v>1504.58</v>
      </c>
      <c r="M195" s="1" t="s">
        <v>13</v>
      </c>
      <c r="N195" s="1">
        <f>IF(Sales_Data[[#This Row],[Sales with Discount]]&lt;Sales_Data[[#This Row],[Sales with Free Shipping]],Sales_Data[[#This Row],[Sales with Discount]],Sales_Data[[#This Row],[Sales with Free Shipping]])</f>
        <v>1504.58</v>
      </c>
      <c r="O195" s="1" t="str">
        <f>TEXT(Sales_Data[[#This Row],[Order Date]], "MM-YYYY")</f>
        <v>06-2019</v>
      </c>
    </row>
    <row r="196" spans="1:15" x14ac:dyDescent="0.3">
      <c r="A196" s="1">
        <v>53730</v>
      </c>
      <c r="B196" s="2">
        <v>43828</v>
      </c>
      <c r="C196" s="1" t="s">
        <v>9</v>
      </c>
      <c r="D196" s="1">
        <v>40</v>
      </c>
      <c r="E196" t="s">
        <v>22</v>
      </c>
      <c r="F196" t="s">
        <v>22</v>
      </c>
      <c r="G196" s="1">
        <v>194.53</v>
      </c>
      <c r="H196">
        <v>0.01</v>
      </c>
      <c r="I196">
        <f>Sales_Data[[#This Row],[Sales]]*Sales_Data[[#This Row],[Discount]]</f>
        <v>1.9453</v>
      </c>
      <c r="J196">
        <v>192.5847</v>
      </c>
      <c r="K196" s="1">
        <v>6.2</v>
      </c>
      <c r="L196" s="1">
        <v>188.33</v>
      </c>
      <c r="M196" s="1" t="s">
        <v>10</v>
      </c>
      <c r="N196" s="1">
        <f>IF(Sales_Data[[#This Row],[Sales with Discount]]&lt;Sales_Data[[#This Row],[Sales with Free Shipping]],Sales_Data[[#This Row],[Sales with Discount]],Sales_Data[[#This Row],[Sales with Free Shipping]])</f>
        <v>188.33</v>
      </c>
      <c r="O196" s="1" t="str">
        <f>TEXT(Sales_Data[[#This Row],[Order Date]], "MM-YYYY")</f>
        <v>12-2019</v>
      </c>
    </row>
    <row r="197" spans="1:15" x14ac:dyDescent="0.3">
      <c r="A197" s="1">
        <v>55683</v>
      </c>
      <c r="B197" s="2">
        <v>43661</v>
      </c>
      <c r="C197" s="1" t="s">
        <v>9</v>
      </c>
      <c r="D197" s="1">
        <v>50</v>
      </c>
      <c r="E197" t="s">
        <v>24</v>
      </c>
      <c r="F197" t="s">
        <v>24</v>
      </c>
      <c r="G197" s="1">
        <v>184.29</v>
      </c>
      <c r="H197">
        <v>0.01</v>
      </c>
      <c r="I197">
        <f>Sales_Data[[#This Row],[Sales]]*Sales_Data[[#This Row],[Discount]]</f>
        <v>1.8429</v>
      </c>
      <c r="J197">
        <v>182.44709999999998</v>
      </c>
      <c r="K197" s="1">
        <v>1.4</v>
      </c>
      <c r="L197" s="1">
        <v>182.89</v>
      </c>
      <c r="M197" s="1" t="s">
        <v>10</v>
      </c>
      <c r="N197" s="1">
        <f>IF(Sales_Data[[#This Row],[Sales with Discount]]&lt;Sales_Data[[#This Row],[Sales with Free Shipping]],Sales_Data[[#This Row],[Sales with Discount]],Sales_Data[[#This Row],[Sales with Free Shipping]])</f>
        <v>182.44709999999998</v>
      </c>
      <c r="O197" s="1" t="str">
        <f>TEXT(Sales_Data[[#This Row],[Order Date]], "MM-YYYY")</f>
        <v>07-2019</v>
      </c>
    </row>
    <row r="198" spans="1:15" x14ac:dyDescent="0.3">
      <c r="A198" s="1">
        <v>54786</v>
      </c>
      <c r="B198" s="2">
        <v>43475</v>
      </c>
      <c r="C198" s="1" t="s">
        <v>11</v>
      </c>
      <c r="D198" s="1">
        <v>30</v>
      </c>
      <c r="E198" t="s">
        <v>20</v>
      </c>
      <c r="F198" t="s">
        <v>20</v>
      </c>
      <c r="G198" s="1">
        <v>406.9</v>
      </c>
      <c r="H198">
        <v>0</v>
      </c>
      <c r="I198">
        <f>Sales_Data[[#This Row],[Sales]]*Sales_Data[[#This Row],[Discount]]</f>
        <v>0</v>
      </c>
      <c r="J198">
        <v>406.9</v>
      </c>
      <c r="K198" s="1">
        <v>4.8</v>
      </c>
      <c r="L198" s="1">
        <v>406.9</v>
      </c>
      <c r="M198" s="1" t="s">
        <v>10</v>
      </c>
      <c r="N198" s="1">
        <f>IF(Sales_Data[[#This Row],[Sales with Discount]]&lt;Sales_Data[[#This Row],[Sales with Free Shipping]],Sales_Data[[#This Row],[Sales with Discount]],Sales_Data[[#This Row],[Sales with Free Shipping]])</f>
        <v>406.9</v>
      </c>
      <c r="O198" s="1" t="str">
        <f>TEXT(Sales_Data[[#This Row],[Order Date]], "MM-YYYY")</f>
        <v>01-2019</v>
      </c>
    </row>
    <row r="199" spans="1:15" x14ac:dyDescent="0.3">
      <c r="A199" s="1">
        <v>29764</v>
      </c>
      <c r="B199" s="2">
        <v>43668</v>
      </c>
      <c r="C199" s="1" t="s">
        <v>12</v>
      </c>
      <c r="D199" s="1">
        <v>10</v>
      </c>
      <c r="E199" t="s">
        <v>17</v>
      </c>
      <c r="F199" t="s">
        <v>17</v>
      </c>
      <c r="G199" s="1">
        <v>176.65</v>
      </c>
      <c r="H199">
        <v>0</v>
      </c>
      <c r="I199">
        <f>Sales_Data[[#This Row],[Sales]]*Sales_Data[[#This Row],[Discount]]</f>
        <v>0</v>
      </c>
      <c r="J199">
        <v>176.65</v>
      </c>
      <c r="K199" s="1">
        <v>9</v>
      </c>
      <c r="L199" s="1">
        <v>176.65</v>
      </c>
      <c r="M199" s="1" t="s">
        <v>8</v>
      </c>
      <c r="N199" s="1">
        <f>IF(Sales_Data[[#This Row],[Sales with Discount]]&lt;Sales_Data[[#This Row],[Sales with Free Shipping]],Sales_Data[[#This Row],[Sales with Discount]],Sales_Data[[#This Row],[Sales with Free Shipping]])</f>
        <v>176.65</v>
      </c>
      <c r="O199" s="1" t="str">
        <f>TEXT(Sales_Data[[#This Row],[Order Date]], "MM-YYYY")</f>
        <v>07-2019</v>
      </c>
    </row>
    <row r="200" spans="1:15" x14ac:dyDescent="0.3">
      <c r="A200" s="1">
        <v>38884</v>
      </c>
      <c r="B200" s="2">
        <v>43694</v>
      </c>
      <c r="C200" s="1" t="s">
        <v>9</v>
      </c>
      <c r="D200" s="1">
        <v>20</v>
      </c>
      <c r="E200" t="s">
        <v>19</v>
      </c>
      <c r="F200" t="s">
        <v>19</v>
      </c>
      <c r="G200" s="1">
        <v>6492.5</v>
      </c>
      <c r="H200">
        <v>0</v>
      </c>
      <c r="I200">
        <f>Sales_Data[[#This Row],[Sales]]*Sales_Data[[#This Row],[Discount]]</f>
        <v>0</v>
      </c>
      <c r="J200">
        <v>6492.5</v>
      </c>
      <c r="K200" s="1">
        <v>57.9</v>
      </c>
      <c r="L200" s="1">
        <v>6492.5</v>
      </c>
      <c r="M200" s="1" t="s">
        <v>13</v>
      </c>
      <c r="N200" s="1">
        <f>IF(Sales_Data[[#This Row],[Sales with Discount]]&lt;Sales_Data[[#This Row],[Sales with Free Shipping]],Sales_Data[[#This Row],[Sales with Discount]],Sales_Data[[#This Row],[Sales with Free Shipping]])</f>
        <v>6492.5</v>
      </c>
      <c r="O200" s="1" t="str">
        <f>TEXT(Sales_Data[[#This Row],[Order Date]], "MM-YYYY")</f>
        <v>08-2019</v>
      </c>
    </row>
    <row r="201" spans="1:15" x14ac:dyDescent="0.3">
      <c r="A201" s="1">
        <v>23911</v>
      </c>
      <c r="B201" s="2">
        <v>43617</v>
      </c>
      <c r="C201" s="1" t="s">
        <v>12</v>
      </c>
      <c r="D201" s="1">
        <v>21</v>
      </c>
      <c r="E201" t="s">
        <v>14</v>
      </c>
      <c r="F201" t="s">
        <v>14</v>
      </c>
      <c r="G201" s="1">
        <v>2761.32</v>
      </c>
      <c r="H201">
        <v>0</v>
      </c>
      <c r="I201">
        <f>Sales_Data[[#This Row],[Sales]]*Sales_Data[[#This Row],[Discount]]</f>
        <v>0</v>
      </c>
      <c r="J201">
        <v>2761.32</v>
      </c>
      <c r="K201" s="1">
        <v>75.099999999999994</v>
      </c>
      <c r="L201" s="1">
        <v>2761.32</v>
      </c>
      <c r="M201" s="1" t="s">
        <v>13</v>
      </c>
      <c r="N201" s="1">
        <f>IF(Sales_Data[[#This Row],[Sales with Discount]]&lt;Sales_Data[[#This Row],[Sales with Free Shipping]],Sales_Data[[#This Row],[Sales with Discount]],Sales_Data[[#This Row],[Sales with Free Shipping]])</f>
        <v>2761.32</v>
      </c>
      <c r="O201" s="1" t="str">
        <f>TEXT(Sales_Data[[#This Row],[Order Date]], "MM-YYYY")</f>
        <v>06-2019</v>
      </c>
    </row>
    <row r="202" spans="1:15" x14ac:dyDescent="0.3">
      <c r="A202" s="1">
        <v>54183</v>
      </c>
      <c r="B202" s="2">
        <v>43570</v>
      </c>
      <c r="C202" s="1" t="s">
        <v>12</v>
      </c>
      <c r="D202" s="1">
        <v>9</v>
      </c>
      <c r="E202" t="s">
        <v>17</v>
      </c>
      <c r="F202" t="s">
        <v>17</v>
      </c>
      <c r="G202" s="1">
        <v>121.86</v>
      </c>
      <c r="H202">
        <v>0</v>
      </c>
      <c r="I202">
        <f>Sales_Data[[#This Row],[Sales]]*Sales_Data[[#This Row],[Discount]]</f>
        <v>0</v>
      </c>
      <c r="J202">
        <v>121.86</v>
      </c>
      <c r="K202" s="1">
        <v>9.6</v>
      </c>
      <c r="L202" s="1">
        <v>121.86</v>
      </c>
      <c r="M202" s="1" t="s">
        <v>10</v>
      </c>
      <c r="N202" s="1">
        <f>IF(Sales_Data[[#This Row],[Sales with Discount]]&lt;Sales_Data[[#This Row],[Sales with Free Shipping]],Sales_Data[[#This Row],[Sales with Discount]],Sales_Data[[#This Row],[Sales with Free Shipping]])</f>
        <v>121.86</v>
      </c>
      <c r="O202" s="1" t="str">
        <f>TEXT(Sales_Data[[#This Row],[Order Date]], "MM-YYYY")</f>
        <v>04-2019</v>
      </c>
    </row>
    <row r="203" spans="1:15" x14ac:dyDescent="0.3">
      <c r="A203" s="1">
        <v>28228</v>
      </c>
      <c r="B203" s="2">
        <v>43657</v>
      </c>
      <c r="C203" s="1" t="s">
        <v>11</v>
      </c>
      <c r="D203" s="1">
        <v>5</v>
      </c>
      <c r="E203" t="s">
        <v>16</v>
      </c>
      <c r="F203" t="s">
        <v>16</v>
      </c>
      <c r="G203" s="1">
        <v>370.47</v>
      </c>
      <c r="H203">
        <v>0</v>
      </c>
      <c r="I203">
        <f>Sales_Data[[#This Row],[Sales]]*Sales_Data[[#This Row],[Discount]]</f>
        <v>0</v>
      </c>
      <c r="J203">
        <v>370.47</v>
      </c>
      <c r="K203" s="1">
        <v>21.4</v>
      </c>
      <c r="L203" s="1">
        <v>370.47</v>
      </c>
      <c r="M203" s="1" t="s">
        <v>10</v>
      </c>
      <c r="N203" s="1">
        <f>IF(Sales_Data[[#This Row],[Sales with Discount]]&lt;Sales_Data[[#This Row],[Sales with Free Shipping]],Sales_Data[[#This Row],[Sales with Discount]],Sales_Data[[#This Row],[Sales with Free Shipping]])</f>
        <v>370.47</v>
      </c>
      <c r="O203" s="1" t="str">
        <f>TEXT(Sales_Data[[#This Row],[Order Date]], "MM-YYYY")</f>
        <v>07-2019</v>
      </c>
    </row>
    <row r="204" spans="1:15" x14ac:dyDescent="0.3">
      <c r="A204" s="1">
        <v>16352</v>
      </c>
      <c r="B204" s="2">
        <v>43676</v>
      </c>
      <c r="C204" s="1" t="s">
        <v>14</v>
      </c>
      <c r="D204" s="1">
        <v>16</v>
      </c>
      <c r="E204" t="s">
        <v>19</v>
      </c>
      <c r="F204" t="s">
        <v>19</v>
      </c>
      <c r="G204" s="1">
        <v>121.17749999999999</v>
      </c>
      <c r="H204">
        <v>0</v>
      </c>
      <c r="I204">
        <f>Sales_Data[[#This Row],[Sales]]*Sales_Data[[#This Row],[Discount]]</f>
        <v>0</v>
      </c>
      <c r="J204">
        <v>121.17749999999999</v>
      </c>
      <c r="K204" s="1">
        <v>7.1</v>
      </c>
      <c r="L204" s="1">
        <v>121.17749999999999</v>
      </c>
      <c r="M204" s="1" t="s">
        <v>10</v>
      </c>
      <c r="N204" s="1">
        <f>IF(Sales_Data[[#This Row],[Sales with Discount]]&lt;Sales_Data[[#This Row],[Sales with Free Shipping]],Sales_Data[[#This Row],[Sales with Discount]],Sales_Data[[#This Row],[Sales with Free Shipping]])</f>
        <v>121.17749999999999</v>
      </c>
      <c r="O204" s="1" t="str">
        <f>TEXT(Sales_Data[[#This Row],[Order Date]], "MM-YYYY")</f>
        <v>07-2019</v>
      </c>
    </row>
    <row r="205" spans="1:15" x14ac:dyDescent="0.3">
      <c r="A205" s="1">
        <v>11011</v>
      </c>
      <c r="B205" s="2">
        <v>43598</v>
      </c>
      <c r="C205" s="1" t="s">
        <v>9</v>
      </c>
      <c r="D205" s="1">
        <v>33</v>
      </c>
      <c r="E205" t="s">
        <v>21</v>
      </c>
      <c r="F205" t="s">
        <v>21</v>
      </c>
      <c r="G205" s="1">
        <v>8886.5499999999993</v>
      </c>
      <c r="H205">
        <v>0</v>
      </c>
      <c r="I205">
        <f>Sales_Data[[#This Row],[Sales]]*Sales_Data[[#This Row],[Discount]]</f>
        <v>0</v>
      </c>
      <c r="J205">
        <v>8886.5499999999993</v>
      </c>
      <c r="K205" s="1">
        <v>64.400000000000006</v>
      </c>
      <c r="L205" s="1">
        <v>8886.5499999999993</v>
      </c>
      <c r="M205" s="1" t="s">
        <v>13</v>
      </c>
      <c r="N205" s="1">
        <f>IF(Sales_Data[[#This Row],[Sales with Discount]]&lt;Sales_Data[[#This Row],[Sales with Free Shipping]],Sales_Data[[#This Row],[Sales with Discount]],Sales_Data[[#This Row],[Sales with Free Shipping]])</f>
        <v>8886.5499999999993</v>
      </c>
      <c r="O205" s="1" t="str">
        <f>TEXT(Sales_Data[[#This Row],[Order Date]], "MM-YYYY")</f>
        <v>05-2019</v>
      </c>
    </row>
    <row r="206" spans="1:15" x14ac:dyDescent="0.3">
      <c r="A206" s="1">
        <v>10439</v>
      </c>
      <c r="B206" s="2">
        <v>43552</v>
      </c>
      <c r="C206" s="1" t="s">
        <v>11</v>
      </c>
      <c r="D206" s="1">
        <v>27</v>
      </c>
      <c r="E206" t="s">
        <v>20</v>
      </c>
      <c r="F206" t="s">
        <v>20</v>
      </c>
      <c r="G206" s="1">
        <v>80.31</v>
      </c>
      <c r="H206">
        <v>0</v>
      </c>
      <c r="I206">
        <f>Sales_Data[[#This Row],[Sales]]*Sales_Data[[#This Row],[Discount]]</f>
        <v>0</v>
      </c>
      <c r="J206">
        <v>80.31</v>
      </c>
      <c r="K206" s="1">
        <v>0.5</v>
      </c>
      <c r="L206" s="1">
        <v>80.31</v>
      </c>
      <c r="M206" s="1" t="s">
        <v>10</v>
      </c>
      <c r="N206" s="1">
        <f>IF(Sales_Data[[#This Row],[Sales with Discount]]&lt;Sales_Data[[#This Row],[Sales with Free Shipping]],Sales_Data[[#This Row],[Sales with Discount]],Sales_Data[[#This Row],[Sales with Free Shipping]])</f>
        <v>80.31</v>
      </c>
      <c r="O206" s="1" t="str">
        <f>TEXT(Sales_Data[[#This Row],[Order Date]], "MM-YYYY")</f>
        <v>03-2019</v>
      </c>
    </row>
    <row r="207" spans="1:15" x14ac:dyDescent="0.3">
      <c r="A207" s="1">
        <v>868</v>
      </c>
      <c r="B207" s="2">
        <v>43624</v>
      </c>
      <c r="C207" s="1" t="s">
        <v>11</v>
      </c>
      <c r="D207" s="1">
        <v>32</v>
      </c>
      <c r="E207" t="s">
        <v>21</v>
      </c>
      <c r="F207" t="s">
        <v>21</v>
      </c>
      <c r="G207" s="1">
        <v>767.02</v>
      </c>
      <c r="H207">
        <v>0</v>
      </c>
      <c r="I207">
        <f>Sales_Data[[#This Row],[Sales]]*Sales_Data[[#This Row],[Discount]]</f>
        <v>0</v>
      </c>
      <c r="J207">
        <v>767.02</v>
      </c>
      <c r="K207" s="1">
        <v>6.4</v>
      </c>
      <c r="L207" s="1">
        <v>767.02</v>
      </c>
      <c r="M207" s="1" t="s">
        <v>10</v>
      </c>
      <c r="N207" s="1">
        <f>IF(Sales_Data[[#This Row],[Sales with Discount]]&lt;Sales_Data[[#This Row],[Sales with Free Shipping]],Sales_Data[[#This Row],[Sales with Discount]],Sales_Data[[#This Row],[Sales with Free Shipping]])</f>
        <v>767.02</v>
      </c>
      <c r="O207" s="1" t="str">
        <f>TEXT(Sales_Data[[#This Row],[Order Date]], "MM-YYYY")</f>
        <v>06-2019</v>
      </c>
    </row>
    <row r="208" spans="1:15" x14ac:dyDescent="0.3">
      <c r="A208" s="1">
        <v>44033</v>
      </c>
      <c r="B208" s="2">
        <v>43474</v>
      </c>
      <c r="C208" s="1" t="s">
        <v>12</v>
      </c>
      <c r="D208" s="1">
        <v>45</v>
      </c>
      <c r="E208" t="s">
        <v>23</v>
      </c>
      <c r="F208" t="s">
        <v>23</v>
      </c>
      <c r="G208" s="1">
        <v>6218.81</v>
      </c>
      <c r="H208">
        <v>0.01</v>
      </c>
      <c r="I208">
        <f>Sales_Data[[#This Row],[Sales]]*Sales_Data[[#This Row],[Discount]]</f>
        <v>62.188100000000006</v>
      </c>
      <c r="J208">
        <v>6156.6219000000001</v>
      </c>
      <c r="K208" s="1">
        <v>55.6</v>
      </c>
      <c r="L208" s="1">
        <v>6163.21</v>
      </c>
      <c r="M208" s="1" t="s">
        <v>13</v>
      </c>
      <c r="N208" s="1">
        <f>IF(Sales_Data[[#This Row],[Sales with Discount]]&lt;Sales_Data[[#This Row],[Sales with Free Shipping]],Sales_Data[[#This Row],[Sales with Discount]],Sales_Data[[#This Row],[Sales with Free Shipping]])</f>
        <v>6156.6219000000001</v>
      </c>
      <c r="O208" s="1" t="str">
        <f>TEXT(Sales_Data[[#This Row],[Order Date]], "MM-YYYY")</f>
        <v>01-2019</v>
      </c>
    </row>
    <row r="209" spans="1:15" x14ac:dyDescent="0.3">
      <c r="A209" s="1">
        <v>26336</v>
      </c>
      <c r="B209" s="2">
        <v>43611</v>
      </c>
      <c r="C209" s="1" t="s">
        <v>9</v>
      </c>
      <c r="D209" s="1">
        <v>39</v>
      </c>
      <c r="E209" t="s">
        <v>22</v>
      </c>
      <c r="F209" t="s">
        <v>22</v>
      </c>
      <c r="G209" s="1">
        <v>1623</v>
      </c>
      <c r="H209">
        <v>0.01</v>
      </c>
      <c r="I209">
        <f>Sales_Data[[#This Row],[Sales]]*Sales_Data[[#This Row],[Discount]]</f>
        <v>16.23</v>
      </c>
      <c r="J209">
        <v>1606.77</v>
      </c>
      <c r="K209" s="1">
        <v>7</v>
      </c>
      <c r="L209" s="1">
        <v>1616</v>
      </c>
      <c r="M209" s="1" t="s">
        <v>10</v>
      </c>
      <c r="N209" s="1">
        <f>IF(Sales_Data[[#This Row],[Sales with Discount]]&lt;Sales_Data[[#This Row],[Sales with Free Shipping]],Sales_Data[[#This Row],[Sales with Discount]],Sales_Data[[#This Row],[Sales with Free Shipping]])</f>
        <v>1606.77</v>
      </c>
      <c r="O209" s="1" t="str">
        <f>TEXT(Sales_Data[[#This Row],[Order Date]], "MM-YYYY")</f>
        <v>05-2019</v>
      </c>
    </row>
    <row r="210" spans="1:15" x14ac:dyDescent="0.3">
      <c r="A210" s="1">
        <v>11011</v>
      </c>
      <c r="B210" s="2">
        <v>43598</v>
      </c>
      <c r="C210" s="1" t="s">
        <v>9</v>
      </c>
      <c r="D210" s="1">
        <v>36</v>
      </c>
      <c r="E210" t="s">
        <v>22</v>
      </c>
      <c r="F210" t="s">
        <v>22</v>
      </c>
      <c r="G210" s="1">
        <v>268.62</v>
      </c>
      <c r="H210">
        <v>0.01</v>
      </c>
      <c r="I210">
        <f>Sales_Data[[#This Row],[Sales]]*Sales_Data[[#This Row],[Discount]]</f>
        <v>2.6861999999999999</v>
      </c>
      <c r="J210">
        <v>265.93380000000002</v>
      </c>
      <c r="K210" s="1">
        <v>0.5</v>
      </c>
      <c r="L210" s="1">
        <v>268.12</v>
      </c>
      <c r="M210" s="1" t="s">
        <v>10</v>
      </c>
      <c r="N210" s="1">
        <f>IF(Sales_Data[[#This Row],[Sales with Discount]]&lt;Sales_Data[[#This Row],[Sales with Free Shipping]],Sales_Data[[#This Row],[Sales with Discount]],Sales_Data[[#This Row],[Sales with Free Shipping]])</f>
        <v>265.93380000000002</v>
      </c>
      <c r="O210" s="1" t="str">
        <f>TEXT(Sales_Data[[#This Row],[Order Date]], "MM-YYYY")</f>
        <v>05-2019</v>
      </c>
    </row>
    <row r="211" spans="1:15" x14ac:dyDescent="0.3">
      <c r="A211" s="1">
        <v>36803</v>
      </c>
      <c r="B211" s="2">
        <v>43681</v>
      </c>
      <c r="C211" s="1" t="s">
        <v>11</v>
      </c>
      <c r="D211" s="1">
        <v>42</v>
      </c>
      <c r="E211" t="s">
        <v>23</v>
      </c>
      <c r="F211" t="s">
        <v>23</v>
      </c>
      <c r="G211" s="1">
        <v>130.16999999999999</v>
      </c>
      <c r="H211">
        <v>0.01</v>
      </c>
      <c r="I211">
        <f>Sales_Data[[#This Row],[Sales]]*Sales_Data[[#This Row],[Discount]]</f>
        <v>1.3016999999999999</v>
      </c>
      <c r="J211">
        <v>128.86829999999998</v>
      </c>
      <c r="K211" s="1">
        <v>1.1000000000000001</v>
      </c>
      <c r="L211" s="1">
        <v>129.07</v>
      </c>
      <c r="M211" s="1" t="s">
        <v>10</v>
      </c>
      <c r="N211" s="1">
        <f>IF(Sales_Data[[#This Row],[Sales with Discount]]&lt;Sales_Data[[#This Row],[Sales with Free Shipping]],Sales_Data[[#This Row],[Sales with Discount]],Sales_Data[[#This Row],[Sales with Free Shipping]])</f>
        <v>128.86829999999998</v>
      </c>
      <c r="O211" s="1" t="str">
        <f>TEXT(Sales_Data[[#This Row],[Order Date]], "MM-YYYY")</f>
        <v>08-2019</v>
      </c>
    </row>
    <row r="212" spans="1:15" x14ac:dyDescent="0.3">
      <c r="A212" s="1">
        <v>23911</v>
      </c>
      <c r="B212" s="2">
        <v>43617</v>
      </c>
      <c r="C212" s="1" t="s">
        <v>12</v>
      </c>
      <c r="D212" s="1">
        <v>19</v>
      </c>
      <c r="E212" t="s">
        <v>19</v>
      </c>
      <c r="F212" t="s">
        <v>19</v>
      </c>
      <c r="G212" s="1">
        <v>1022.34</v>
      </c>
      <c r="H212">
        <v>0</v>
      </c>
      <c r="I212">
        <f>Sales_Data[[#This Row],[Sales]]*Sales_Data[[#This Row],[Discount]]</f>
        <v>0</v>
      </c>
      <c r="J212">
        <v>1022.34</v>
      </c>
      <c r="K212" s="1">
        <v>7</v>
      </c>
      <c r="L212" s="1">
        <v>1022.34</v>
      </c>
      <c r="M212" s="1" t="s">
        <v>10</v>
      </c>
      <c r="N212" s="1">
        <f>IF(Sales_Data[[#This Row],[Sales with Discount]]&lt;Sales_Data[[#This Row],[Sales with Free Shipping]],Sales_Data[[#This Row],[Sales with Discount]],Sales_Data[[#This Row],[Sales with Free Shipping]])</f>
        <v>1022.34</v>
      </c>
      <c r="O212" s="1" t="str">
        <f>TEXT(Sales_Data[[#This Row],[Order Date]], "MM-YYYY")</f>
        <v>06-2019</v>
      </c>
    </row>
    <row r="213" spans="1:15" x14ac:dyDescent="0.3">
      <c r="A213" s="1">
        <v>21382</v>
      </c>
      <c r="B213" s="2">
        <v>43476</v>
      </c>
      <c r="C213" s="1" t="s">
        <v>12</v>
      </c>
      <c r="D213" s="1">
        <v>21</v>
      </c>
      <c r="E213" t="s">
        <v>14</v>
      </c>
      <c r="F213" t="s">
        <v>14</v>
      </c>
      <c r="G213" s="1">
        <v>6886.38</v>
      </c>
      <c r="H213">
        <v>0</v>
      </c>
      <c r="I213">
        <f>Sales_Data[[#This Row],[Sales]]*Sales_Data[[#This Row],[Discount]]</f>
        <v>0</v>
      </c>
      <c r="J213">
        <v>6886.38</v>
      </c>
      <c r="K213" s="1">
        <v>69.3</v>
      </c>
      <c r="L213" s="1">
        <v>6886.38</v>
      </c>
      <c r="M213" s="1" t="s">
        <v>13</v>
      </c>
      <c r="N213" s="1">
        <f>IF(Sales_Data[[#This Row],[Sales with Discount]]&lt;Sales_Data[[#This Row],[Sales with Free Shipping]],Sales_Data[[#This Row],[Sales with Discount]],Sales_Data[[#This Row],[Sales with Free Shipping]])</f>
        <v>6886.38</v>
      </c>
      <c r="O213" s="1" t="str">
        <f>TEXT(Sales_Data[[#This Row],[Order Date]], "MM-YYYY")</f>
        <v>01-2019</v>
      </c>
    </row>
    <row r="214" spans="1:15" x14ac:dyDescent="0.3">
      <c r="A214" s="1">
        <v>55651</v>
      </c>
      <c r="B214" s="2">
        <v>43531</v>
      </c>
      <c r="C214" s="1" t="s">
        <v>14</v>
      </c>
      <c r="D214" s="1">
        <v>11</v>
      </c>
      <c r="E214" t="s">
        <v>18</v>
      </c>
      <c r="F214" t="s">
        <v>18</v>
      </c>
      <c r="G214" s="1">
        <v>1065.42</v>
      </c>
      <c r="H214">
        <v>0</v>
      </c>
      <c r="I214">
        <f>Sales_Data[[#This Row],[Sales]]*Sales_Data[[#This Row],[Discount]]</f>
        <v>0</v>
      </c>
      <c r="J214">
        <v>1065.42</v>
      </c>
      <c r="K214" s="1">
        <v>2.7</v>
      </c>
      <c r="L214" s="1">
        <v>1065.42</v>
      </c>
      <c r="M214" s="1" t="s">
        <v>10</v>
      </c>
      <c r="N214" s="1">
        <f>IF(Sales_Data[[#This Row],[Sales with Discount]]&lt;Sales_Data[[#This Row],[Sales with Free Shipping]],Sales_Data[[#This Row],[Sales with Discount]],Sales_Data[[#This Row],[Sales with Free Shipping]])</f>
        <v>1065.42</v>
      </c>
      <c r="O214" s="1" t="str">
        <f>TEXT(Sales_Data[[#This Row],[Order Date]], "MM-YYYY")</f>
        <v>03-2019</v>
      </c>
    </row>
    <row r="215" spans="1:15" x14ac:dyDescent="0.3">
      <c r="A215" s="1">
        <v>2209</v>
      </c>
      <c r="B215" s="2">
        <v>43655</v>
      </c>
      <c r="C215" s="1" t="s">
        <v>9</v>
      </c>
      <c r="D215" s="1">
        <v>1</v>
      </c>
      <c r="E215" t="s">
        <v>16</v>
      </c>
      <c r="F215" t="s">
        <v>16</v>
      </c>
      <c r="G215" s="1">
        <v>6.08</v>
      </c>
      <c r="H215">
        <v>0</v>
      </c>
      <c r="I215">
        <f>Sales_Data[[#This Row],[Sales]]*Sales_Data[[#This Row],[Discount]]</f>
        <v>0</v>
      </c>
      <c r="J215">
        <v>6.08</v>
      </c>
      <c r="K215" s="1">
        <v>0.9</v>
      </c>
      <c r="L215" s="1">
        <v>6.08</v>
      </c>
      <c r="M215" s="1" t="s">
        <v>10</v>
      </c>
      <c r="N215" s="1">
        <f>IF(Sales_Data[[#This Row],[Sales with Discount]]&lt;Sales_Data[[#This Row],[Sales with Free Shipping]],Sales_Data[[#This Row],[Sales with Discount]],Sales_Data[[#This Row],[Sales with Free Shipping]])</f>
        <v>6.08</v>
      </c>
      <c r="O215" s="1" t="str">
        <f>TEXT(Sales_Data[[#This Row],[Order Date]], "MM-YYYY")</f>
        <v>07-2019</v>
      </c>
    </row>
    <row r="216" spans="1:15" x14ac:dyDescent="0.3">
      <c r="A216" s="1">
        <v>53571</v>
      </c>
      <c r="B216" s="2">
        <v>43539</v>
      </c>
      <c r="C216" s="1" t="s">
        <v>11</v>
      </c>
      <c r="D216" s="1">
        <v>21</v>
      </c>
      <c r="E216" t="s">
        <v>14</v>
      </c>
      <c r="F216" t="s">
        <v>14</v>
      </c>
      <c r="G216" s="1">
        <v>254.72</v>
      </c>
      <c r="H216">
        <v>0</v>
      </c>
      <c r="I216">
        <f>Sales_Data[[#This Row],[Sales]]*Sales_Data[[#This Row],[Discount]]</f>
        <v>0</v>
      </c>
      <c r="J216">
        <v>254.72</v>
      </c>
      <c r="K216" s="1">
        <v>3.2</v>
      </c>
      <c r="L216" s="1">
        <v>254.72</v>
      </c>
      <c r="M216" s="1" t="s">
        <v>10</v>
      </c>
      <c r="N216" s="1">
        <f>IF(Sales_Data[[#This Row],[Sales with Discount]]&lt;Sales_Data[[#This Row],[Sales with Free Shipping]],Sales_Data[[#This Row],[Sales with Discount]],Sales_Data[[#This Row],[Sales with Free Shipping]])</f>
        <v>254.72</v>
      </c>
      <c r="O216" s="1" t="str">
        <f>TEXT(Sales_Data[[#This Row],[Order Date]], "MM-YYYY")</f>
        <v>03-2019</v>
      </c>
    </row>
    <row r="217" spans="1:15" x14ac:dyDescent="0.3">
      <c r="A217" s="1">
        <v>25476</v>
      </c>
      <c r="B217" s="2">
        <v>43740</v>
      </c>
      <c r="C217" s="1" t="s">
        <v>11</v>
      </c>
      <c r="D217" s="1">
        <v>21</v>
      </c>
      <c r="E217" t="s">
        <v>14</v>
      </c>
      <c r="F217" t="s">
        <v>14</v>
      </c>
      <c r="G217" s="1">
        <v>724.06</v>
      </c>
      <c r="H217">
        <v>0</v>
      </c>
      <c r="I217">
        <f>Sales_Data[[#This Row],[Sales]]*Sales_Data[[#This Row],[Discount]]</f>
        <v>0</v>
      </c>
      <c r="J217">
        <v>724.06</v>
      </c>
      <c r="K217" s="1">
        <v>2.1</v>
      </c>
      <c r="L217" s="1">
        <v>724.06</v>
      </c>
      <c r="M217" s="1" t="s">
        <v>10</v>
      </c>
      <c r="N217" s="1">
        <f>IF(Sales_Data[[#This Row],[Sales with Discount]]&lt;Sales_Data[[#This Row],[Sales with Free Shipping]],Sales_Data[[#This Row],[Sales with Discount]],Sales_Data[[#This Row],[Sales with Free Shipping]])</f>
        <v>724.06</v>
      </c>
      <c r="O217" s="1" t="str">
        <f>TEXT(Sales_Data[[#This Row],[Order Date]], "MM-YYYY")</f>
        <v>10-2019</v>
      </c>
    </row>
    <row r="218" spans="1:15" x14ac:dyDescent="0.3">
      <c r="A218" s="1">
        <v>38437</v>
      </c>
      <c r="B218" s="2">
        <v>43593</v>
      </c>
      <c r="C218" s="1" t="s">
        <v>12</v>
      </c>
      <c r="D218" s="1">
        <v>19</v>
      </c>
      <c r="E218" t="s">
        <v>19</v>
      </c>
      <c r="F218" t="s">
        <v>19</v>
      </c>
      <c r="G218" s="1">
        <v>4495.57</v>
      </c>
      <c r="H218">
        <v>0</v>
      </c>
      <c r="I218">
        <f>Sales_Data[[#This Row],[Sales]]*Sales_Data[[#This Row],[Discount]]</f>
        <v>0</v>
      </c>
      <c r="J218">
        <v>4495.57</v>
      </c>
      <c r="K218" s="1">
        <v>55.9</v>
      </c>
      <c r="L218" s="1">
        <v>4495.57</v>
      </c>
      <c r="M218" s="1" t="s">
        <v>13</v>
      </c>
      <c r="N218" s="1">
        <f>IF(Sales_Data[[#This Row],[Sales with Discount]]&lt;Sales_Data[[#This Row],[Sales with Free Shipping]],Sales_Data[[#This Row],[Sales with Discount]],Sales_Data[[#This Row],[Sales with Free Shipping]])</f>
        <v>4495.57</v>
      </c>
      <c r="O218" s="1" t="str">
        <f>TEXT(Sales_Data[[#This Row],[Order Date]], "MM-YYYY")</f>
        <v>05-2019</v>
      </c>
    </row>
    <row r="219" spans="1:15" x14ac:dyDescent="0.3">
      <c r="A219" s="1">
        <v>29761</v>
      </c>
      <c r="B219" s="2">
        <v>43649</v>
      </c>
      <c r="C219" s="1" t="s">
        <v>14</v>
      </c>
      <c r="D219" s="1">
        <v>19</v>
      </c>
      <c r="E219" t="s">
        <v>19</v>
      </c>
      <c r="F219" t="s">
        <v>19</v>
      </c>
      <c r="G219" s="1">
        <v>132.33000000000001</v>
      </c>
      <c r="H219">
        <v>0</v>
      </c>
      <c r="I219">
        <f>Sales_Data[[#This Row],[Sales]]*Sales_Data[[#This Row],[Discount]]</f>
        <v>0</v>
      </c>
      <c r="J219">
        <v>132.33000000000001</v>
      </c>
      <c r="K219" s="1">
        <v>5.6</v>
      </c>
      <c r="L219" s="1">
        <v>132.33000000000001</v>
      </c>
      <c r="M219" s="1" t="s">
        <v>10</v>
      </c>
      <c r="N219" s="1">
        <f>IF(Sales_Data[[#This Row],[Sales with Discount]]&lt;Sales_Data[[#This Row],[Sales with Free Shipping]],Sales_Data[[#This Row],[Sales with Discount]],Sales_Data[[#This Row],[Sales with Free Shipping]])</f>
        <v>132.33000000000001</v>
      </c>
      <c r="O219" s="1" t="str">
        <f>TEXT(Sales_Data[[#This Row],[Order Date]], "MM-YYYY")</f>
        <v>07-2019</v>
      </c>
    </row>
    <row r="220" spans="1:15" x14ac:dyDescent="0.3">
      <c r="A220" s="1">
        <v>33477</v>
      </c>
      <c r="B220" s="2">
        <v>43757</v>
      </c>
      <c r="C220" s="1" t="s">
        <v>9</v>
      </c>
      <c r="D220" s="1">
        <v>28</v>
      </c>
      <c r="E220" t="s">
        <v>20</v>
      </c>
      <c r="F220" t="s">
        <v>20</v>
      </c>
      <c r="G220" s="1">
        <v>288.13</v>
      </c>
      <c r="H220">
        <v>0</v>
      </c>
      <c r="I220">
        <f>Sales_Data[[#This Row],[Sales]]*Sales_Data[[#This Row],[Discount]]</f>
        <v>0</v>
      </c>
      <c r="J220">
        <v>288.13</v>
      </c>
      <c r="K220" s="1">
        <v>1.1000000000000001</v>
      </c>
      <c r="L220" s="1">
        <v>288.13</v>
      </c>
      <c r="M220" s="1" t="s">
        <v>10</v>
      </c>
      <c r="N220" s="1">
        <f>IF(Sales_Data[[#This Row],[Sales with Discount]]&lt;Sales_Data[[#This Row],[Sales with Free Shipping]],Sales_Data[[#This Row],[Sales with Discount]],Sales_Data[[#This Row],[Sales with Free Shipping]])</f>
        <v>288.13</v>
      </c>
      <c r="O220" s="1" t="str">
        <f>TEXT(Sales_Data[[#This Row],[Order Date]], "MM-YYYY")</f>
        <v>10-2019</v>
      </c>
    </row>
    <row r="221" spans="1:15" x14ac:dyDescent="0.3">
      <c r="A221" s="1">
        <v>29347</v>
      </c>
      <c r="B221" s="2">
        <v>43689</v>
      </c>
      <c r="C221" s="1" t="s">
        <v>14</v>
      </c>
      <c r="D221" s="1">
        <v>50</v>
      </c>
      <c r="E221" t="s">
        <v>24</v>
      </c>
      <c r="F221" t="s">
        <v>24</v>
      </c>
      <c r="G221" s="1">
        <v>2183.2199999999998</v>
      </c>
      <c r="H221">
        <v>0.01</v>
      </c>
      <c r="I221">
        <f>Sales_Data[[#This Row],[Sales]]*Sales_Data[[#This Row],[Discount]]</f>
        <v>21.832199999999997</v>
      </c>
      <c r="J221">
        <v>2161.3878</v>
      </c>
      <c r="K221" s="1">
        <v>21.4</v>
      </c>
      <c r="L221" s="1">
        <v>2161.8199999999997</v>
      </c>
      <c r="M221" s="1" t="s">
        <v>10</v>
      </c>
      <c r="N221" s="1">
        <f>IF(Sales_Data[[#This Row],[Sales with Discount]]&lt;Sales_Data[[#This Row],[Sales with Free Shipping]],Sales_Data[[#This Row],[Sales with Discount]],Sales_Data[[#This Row],[Sales with Free Shipping]])</f>
        <v>2161.3878</v>
      </c>
      <c r="O221" s="1" t="str">
        <f>TEXT(Sales_Data[[#This Row],[Order Date]], "MM-YYYY")</f>
        <v>08-2019</v>
      </c>
    </row>
    <row r="222" spans="1:15" x14ac:dyDescent="0.3">
      <c r="A222" s="1">
        <v>38851</v>
      </c>
      <c r="B222" s="2">
        <v>43626</v>
      </c>
      <c r="C222" s="1" t="s">
        <v>12</v>
      </c>
      <c r="D222" s="1">
        <v>1</v>
      </c>
      <c r="E222" t="s">
        <v>16</v>
      </c>
      <c r="F222" t="s">
        <v>16</v>
      </c>
      <c r="G222" s="1">
        <v>9.08</v>
      </c>
      <c r="H222">
        <v>0</v>
      </c>
      <c r="I222">
        <f>Sales_Data[[#This Row],[Sales]]*Sales_Data[[#This Row],[Discount]]</f>
        <v>0</v>
      </c>
      <c r="J222">
        <v>9.08</v>
      </c>
      <c r="K222" s="1">
        <v>5</v>
      </c>
      <c r="L222" s="1">
        <v>9.08</v>
      </c>
      <c r="M222" s="1" t="s">
        <v>10</v>
      </c>
      <c r="N222" s="1">
        <f>IF(Sales_Data[[#This Row],[Sales with Discount]]&lt;Sales_Data[[#This Row],[Sales with Free Shipping]],Sales_Data[[#This Row],[Sales with Discount]],Sales_Data[[#This Row],[Sales with Free Shipping]])</f>
        <v>9.08</v>
      </c>
      <c r="O222" s="1" t="str">
        <f>TEXT(Sales_Data[[#This Row],[Order Date]], "MM-YYYY")</f>
        <v>06-2019</v>
      </c>
    </row>
    <row r="223" spans="1:15" x14ac:dyDescent="0.3">
      <c r="A223" s="1">
        <v>3205</v>
      </c>
      <c r="B223" s="2">
        <v>43565</v>
      </c>
      <c r="C223" s="1" t="s">
        <v>7</v>
      </c>
      <c r="D223" s="1">
        <v>42</v>
      </c>
      <c r="E223" t="s">
        <v>23</v>
      </c>
      <c r="F223" t="s">
        <v>23</v>
      </c>
      <c r="G223" s="1">
        <v>3111.1641</v>
      </c>
      <c r="H223">
        <v>0.01</v>
      </c>
      <c r="I223">
        <f>Sales_Data[[#This Row],[Sales]]*Sales_Data[[#This Row],[Discount]]</f>
        <v>31.111640999999999</v>
      </c>
      <c r="J223">
        <v>3080.052459</v>
      </c>
      <c r="K223" s="1">
        <v>73.8</v>
      </c>
      <c r="L223" s="1">
        <v>3037.3640999999998</v>
      </c>
      <c r="M223" s="1" t="s">
        <v>8</v>
      </c>
      <c r="N223" s="1">
        <f>IF(Sales_Data[[#This Row],[Sales with Discount]]&lt;Sales_Data[[#This Row],[Sales with Free Shipping]],Sales_Data[[#This Row],[Sales with Discount]],Sales_Data[[#This Row],[Sales with Free Shipping]])</f>
        <v>3037.3640999999998</v>
      </c>
      <c r="O223" s="1" t="str">
        <f>TEXT(Sales_Data[[#This Row],[Order Date]], "MM-YYYY")</f>
        <v>04-2019</v>
      </c>
    </row>
    <row r="224" spans="1:15" x14ac:dyDescent="0.3">
      <c r="A224" s="1">
        <v>26726</v>
      </c>
      <c r="B224" s="2">
        <v>43826</v>
      </c>
      <c r="C224" s="1" t="s">
        <v>9</v>
      </c>
      <c r="D224" s="1">
        <v>11</v>
      </c>
      <c r="E224" t="s">
        <v>18</v>
      </c>
      <c r="F224" t="s">
        <v>18</v>
      </c>
      <c r="G224" s="1">
        <v>92.75</v>
      </c>
      <c r="H224">
        <v>0</v>
      </c>
      <c r="I224">
        <f>Sales_Data[[#This Row],[Sales]]*Sales_Data[[#This Row],[Discount]]</f>
        <v>0</v>
      </c>
      <c r="J224">
        <v>92.75</v>
      </c>
      <c r="K224" s="1">
        <v>52.4</v>
      </c>
      <c r="L224" s="1">
        <v>92.75</v>
      </c>
      <c r="M224" s="1" t="s">
        <v>10</v>
      </c>
      <c r="N224" s="1">
        <f>IF(Sales_Data[[#This Row],[Sales with Discount]]&lt;Sales_Data[[#This Row],[Sales with Free Shipping]],Sales_Data[[#This Row],[Sales with Discount]],Sales_Data[[#This Row],[Sales with Free Shipping]])</f>
        <v>92.75</v>
      </c>
      <c r="O224" s="1" t="str">
        <f>TEXT(Sales_Data[[#This Row],[Order Date]], "MM-YYYY")</f>
        <v>12-2019</v>
      </c>
    </row>
    <row r="225" spans="1:15" x14ac:dyDescent="0.3">
      <c r="A225" s="1">
        <v>3680</v>
      </c>
      <c r="B225" s="2">
        <v>43808</v>
      </c>
      <c r="C225" s="1" t="s">
        <v>11</v>
      </c>
      <c r="D225" s="1">
        <v>24</v>
      </c>
      <c r="E225" t="s">
        <v>14</v>
      </c>
      <c r="F225" t="s">
        <v>14</v>
      </c>
      <c r="G225" s="1">
        <v>106.5</v>
      </c>
      <c r="H225">
        <v>0</v>
      </c>
      <c r="I225">
        <f>Sales_Data[[#This Row],[Sales]]*Sales_Data[[#This Row],[Discount]]</f>
        <v>0</v>
      </c>
      <c r="J225">
        <v>106.5</v>
      </c>
      <c r="K225" s="1">
        <v>1.6</v>
      </c>
      <c r="L225" s="1">
        <v>106.5</v>
      </c>
      <c r="M225" s="1" t="s">
        <v>8</v>
      </c>
      <c r="N225" s="1">
        <f>IF(Sales_Data[[#This Row],[Sales with Discount]]&lt;Sales_Data[[#This Row],[Sales with Free Shipping]],Sales_Data[[#This Row],[Sales with Discount]],Sales_Data[[#This Row],[Sales with Free Shipping]])</f>
        <v>106.5</v>
      </c>
      <c r="O225" s="1" t="str">
        <f>TEXT(Sales_Data[[#This Row],[Order Date]], "MM-YYYY")</f>
        <v>12-2019</v>
      </c>
    </row>
    <row r="226" spans="1:15" x14ac:dyDescent="0.3">
      <c r="A226" s="1">
        <v>14784</v>
      </c>
      <c r="B226" s="2">
        <v>43538</v>
      </c>
      <c r="C226" s="1" t="s">
        <v>14</v>
      </c>
      <c r="D226" s="1">
        <v>43</v>
      </c>
      <c r="E226" t="s">
        <v>23</v>
      </c>
      <c r="F226" t="s">
        <v>23</v>
      </c>
      <c r="G226" s="1">
        <v>2149.6799999999998</v>
      </c>
      <c r="H226">
        <v>0.01</v>
      </c>
      <c r="I226">
        <f>Sales_Data[[#This Row],[Sales]]*Sales_Data[[#This Row],[Discount]]</f>
        <v>21.4968</v>
      </c>
      <c r="J226">
        <v>2128.1831999999999</v>
      </c>
      <c r="K226" s="1">
        <v>49.9</v>
      </c>
      <c r="L226" s="1">
        <v>2099.7799999999997</v>
      </c>
      <c r="M226" s="1" t="s">
        <v>13</v>
      </c>
      <c r="N226" s="1">
        <f>IF(Sales_Data[[#This Row],[Sales with Discount]]&lt;Sales_Data[[#This Row],[Sales with Free Shipping]],Sales_Data[[#This Row],[Sales with Discount]],Sales_Data[[#This Row],[Sales with Free Shipping]])</f>
        <v>2099.7799999999997</v>
      </c>
      <c r="O226" s="1" t="str">
        <f>TEXT(Sales_Data[[#This Row],[Order Date]], "MM-YYYY")</f>
        <v>03-2019</v>
      </c>
    </row>
    <row r="227" spans="1:15" x14ac:dyDescent="0.3">
      <c r="A227" s="1">
        <v>17799</v>
      </c>
      <c r="B227" s="2">
        <v>43728</v>
      </c>
      <c r="C227" s="1" t="s">
        <v>14</v>
      </c>
      <c r="D227" s="1">
        <v>8</v>
      </c>
      <c r="E227" t="s">
        <v>17</v>
      </c>
      <c r="F227" t="s">
        <v>17</v>
      </c>
      <c r="G227" s="1">
        <v>159.97999999999999</v>
      </c>
      <c r="H227">
        <v>0</v>
      </c>
      <c r="I227">
        <f>Sales_Data[[#This Row],[Sales]]*Sales_Data[[#This Row],[Discount]]</f>
        <v>0</v>
      </c>
      <c r="J227">
        <v>159.97999999999999</v>
      </c>
      <c r="K227" s="1">
        <v>13.3</v>
      </c>
      <c r="L227" s="1">
        <v>159.97999999999999</v>
      </c>
      <c r="M227" s="1" t="s">
        <v>10</v>
      </c>
      <c r="N227" s="1">
        <f>IF(Sales_Data[[#This Row],[Sales with Discount]]&lt;Sales_Data[[#This Row],[Sales with Free Shipping]],Sales_Data[[#This Row],[Sales with Discount]],Sales_Data[[#This Row],[Sales with Free Shipping]])</f>
        <v>159.97999999999999</v>
      </c>
      <c r="O227" s="1" t="str">
        <f>TEXT(Sales_Data[[#This Row],[Order Date]], "MM-YYYY")</f>
        <v>09-2019</v>
      </c>
    </row>
    <row r="228" spans="1:15" x14ac:dyDescent="0.3">
      <c r="A228" s="1">
        <v>16709</v>
      </c>
      <c r="B228" s="2">
        <v>43744</v>
      </c>
      <c r="C228" s="1" t="s">
        <v>9</v>
      </c>
      <c r="D228" s="1">
        <v>3</v>
      </c>
      <c r="E228" t="s">
        <v>16</v>
      </c>
      <c r="F228" t="s">
        <v>16</v>
      </c>
      <c r="G228" s="1">
        <v>26.07</v>
      </c>
      <c r="H228">
        <v>0</v>
      </c>
      <c r="I228">
        <f>Sales_Data[[#This Row],[Sales]]*Sales_Data[[#This Row],[Discount]]</f>
        <v>0</v>
      </c>
      <c r="J228">
        <v>26.07</v>
      </c>
      <c r="K228" s="1">
        <v>6.1</v>
      </c>
      <c r="L228" s="1">
        <v>26.07</v>
      </c>
      <c r="M228" s="1" t="s">
        <v>10</v>
      </c>
      <c r="N228" s="1">
        <f>IF(Sales_Data[[#This Row],[Sales with Discount]]&lt;Sales_Data[[#This Row],[Sales with Free Shipping]],Sales_Data[[#This Row],[Sales with Discount]],Sales_Data[[#This Row],[Sales with Free Shipping]])</f>
        <v>26.07</v>
      </c>
      <c r="O228" s="1" t="str">
        <f>TEXT(Sales_Data[[#This Row],[Order Date]], "MM-YYYY")</f>
        <v>10-2019</v>
      </c>
    </row>
    <row r="229" spans="1:15" x14ac:dyDescent="0.3">
      <c r="A229" s="1">
        <v>46691</v>
      </c>
      <c r="B229" s="2">
        <v>43640</v>
      </c>
      <c r="C229" s="1" t="s">
        <v>12</v>
      </c>
      <c r="D229" s="1">
        <v>47</v>
      </c>
      <c r="E229" t="s">
        <v>24</v>
      </c>
      <c r="F229" t="s">
        <v>24</v>
      </c>
      <c r="G229" s="1">
        <v>1793.59</v>
      </c>
      <c r="H229">
        <v>0.01</v>
      </c>
      <c r="I229">
        <f>Sales_Data[[#This Row],[Sales]]*Sales_Data[[#This Row],[Discount]]</f>
        <v>17.9359</v>
      </c>
      <c r="J229">
        <v>1775.6541</v>
      </c>
      <c r="K229" s="1">
        <v>24.2</v>
      </c>
      <c r="L229" s="1">
        <v>1769.3899999999999</v>
      </c>
      <c r="M229" s="1" t="s">
        <v>10</v>
      </c>
      <c r="N229" s="1">
        <f>IF(Sales_Data[[#This Row],[Sales with Discount]]&lt;Sales_Data[[#This Row],[Sales with Free Shipping]],Sales_Data[[#This Row],[Sales with Discount]],Sales_Data[[#This Row],[Sales with Free Shipping]])</f>
        <v>1769.3899999999999</v>
      </c>
      <c r="O229" s="1" t="str">
        <f>TEXT(Sales_Data[[#This Row],[Order Date]], "MM-YYYY")</f>
        <v>06-2019</v>
      </c>
    </row>
    <row r="230" spans="1:15" x14ac:dyDescent="0.3">
      <c r="A230" s="1">
        <v>51044</v>
      </c>
      <c r="B230" s="2">
        <v>43482</v>
      </c>
      <c r="C230" s="1" t="s">
        <v>7</v>
      </c>
      <c r="D230" s="1">
        <v>26</v>
      </c>
      <c r="E230" t="s">
        <v>20</v>
      </c>
      <c r="F230" t="s">
        <v>20</v>
      </c>
      <c r="G230" s="1">
        <v>1426.5</v>
      </c>
      <c r="H230">
        <v>0</v>
      </c>
      <c r="I230">
        <f>Sales_Data[[#This Row],[Sales]]*Sales_Data[[#This Row],[Discount]]</f>
        <v>0</v>
      </c>
      <c r="J230">
        <v>1426.5</v>
      </c>
      <c r="K230" s="1">
        <v>15.2</v>
      </c>
      <c r="L230" s="1">
        <v>1426.5</v>
      </c>
      <c r="M230" s="1" t="s">
        <v>13</v>
      </c>
      <c r="N230" s="1">
        <f>IF(Sales_Data[[#This Row],[Sales with Discount]]&lt;Sales_Data[[#This Row],[Sales with Free Shipping]],Sales_Data[[#This Row],[Sales with Discount]],Sales_Data[[#This Row],[Sales with Free Shipping]])</f>
        <v>1426.5</v>
      </c>
      <c r="O230" s="1" t="str">
        <f>TEXT(Sales_Data[[#This Row],[Order Date]], "MM-YYYY")</f>
        <v>01-2019</v>
      </c>
    </row>
    <row r="231" spans="1:15" x14ac:dyDescent="0.3">
      <c r="A231" s="1">
        <v>22183</v>
      </c>
      <c r="B231" s="2">
        <v>43578</v>
      </c>
      <c r="C231" s="1" t="s">
        <v>14</v>
      </c>
      <c r="D231" s="1">
        <v>30</v>
      </c>
      <c r="E231" t="s">
        <v>20</v>
      </c>
      <c r="F231" t="s">
        <v>20</v>
      </c>
      <c r="G231" s="1">
        <v>189.63</v>
      </c>
      <c r="H231">
        <v>0</v>
      </c>
      <c r="I231">
        <f>Sales_Data[[#This Row],[Sales]]*Sales_Data[[#This Row],[Discount]]</f>
        <v>0</v>
      </c>
      <c r="J231">
        <v>189.63</v>
      </c>
      <c r="K231" s="1">
        <v>1.1000000000000001</v>
      </c>
      <c r="L231" s="1">
        <v>189.63</v>
      </c>
      <c r="M231" s="1" t="s">
        <v>10</v>
      </c>
      <c r="N231" s="1">
        <f>IF(Sales_Data[[#This Row],[Sales with Discount]]&lt;Sales_Data[[#This Row],[Sales with Free Shipping]],Sales_Data[[#This Row],[Sales with Discount]],Sales_Data[[#This Row],[Sales with Free Shipping]])</f>
        <v>189.63</v>
      </c>
      <c r="O231" s="1" t="str">
        <f>TEXT(Sales_Data[[#This Row],[Order Date]], "MM-YYYY")</f>
        <v>04-2019</v>
      </c>
    </row>
    <row r="232" spans="1:15" x14ac:dyDescent="0.3">
      <c r="A232" s="1">
        <v>13892</v>
      </c>
      <c r="B232" s="2">
        <v>43582</v>
      </c>
      <c r="C232" s="1" t="s">
        <v>9</v>
      </c>
      <c r="D232" s="1">
        <v>47</v>
      </c>
      <c r="E232" t="s">
        <v>24</v>
      </c>
      <c r="F232" t="s">
        <v>24</v>
      </c>
      <c r="G232" s="1">
        <v>1548.26</v>
      </c>
      <c r="H232">
        <v>0.01</v>
      </c>
      <c r="I232">
        <f>Sales_Data[[#This Row],[Sales]]*Sales_Data[[#This Row],[Discount]]</f>
        <v>15.4826</v>
      </c>
      <c r="J232">
        <v>1532.7773999999999</v>
      </c>
      <c r="K232" s="1">
        <v>2.1</v>
      </c>
      <c r="L232" s="1">
        <v>1546.16</v>
      </c>
      <c r="M232" s="1" t="s">
        <v>10</v>
      </c>
      <c r="N232" s="1">
        <f>IF(Sales_Data[[#This Row],[Sales with Discount]]&lt;Sales_Data[[#This Row],[Sales with Free Shipping]],Sales_Data[[#This Row],[Sales with Discount]],Sales_Data[[#This Row],[Sales with Free Shipping]])</f>
        <v>1532.7773999999999</v>
      </c>
      <c r="O232" s="1" t="str">
        <f>TEXT(Sales_Data[[#This Row],[Order Date]], "MM-YYYY")</f>
        <v>04-2019</v>
      </c>
    </row>
    <row r="233" spans="1:15" x14ac:dyDescent="0.3">
      <c r="A233" s="1">
        <v>13988</v>
      </c>
      <c r="B233" s="2">
        <v>43678</v>
      </c>
      <c r="C233" s="1" t="s">
        <v>11</v>
      </c>
      <c r="D233" s="1">
        <v>39</v>
      </c>
      <c r="E233" t="s">
        <v>22</v>
      </c>
      <c r="F233" t="s">
        <v>22</v>
      </c>
      <c r="G233" s="1">
        <v>670.85</v>
      </c>
      <c r="H233">
        <v>0.01</v>
      </c>
      <c r="I233">
        <f>Sales_Data[[#This Row],[Sales]]*Sales_Data[[#This Row],[Discount]]</f>
        <v>6.7085000000000008</v>
      </c>
      <c r="J233">
        <v>664.14150000000006</v>
      </c>
      <c r="K233" s="1">
        <v>8.1999999999999993</v>
      </c>
      <c r="L233" s="1">
        <v>662.65</v>
      </c>
      <c r="M233" s="1" t="s">
        <v>10</v>
      </c>
      <c r="N233" s="1">
        <f>IF(Sales_Data[[#This Row],[Sales with Discount]]&lt;Sales_Data[[#This Row],[Sales with Free Shipping]],Sales_Data[[#This Row],[Sales with Discount]],Sales_Data[[#This Row],[Sales with Free Shipping]])</f>
        <v>662.65</v>
      </c>
      <c r="O233" s="1" t="str">
        <f>TEXT(Sales_Data[[#This Row],[Order Date]], "MM-YYYY")</f>
        <v>08-2019</v>
      </c>
    </row>
    <row r="234" spans="1:15" x14ac:dyDescent="0.3">
      <c r="A234" s="1">
        <v>53024</v>
      </c>
      <c r="B234" s="2">
        <v>43597</v>
      </c>
      <c r="C234" s="1" t="s">
        <v>11</v>
      </c>
      <c r="D234" s="1">
        <v>46</v>
      </c>
      <c r="E234" t="s">
        <v>24</v>
      </c>
      <c r="F234" t="s">
        <v>24</v>
      </c>
      <c r="G234" s="1">
        <v>2413.06</v>
      </c>
      <c r="H234">
        <v>0.01</v>
      </c>
      <c r="I234">
        <f>Sales_Data[[#This Row],[Sales]]*Sales_Data[[#This Row],[Discount]]</f>
        <v>24.130600000000001</v>
      </c>
      <c r="J234">
        <v>2388.9294</v>
      </c>
      <c r="K234" s="1">
        <v>5.4</v>
      </c>
      <c r="L234" s="1">
        <v>2407.66</v>
      </c>
      <c r="M234" s="1" t="s">
        <v>10</v>
      </c>
      <c r="N234" s="1">
        <f>IF(Sales_Data[[#This Row],[Sales with Discount]]&lt;Sales_Data[[#This Row],[Sales with Free Shipping]],Sales_Data[[#This Row],[Sales with Discount]],Sales_Data[[#This Row],[Sales with Free Shipping]])</f>
        <v>2388.9294</v>
      </c>
      <c r="O234" s="1" t="str">
        <f>TEXT(Sales_Data[[#This Row],[Order Date]], "MM-YYYY")</f>
        <v>05-2019</v>
      </c>
    </row>
    <row r="235" spans="1:15" x14ac:dyDescent="0.3">
      <c r="A235" s="1">
        <v>39938</v>
      </c>
      <c r="B235" s="2">
        <v>43626</v>
      </c>
      <c r="C235" s="1" t="s">
        <v>9</v>
      </c>
      <c r="D235" s="1">
        <v>5</v>
      </c>
      <c r="E235" t="s">
        <v>16</v>
      </c>
      <c r="F235" t="s">
        <v>16</v>
      </c>
      <c r="G235" s="1">
        <v>181.12</v>
      </c>
      <c r="H235">
        <v>0</v>
      </c>
      <c r="I235">
        <f>Sales_Data[[#This Row],[Sales]]*Sales_Data[[#This Row],[Discount]]</f>
        <v>0</v>
      </c>
      <c r="J235">
        <v>181.12</v>
      </c>
      <c r="K235" s="1">
        <v>9.6</v>
      </c>
      <c r="L235" s="1">
        <v>181.12</v>
      </c>
      <c r="M235" s="1" t="s">
        <v>10</v>
      </c>
      <c r="N235" s="1">
        <f>IF(Sales_Data[[#This Row],[Sales with Discount]]&lt;Sales_Data[[#This Row],[Sales with Free Shipping]],Sales_Data[[#This Row],[Sales with Discount]],Sales_Data[[#This Row],[Sales with Free Shipping]])</f>
        <v>181.12</v>
      </c>
      <c r="O235" s="1" t="str">
        <f>TEXT(Sales_Data[[#This Row],[Order Date]], "MM-YYYY")</f>
        <v>06-2019</v>
      </c>
    </row>
    <row r="236" spans="1:15" x14ac:dyDescent="0.3">
      <c r="A236" s="1">
        <v>6373</v>
      </c>
      <c r="B236" s="2">
        <v>43487</v>
      </c>
      <c r="C236" s="1" t="s">
        <v>11</v>
      </c>
      <c r="D236" s="1">
        <v>1</v>
      </c>
      <c r="E236" t="s">
        <v>16</v>
      </c>
      <c r="F236" t="s">
        <v>16</v>
      </c>
      <c r="G236" s="1">
        <v>67.16</v>
      </c>
      <c r="H236">
        <v>0</v>
      </c>
      <c r="I236">
        <f>Sales_Data[[#This Row],[Sales]]*Sales_Data[[#This Row],[Discount]]</f>
        <v>0</v>
      </c>
      <c r="J236">
        <v>67.16</v>
      </c>
      <c r="K236" s="1">
        <v>4.8</v>
      </c>
      <c r="L236" s="1">
        <v>67.16</v>
      </c>
      <c r="M236" s="1" t="s">
        <v>10</v>
      </c>
      <c r="N236" s="1">
        <f>IF(Sales_Data[[#This Row],[Sales with Discount]]&lt;Sales_Data[[#This Row],[Sales with Free Shipping]],Sales_Data[[#This Row],[Sales with Discount]],Sales_Data[[#This Row],[Sales with Free Shipping]])</f>
        <v>67.16</v>
      </c>
      <c r="O236" s="1" t="str">
        <f>TEXT(Sales_Data[[#This Row],[Order Date]], "MM-YYYY")</f>
        <v>01-2019</v>
      </c>
    </row>
    <row r="237" spans="1:15" x14ac:dyDescent="0.3">
      <c r="A237" s="1">
        <v>6182</v>
      </c>
      <c r="B237" s="2">
        <v>43667</v>
      </c>
      <c r="C237" s="1" t="s">
        <v>7</v>
      </c>
      <c r="D237" s="1">
        <v>40</v>
      </c>
      <c r="E237" t="s">
        <v>22</v>
      </c>
      <c r="F237" t="s">
        <v>22</v>
      </c>
      <c r="G237" s="1">
        <v>273.36</v>
      </c>
      <c r="H237">
        <v>0.01</v>
      </c>
      <c r="I237">
        <f>Sales_Data[[#This Row],[Sales]]*Sales_Data[[#This Row],[Discount]]</f>
        <v>2.7336</v>
      </c>
      <c r="J237">
        <v>270.62639999999999</v>
      </c>
      <c r="K237" s="1">
        <v>7.1</v>
      </c>
      <c r="L237" s="1">
        <v>266.26</v>
      </c>
      <c r="M237" s="1" t="s">
        <v>10</v>
      </c>
      <c r="N237" s="1">
        <f>IF(Sales_Data[[#This Row],[Sales with Discount]]&lt;Sales_Data[[#This Row],[Sales with Free Shipping]],Sales_Data[[#This Row],[Sales with Discount]],Sales_Data[[#This Row],[Sales with Free Shipping]])</f>
        <v>266.26</v>
      </c>
      <c r="O237" s="1" t="str">
        <f>TEXT(Sales_Data[[#This Row],[Order Date]], "MM-YYYY")</f>
        <v>07-2019</v>
      </c>
    </row>
    <row r="238" spans="1:15" x14ac:dyDescent="0.3">
      <c r="A238" s="1">
        <v>17953</v>
      </c>
      <c r="B238" s="2">
        <v>43697</v>
      </c>
      <c r="C238" s="1" t="s">
        <v>9</v>
      </c>
      <c r="D238" s="1">
        <v>21</v>
      </c>
      <c r="E238" t="s">
        <v>14</v>
      </c>
      <c r="F238" t="s">
        <v>14</v>
      </c>
      <c r="G238" s="1">
        <v>1594.9</v>
      </c>
      <c r="H238">
        <v>0</v>
      </c>
      <c r="I238">
        <f>Sales_Data[[#This Row],[Sales]]*Sales_Data[[#This Row],[Discount]]</f>
        <v>0</v>
      </c>
      <c r="J238">
        <v>1594.9</v>
      </c>
      <c r="K238" s="1">
        <v>64.2</v>
      </c>
      <c r="L238" s="1">
        <v>1594.9</v>
      </c>
      <c r="M238" s="1" t="s">
        <v>13</v>
      </c>
      <c r="N238" s="1">
        <f>IF(Sales_Data[[#This Row],[Sales with Discount]]&lt;Sales_Data[[#This Row],[Sales with Free Shipping]],Sales_Data[[#This Row],[Sales with Discount]],Sales_Data[[#This Row],[Sales with Free Shipping]])</f>
        <v>1594.9</v>
      </c>
      <c r="O238" s="1" t="str">
        <f>TEXT(Sales_Data[[#This Row],[Order Date]], "MM-YYYY")</f>
        <v>08-2019</v>
      </c>
    </row>
    <row r="239" spans="1:15" x14ac:dyDescent="0.3">
      <c r="A239" s="1">
        <v>23584</v>
      </c>
      <c r="B239" s="2">
        <v>43536</v>
      </c>
      <c r="C239" s="1" t="s">
        <v>12</v>
      </c>
      <c r="D239" s="1">
        <v>14</v>
      </c>
      <c r="E239" t="s">
        <v>18</v>
      </c>
      <c r="F239" t="s">
        <v>18</v>
      </c>
      <c r="G239" s="1">
        <v>2858.19</v>
      </c>
      <c r="H239">
        <v>0</v>
      </c>
      <c r="I239">
        <f>Sales_Data[[#This Row],[Sales]]*Sales_Data[[#This Row],[Discount]]</f>
        <v>0</v>
      </c>
      <c r="J239">
        <v>2858.19</v>
      </c>
      <c r="K239" s="1">
        <v>16.7</v>
      </c>
      <c r="L239" s="1">
        <v>2858.19</v>
      </c>
      <c r="M239" s="1" t="s">
        <v>13</v>
      </c>
      <c r="N239" s="1">
        <f>IF(Sales_Data[[#This Row],[Sales with Discount]]&lt;Sales_Data[[#This Row],[Sales with Free Shipping]],Sales_Data[[#This Row],[Sales with Discount]],Sales_Data[[#This Row],[Sales with Free Shipping]])</f>
        <v>2858.19</v>
      </c>
      <c r="O239" s="1" t="str">
        <f>TEXT(Sales_Data[[#This Row],[Order Date]], "MM-YYYY")</f>
        <v>03-2019</v>
      </c>
    </row>
    <row r="240" spans="1:15" x14ac:dyDescent="0.3">
      <c r="A240" s="1">
        <v>31393</v>
      </c>
      <c r="B240" s="2">
        <v>43596</v>
      </c>
      <c r="C240" s="1" t="s">
        <v>12</v>
      </c>
      <c r="D240" s="1">
        <v>31</v>
      </c>
      <c r="E240" t="s">
        <v>21</v>
      </c>
      <c r="F240" t="s">
        <v>21</v>
      </c>
      <c r="G240" s="1">
        <v>118.04</v>
      </c>
      <c r="H240">
        <v>0</v>
      </c>
      <c r="I240">
        <f>Sales_Data[[#This Row],[Sales]]*Sales_Data[[#This Row],[Discount]]</f>
        <v>0</v>
      </c>
      <c r="J240">
        <v>118.04</v>
      </c>
      <c r="K240" s="1">
        <v>1.4</v>
      </c>
      <c r="L240" s="1">
        <v>118.04</v>
      </c>
      <c r="M240" s="1" t="s">
        <v>10</v>
      </c>
      <c r="N240" s="1">
        <f>IF(Sales_Data[[#This Row],[Sales with Discount]]&lt;Sales_Data[[#This Row],[Sales with Free Shipping]],Sales_Data[[#This Row],[Sales with Discount]],Sales_Data[[#This Row],[Sales with Free Shipping]])</f>
        <v>118.04</v>
      </c>
      <c r="O240" s="1" t="str">
        <f>TEXT(Sales_Data[[#This Row],[Order Date]], "MM-YYYY")</f>
        <v>05-2019</v>
      </c>
    </row>
    <row r="241" spans="1:15" x14ac:dyDescent="0.3">
      <c r="A241" s="1">
        <v>42054</v>
      </c>
      <c r="B241" s="2">
        <v>43722</v>
      </c>
      <c r="C241" s="1" t="s">
        <v>14</v>
      </c>
      <c r="D241" s="1">
        <v>32</v>
      </c>
      <c r="E241" t="s">
        <v>21</v>
      </c>
      <c r="F241" t="s">
        <v>21</v>
      </c>
      <c r="G241" s="1">
        <v>101.17</v>
      </c>
      <c r="H241">
        <v>0</v>
      </c>
      <c r="I241">
        <f>Sales_Data[[#This Row],[Sales]]*Sales_Data[[#This Row],[Discount]]</f>
        <v>0</v>
      </c>
      <c r="J241">
        <v>101.17</v>
      </c>
      <c r="K241" s="1">
        <v>1.6</v>
      </c>
      <c r="L241" s="1">
        <v>101.17</v>
      </c>
      <c r="M241" s="1" t="s">
        <v>10</v>
      </c>
      <c r="N241" s="1">
        <f>IF(Sales_Data[[#This Row],[Sales with Discount]]&lt;Sales_Data[[#This Row],[Sales with Free Shipping]],Sales_Data[[#This Row],[Sales with Discount]],Sales_Data[[#This Row],[Sales with Free Shipping]])</f>
        <v>101.17</v>
      </c>
      <c r="O241" s="1" t="str">
        <f>TEXT(Sales_Data[[#This Row],[Order Date]], "MM-YYYY")</f>
        <v>09-2019</v>
      </c>
    </row>
    <row r="242" spans="1:15" x14ac:dyDescent="0.3">
      <c r="A242" s="1">
        <v>26912</v>
      </c>
      <c r="B242" s="2">
        <v>43582</v>
      </c>
      <c r="C242" s="1" t="s">
        <v>7</v>
      </c>
      <c r="D242" s="1">
        <v>18</v>
      </c>
      <c r="E242" t="s">
        <v>19</v>
      </c>
      <c r="F242" t="s">
        <v>19</v>
      </c>
      <c r="G242" s="1">
        <v>3355.74</v>
      </c>
      <c r="H242">
        <v>0</v>
      </c>
      <c r="I242">
        <f>Sales_Data[[#This Row],[Sales]]*Sales_Data[[#This Row],[Discount]]</f>
        <v>0</v>
      </c>
      <c r="J242">
        <v>3355.74</v>
      </c>
      <c r="K242" s="1">
        <v>5.6</v>
      </c>
      <c r="L242" s="1">
        <v>3355.74</v>
      </c>
      <c r="M242" s="1" t="s">
        <v>10</v>
      </c>
      <c r="N242" s="1">
        <f>IF(Sales_Data[[#This Row],[Sales with Discount]]&lt;Sales_Data[[#This Row],[Sales with Free Shipping]],Sales_Data[[#This Row],[Sales with Discount]],Sales_Data[[#This Row],[Sales with Free Shipping]])</f>
        <v>3355.74</v>
      </c>
      <c r="O242" s="1" t="str">
        <f>TEXT(Sales_Data[[#This Row],[Order Date]], "MM-YYYY")</f>
        <v>04-2019</v>
      </c>
    </row>
    <row r="243" spans="1:15" x14ac:dyDescent="0.3">
      <c r="A243" s="1">
        <v>9925</v>
      </c>
      <c r="B243" s="2">
        <v>43494</v>
      </c>
      <c r="C243" s="1" t="s">
        <v>12</v>
      </c>
      <c r="D243" s="1">
        <v>31</v>
      </c>
      <c r="E243" t="s">
        <v>21</v>
      </c>
      <c r="F243" t="s">
        <v>21</v>
      </c>
      <c r="G243" s="1">
        <v>732.42</v>
      </c>
      <c r="H243">
        <v>0</v>
      </c>
      <c r="I243">
        <f>Sales_Data[[#This Row],[Sales]]*Sales_Data[[#This Row],[Discount]]</f>
        <v>0</v>
      </c>
      <c r="J243">
        <v>732.42</v>
      </c>
      <c r="K243" s="1">
        <v>9.6</v>
      </c>
      <c r="L243" s="1">
        <v>732.42</v>
      </c>
      <c r="M243" s="1" t="s">
        <v>10</v>
      </c>
      <c r="N243" s="1">
        <f>IF(Sales_Data[[#This Row],[Sales with Discount]]&lt;Sales_Data[[#This Row],[Sales with Free Shipping]],Sales_Data[[#This Row],[Sales with Discount]],Sales_Data[[#This Row],[Sales with Free Shipping]])</f>
        <v>732.42</v>
      </c>
      <c r="O243" s="1" t="str">
        <f>TEXT(Sales_Data[[#This Row],[Order Date]], "MM-YYYY")</f>
        <v>01-2019</v>
      </c>
    </row>
    <row r="244" spans="1:15" x14ac:dyDescent="0.3">
      <c r="A244" s="1">
        <v>48448</v>
      </c>
      <c r="B244" s="2">
        <v>43785</v>
      </c>
      <c r="C244" s="1" t="s">
        <v>7</v>
      </c>
      <c r="D244" s="1">
        <v>20</v>
      </c>
      <c r="E244" t="s">
        <v>19</v>
      </c>
      <c r="F244" t="s">
        <v>19</v>
      </c>
      <c r="G244" s="1">
        <v>364.82</v>
      </c>
      <c r="H244">
        <v>0</v>
      </c>
      <c r="I244">
        <f>Sales_Data[[#This Row],[Sales]]*Sales_Data[[#This Row],[Discount]]</f>
        <v>0</v>
      </c>
      <c r="J244">
        <v>364.82</v>
      </c>
      <c r="K244" s="1">
        <v>1.1000000000000001</v>
      </c>
      <c r="L244" s="1">
        <v>364.82</v>
      </c>
      <c r="M244" s="1" t="s">
        <v>10</v>
      </c>
      <c r="N244" s="1">
        <f>IF(Sales_Data[[#This Row],[Sales with Discount]]&lt;Sales_Data[[#This Row],[Sales with Free Shipping]],Sales_Data[[#This Row],[Sales with Discount]],Sales_Data[[#This Row],[Sales with Free Shipping]])</f>
        <v>364.82</v>
      </c>
      <c r="O244" s="1" t="str">
        <f>TEXT(Sales_Data[[#This Row],[Order Date]], "MM-YYYY")</f>
        <v>11-2019</v>
      </c>
    </row>
    <row r="245" spans="1:15" x14ac:dyDescent="0.3">
      <c r="A245" s="1">
        <v>32386</v>
      </c>
      <c r="B245" s="2">
        <v>43573</v>
      </c>
      <c r="C245" s="1" t="s">
        <v>12</v>
      </c>
      <c r="D245" s="1">
        <v>1</v>
      </c>
      <c r="E245" t="s">
        <v>16</v>
      </c>
      <c r="F245" t="s">
        <v>16</v>
      </c>
      <c r="G245" s="1">
        <v>2135.89</v>
      </c>
      <c r="H245">
        <v>0</v>
      </c>
      <c r="I245">
        <f>Sales_Data[[#This Row],[Sales]]*Sales_Data[[#This Row],[Discount]]</f>
        <v>0</v>
      </c>
      <c r="J245">
        <v>2135.89</v>
      </c>
      <c r="K245" s="1">
        <v>15</v>
      </c>
      <c r="L245" s="1">
        <v>2135.89</v>
      </c>
      <c r="M245" s="1" t="s">
        <v>10</v>
      </c>
      <c r="N245" s="1">
        <f>IF(Sales_Data[[#This Row],[Sales with Discount]]&lt;Sales_Data[[#This Row],[Sales with Free Shipping]],Sales_Data[[#This Row],[Sales with Discount]],Sales_Data[[#This Row],[Sales with Free Shipping]])</f>
        <v>2135.89</v>
      </c>
      <c r="O245" s="1" t="str">
        <f>TEXT(Sales_Data[[#This Row],[Order Date]], "MM-YYYY")</f>
        <v>04-2019</v>
      </c>
    </row>
    <row r="246" spans="1:15" x14ac:dyDescent="0.3">
      <c r="A246" s="1">
        <v>7427</v>
      </c>
      <c r="B246" s="2">
        <v>43814</v>
      </c>
      <c r="C246" s="1" t="s">
        <v>11</v>
      </c>
      <c r="D246" s="1">
        <v>9</v>
      </c>
      <c r="E246" t="s">
        <v>17</v>
      </c>
      <c r="F246" t="s">
        <v>17</v>
      </c>
      <c r="G246" s="1">
        <v>195.02</v>
      </c>
      <c r="H246">
        <v>0</v>
      </c>
      <c r="I246">
        <f>Sales_Data[[#This Row],[Sales]]*Sales_Data[[#This Row],[Discount]]</f>
        <v>0</v>
      </c>
      <c r="J246">
        <v>195.02</v>
      </c>
      <c r="K246" s="1">
        <v>1.6</v>
      </c>
      <c r="L246" s="1">
        <v>195.02</v>
      </c>
      <c r="M246" s="1" t="s">
        <v>10</v>
      </c>
      <c r="N246" s="1">
        <f>IF(Sales_Data[[#This Row],[Sales with Discount]]&lt;Sales_Data[[#This Row],[Sales with Free Shipping]],Sales_Data[[#This Row],[Sales with Discount]],Sales_Data[[#This Row],[Sales with Free Shipping]])</f>
        <v>195.02</v>
      </c>
      <c r="O246" s="1" t="str">
        <f>TEXT(Sales_Data[[#This Row],[Order Date]], "MM-YYYY")</f>
        <v>12-2019</v>
      </c>
    </row>
    <row r="247" spans="1:15" x14ac:dyDescent="0.3">
      <c r="A247" s="1">
        <v>27302</v>
      </c>
      <c r="B247" s="2">
        <v>43720</v>
      </c>
      <c r="C247" s="1" t="s">
        <v>7</v>
      </c>
      <c r="D247" s="1">
        <v>16</v>
      </c>
      <c r="E247" t="s">
        <v>19</v>
      </c>
      <c r="F247" t="s">
        <v>19</v>
      </c>
      <c r="G247" s="1">
        <v>254.17</v>
      </c>
      <c r="H247">
        <v>0</v>
      </c>
      <c r="I247">
        <f>Sales_Data[[#This Row],[Sales]]*Sales_Data[[#This Row],[Discount]]</f>
        <v>0</v>
      </c>
      <c r="J247">
        <v>254.17</v>
      </c>
      <c r="K247" s="1">
        <v>9.4</v>
      </c>
      <c r="L247" s="1">
        <v>254.17</v>
      </c>
      <c r="M247" s="1" t="s">
        <v>10</v>
      </c>
      <c r="N247" s="1">
        <f>IF(Sales_Data[[#This Row],[Sales with Discount]]&lt;Sales_Data[[#This Row],[Sales with Free Shipping]],Sales_Data[[#This Row],[Sales with Discount]],Sales_Data[[#This Row],[Sales with Free Shipping]])</f>
        <v>254.17</v>
      </c>
      <c r="O247" s="1" t="str">
        <f>TEXT(Sales_Data[[#This Row],[Order Date]], "MM-YYYY")</f>
        <v>09-2019</v>
      </c>
    </row>
    <row r="248" spans="1:15" x14ac:dyDescent="0.3">
      <c r="A248" s="1">
        <v>52837</v>
      </c>
      <c r="B248" s="2">
        <v>43482</v>
      </c>
      <c r="C248" s="1" t="s">
        <v>12</v>
      </c>
      <c r="D248" s="1">
        <v>32</v>
      </c>
      <c r="E248" t="s">
        <v>21</v>
      </c>
      <c r="F248" t="s">
        <v>21</v>
      </c>
      <c r="G248" s="1">
        <v>6349.8</v>
      </c>
      <c r="H248">
        <v>0</v>
      </c>
      <c r="I248">
        <f>Sales_Data[[#This Row],[Sales]]*Sales_Data[[#This Row],[Discount]]</f>
        <v>0</v>
      </c>
      <c r="J248">
        <v>6349.8</v>
      </c>
      <c r="K248" s="1">
        <v>21.4</v>
      </c>
      <c r="L248" s="1">
        <v>6349.8</v>
      </c>
      <c r="M248" s="1" t="s">
        <v>10</v>
      </c>
      <c r="N248" s="1">
        <f>IF(Sales_Data[[#This Row],[Sales with Discount]]&lt;Sales_Data[[#This Row],[Sales with Free Shipping]],Sales_Data[[#This Row],[Sales with Discount]],Sales_Data[[#This Row],[Sales with Free Shipping]])</f>
        <v>6349.8</v>
      </c>
      <c r="O248" s="1" t="str">
        <f>TEXT(Sales_Data[[#This Row],[Order Date]], "MM-YYYY")</f>
        <v>01-2019</v>
      </c>
    </row>
    <row r="249" spans="1:15" x14ac:dyDescent="0.3">
      <c r="A249" s="1">
        <v>40388</v>
      </c>
      <c r="B249" s="2">
        <v>43670</v>
      </c>
      <c r="C249" s="1" t="s">
        <v>12</v>
      </c>
      <c r="D249" s="1">
        <v>17</v>
      </c>
      <c r="E249" t="s">
        <v>19</v>
      </c>
      <c r="F249" t="s">
        <v>19</v>
      </c>
      <c r="G249" s="1">
        <v>72.47</v>
      </c>
      <c r="H249">
        <v>0</v>
      </c>
      <c r="I249">
        <f>Sales_Data[[#This Row],[Sales]]*Sales_Data[[#This Row],[Discount]]</f>
        <v>0</v>
      </c>
      <c r="J249">
        <v>72.47</v>
      </c>
      <c r="K249" s="1">
        <v>1</v>
      </c>
      <c r="L249" s="1">
        <v>72.47</v>
      </c>
      <c r="M249" s="1" t="s">
        <v>10</v>
      </c>
      <c r="N249" s="1">
        <f>IF(Sales_Data[[#This Row],[Sales with Discount]]&lt;Sales_Data[[#This Row],[Sales with Free Shipping]],Sales_Data[[#This Row],[Sales with Discount]],Sales_Data[[#This Row],[Sales with Free Shipping]])</f>
        <v>72.47</v>
      </c>
      <c r="O249" s="1" t="str">
        <f>TEXT(Sales_Data[[#This Row],[Order Date]], "MM-YYYY")</f>
        <v>07-2019</v>
      </c>
    </row>
    <row r="250" spans="1:15" x14ac:dyDescent="0.3">
      <c r="A250" s="1">
        <v>1991</v>
      </c>
      <c r="B250" s="2">
        <v>43714</v>
      </c>
      <c r="C250" s="1" t="s">
        <v>11</v>
      </c>
      <c r="D250" s="1">
        <v>27</v>
      </c>
      <c r="E250" t="s">
        <v>20</v>
      </c>
      <c r="F250" t="s">
        <v>20</v>
      </c>
      <c r="G250" s="1">
        <v>3735.43</v>
      </c>
      <c r="H250">
        <v>0</v>
      </c>
      <c r="I250">
        <f>Sales_Data[[#This Row],[Sales]]*Sales_Data[[#This Row],[Discount]]</f>
        <v>0</v>
      </c>
      <c r="J250">
        <v>3735.43</v>
      </c>
      <c r="K250" s="1">
        <v>26.2</v>
      </c>
      <c r="L250" s="1">
        <v>3735.43</v>
      </c>
      <c r="M250" s="1" t="s">
        <v>10</v>
      </c>
      <c r="N250" s="1">
        <f>IF(Sales_Data[[#This Row],[Sales with Discount]]&lt;Sales_Data[[#This Row],[Sales with Free Shipping]],Sales_Data[[#This Row],[Sales with Discount]],Sales_Data[[#This Row],[Sales with Free Shipping]])</f>
        <v>3735.43</v>
      </c>
      <c r="O250" s="1" t="str">
        <f>TEXT(Sales_Data[[#This Row],[Order Date]], "MM-YYYY")</f>
        <v>09-2019</v>
      </c>
    </row>
    <row r="251" spans="1:15" x14ac:dyDescent="0.3">
      <c r="A251" s="1">
        <v>33445</v>
      </c>
      <c r="B251" s="2">
        <v>43679</v>
      </c>
      <c r="C251" s="1" t="s">
        <v>7</v>
      </c>
      <c r="D251" s="1">
        <v>49</v>
      </c>
      <c r="E251" t="s">
        <v>24</v>
      </c>
      <c r="F251" t="s">
        <v>24</v>
      </c>
      <c r="G251" s="1">
        <v>3897.09</v>
      </c>
      <c r="H251">
        <v>0.01</v>
      </c>
      <c r="I251">
        <f>Sales_Data[[#This Row],[Sales]]*Sales_Data[[#This Row],[Discount]]</f>
        <v>38.9709</v>
      </c>
      <c r="J251">
        <v>3858.1190999999999</v>
      </c>
      <c r="K251" s="1">
        <v>28.6</v>
      </c>
      <c r="L251" s="1">
        <v>3868.4900000000002</v>
      </c>
      <c r="M251" s="1" t="s">
        <v>13</v>
      </c>
      <c r="N251" s="1">
        <f>IF(Sales_Data[[#This Row],[Sales with Discount]]&lt;Sales_Data[[#This Row],[Sales with Free Shipping]],Sales_Data[[#This Row],[Sales with Discount]],Sales_Data[[#This Row],[Sales with Free Shipping]])</f>
        <v>3858.1190999999999</v>
      </c>
      <c r="O251" s="1" t="str">
        <f>TEXT(Sales_Data[[#This Row],[Order Date]], "MM-YYYY")</f>
        <v>08-2019</v>
      </c>
    </row>
    <row r="252" spans="1:15" x14ac:dyDescent="0.3">
      <c r="A252" s="1">
        <v>28294</v>
      </c>
      <c r="B252" s="2">
        <v>43607</v>
      </c>
      <c r="C252" s="1" t="s">
        <v>9</v>
      </c>
      <c r="D252" s="1">
        <v>47</v>
      </c>
      <c r="E252" t="s">
        <v>24</v>
      </c>
      <c r="F252" t="s">
        <v>24</v>
      </c>
      <c r="G252" s="1">
        <v>67.91</v>
      </c>
      <c r="H252">
        <v>0.01</v>
      </c>
      <c r="I252">
        <f>Sales_Data[[#This Row],[Sales]]*Sales_Data[[#This Row],[Discount]]</f>
        <v>0.67909999999999993</v>
      </c>
      <c r="J252">
        <v>67.230899999999991</v>
      </c>
      <c r="K252" s="1">
        <v>0.7</v>
      </c>
      <c r="L252" s="1">
        <v>67.209999999999994</v>
      </c>
      <c r="M252" s="1" t="s">
        <v>10</v>
      </c>
      <c r="N252" s="1">
        <f>IF(Sales_Data[[#This Row],[Sales with Discount]]&lt;Sales_Data[[#This Row],[Sales with Free Shipping]],Sales_Data[[#This Row],[Sales with Discount]],Sales_Data[[#This Row],[Sales with Free Shipping]])</f>
        <v>67.209999999999994</v>
      </c>
      <c r="O252" s="1" t="str">
        <f>TEXT(Sales_Data[[#This Row],[Order Date]], "MM-YYYY")</f>
        <v>05-2019</v>
      </c>
    </row>
    <row r="253" spans="1:15" x14ac:dyDescent="0.3">
      <c r="A253" s="1">
        <v>33184</v>
      </c>
      <c r="B253" s="2">
        <v>43508</v>
      </c>
      <c r="C253" s="1" t="s">
        <v>11</v>
      </c>
      <c r="D253" s="1">
        <v>32</v>
      </c>
      <c r="E253" t="s">
        <v>21</v>
      </c>
      <c r="F253" t="s">
        <v>21</v>
      </c>
      <c r="G253" s="1">
        <v>430.66</v>
      </c>
      <c r="H253">
        <v>0</v>
      </c>
      <c r="I253">
        <f>Sales_Data[[#This Row],[Sales]]*Sales_Data[[#This Row],[Discount]]</f>
        <v>0</v>
      </c>
      <c r="J253">
        <v>430.66</v>
      </c>
      <c r="K253" s="1">
        <v>6</v>
      </c>
      <c r="L253" s="1">
        <v>430.66</v>
      </c>
      <c r="M253" s="1" t="s">
        <v>10</v>
      </c>
      <c r="N253" s="1">
        <f>IF(Sales_Data[[#This Row],[Sales with Discount]]&lt;Sales_Data[[#This Row],[Sales with Free Shipping]],Sales_Data[[#This Row],[Sales with Discount]],Sales_Data[[#This Row],[Sales with Free Shipping]])</f>
        <v>430.66</v>
      </c>
      <c r="O253" s="1" t="str">
        <f>TEXT(Sales_Data[[#This Row],[Order Date]], "MM-YYYY")</f>
        <v>02-2019</v>
      </c>
    </row>
    <row r="254" spans="1:15" x14ac:dyDescent="0.3">
      <c r="A254" s="1">
        <v>59878</v>
      </c>
      <c r="B254" s="2">
        <v>43613</v>
      </c>
      <c r="C254" s="1" t="s">
        <v>9</v>
      </c>
      <c r="D254" s="1">
        <v>23</v>
      </c>
      <c r="E254" t="s">
        <v>14</v>
      </c>
      <c r="F254" t="s">
        <v>14</v>
      </c>
      <c r="G254" s="1">
        <v>267.11</v>
      </c>
      <c r="H254">
        <v>0</v>
      </c>
      <c r="I254">
        <f>Sales_Data[[#This Row],[Sales]]*Sales_Data[[#This Row],[Discount]]</f>
        <v>0</v>
      </c>
      <c r="J254">
        <v>267.11</v>
      </c>
      <c r="K254" s="1">
        <v>8</v>
      </c>
      <c r="L254" s="1">
        <v>267.11</v>
      </c>
      <c r="M254" s="1" t="s">
        <v>10</v>
      </c>
      <c r="N254" s="1">
        <f>IF(Sales_Data[[#This Row],[Sales with Discount]]&lt;Sales_Data[[#This Row],[Sales with Free Shipping]],Sales_Data[[#This Row],[Sales with Discount]],Sales_Data[[#This Row],[Sales with Free Shipping]])</f>
        <v>267.11</v>
      </c>
      <c r="O254" s="1" t="str">
        <f>TEXT(Sales_Data[[#This Row],[Order Date]], "MM-YYYY")</f>
        <v>05-2019</v>
      </c>
    </row>
    <row r="255" spans="1:15" x14ac:dyDescent="0.3">
      <c r="A255" s="1">
        <v>31555</v>
      </c>
      <c r="B255" s="2">
        <v>43468</v>
      </c>
      <c r="C255" s="1" t="s">
        <v>12</v>
      </c>
      <c r="D255" s="1">
        <v>38</v>
      </c>
      <c r="E255" t="s">
        <v>22</v>
      </c>
      <c r="F255" t="s">
        <v>22</v>
      </c>
      <c r="G255" s="1">
        <v>3778.97</v>
      </c>
      <c r="H255">
        <v>0.01</v>
      </c>
      <c r="I255">
        <f>Sales_Data[[#This Row],[Sales]]*Sales_Data[[#This Row],[Discount]]</f>
        <v>37.789699999999996</v>
      </c>
      <c r="J255">
        <v>3741.1803</v>
      </c>
      <c r="K255" s="1">
        <v>22.2</v>
      </c>
      <c r="L255" s="1">
        <v>3756.77</v>
      </c>
      <c r="M255" s="1" t="s">
        <v>10</v>
      </c>
      <c r="N255" s="1">
        <f>IF(Sales_Data[[#This Row],[Sales with Discount]]&lt;Sales_Data[[#This Row],[Sales with Free Shipping]],Sales_Data[[#This Row],[Sales with Discount]],Sales_Data[[#This Row],[Sales with Free Shipping]])</f>
        <v>3741.1803</v>
      </c>
      <c r="O255" s="1" t="str">
        <f>TEXT(Sales_Data[[#This Row],[Order Date]], "MM-YYYY")</f>
        <v>01-2019</v>
      </c>
    </row>
    <row r="256" spans="1:15" x14ac:dyDescent="0.3">
      <c r="A256" s="1">
        <v>25986</v>
      </c>
      <c r="B256" s="2">
        <v>43638</v>
      </c>
      <c r="C256" s="1" t="s">
        <v>14</v>
      </c>
      <c r="D256" s="1">
        <v>48</v>
      </c>
      <c r="E256" t="s">
        <v>24</v>
      </c>
      <c r="F256" t="s">
        <v>24</v>
      </c>
      <c r="G256" s="1">
        <v>297.52999999999997</v>
      </c>
      <c r="H256">
        <v>0.01</v>
      </c>
      <c r="I256">
        <f>Sales_Data[[#This Row],[Sales]]*Sales_Data[[#This Row],[Discount]]</f>
        <v>2.9752999999999998</v>
      </c>
      <c r="J256">
        <v>294.55469999999997</v>
      </c>
      <c r="K256" s="1">
        <v>5.3</v>
      </c>
      <c r="L256" s="1">
        <v>292.22999999999996</v>
      </c>
      <c r="M256" s="1" t="s">
        <v>10</v>
      </c>
      <c r="N256" s="1">
        <f>IF(Sales_Data[[#This Row],[Sales with Discount]]&lt;Sales_Data[[#This Row],[Sales with Free Shipping]],Sales_Data[[#This Row],[Sales with Discount]],Sales_Data[[#This Row],[Sales with Free Shipping]])</f>
        <v>292.22999999999996</v>
      </c>
      <c r="O256" s="1" t="str">
        <f>TEXT(Sales_Data[[#This Row],[Order Date]], "MM-YYYY")</f>
        <v>06-2019</v>
      </c>
    </row>
    <row r="257" spans="1:15" x14ac:dyDescent="0.3">
      <c r="A257" s="1">
        <v>40672</v>
      </c>
      <c r="B257" s="2">
        <v>43767</v>
      </c>
      <c r="C257" s="1" t="s">
        <v>7</v>
      </c>
      <c r="D257" s="1">
        <v>16</v>
      </c>
      <c r="E257" t="s">
        <v>19</v>
      </c>
      <c r="F257" t="s">
        <v>19</v>
      </c>
      <c r="G257" s="1">
        <v>1731.16</v>
      </c>
      <c r="H257">
        <v>0</v>
      </c>
      <c r="I257">
        <f>Sales_Data[[#This Row],[Sales]]*Sales_Data[[#This Row],[Discount]]</f>
        <v>0</v>
      </c>
      <c r="J257">
        <v>1731.16</v>
      </c>
      <c r="K257" s="1">
        <v>38.299999999999997</v>
      </c>
      <c r="L257" s="1">
        <v>1731.16</v>
      </c>
      <c r="M257" s="1" t="s">
        <v>13</v>
      </c>
      <c r="N257" s="1">
        <f>IF(Sales_Data[[#This Row],[Sales with Discount]]&lt;Sales_Data[[#This Row],[Sales with Free Shipping]],Sales_Data[[#This Row],[Sales with Discount]],Sales_Data[[#This Row],[Sales with Free Shipping]])</f>
        <v>1731.16</v>
      </c>
      <c r="O257" s="1" t="str">
        <f>TEXT(Sales_Data[[#This Row],[Order Date]], "MM-YYYY")</f>
        <v>10-2019</v>
      </c>
    </row>
    <row r="258" spans="1:15" x14ac:dyDescent="0.3">
      <c r="A258" s="1">
        <v>2562</v>
      </c>
      <c r="B258" s="2">
        <v>43677</v>
      </c>
      <c r="C258" s="1" t="s">
        <v>12</v>
      </c>
      <c r="D258" s="1">
        <v>17</v>
      </c>
      <c r="E258" t="s">
        <v>19</v>
      </c>
      <c r="F258" t="s">
        <v>19</v>
      </c>
      <c r="G258" s="1">
        <v>878.66</v>
      </c>
      <c r="H258">
        <v>0</v>
      </c>
      <c r="I258">
        <f>Sales_Data[[#This Row],[Sales]]*Sales_Data[[#This Row],[Discount]]</f>
        <v>0</v>
      </c>
      <c r="J258">
        <v>878.66</v>
      </c>
      <c r="K258" s="1">
        <v>6.2</v>
      </c>
      <c r="L258" s="1">
        <v>878.66</v>
      </c>
      <c r="M258" s="1" t="s">
        <v>8</v>
      </c>
      <c r="N258" s="1">
        <f>IF(Sales_Data[[#This Row],[Sales with Discount]]&lt;Sales_Data[[#This Row],[Sales with Free Shipping]],Sales_Data[[#This Row],[Sales with Discount]],Sales_Data[[#This Row],[Sales with Free Shipping]])</f>
        <v>878.66</v>
      </c>
      <c r="O258" s="1" t="str">
        <f>TEXT(Sales_Data[[#This Row],[Order Date]], "MM-YYYY")</f>
        <v>07-2019</v>
      </c>
    </row>
    <row r="259" spans="1:15" x14ac:dyDescent="0.3">
      <c r="A259" s="1">
        <v>16706</v>
      </c>
      <c r="B259" s="2">
        <v>43643</v>
      </c>
      <c r="C259" s="1" t="s">
        <v>9</v>
      </c>
      <c r="D259" s="1">
        <v>47</v>
      </c>
      <c r="E259" t="s">
        <v>24</v>
      </c>
      <c r="F259" t="s">
        <v>24</v>
      </c>
      <c r="G259" s="1">
        <v>2079.7800000000002</v>
      </c>
      <c r="H259">
        <v>0.01</v>
      </c>
      <c r="I259">
        <f>Sales_Data[[#This Row],[Sales]]*Sales_Data[[#This Row],[Discount]]</f>
        <v>20.797800000000002</v>
      </c>
      <c r="J259">
        <v>2058.9822000000004</v>
      </c>
      <c r="K259" s="1">
        <v>36.6</v>
      </c>
      <c r="L259" s="1">
        <v>2043.1800000000003</v>
      </c>
      <c r="M259" s="1" t="s">
        <v>10</v>
      </c>
      <c r="N259" s="1">
        <f>IF(Sales_Data[[#This Row],[Sales with Discount]]&lt;Sales_Data[[#This Row],[Sales with Free Shipping]],Sales_Data[[#This Row],[Sales with Discount]],Sales_Data[[#This Row],[Sales with Free Shipping]])</f>
        <v>2043.1800000000003</v>
      </c>
      <c r="O259" s="1" t="str">
        <f>TEXT(Sales_Data[[#This Row],[Order Date]], "MM-YYYY")</f>
        <v>06-2019</v>
      </c>
    </row>
    <row r="260" spans="1:15" x14ac:dyDescent="0.3">
      <c r="A260" s="1">
        <v>53285</v>
      </c>
      <c r="B260" s="2">
        <v>43609</v>
      </c>
      <c r="C260" s="1" t="s">
        <v>12</v>
      </c>
      <c r="D260" s="1">
        <v>6</v>
      </c>
      <c r="E260" t="s">
        <v>17</v>
      </c>
      <c r="F260" t="s">
        <v>17</v>
      </c>
      <c r="G260" s="1">
        <v>1115.97</v>
      </c>
      <c r="H260">
        <v>0</v>
      </c>
      <c r="I260">
        <f>Sales_Data[[#This Row],[Sales]]*Sales_Data[[#This Row],[Discount]]</f>
        <v>0</v>
      </c>
      <c r="J260">
        <v>1115.97</v>
      </c>
      <c r="K260" s="1">
        <v>21.4</v>
      </c>
      <c r="L260" s="1">
        <v>1115.97</v>
      </c>
      <c r="M260" s="1" t="s">
        <v>10</v>
      </c>
      <c r="N260" s="1">
        <f>IF(Sales_Data[[#This Row],[Sales with Discount]]&lt;Sales_Data[[#This Row],[Sales with Free Shipping]],Sales_Data[[#This Row],[Sales with Discount]],Sales_Data[[#This Row],[Sales with Free Shipping]])</f>
        <v>1115.97</v>
      </c>
      <c r="O260" s="1" t="str">
        <f>TEXT(Sales_Data[[#This Row],[Order Date]], "MM-YYYY")</f>
        <v>05-2019</v>
      </c>
    </row>
    <row r="261" spans="1:15" x14ac:dyDescent="0.3">
      <c r="A261" s="1">
        <v>19044</v>
      </c>
      <c r="B261" s="2">
        <v>43566</v>
      </c>
      <c r="C261" s="1" t="s">
        <v>7</v>
      </c>
      <c r="D261" s="1">
        <v>32</v>
      </c>
      <c r="E261" t="s">
        <v>21</v>
      </c>
      <c r="F261" t="s">
        <v>21</v>
      </c>
      <c r="G261" s="1">
        <v>5136.47</v>
      </c>
      <c r="H261">
        <v>0</v>
      </c>
      <c r="I261">
        <f>Sales_Data[[#This Row],[Sales]]*Sales_Data[[#This Row],[Discount]]</f>
        <v>0</v>
      </c>
      <c r="J261">
        <v>5136.47</v>
      </c>
      <c r="K261" s="1">
        <v>15</v>
      </c>
      <c r="L261" s="1">
        <v>5136.47</v>
      </c>
      <c r="M261" s="1" t="s">
        <v>10</v>
      </c>
      <c r="N261" s="1">
        <f>IF(Sales_Data[[#This Row],[Sales with Discount]]&lt;Sales_Data[[#This Row],[Sales with Free Shipping]],Sales_Data[[#This Row],[Sales with Discount]],Sales_Data[[#This Row],[Sales with Free Shipping]])</f>
        <v>5136.47</v>
      </c>
      <c r="O261" s="1" t="str">
        <f>TEXT(Sales_Data[[#This Row],[Order Date]], "MM-YYYY")</f>
        <v>04-2019</v>
      </c>
    </row>
    <row r="262" spans="1:15" x14ac:dyDescent="0.3">
      <c r="A262" s="1">
        <v>6117</v>
      </c>
      <c r="B262" s="2">
        <v>43820</v>
      </c>
      <c r="C262" s="1" t="s">
        <v>12</v>
      </c>
      <c r="D262" s="1">
        <v>7</v>
      </c>
      <c r="E262" t="s">
        <v>17</v>
      </c>
      <c r="F262" t="s">
        <v>17</v>
      </c>
      <c r="G262" s="1">
        <v>168.02</v>
      </c>
      <c r="H262">
        <v>0</v>
      </c>
      <c r="I262">
        <f>Sales_Data[[#This Row],[Sales]]*Sales_Data[[#This Row],[Discount]]</f>
        <v>0</v>
      </c>
      <c r="J262">
        <v>168.02</v>
      </c>
      <c r="K262" s="1">
        <v>5.4</v>
      </c>
      <c r="L262" s="1">
        <v>168.02</v>
      </c>
      <c r="M262" s="1" t="s">
        <v>10</v>
      </c>
      <c r="N262" s="1">
        <f>IF(Sales_Data[[#This Row],[Sales with Discount]]&lt;Sales_Data[[#This Row],[Sales with Free Shipping]],Sales_Data[[#This Row],[Sales with Discount]],Sales_Data[[#This Row],[Sales with Free Shipping]])</f>
        <v>168.02</v>
      </c>
      <c r="O262" s="1" t="str">
        <f>TEXT(Sales_Data[[#This Row],[Order Date]], "MM-YYYY")</f>
        <v>12-2019</v>
      </c>
    </row>
    <row r="263" spans="1:15" x14ac:dyDescent="0.3">
      <c r="A263" s="1">
        <v>49255</v>
      </c>
      <c r="B263" s="2">
        <v>43638</v>
      </c>
      <c r="C263" s="1" t="s">
        <v>9</v>
      </c>
      <c r="D263" s="1">
        <v>20</v>
      </c>
      <c r="E263" t="s">
        <v>19</v>
      </c>
      <c r="F263" t="s">
        <v>19</v>
      </c>
      <c r="G263" s="1">
        <v>1452.46</v>
      </c>
      <c r="H263">
        <v>0</v>
      </c>
      <c r="I263">
        <f>Sales_Data[[#This Row],[Sales]]*Sales_Data[[#This Row],[Discount]]</f>
        <v>0</v>
      </c>
      <c r="J263">
        <v>1452.46</v>
      </c>
      <c r="K263" s="1">
        <v>28.7</v>
      </c>
      <c r="L263" s="1">
        <v>1452.46</v>
      </c>
      <c r="M263" s="1" t="s">
        <v>13</v>
      </c>
      <c r="N263" s="1">
        <f>IF(Sales_Data[[#This Row],[Sales with Discount]]&lt;Sales_Data[[#This Row],[Sales with Free Shipping]],Sales_Data[[#This Row],[Sales with Discount]],Sales_Data[[#This Row],[Sales with Free Shipping]])</f>
        <v>1452.46</v>
      </c>
      <c r="O263" s="1" t="str">
        <f>TEXT(Sales_Data[[#This Row],[Order Date]], "MM-YYYY")</f>
        <v>06-2019</v>
      </c>
    </row>
    <row r="264" spans="1:15" x14ac:dyDescent="0.3">
      <c r="A264" s="1">
        <v>48706</v>
      </c>
      <c r="B264" s="2">
        <v>43768</v>
      </c>
      <c r="C264" s="1" t="s">
        <v>7</v>
      </c>
      <c r="D264" s="1">
        <v>18</v>
      </c>
      <c r="E264" t="s">
        <v>19</v>
      </c>
      <c r="F264" t="s">
        <v>19</v>
      </c>
      <c r="G264" s="1">
        <v>142.07</v>
      </c>
      <c r="H264">
        <v>0</v>
      </c>
      <c r="I264">
        <f>Sales_Data[[#This Row],[Sales]]*Sales_Data[[#This Row],[Discount]]</f>
        <v>0</v>
      </c>
      <c r="J264">
        <v>142.07</v>
      </c>
      <c r="K264" s="1">
        <v>11.9</v>
      </c>
      <c r="L264" s="1">
        <v>142.07</v>
      </c>
      <c r="M264" s="1" t="s">
        <v>10</v>
      </c>
      <c r="N264" s="1">
        <f>IF(Sales_Data[[#This Row],[Sales with Discount]]&lt;Sales_Data[[#This Row],[Sales with Free Shipping]],Sales_Data[[#This Row],[Sales with Discount]],Sales_Data[[#This Row],[Sales with Free Shipping]])</f>
        <v>142.07</v>
      </c>
      <c r="O264" s="1" t="str">
        <f>TEXT(Sales_Data[[#This Row],[Order Date]], "MM-YYYY")</f>
        <v>10-2019</v>
      </c>
    </row>
    <row r="265" spans="1:15" x14ac:dyDescent="0.3">
      <c r="A265" s="1">
        <v>25666</v>
      </c>
      <c r="B265" s="2">
        <v>43710</v>
      </c>
      <c r="C265" s="1" t="s">
        <v>12</v>
      </c>
      <c r="D265" s="1">
        <v>36</v>
      </c>
      <c r="E265" t="s">
        <v>22</v>
      </c>
      <c r="F265" t="s">
        <v>22</v>
      </c>
      <c r="G265" s="1">
        <v>5427.4</v>
      </c>
      <c r="H265">
        <v>0.01</v>
      </c>
      <c r="I265">
        <f>Sales_Data[[#This Row],[Sales]]*Sales_Data[[#This Row],[Discount]]</f>
        <v>54.274000000000001</v>
      </c>
      <c r="J265">
        <v>5373.1259999999993</v>
      </c>
      <c r="K265" s="1">
        <v>21.4</v>
      </c>
      <c r="L265" s="1">
        <v>5406</v>
      </c>
      <c r="M265" s="1" t="s">
        <v>10</v>
      </c>
      <c r="N265" s="1">
        <f>IF(Sales_Data[[#This Row],[Sales with Discount]]&lt;Sales_Data[[#This Row],[Sales with Free Shipping]],Sales_Data[[#This Row],[Sales with Discount]],Sales_Data[[#This Row],[Sales with Free Shipping]])</f>
        <v>5373.1259999999993</v>
      </c>
      <c r="O265" s="1" t="str">
        <f>TEXT(Sales_Data[[#This Row],[Order Date]], "MM-YYYY")</f>
        <v>09-2019</v>
      </c>
    </row>
    <row r="266" spans="1:15" x14ac:dyDescent="0.3">
      <c r="A266" s="1">
        <v>22182</v>
      </c>
      <c r="B266" s="2">
        <v>43713</v>
      </c>
      <c r="C266" s="1" t="s">
        <v>14</v>
      </c>
      <c r="D266" s="1">
        <v>4</v>
      </c>
      <c r="E266" t="s">
        <v>16</v>
      </c>
      <c r="F266" t="s">
        <v>16</v>
      </c>
      <c r="G266" s="1">
        <v>59.89</v>
      </c>
      <c r="H266">
        <v>0</v>
      </c>
      <c r="I266">
        <f>Sales_Data[[#This Row],[Sales]]*Sales_Data[[#This Row],[Discount]]</f>
        <v>0</v>
      </c>
      <c r="J266">
        <v>59.89</v>
      </c>
      <c r="K266" s="1">
        <v>7.7</v>
      </c>
      <c r="L266" s="1">
        <v>59.89</v>
      </c>
      <c r="M266" s="1" t="s">
        <v>10</v>
      </c>
      <c r="N266" s="1">
        <f>IF(Sales_Data[[#This Row],[Sales with Discount]]&lt;Sales_Data[[#This Row],[Sales with Free Shipping]],Sales_Data[[#This Row],[Sales with Discount]],Sales_Data[[#This Row],[Sales with Free Shipping]])</f>
        <v>59.89</v>
      </c>
      <c r="O266" s="1" t="str">
        <f>TEXT(Sales_Data[[#This Row],[Order Date]], "MM-YYYY")</f>
        <v>09-2019</v>
      </c>
    </row>
    <row r="267" spans="1:15" x14ac:dyDescent="0.3">
      <c r="A267" s="1">
        <v>38052</v>
      </c>
      <c r="B267" s="2">
        <v>43510</v>
      </c>
      <c r="C267" s="1" t="s">
        <v>7</v>
      </c>
      <c r="D267" s="1">
        <v>13</v>
      </c>
      <c r="E267" t="s">
        <v>18</v>
      </c>
      <c r="F267" t="s">
        <v>18</v>
      </c>
      <c r="G267" s="1">
        <v>580.58000000000004</v>
      </c>
      <c r="H267">
        <v>0</v>
      </c>
      <c r="I267">
        <f>Sales_Data[[#This Row],[Sales]]*Sales_Data[[#This Row],[Discount]]</f>
        <v>0</v>
      </c>
      <c r="J267">
        <v>580.58000000000004</v>
      </c>
      <c r="K267" s="1">
        <v>2.1</v>
      </c>
      <c r="L267" s="1">
        <v>580.58000000000004</v>
      </c>
      <c r="M267" s="1" t="s">
        <v>10</v>
      </c>
      <c r="N267" s="1">
        <f>IF(Sales_Data[[#This Row],[Sales with Discount]]&lt;Sales_Data[[#This Row],[Sales with Free Shipping]],Sales_Data[[#This Row],[Sales with Discount]],Sales_Data[[#This Row],[Sales with Free Shipping]])</f>
        <v>580.58000000000004</v>
      </c>
      <c r="O267" s="1" t="str">
        <f>TEXT(Sales_Data[[#This Row],[Order Date]], "MM-YYYY")</f>
        <v>02-2019</v>
      </c>
    </row>
    <row r="268" spans="1:15" x14ac:dyDescent="0.3">
      <c r="A268" s="1">
        <v>53477</v>
      </c>
      <c r="B268" s="2">
        <v>43590</v>
      </c>
      <c r="C268" s="1" t="s">
        <v>9</v>
      </c>
      <c r="D268" s="1">
        <v>36</v>
      </c>
      <c r="E268" t="s">
        <v>22</v>
      </c>
      <c r="F268" t="s">
        <v>22</v>
      </c>
      <c r="G268" s="1">
        <v>1406.68</v>
      </c>
      <c r="H268">
        <v>0.01</v>
      </c>
      <c r="I268">
        <f>Sales_Data[[#This Row],[Sales]]*Sales_Data[[#This Row],[Discount]]</f>
        <v>14.066800000000001</v>
      </c>
      <c r="J268">
        <v>1392.6132</v>
      </c>
      <c r="K268" s="1">
        <v>5.4</v>
      </c>
      <c r="L268" s="1">
        <v>1401.28</v>
      </c>
      <c r="M268" s="1" t="s">
        <v>10</v>
      </c>
      <c r="N268" s="1">
        <f>IF(Sales_Data[[#This Row],[Sales with Discount]]&lt;Sales_Data[[#This Row],[Sales with Free Shipping]],Sales_Data[[#This Row],[Sales with Discount]],Sales_Data[[#This Row],[Sales with Free Shipping]])</f>
        <v>1392.6132</v>
      </c>
      <c r="O268" s="1" t="str">
        <f>TEXT(Sales_Data[[#This Row],[Order Date]], "MM-YYYY")</f>
        <v>05-2019</v>
      </c>
    </row>
    <row r="269" spans="1:15" x14ac:dyDescent="0.3">
      <c r="A269" s="1">
        <v>31270</v>
      </c>
      <c r="B269" s="2">
        <v>43792</v>
      </c>
      <c r="C269" s="1" t="s">
        <v>14</v>
      </c>
      <c r="D269" s="1">
        <v>3</v>
      </c>
      <c r="E269" t="s">
        <v>16</v>
      </c>
      <c r="F269" t="s">
        <v>16</v>
      </c>
      <c r="G269" s="1">
        <v>954.02</v>
      </c>
      <c r="H269">
        <v>0</v>
      </c>
      <c r="I269">
        <f>Sales_Data[[#This Row],[Sales]]*Sales_Data[[#This Row],[Discount]]</f>
        <v>0</v>
      </c>
      <c r="J269">
        <v>954.02</v>
      </c>
      <c r="K269" s="1">
        <v>52.2</v>
      </c>
      <c r="L269" s="1">
        <v>954.02</v>
      </c>
      <c r="M269" s="1" t="s">
        <v>13</v>
      </c>
      <c r="N269" s="1">
        <f>IF(Sales_Data[[#This Row],[Sales with Discount]]&lt;Sales_Data[[#This Row],[Sales with Free Shipping]],Sales_Data[[#This Row],[Sales with Discount]],Sales_Data[[#This Row],[Sales with Free Shipping]])</f>
        <v>954.02</v>
      </c>
      <c r="O269" s="1" t="str">
        <f>TEXT(Sales_Data[[#This Row],[Order Date]], "MM-YYYY")</f>
        <v>11-2019</v>
      </c>
    </row>
    <row r="270" spans="1:15" x14ac:dyDescent="0.3">
      <c r="A270" s="1">
        <v>51202</v>
      </c>
      <c r="B270" s="2">
        <v>43568</v>
      </c>
      <c r="C270" s="1" t="s">
        <v>9</v>
      </c>
      <c r="D270" s="1">
        <v>34</v>
      </c>
      <c r="E270" t="s">
        <v>21</v>
      </c>
      <c r="F270" t="s">
        <v>21</v>
      </c>
      <c r="G270" s="1">
        <v>182.39</v>
      </c>
      <c r="H270">
        <v>0</v>
      </c>
      <c r="I270">
        <f>Sales_Data[[#This Row],[Sales]]*Sales_Data[[#This Row],[Discount]]</f>
        <v>0</v>
      </c>
      <c r="J270">
        <v>182.39</v>
      </c>
      <c r="K270" s="1">
        <v>6.1</v>
      </c>
      <c r="L270" s="1">
        <v>182.39</v>
      </c>
      <c r="M270" s="1" t="s">
        <v>10</v>
      </c>
      <c r="N270" s="1">
        <f>IF(Sales_Data[[#This Row],[Sales with Discount]]&lt;Sales_Data[[#This Row],[Sales with Free Shipping]],Sales_Data[[#This Row],[Sales with Discount]],Sales_Data[[#This Row],[Sales with Free Shipping]])</f>
        <v>182.39</v>
      </c>
      <c r="O270" s="1" t="str">
        <f>TEXT(Sales_Data[[#This Row],[Order Date]], "MM-YYYY")</f>
        <v>04-2019</v>
      </c>
    </row>
    <row r="271" spans="1:15" x14ac:dyDescent="0.3">
      <c r="A271" s="1">
        <v>16036</v>
      </c>
      <c r="B271" s="2">
        <v>43469</v>
      </c>
      <c r="C271" s="1" t="s">
        <v>14</v>
      </c>
      <c r="D271" s="1">
        <v>10</v>
      </c>
      <c r="E271" t="s">
        <v>17</v>
      </c>
      <c r="F271" t="s">
        <v>17</v>
      </c>
      <c r="G271" s="1">
        <v>1411.78</v>
      </c>
      <c r="H271">
        <v>0</v>
      </c>
      <c r="I271">
        <f>Sales_Data[[#This Row],[Sales]]*Sales_Data[[#This Row],[Discount]]</f>
        <v>0</v>
      </c>
      <c r="J271">
        <v>1411.78</v>
      </c>
      <c r="K271" s="1">
        <v>8.6</v>
      </c>
      <c r="L271" s="1">
        <v>1411.78</v>
      </c>
      <c r="M271" s="1" t="s">
        <v>10</v>
      </c>
      <c r="N271" s="1">
        <f>IF(Sales_Data[[#This Row],[Sales with Discount]]&lt;Sales_Data[[#This Row],[Sales with Free Shipping]],Sales_Data[[#This Row],[Sales with Discount]],Sales_Data[[#This Row],[Sales with Free Shipping]])</f>
        <v>1411.78</v>
      </c>
      <c r="O271" s="1" t="str">
        <f>TEXT(Sales_Data[[#This Row],[Order Date]], "MM-YYYY")</f>
        <v>01-2019</v>
      </c>
    </row>
    <row r="272" spans="1:15" x14ac:dyDescent="0.3">
      <c r="A272" s="1">
        <v>17510</v>
      </c>
      <c r="B272" s="2">
        <v>43768</v>
      </c>
      <c r="C272" s="1" t="s">
        <v>12</v>
      </c>
      <c r="D272" s="1">
        <v>28</v>
      </c>
      <c r="E272" t="s">
        <v>20</v>
      </c>
      <c r="F272" t="s">
        <v>20</v>
      </c>
      <c r="G272" s="1">
        <v>494.47</v>
      </c>
      <c r="H272">
        <v>0</v>
      </c>
      <c r="I272">
        <f>Sales_Data[[#This Row],[Sales]]*Sales_Data[[#This Row],[Discount]]</f>
        <v>0</v>
      </c>
      <c r="J272">
        <v>494.47</v>
      </c>
      <c r="K272" s="1">
        <v>1.5</v>
      </c>
      <c r="L272" s="1">
        <v>494.47</v>
      </c>
      <c r="M272" s="1" t="s">
        <v>10</v>
      </c>
      <c r="N272" s="1">
        <f>IF(Sales_Data[[#This Row],[Sales with Discount]]&lt;Sales_Data[[#This Row],[Sales with Free Shipping]],Sales_Data[[#This Row],[Sales with Discount]],Sales_Data[[#This Row],[Sales with Free Shipping]])</f>
        <v>494.47</v>
      </c>
      <c r="O272" s="1" t="str">
        <f>TEXT(Sales_Data[[#This Row],[Order Date]], "MM-YYYY")</f>
        <v>10-2019</v>
      </c>
    </row>
    <row r="273" spans="1:15" x14ac:dyDescent="0.3">
      <c r="A273" s="1">
        <v>10439</v>
      </c>
      <c r="B273" s="2">
        <v>43552</v>
      </c>
      <c r="C273" s="1" t="s">
        <v>11</v>
      </c>
      <c r="D273" s="1">
        <v>41</v>
      </c>
      <c r="E273" t="s">
        <v>23</v>
      </c>
      <c r="F273" t="s">
        <v>23</v>
      </c>
      <c r="G273" s="1">
        <v>880.7491</v>
      </c>
      <c r="H273">
        <v>0.01</v>
      </c>
      <c r="I273">
        <f>Sales_Data[[#This Row],[Sales]]*Sales_Data[[#This Row],[Discount]]</f>
        <v>8.8074910000000006</v>
      </c>
      <c r="J273">
        <v>871.94160899999997</v>
      </c>
      <c r="K273" s="1">
        <v>1.6</v>
      </c>
      <c r="L273" s="1">
        <v>879.14909999999998</v>
      </c>
      <c r="M273" s="1" t="s">
        <v>10</v>
      </c>
      <c r="N273" s="1">
        <f>IF(Sales_Data[[#This Row],[Sales with Discount]]&lt;Sales_Data[[#This Row],[Sales with Free Shipping]],Sales_Data[[#This Row],[Sales with Discount]],Sales_Data[[#This Row],[Sales with Free Shipping]])</f>
        <v>871.94160899999997</v>
      </c>
      <c r="O273" s="1" t="str">
        <f>TEXT(Sales_Data[[#This Row],[Order Date]], "MM-YYYY")</f>
        <v>03-2019</v>
      </c>
    </row>
    <row r="274" spans="1:15" x14ac:dyDescent="0.3">
      <c r="A274" s="1">
        <v>15399</v>
      </c>
      <c r="B274" s="2">
        <v>43598</v>
      </c>
      <c r="C274" s="1" t="s">
        <v>12</v>
      </c>
      <c r="D274" s="1">
        <v>38</v>
      </c>
      <c r="E274" t="s">
        <v>22</v>
      </c>
      <c r="F274" t="s">
        <v>22</v>
      </c>
      <c r="G274" s="1">
        <v>4267.26</v>
      </c>
      <c r="H274">
        <v>0.01</v>
      </c>
      <c r="I274">
        <f>Sales_Data[[#This Row],[Sales]]*Sales_Data[[#This Row],[Discount]]</f>
        <v>42.672600000000003</v>
      </c>
      <c r="J274">
        <v>4224.5874000000003</v>
      </c>
      <c r="K274" s="1">
        <v>4.5</v>
      </c>
      <c r="L274" s="1">
        <v>4262.76</v>
      </c>
      <c r="M274" s="1" t="s">
        <v>10</v>
      </c>
      <c r="N274" s="1">
        <f>IF(Sales_Data[[#This Row],[Sales with Discount]]&lt;Sales_Data[[#This Row],[Sales with Free Shipping]],Sales_Data[[#This Row],[Sales with Discount]],Sales_Data[[#This Row],[Sales with Free Shipping]])</f>
        <v>4224.5874000000003</v>
      </c>
      <c r="O274" s="1" t="str">
        <f>TEXT(Sales_Data[[#This Row],[Order Date]], "MM-YYYY")</f>
        <v>05-2019</v>
      </c>
    </row>
    <row r="275" spans="1:15" x14ac:dyDescent="0.3">
      <c r="A275" s="1">
        <v>48293</v>
      </c>
      <c r="B275" s="2">
        <v>43564</v>
      </c>
      <c r="C275" s="1" t="s">
        <v>12</v>
      </c>
      <c r="D275" s="1">
        <v>47</v>
      </c>
      <c r="E275" t="s">
        <v>24</v>
      </c>
      <c r="F275" t="s">
        <v>24</v>
      </c>
      <c r="G275" s="1">
        <v>396.54</v>
      </c>
      <c r="H275">
        <v>0.01</v>
      </c>
      <c r="I275">
        <f>Sales_Data[[#This Row],[Sales]]*Sales_Data[[#This Row],[Discount]]</f>
        <v>3.9654000000000003</v>
      </c>
      <c r="J275">
        <v>392.57460000000003</v>
      </c>
      <c r="K275" s="1">
        <v>1.5</v>
      </c>
      <c r="L275" s="1">
        <v>395.04</v>
      </c>
      <c r="M275" s="1" t="s">
        <v>10</v>
      </c>
      <c r="N275" s="1">
        <f>IF(Sales_Data[[#This Row],[Sales with Discount]]&lt;Sales_Data[[#This Row],[Sales with Free Shipping]],Sales_Data[[#This Row],[Sales with Discount]],Sales_Data[[#This Row],[Sales with Free Shipping]])</f>
        <v>392.57460000000003</v>
      </c>
      <c r="O275" s="1" t="str">
        <f>TEXT(Sales_Data[[#This Row],[Order Date]], "MM-YYYY")</f>
        <v>04-2019</v>
      </c>
    </row>
    <row r="276" spans="1:15" x14ac:dyDescent="0.3">
      <c r="A276" s="1">
        <v>15296</v>
      </c>
      <c r="B276" s="2">
        <v>43684</v>
      </c>
      <c r="C276" s="1" t="s">
        <v>11</v>
      </c>
      <c r="D276" s="1">
        <v>38</v>
      </c>
      <c r="E276" t="s">
        <v>22</v>
      </c>
      <c r="F276" t="s">
        <v>22</v>
      </c>
      <c r="G276" s="1">
        <v>6651.76</v>
      </c>
      <c r="H276">
        <v>0.01</v>
      </c>
      <c r="I276">
        <f>Sales_Data[[#This Row],[Sales]]*Sales_Data[[#This Row],[Discount]]</f>
        <v>66.517600000000002</v>
      </c>
      <c r="J276">
        <v>6585.2424000000001</v>
      </c>
      <c r="K276" s="1">
        <v>21.4</v>
      </c>
      <c r="L276" s="1">
        <v>6630.3600000000006</v>
      </c>
      <c r="M276" s="1" t="s">
        <v>10</v>
      </c>
      <c r="N276" s="1">
        <f>IF(Sales_Data[[#This Row],[Sales with Discount]]&lt;Sales_Data[[#This Row],[Sales with Free Shipping]],Sales_Data[[#This Row],[Sales with Discount]],Sales_Data[[#This Row],[Sales with Free Shipping]])</f>
        <v>6585.2424000000001</v>
      </c>
      <c r="O276" s="1" t="str">
        <f>TEXT(Sales_Data[[#This Row],[Order Date]], "MM-YYYY")</f>
        <v>08-2019</v>
      </c>
    </row>
    <row r="277" spans="1:15" x14ac:dyDescent="0.3">
      <c r="A277" s="1">
        <v>50818</v>
      </c>
      <c r="B277" s="2">
        <v>43744</v>
      </c>
      <c r="C277" s="1" t="s">
        <v>14</v>
      </c>
      <c r="D277" s="1">
        <v>34</v>
      </c>
      <c r="E277" t="s">
        <v>21</v>
      </c>
      <c r="F277" t="s">
        <v>21</v>
      </c>
      <c r="G277" s="1">
        <v>5904.83</v>
      </c>
      <c r="H277">
        <v>0</v>
      </c>
      <c r="I277">
        <f>Sales_Data[[#This Row],[Sales]]*Sales_Data[[#This Row],[Discount]]</f>
        <v>0</v>
      </c>
      <c r="J277">
        <v>5904.83</v>
      </c>
      <c r="K277" s="1">
        <v>9.6</v>
      </c>
      <c r="L277" s="1">
        <v>5904.83</v>
      </c>
      <c r="M277" s="1" t="s">
        <v>10</v>
      </c>
      <c r="N277" s="1">
        <f>IF(Sales_Data[[#This Row],[Sales with Discount]]&lt;Sales_Data[[#This Row],[Sales with Free Shipping]],Sales_Data[[#This Row],[Sales with Discount]],Sales_Data[[#This Row],[Sales with Free Shipping]])</f>
        <v>5904.83</v>
      </c>
      <c r="O277" s="1" t="str">
        <f>TEXT(Sales_Data[[#This Row],[Order Date]], "MM-YYYY")</f>
        <v>10-2019</v>
      </c>
    </row>
    <row r="278" spans="1:15" x14ac:dyDescent="0.3">
      <c r="A278" s="1">
        <v>41766</v>
      </c>
      <c r="B278" s="2">
        <v>43719</v>
      </c>
      <c r="C278" s="1" t="s">
        <v>12</v>
      </c>
      <c r="D278" s="1">
        <v>10</v>
      </c>
      <c r="E278" t="s">
        <v>17</v>
      </c>
      <c r="F278" t="s">
        <v>17</v>
      </c>
      <c r="G278" s="1">
        <v>5519.16</v>
      </c>
      <c r="H278">
        <v>0</v>
      </c>
      <c r="I278">
        <f>Sales_Data[[#This Row],[Sales]]*Sales_Data[[#This Row],[Discount]]</f>
        <v>0</v>
      </c>
      <c r="J278">
        <v>5519.16</v>
      </c>
      <c r="K278" s="1">
        <v>30.1</v>
      </c>
      <c r="L278" s="1">
        <v>5519.16</v>
      </c>
      <c r="M278" s="1" t="s">
        <v>13</v>
      </c>
      <c r="N278" s="1">
        <f>IF(Sales_Data[[#This Row],[Sales with Discount]]&lt;Sales_Data[[#This Row],[Sales with Free Shipping]],Sales_Data[[#This Row],[Sales with Discount]],Sales_Data[[#This Row],[Sales with Free Shipping]])</f>
        <v>5519.16</v>
      </c>
      <c r="O278" s="1" t="str">
        <f>TEXT(Sales_Data[[#This Row],[Order Date]], "MM-YYYY")</f>
        <v>09-2019</v>
      </c>
    </row>
    <row r="279" spans="1:15" x14ac:dyDescent="0.3">
      <c r="A279" s="1">
        <v>22980</v>
      </c>
      <c r="B279" s="2">
        <v>43739</v>
      </c>
      <c r="C279" s="1" t="s">
        <v>11</v>
      </c>
      <c r="D279" s="1">
        <v>10</v>
      </c>
      <c r="E279" t="s">
        <v>17</v>
      </c>
      <c r="F279" t="s">
        <v>17</v>
      </c>
      <c r="G279" s="1">
        <v>59.97</v>
      </c>
      <c r="H279">
        <v>0</v>
      </c>
      <c r="I279">
        <f>Sales_Data[[#This Row],[Sales]]*Sales_Data[[#This Row],[Discount]]</f>
        <v>0</v>
      </c>
      <c r="J279">
        <v>59.97</v>
      </c>
      <c r="K279" s="1">
        <v>5.9</v>
      </c>
      <c r="L279" s="1">
        <v>59.97</v>
      </c>
      <c r="M279" s="1" t="s">
        <v>10</v>
      </c>
      <c r="N279" s="1">
        <f>IF(Sales_Data[[#This Row],[Sales with Discount]]&lt;Sales_Data[[#This Row],[Sales with Free Shipping]],Sales_Data[[#This Row],[Sales with Discount]],Sales_Data[[#This Row],[Sales with Free Shipping]])</f>
        <v>59.97</v>
      </c>
      <c r="O279" s="1" t="str">
        <f>TEXT(Sales_Data[[#This Row],[Order Date]], "MM-YYYY")</f>
        <v>10-2019</v>
      </c>
    </row>
    <row r="280" spans="1:15" x14ac:dyDescent="0.3">
      <c r="A280" s="1">
        <v>30976</v>
      </c>
      <c r="B280" s="2">
        <v>43762</v>
      </c>
      <c r="C280" s="1" t="s">
        <v>9</v>
      </c>
      <c r="D280" s="1">
        <v>10</v>
      </c>
      <c r="E280" t="s">
        <v>17</v>
      </c>
      <c r="F280" t="s">
        <v>17</v>
      </c>
      <c r="G280" s="1">
        <v>432.15159999999997</v>
      </c>
      <c r="H280">
        <v>0</v>
      </c>
      <c r="I280">
        <f>Sales_Data[[#This Row],[Sales]]*Sales_Data[[#This Row],[Discount]]</f>
        <v>0</v>
      </c>
      <c r="J280">
        <v>432.15159999999997</v>
      </c>
      <c r="K280" s="1">
        <v>2.1</v>
      </c>
      <c r="L280" s="1">
        <v>432.15159999999997</v>
      </c>
      <c r="M280" s="1" t="s">
        <v>10</v>
      </c>
      <c r="N280" s="1">
        <f>IF(Sales_Data[[#This Row],[Sales with Discount]]&lt;Sales_Data[[#This Row],[Sales with Free Shipping]],Sales_Data[[#This Row],[Sales with Discount]],Sales_Data[[#This Row],[Sales with Free Shipping]])</f>
        <v>432.15159999999997</v>
      </c>
      <c r="O280" s="1" t="str">
        <f>TEXT(Sales_Data[[#This Row],[Order Date]], "MM-YYYY")</f>
        <v>10-2019</v>
      </c>
    </row>
    <row r="281" spans="1:15" x14ac:dyDescent="0.3">
      <c r="A281" s="1">
        <v>32449</v>
      </c>
      <c r="B281" s="2">
        <v>43808</v>
      </c>
      <c r="C281" s="1" t="s">
        <v>12</v>
      </c>
      <c r="D281" s="1">
        <v>12</v>
      </c>
      <c r="E281" t="s">
        <v>18</v>
      </c>
      <c r="F281" t="s">
        <v>18</v>
      </c>
      <c r="G281" s="1">
        <v>5229.24</v>
      </c>
      <c r="H281">
        <v>0</v>
      </c>
      <c r="I281">
        <f>Sales_Data[[#This Row],[Sales]]*Sales_Data[[#This Row],[Discount]]</f>
        <v>0</v>
      </c>
      <c r="J281">
        <v>5229.24</v>
      </c>
      <c r="K281" s="1">
        <v>117.9</v>
      </c>
      <c r="L281" s="1">
        <v>5229.24</v>
      </c>
      <c r="M281" s="1" t="s">
        <v>13</v>
      </c>
      <c r="N281" s="1">
        <f>IF(Sales_Data[[#This Row],[Sales with Discount]]&lt;Sales_Data[[#This Row],[Sales with Free Shipping]],Sales_Data[[#This Row],[Sales with Discount]],Sales_Data[[#This Row],[Sales with Free Shipping]])</f>
        <v>5229.24</v>
      </c>
      <c r="O281" s="1" t="str">
        <f>TEXT(Sales_Data[[#This Row],[Order Date]], "MM-YYYY")</f>
        <v>12-2019</v>
      </c>
    </row>
    <row r="282" spans="1:15" x14ac:dyDescent="0.3">
      <c r="A282" s="1">
        <v>48614</v>
      </c>
      <c r="B282" s="2">
        <v>43616</v>
      </c>
      <c r="C282" s="1" t="s">
        <v>12</v>
      </c>
      <c r="D282" s="1">
        <v>46</v>
      </c>
      <c r="E282" t="s">
        <v>24</v>
      </c>
      <c r="F282" t="s">
        <v>24</v>
      </c>
      <c r="G282" s="1">
        <v>8523.52</v>
      </c>
      <c r="H282">
        <v>0.01</v>
      </c>
      <c r="I282">
        <f>Sales_Data[[#This Row],[Sales]]*Sales_Data[[#This Row],[Discount]]</f>
        <v>85.235200000000006</v>
      </c>
      <c r="J282">
        <v>8438.2847999999994</v>
      </c>
      <c r="K282" s="1">
        <v>9.6</v>
      </c>
      <c r="L282" s="1">
        <v>8513.92</v>
      </c>
      <c r="M282" s="1" t="s">
        <v>10</v>
      </c>
      <c r="N282" s="1">
        <f>IF(Sales_Data[[#This Row],[Sales with Discount]]&lt;Sales_Data[[#This Row],[Sales with Free Shipping]],Sales_Data[[#This Row],[Sales with Discount]],Sales_Data[[#This Row],[Sales with Free Shipping]])</f>
        <v>8438.2847999999994</v>
      </c>
      <c r="O282" s="1" t="str">
        <f>TEXT(Sales_Data[[#This Row],[Order Date]], "MM-YYYY")</f>
        <v>05-2019</v>
      </c>
    </row>
    <row r="283" spans="1:15" x14ac:dyDescent="0.3">
      <c r="A283" s="1">
        <v>43653</v>
      </c>
      <c r="B283" s="2">
        <v>43768</v>
      </c>
      <c r="C283" s="1" t="s">
        <v>9</v>
      </c>
      <c r="D283" s="1">
        <v>10</v>
      </c>
      <c r="E283" t="s">
        <v>17</v>
      </c>
      <c r="F283" t="s">
        <v>17</v>
      </c>
      <c r="G283" s="1">
        <v>375.89</v>
      </c>
      <c r="H283">
        <v>0</v>
      </c>
      <c r="I283">
        <f>Sales_Data[[#This Row],[Sales]]*Sales_Data[[#This Row],[Discount]]</f>
        <v>0</v>
      </c>
      <c r="J283">
        <v>375.89</v>
      </c>
      <c r="K283" s="1">
        <v>8.8000000000000007</v>
      </c>
      <c r="L283" s="1">
        <v>375.89</v>
      </c>
      <c r="M283" s="1" t="s">
        <v>10</v>
      </c>
      <c r="N283" s="1">
        <f>IF(Sales_Data[[#This Row],[Sales with Discount]]&lt;Sales_Data[[#This Row],[Sales with Free Shipping]],Sales_Data[[#This Row],[Sales with Discount]],Sales_Data[[#This Row],[Sales with Free Shipping]])</f>
        <v>375.89</v>
      </c>
      <c r="O283" s="1" t="str">
        <f>TEXT(Sales_Data[[#This Row],[Order Date]], "MM-YYYY")</f>
        <v>10-2019</v>
      </c>
    </row>
    <row r="284" spans="1:15" x14ac:dyDescent="0.3">
      <c r="A284" s="1">
        <v>32449</v>
      </c>
      <c r="B284" s="2">
        <v>43808</v>
      </c>
      <c r="C284" s="1" t="s">
        <v>12</v>
      </c>
      <c r="D284" s="1">
        <v>44</v>
      </c>
      <c r="E284" t="s">
        <v>23</v>
      </c>
      <c r="F284" t="s">
        <v>23</v>
      </c>
      <c r="G284" s="1">
        <v>7698.93</v>
      </c>
      <c r="H284">
        <v>0.01</v>
      </c>
      <c r="I284">
        <f>Sales_Data[[#This Row],[Sales]]*Sales_Data[[#This Row],[Discount]]</f>
        <v>76.9893</v>
      </c>
      <c r="J284">
        <v>7621.9407000000001</v>
      </c>
      <c r="K284" s="1">
        <v>8.6</v>
      </c>
      <c r="L284" s="1">
        <v>7690.33</v>
      </c>
      <c r="M284" s="1" t="s">
        <v>8</v>
      </c>
      <c r="N284" s="1">
        <f>IF(Sales_Data[[#This Row],[Sales with Discount]]&lt;Sales_Data[[#This Row],[Sales with Free Shipping]],Sales_Data[[#This Row],[Sales with Discount]],Sales_Data[[#This Row],[Sales with Free Shipping]])</f>
        <v>7621.9407000000001</v>
      </c>
      <c r="O284" s="1" t="str">
        <f>TEXT(Sales_Data[[#This Row],[Order Date]], "MM-YYYY")</f>
        <v>12-2019</v>
      </c>
    </row>
    <row r="285" spans="1:15" x14ac:dyDescent="0.3">
      <c r="A285" s="1">
        <v>28198</v>
      </c>
      <c r="B285" s="2">
        <v>43503</v>
      </c>
      <c r="C285" s="1" t="s">
        <v>14</v>
      </c>
      <c r="D285" s="1">
        <v>50</v>
      </c>
      <c r="E285" t="s">
        <v>24</v>
      </c>
      <c r="F285" t="s">
        <v>24</v>
      </c>
      <c r="G285" s="1">
        <v>8243.24</v>
      </c>
      <c r="H285">
        <v>0.01</v>
      </c>
      <c r="I285">
        <f>Sales_Data[[#This Row],[Sales]]*Sales_Data[[#This Row],[Discount]]</f>
        <v>82.432400000000001</v>
      </c>
      <c r="J285">
        <v>8160.8076000000001</v>
      </c>
      <c r="K285" s="1">
        <v>9.6</v>
      </c>
      <c r="L285" s="1">
        <v>8233.64</v>
      </c>
      <c r="M285" s="1" t="s">
        <v>10</v>
      </c>
      <c r="N285" s="1">
        <f>IF(Sales_Data[[#This Row],[Sales with Discount]]&lt;Sales_Data[[#This Row],[Sales with Free Shipping]],Sales_Data[[#This Row],[Sales with Discount]],Sales_Data[[#This Row],[Sales with Free Shipping]])</f>
        <v>8160.8076000000001</v>
      </c>
      <c r="O285" s="1" t="str">
        <f>TEXT(Sales_Data[[#This Row],[Order Date]], "MM-YYYY")</f>
        <v>02-2019</v>
      </c>
    </row>
    <row r="286" spans="1:15" x14ac:dyDescent="0.3">
      <c r="A286" s="1">
        <v>20676</v>
      </c>
      <c r="B286" s="2">
        <v>43791</v>
      </c>
      <c r="C286" s="1" t="s">
        <v>7</v>
      </c>
      <c r="D286" s="1">
        <v>22</v>
      </c>
      <c r="E286" t="s">
        <v>14</v>
      </c>
      <c r="F286" t="s">
        <v>14</v>
      </c>
      <c r="G286" s="1">
        <v>47.05</v>
      </c>
      <c r="H286">
        <v>0</v>
      </c>
      <c r="I286">
        <f>Sales_Data[[#This Row],[Sales]]*Sales_Data[[#This Row],[Discount]]</f>
        <v>0</v>
      </c>
      <c r="J286">
        <v>47.05</v>
      </c>
      <c r="K286" s="1">
        <v>1.6</v>
      </c>
      <c r="L286" s="1">
        <v>47.05</v>
      </c>
      <c r="M286" s="1" t="s">
        <v>10</v>
      </c>
      <c r="N286" s="1">
        <f>IF(Sales_Data[[#This Row],[Sales with Discount]]&lt;Sales_Data[[#This Row],[Sales with Free Shipping]],Sales_Data[[#This Row],[Sales with Discount]],Sales_Data[[#This Row],[Sales with Free Shipping]])</f>
        <v>47.05</v>
      </c>
      <c r="O286" s="1" t="str">
        <f>TEXT(Sales_Data[[#This Row],[Order Date]], "MM-YYYY")</f>
        <v>11-2019</v>
      </c>
    </row>
    <row r="287" spans="1:15" x14ac:dyDescent="0.3">
      <c r="A287" s="1">
        <v>51111</v>
      </c>
      <c r="B287" s="2">
        <v>43504</v>
      </c>
      <c r="C287" s="1" t="s">
        <v>11</v>
      </c>
      <c r="D287" s="1">
        <v>1</v>
      </c>
      <c r="E287" t="s">
        <v>16</v>
      </c>
      <c r="F287" t="s">
        <v>16</v>
      </c>
      <c r="G287" s="1">
        <v>65.37</v>
      </c>
      <c r="H287">
        <v>0</v>
      </c>
      <c r="I287">
        <f>Sales_Data[[#This Row],[Sales]]*Sales_Data[[#This Row],[Discount]]</f>
        <v>0</v>
      </c>
      <c r="J287">
        <v>65.37</v>
      </c>
      <c r="K287" s="1">
        <v>6.3</v>
      </c>
      <c r="L287" s="1">
        <v>65.37</v>
      </c>
      <c r="M287" s="1" t="s">
        <v>10</v>
      </c>
      <c r="N287" s="1">
        <f>IF(Sales_Data[[#This Row],[Sales with Discount]]&lt;Sales_Data[[#This Row],[Sales with Free Shipping]],Sales_Data[[#This Row],[Sales with Discount]],Sales_Data[[#This Row],[Sales with Free Shipping]])</f>
        <v>65.37</v>
      </c>
      <c r="O287" s="1" t="str">
        <f>TEXT(Sales_Data[[#This Row],[Order Date]], "MM-YYYY")</f>
        <v>02-2019</v>
      </c>
    </row>
    <row r="288" spans="1:15" x14ac:dyDescent="0.3">
      <c r="A288" s="1">
        <v>53477</v>
      </c>
      <c r="B288" s="2">
        <v>43590</v>
      </c>
      <c r="C288" s="1" t="s">
        <v>9</v>
      </c>
      <c r="D288" s="1">
        <v>32</v>
      </c>
      <c r="E288" t="s">
        <v>21</v>
      </c>
      <c r="F288" t="s">
        <v>21</v>
      </c>
      <c r="G288" s="1">
        <v>3332.03</v>
      </c>
      <c r="H288">
        <v>0</v>
      </c>
      <c r="I288">
        <f>Sales_Data[[#This Row],[Sales]]*Sales_Data[[#This Row],[Discount]]</f>
        <v>0</v>
      </c>
      <c r="J288">
        <v>3332.03</v>
      </c>
      <c r="K288" s="1">
        <v>79.599999999999994</v>
      </c>
      <c r="L288" s="1">
        <v>3332.03</v>
      </c>
      <c r="M288" s="1" t="s">
        <v>13</v>
      </c>
      <c r="N288" s="1">
        <f>IF(Sales_Data[[#This Row],[Sales with Discount]]&lt;Sales_Data[[#This Row],[Sales with Free Shipping]],Sales_Data[[#This Row],[Sales with Discount]],Sales_Data[[#This Row],[Sales with Free Shipping]])</f>
        <v>3332.03</v>
      </c>
      <c r="O288" s="1" t="str">
        <f>TEXT(Sales_Data[[#This Row],[Order Date]], "MM-YYYY")</f>
        <v>05-2019</v>
      </c>
    </row>
    <row r="289" spans="1:15" x14ac:dyDescent="0.3">
      <c r="A289" s="1">
        <v>6885</v>
      </c>
      <c r="B289" s="2">
        <v>43635</v>
      </c>
      <c r="C289" s="1" t="s">
        <v>7</v>
      </c>
      <c r="D289" s="1">
        <v>4</v>
      </c>
      <c r="E289" t="s">
        <v>16</v>
      </c>
      <c r="F289" t="s">
        <v>16</v>
      </c>
      <c r="G289" s="1">
        <v>514.96</v>
      </c>
      <c r="H289">
        <v>0</v>
      </c>
      <c r="I289">
        <f>Sales_Data[[#This Row],[Sales]]*Sales_Data[[#This Row],[Discount]]</f>
        <v>0</v>
      </c>
      <c r="J289">
        <v>514.96</v>
      </c>
      <c r="K289" s="1">
        <v>32.1</v>
      </c>
      <c r="L289" s="1">
        <v>514.96</v>
      </c>
      <c r="M289" s="1" t="s">
        <v>13</v>
      </c>
      <c r="N289" s="1">
        <f>IF(Sales_Data[[#This Row],[Sales with Discount]]&lt;Sales_Data[[#This Row],[Sales with Free Shipping]],Sales_Data[[#This Row],[Sales with Discount]],Sales_Data[[#This Row],[Sales with Free Shipping]])</f>
        <v>514.96</v>
      </c>
      <c r="O289" s="1" t="str">
        <f>TEXT(Sales_Data[[#This Row],[Order Date]], "MM-YYYY")</f>
        <v>06-2019</v>
      </c>
    </row>
    <row r="290" spans="1:15" x14ac:dyDescent="0.3">
      <c r="A290" s="1">
        <v>1537</v>
      </c>
      <c r="B290" s="2">
        <v>43509</v>
      </c>
      <c r="C290" s="1" t="s">
        <v>11</v>
      </c>
      <c r="D290" s="1">
        <v>5</v>
      </c>
      <c r="E290" t="s">
        <v>16</v>
      </c>
      <c r="F290" t="s">
        <v>16</v>
      </c>
      <c r="G290" s="1">
        <v>17.760000000000002</v>
      </c>
      <c r="H290">
        <v>0</v>
      </c>
      <c r="I290">
        <f>Sales_Data[[#This Row],[Sales]]*Sales_Data[[#This Row],[Discount]]</f>
        <v>0</v>
      </c>
      <c r="J290">
        <v>17.760000000000002</v>
      </c>
      <c r="K290" s="1">
        <v>6.5</v>
      </c>
      <c r="L290" s="1">
        <v>17.760000000000002</v>
      </c>
      <c r="M290" s="1" t="s">
        <v>10</v>
      </c>
      <c r="N290" s="1">
        <f>IF(Sales_Data[[#This Row],[Sales with Discount]]&lt;Sales_Data[[#This Row],[Sales with Free Shipping]],Sales_Data[[#This Row],[Sales with Discount]],Sales_Data[[#This Row],[Sales with Free Shipping]])</f>
        <v>17.760000000000002</v>
      </c>
      <c r="O290" s="1" t="str">
        <f>TEXT(Sales_Data[[#This Row],[Order Date]], "MM-YYYY")</f>
        <v>02-2019</v>
      </c>
    </row>
    <row r="291" spans="1:15" x14ac:dyDescent="0.3">
      <c r="A291" s="1">
        <v>11362</v>
      </c>
      <c r="B291" s="2">
        <v>43718</v>
      </c>
      <c r="C291" s="1" t="s">
        <v>7</v>
      </c>
      <c r="D291" s="1">
        <v>32</v>
      </c>
      <c r="E291" t="s">
        <v>21</v>
      </c>
      <c r="F291" t="s">
        <v>21</v>
      </c>
      <c r="G291" s="1">
        <v>3472.93</v>
      </c>
      <c r="H291">
        <v>0</v>
      </c>
      <c r="I291">
        <f>Sales_Data[[#This Row],[Sales]]*Sales_Data[[#This Row],[Discount]]</f>
        <v>0</v>
      </c>
      <c r="J291">
        <v>3472.93</v>
      </c>
      <c r="K291" s="1">
        <v>15</v>
      </c>
      <c r="L291" s="1">
        <v>3472.93</v>
      </c>
      <c r="M291" s="1" t="s">
        <v>10</v>
      </c>
      <c r="N291" s="1">
        <f>IF(Sales_Data[[#This Row],[Sales with Discount]]&lt;Sales_Data[[#This Row],[Sales with Free Shipping]],Sales_Data[[#This Row],[Sales with Discount]],Sales_Data[[#This Row],[Sales with Free Shipping]])</f>
        <v>3472.93</v>
      </c>
      <c r="O291" s="1" t="str">
        <f>TEXT(Sales_Data[[#This Row],[Order Date]], "MM-YYYY")</f>
        <v>09-2019</v>
      </c>
    </row>
    <row r="292" spans="1:15" x14ac:dyDescent="0.3">
      <c r="A292" s="1">
        <v>54791</v>
      </c>
      <c r="B292" s="2">
        <v>43819</v>
      </c>
      <c r="C292" s="1" t="s">
        <v>9</v>
      </c>
      <c r="D292" s="1">
        <v>27</v>
      </c>
      <c r="E292" t="s">
        <v>20</v>
      </c>
      <c r="F292" t="s">
        <v>20</v>
      </c>
      <c r="G292" s="1">
        <v>1163.71</v>
      </c>
      <c r="H292">
        <v>0</v>
      </c>
      <c r="I292">
        <f>Sales_Data[[#This Row],[Sales]]*Sales_Data[[#This Row],[Discount]]</f>
        <v>0</v>
      </c>
      <c r="J292">
        <v>1163.71</v>
      </c>
      <c r="K292" s="1">
        <v>3.3</v>
      </c>
      <c r="L292" s="1">
        <v>1163.71</v>
      </c>
      <c r="M292" s="1" t="s">
        <v>10</v>
      </c>
      <c r="N292" s="1">
        <f>IF(Sales_Data[[#This Row],[Sales with Discount]]&lt;Sales_Data[[#This Row],[Sales with Free Shipping]],Sales_Data[[#This Row],[Sales with Discount]],Sales_Data[[#This Row],[Sales with Free Shipping]])</f>
        <v>1163.71</v>
      </c>
      <c r="O292" s="1" t="str">
        <f>TEXT(Sales_Data[[#This Row],[Order Date]], "MM-YYYY")</f>
        <v>12-2019</v>
      </c>
    </row>
    <row r="293" spans="1:15" x14ac:dyDescent="0.3">
      <c r="A293" s="1">
        <v>36512</v>
      </c>
      <c r="B293" s="2">
        <v>43552</v>
      </c>
      <c r="C293" s="1" t="s">
        <v>11</v>
      </c>
      <c r="D293" s="1">
        <v>3</v>
      </c>
      <c r="E293" t="s">
        <v>16</v>
      </c>
      <c r="F293" t="s">
        <v>16</v>
      </c>
      <c r="G293" s="1">
        <v>76.489999999999995</v>
      </c>
      <c r="H293">
        <v>0</v>
      </c>
      <c r="I293">
        <f>Sales_Data[[#This Row],[Sales]]*Sales_Data[[#This Row],[Discount]]</f>
        <v>0</v>
      </c>
      <c r="J293">
        <v>76.489999999999995</v>
      </c>
      <c r="K293" s="1">
        <v>12</v>
      </c>
      <c r="L293" s="1">
        <v>76.489999999999995</v>
      </c>
      <c r="M293" s="1" t="s">
        <v>10</v>
      </c>
      <c r="N293" s="1">
        <f>IF(Sales_Data[[#This Row],[Sales with Discount]]&lt;Sales_Data[[#This Row],[Sales with Free Shipping]],Sales_Data[[#This Row],[Sales with Discount]],Sales_Data[[#This Row],[Sales with Free Shipping]])</f>
        <v>76.489999999999995</v>
      </c>
      <c r="O293" s="1" t="str">
        <f>TEXT(Sales_Data[[#This Row],[Order Date]], "MM-YYYY")</f>
        <v>03-2019</v>
      </c>
    </row>
    <row r="294" spans="1:15" x14ac:dyDescent="0.3">
      <c r="A294" s="1">
        <v>22914</v>
      </c>
      <c r="B294" s="2">
        <v>43477</v>
      </c>
      <c r="C294" s="1" t="s">
        <v>12</v>
      </c>
      <c r="D294" s="1">
        <v>30</v>
      </c>
      <c r="E294" t="s">
        <v>20</v>
      </c>
      <c r="F294" t="s">
        <v>20</v>
      </c>
      <c r="G294" s="1">
        <v>360.21550000000002</v>
      </c>
      <c r="H294">
        <v>0</v>
      </c>
      <c r="I294">
        <f>Sales_Data[[#This Row],[Sales]]*Sales_Data[[#This Row],[Discount]]</f>
        <v>0</v>
      </c>
      <c r="J294">
        <v>360.21550000000002</v>
      </c>
      <c r="K294" s="1">
        <v>7.4</v>
      </c>
      <c r="L294" s="1">
        <v>360.21550000000002</v>
      </c>
      <c r="M294" s="1" t="s">
        <v>10</v>
      </c>
      <c r="N294" s="1">
        <f>IF(Sales_Data[[#This Row],[Sales with Discount]]&lt;Sales_Data[[#This Row],[Sales with Free Shipping]],Sales_Data[[#This Row],[Sales with Discount]],Sales_Data[[#This Row],[Sales with Free Shipping]])</f>
        <v>360.21550000000002</v>
      </c>
      <c r="O294" s="1" t="str">
        <f>TEXT(Sales_Data[[#This Row],[Order Date]], "MM-YYYY")</f>
        <v>01-2019</v>
      </c>
    </row>
    <row r="295" spans="1:15" x14ac:dyDescent="0.3">
      <c r="A295" s="1">
        <v>56224</v>
      </c>
      <c r="B295" s="2">
        <v>43763</v>
      </c>
      <c r="C295" s="1" t="s">
        <v>14</v>
      </c>
      <c r="D295" s="1">
        <v>35</v>
      </c>
      <c r="E295" t="s">
        <v>21</v>
      </c>
      <c r="F295" t="s">
        <v>21</v>
      </c>
      <c r="G295" s="1">
        <v>154.13999999999999</v>
      </c>
      <c r="H295">
        <v>0</v>
      </c>
      <c r="I295">
        <f>Sales_Data[[#This Row],[Sales]]*Sales_Data[[#This Row],[Discount]]</f>
        <v>0</v>
      </c>
      <c r="J295">
        <v>154.13999999999999</v>
      </c>
      <c r="K295" s="1">
        <v>5.8</v>
      </c>
      <c r="L295" s="1">
        <v>154.13999999999999</v>
      </c>
      <c r="M295" s="1" t="s">
        <v>10</v>
      </c>
      <c r="N295" s="1">
        <f>IF(Sales_Data[[#This Row],[Sales with Discount]]&lt;Sales_Data[[#This Row],[Sales with Free Shipping]],Sales_Data[[#This Row],[Sales with Discount]],Sales_Data[[#This Row],[Sales with Free Shipping]])</f>
        <v>154.13999999999999</v>
      </c>
      <c r="O295" s="1" t="str">
        <f>TEXT(Sales_Data[[#This Row],[Order Date]], "MM-YYYY")</f>
        <v>10-2019</v>
      </c>
    </row>
    <row r="296" spans="1:15" x14ac:dyDescent="0.3">
      <c r="A296" s="1">
        <v>15872</v>
      </c>
      <c r="B296" s="2">
        <v>43768</v>
      </c>
      <c r="C296" s="1" t="s">
        <v>11</v>
      </c>
      <c r="D296" s="1">
        <v>19</v>
      </c>
      <c r="E296" t="s">
        <v>19</v>
      </c>
      <c r="F296" t="s">
        <v>19</v>
      </c>
      <c r="G296" s="1">
        <v>768.7</v>
      </c>
      <c r="H296">
        <v>0</v>
      </c>
      <c r="I296">
        <f>Sales_Data[[#This Row],[Sales]]*Sales_Data[[#This Row],[Discount]]</f>
        <v>0</v>
      </c>
      <c r="J296">
        <v>768.7</v>
      </c>
      <c r="K296" s="1">
        <v>18.7</v>
      </c>
      <c r="L296" s="1">
        <v>768.7</v>
      </c>
      <c r="M296" s="1" t="s">
        <v>10</v>
      </c>
      <c r="N296" s="1">
        <f>IF(Sales_Data[[#This Row],[Sales with Discount]]&lt;Sales_Data[[#This Row],[Sales with Free Shipping]],Sales_Data[[#This Row],[Sales with Discount]],Sales_Data[[#This Row],[Sales with Free Shipping]])</f>
        <v>768.7</v>
      </c>
      <c r="O296" s="1" t="str">
        <f>TEXT(Sales_Data[[#This Row],[Order Date]], "MM-YYYY")</f>
        <v>10-2019</v>
      </c>
    </row>
    <row r="297" spans="1:15" x14ac:dyDescent="0.3">
      <c r="A297" s="1">
        <v>57537</v>
      </c>
      <c r="B297" s="2">
        <v>43726</v>
      </c>
      <c r="C297" s="1" t="s">
        <v>14</v>
      </c>
      <c r="D297" s="1">
        <v>13</v>
      </c>
      <c r="E297" t="s">
        <v>18</v>
      </c>
      <c r="F297" t="s">
        <v>18</v>
      </c>
      <c r="G297" s="1">
        <v>81.73</v>
      </c>
      <c r="H297">
        <v>0</v>
      </c>
      <c r="I297">
        <f>Sales_Data[[#This Row],[Sales]]*Sales_Data[[#This Row],[Discount]]</f>
        <v>0</v>
      </c>
      <c r="J297">
        <v>81.73</v>
      </c>
      <c r="K297" s="1">
        <v>5.6</v>
      </c>
      <c r="L297" s="1">
        <v>81.73</v>
      </c>
      <c r="M297" s="1" t="s">
        <v>8</v>
      </c>
      <c r="N297" s="1">
        <f>IF(Sales_Data[[#This Row],[Sales with Discount]]&lt;Sales_Data[[#This Row],[Sales with Free Shipping]],Sales_Data[[#This Row],[Sales with Discount]],Sales_Data[[#This Row],[Sales with Free Shipping]])</f>
        <v>81.73</v>
      </c>
      <c r="O297" s="1" t="str">
        <f>TEXT(Sales_Data[[#This Row],[Order Date]], "MM-YYYY")</f>
        <v>09-2019</v>
      </c>
    </row>
    <row r="298" spans="1:15" x14ac:dyDescent="0.3">
      <c r="A298" s="1">
        <v>130</v>
      </c>
      <c r="B298" s="2">
        <v>43592</v>
      </c>
      <c r="C298" s="1" t="s">
        <v>9</v>
      </c>
      <c r="D298" s="1">
        <v>29</v>
      </c>
      <c r="E298" t="s">
        <v>20</v>
      </c>
      <c r="F298" t="s">
        <v>20</v>
      </c>
      <c r="G298" s="1">
        <v>615.37</v>
      </c>
      <c r="H298">
        <v>0</v>
      </c>
      <c r="I298">
        <f>Sales_Data[[#This Row],[Sales]]*Sales_Data[[#This Row],[Discount]]</f>
        <v>0</v>
      </c>
      <c r="J298">
        <v>615.37</v>
      </c>
      <c r="K298" s="1">
        <v>9.6999999999999993</v>
      </c>
      <c r="L298" s="1">
        <v>615.37</v>
      </c>
      <c r="M298" s="1" t="s">
        <v>10</v>
      </c>
      <c r="N298" s="1">
        <f>IF(Sales_Data[[#This Row],[Sales with Discount]]&lt;Sales_Data[[#This Row],[Sales with Free Shipping]],Sales_Data[[#This Row],[Sales with Discount]],Sales_Data[[#This Row],[Sales with Free Shipping]])</f>
        <v>615.37</v>
      </c>
      <c r="O298" s="1" t="str">
        <f>TEXT(Sales_Data[[#This Row],[Order Date]], "MM-YYYY")</f>
        <v>05-2019</v>
      </c>
    </row>
    <row r="299" spans="1:15" x14ac:dyDescent="0.3">
      <c r="A299" s="1">
        <v>56708</v>
      </c>
      <c r="B299" s="2">
        <v>43801</v>
      </c>
      <c r="C299" s="1" t="s">
        <v>11</v>
      </c>
      <c r="D299" s="1">
        <v>36</v>
      </c>
      <c r="E299" t="s">
        <v>22</v>
      </c>
      <c r="F299" t="s">
        <v>22</v>
      </c>
      <c r="G299" s="1">
        <v>435.67</v>
      </c>
      <c r="H299">
        <v>0.01</v>
      </c>
      <c r="I299">
        <f>Sales_Data[[#This Row],[Sales]]*Sales_Data[[#This Row],[Discount]]</f>
        <v>4.3567</v>
      </c>
      <c r="J299">
        <v>431.31330000000003</v>
      </c>
      <c r="K299" s="1">
        <v>7.5</v>
      </c>
      <c r="L299" s="1">
        <v>428.17</v>
      </c>
      <c r="M299" s="1" t="s">
        <v>10</v>
      </c>
      <c r="N299" s="1">
        <f>IF(Sales_Data[[#This Row],[Sales with Discount]]&lt;Sales_Data[[#This Row],[Sales with Free Shipping]],Sales_Data[[#This Row],[Sales with Discount]],Sales_Data[[#This Row],[Sales with Free Shipping]])</f>
        <v>428.17</v>
      </c>
      <c r="O299" s="1" t="str">
        <f>TEXT(Sales_Data[[#This Row],[Order Date]], "MM-YYYY")</f>
        <v>12-2019</v>
      </c>
    </row>
    <row r="300" spans="1:15" x14ac:dyDescent="0.3">
      <c r="A300" s="1">
        <v>3810</v>
      </c>
      <c r="B300" s="2">
        <v>43724</v>
      </c>
      <c r="C300" s="1" t="s">
        <v>12</v>
      </c>
      <c r="D300" s="1">
        <v>25</v>
      </c>
      <c r="E300" t="s">
        <v>14</v>
      </c>
      <c r="F300" t="s">
        <v>14</v>
      </c>
      <c r="G300" s="1">
        <v>83.74</v>
      </c>
      <c r="H300">
        <v>0</v>
      </c>
      <c r="I300">
        <f>Sales_Data[[#This Row],[Sales]]*Sales_Data[[#This Row],[Discount]]</f>
        <v>0</v>
      </c>
      <c r="J300">
        <v>83.74</v>
      </c>
      <c r="K300" s="1">
        <v>0.5</v>
      </c>
      <c r="L300" s="1">
        <v>83.74</v>
      </c>
      <c r="M300" s="1" t="s">
        <v>8</v>
      </c>
      <c r="N300" s="1">
        <f>IF(Sales_Data[[#This Row],[Sales with Discount]]&lt;Sales_Data[[#This Row],[Sales with Free Shipping]],Sales_Data[[#This Row],[Sales with Discount]],Sales_Data[[#This Row],[Sales with Free Shipping]])</f>
        <v>83.74</v>
      </c>
      <c r="O300" s="1" t="str">
        <f>TEXT(Sales_Data[[#This Row],[Order Date]], "MM-YYYY")</f>
        <v>09-2019</v>
      </c>
    </row>
    <row r="301" spans="1:15" x14ac:dyDescent="0.3">
      <c r="A301" s="1">
        <v>1154</v>
      </c>
      <c r="B301" s="2">
        <v>43509</v>
      </c>
      <c r="C301" s="1" t="s">
        <v>12</v>
      </c>
      <c r="D301" s="1">
        <v>44</v>
      </c>
      <c r="E301" t="s">
        <v>23</v>
      </c>
      <c r="F301" t="s">
        <v>23</v>
      </c>
      <c r="G301" s="1">
        <v>4774.59</v>
      </c>
      <c r="H301">
        <v>0.01</v>
      </c>
      <c r="I301">
        <f>Sales_Data[[#This Row],[Sales]]*Sales_Data[[#This Row],[Discount]]</f>
        <v>47.745900000000006</v>
      </c>
      <c r="J301">
        <v>4726.8441000000003</v>
      </c>
      <c r="K301" s="1">
        <v>28.1</v>
      </c>
      <c r="L301" s="1">
        <v>4746.49</v>
      </c>
      <c r="M301" s="1" t="s">
        <v>13</v>
      </c>
      <c r="N301" s="1">
        <f>IF(Sales_Data[[#This Row],[Sales with Discount]]&lt;Sales_Data[[#This Row],[Sales with Free Shipping]],Sales_Data[[#This Row],[Sales with Discount]],Sales_Data[[#This Row],[Sales with Free Shipping]])</f>
        <v>4726.8441000000003</v>
      </c>
      <c r="O301" s="1" t="str">
        <f>TEXT(Sales_Data[[#This Row],[Order Date]], "MM-YYYY")</f>
        <v>02-2019</v>
      </c>
    </row>
    <row r="302" spans="1:15" x14ac:dyDescent="0.3">
      <c r="A302" s="1">
        <v>52932</v>
      </c>
      <c r="B302" s="2">
        <v>43597</v>
      </c>
      <c r="C302" s="1" t="s">
        <v>7</v>
      </c>
      <c r="D302" s="1">
        <v>3</v>
      </c>
      <c r="E302" t="s">
        <v>16</v>
      </c>
      <c r="F302" t="s">
        <v>16</v>
      </c>
      <c r="G302" s="1">
        <v>28.07</v>
      </c>
      <c r="H302">
        <v>0</v>
      </c>
      <c r="I302">
        <f>Sales_Data[[#This Row],[Sales]]*Sales_Data[[#This Row],[Discount]]</f>
        <v>0</v>
      </c>
      <c r="J302">
        <v>28.07</v>
      </c>
      <c r="K302" s="1">
        <v>7.1</v>
      </c>
      <c r="L302" s="1">
        <v>28.07</v>
      </c>
      <c r="M302" s="1" t="s">
        <v>10</v>
      </c>
      <c r="N302" s="1">
        <f>IF(Sales_Data[[#This Row],[Sales with Discount]]&lt;Sales_Data[[#This Row],[Sales with Free Shipping]],Sales_Data[[#This Row],[Sales with Discount]],Sales_Data[[#This Row],[Sales with Free Shipping]])</f>
        <v>28.07</v>
      </c>
      <c r="O302" s="1" t="str">
        <f>TEXT(Sales_Data[[#This Row],[Order Date]], "MM-YYYY")</f>
        <v>05-2019</v>
      </c>
    </row>
    <row r="303" spans="1:15" x14ac:dyDescent="0.3">
      <c r="A303" s="1">
        <v>10466</v>
      </c>
      <c r="B303" s="2">
        <v>43824</v>
      </c>
      <c r="C303" s="1" t="s">
        <v>9</v>
      </c>
      <c r="D303" s="1">
        <v>27</v>
      </c>
      <c r="E303" t="s">
        <v>20</v>
      </c>
      <c r="F303" t="s">
        <v>20</v>
      </c>
      <c r="G303" s="1">
        <v>122.9</v>
      </c>
      <c r="H303">
        <v>0</v>
      </c>
      <c r="I303">
        <f>Sales_Data[[#This Row],[Sales]]*Sales_Data[[#This Row],[Discount]]</f>
        <v>0</v>
      </c>
      <c r="J303">
        <v>122.9</v>
      </c>
      <c r="K303" s="1">
        <v>1</v>
      </c>
      <c r="L303" s="1">
        <v>122.9</v>
      </c>
      <c r="M303" s="1" t="s">
        <v>10</v>
      </c>
      <c r="N303" s="1">
        <f>IF(Sales_Data[[#This Row],[Sales with Discount]]&lt;Sales_Data[[#This Row],[Sales with Free Shipping]],Sales_Data[[#This Row],[Sales with Discount]],Sales_Data[[#This Row],[Sales with Free Shipping]])</f>
        <v>122.9</v>
      </c>
      <c r="O303" s="1" t="str">
        <f>TEXT(Sales_Data[[#This Row],[Order Date]], "MM-YYYY")</f>
        <v>12-2019</v>
      </c>
    </row>
    <row r="304" spans="1:15" x14ac:dyDescent="0.3">
      <c r="A304" s="1">
        <v>27138</v>
      </c>
      <c r="B304" s="2">
        <v>43615</v>
      </c>
      <c r="C304" s="1" t="s">
        <v>9</v>
      </c>
      <c r="D304" s="1">
        <v>31</v>
      </c>
      <c r="E304" t="s">
        <v>21</v>
      </c>
      <c r="F304" t="s">
        <v>21</v>
      </c>
      <c r="G304" s="1">
        <v>3184.54</v>
      </c>
      <c r="H304">
        <v>0</v>
      </c>
      <c r="I304">
        <f>Sales_Data[[#This Row],[Sales]]*Sales_Data[[#This Row],[Discount]]</f>
        <v>0</v>
      </c>
      <c r="J304">
        <v>3184.54</v>
      </c>
      <c r="K304" s="1">
        <v>38.299999999999997</v>
      </c>
      <c r="L304" s="1">
        <v>3184.54</v>
      </c>
      <c r="M304" s="1" t="s">
        <v>13</v>
      </c>
      <c r="N304" s="1">
        <f>IF(Sales_Data[[#This Row],[Sales with Discount]]&lt;Sales_Data[[#This Row],[Sales with Free Shipping]],Sales_Data[[#This Row],[Sales with Discount]],Sales_Data[[#This Row],[Sales with Free Shipping]])</f>
        <v>3184.54</v>
      </c>
      <c r="O304" s="1" t="str">
        <f>TEXT(Sales_Data[[#This Row],[Order Date]], "MM-YYYY")</f>
        <v>05-2019</v>
      </c>
    </row>
    <row r="305" spans="1:15" x14ac:dyDescent="0.3">
      <c r="A305" s="1">
        <v>22819</v>
      </c>
      <c r="B305" s="2">
        <v>43779</v>
      </c>
      <c r="C305" s="1" t="s">
        <v>9</v>
      </c>
      <c r="D305" s="1">
        <v>1</v>
      </c>
      <c r="E305" t="s">
        <v>16</v>
      </c>
      <c r="F305" t="s">
        <v>16</v>
      </c>
      <c r="G305" s="1">
        <v>7.24</v>
      </c>
      <c r="H305">
        <v>0</v>
      </c>
      <c r="I305">
        <f>Sales_Data[[#This Row],[Sales]]*Sales_Data[[#This Row],[Discount]]</f>
        <v>0</v>
      </c>
      <c r="J305">
        <v>7.24</v>
      </c>
      <c r="K305" s="1">
        <v>4.5999999999999996</v>
      </c>
      <c r="L305" s="1">
        <v>7.24</v>
      </c>
      <c r="M305" s="1" t="s">
        <v>10</v>
      </c>
      <c r="N305" s="1">
        <f>IF(Sales_Data[[#This Row],[Sales with Discount]]&lt;Sales_Data[[#This Row],[Sales with Free Shipping]],Sales_Data[[#This Row],[Sales with Discount]],Sales_Data[[#This Row],[Sales with Free Shipping]])</f>
        <v>7.24</v>
      </c>
      <c r="O305" s="1" t="str">
        <f>TEXT(Sales_Data[[#This Row],[Order Date]], "MM-YYYY")</f>
        <v>11-2019</v>
      </c>
    </row>
    <row r="306" spans="1:15" x14ac:dyDescent="0.3">
      <c r="A306" s="1">
        <v>10982</v>
      </c>
      <c r="B306" s="2">
        <v>43809</v>
      </c>
      <c r="C306" s="1" t="s">
        <v>11</v>
      </c>
      <c r="D306" s="1">
        <v>30</v>
      </c>
      <c r="E306" t="s">
        <v>20</v>
      </c>
      <c r="F306" t="s">
        <v>20</v>
      </c>
      <c r="G306" s="1">
        <v>3921.99</v>
      </c>
      <c r="H306">
        <v>0</v>
      </c>
      <c r="I306">
        <f>Sales_Data[[#This Row],[Sales]]*Sales_Data[[#This Row],[Discount]]</f>
        <v>0</v>
      </c>
      <c r="J306">
        <v>3921.99</v>
      </c>
      <c r="K306" s="1">
        <v>21.4</v>
      </c>
      <c r="L306" s="1">
        <v>3921.99</v>
      </c>
      <c r="M306" s="1" t="s">
        <v>10</v>
      </c>
      <c r="N306" s="1">
        <f>IF(Sales_Data[[#This Row],[Sales with Discount]]&lt;Sales_Data[[#This Row],[Sales with Free Shipping]],Sales_Data[[#This Row],[Sales with Discount]],Sales_Data[[#This Row],[Sales with Free Shipping]])</f>
        <v>3921.99</v>
      </c>
      <c r="O306" s="1" t="str">
        <f>TEXT(Sales_Data[[#This Row],[Order Date]], "MM-YYYY")</f>
        <v>12-2019</v>
      </c>
    </row>
    <row r="307" spans="1:15" x14ac:dyDescent="0.3">
      <c r="A307" s="1">
        <v>59585</v>
      </c>
      <c r="B307" s="2">
        <v>43730</v>
      </c>
      <c r="C307" s="1" t="s">
        <v>9</v>
      </c>
      <c r="D307" s="1">
        <v>45</v>
      </c>
      <c r="E307" t="s">
        <v>23</v>
      </c>
      <c r="F307" t="s">
        <v>23</v>
      </c>
      <c r="G307" s="1">
        <v>761.88</v>
      </c>
      <c r="H307">
        <v>0.01</v>
      </c>
      <c r="I307">
        <f>Sales_Data[[#This Row],[Sales]]*Sales_Data[[#This Row],[Discount]]</f>
        <v>7.6188000000000002</v>
      </c>
      <c r="J307">
        <v>754.26120000000003</v>
      </c>
      <c r="K307" s="1">
        <v>10.1</v>
      </c>
      <c r="L307" s="1">
        <v>751.78</v>
      </c>
      <c r="M307" s="1" t="s">
        <v>10</v>
      </c>
      <c r="N307" s="1">
        <f>IF(Sales_Data[[#This Row],[Sales with Discount]]&lt;Sales_Data[[#This Row],[Sales with Free Shipping]],Sales_Data[[#This Row],[Sales with Discount]],Sales_Data[[#This Row],[Sales with Free Shipping]])</f>
        <v>751.78</v>
      </c>
      <c r="O307" s="1" t="str">
        <f>TEXT(Sales_Data[[#This Row],[Order Date]], "MM-YYYY")</f>
        <v>09-2019</v>
      </c>
    </row>
    <row r="308" spans="1:15" x14ac:dyDescent="0.3">
      <c r="A308" s="1">
        <v>45440</v>
      </c>
      <c r="B308" s="2">
        <v>43686</v>
      </c>
      <c r="C308" s="1" t="s">
        <v>12</v>
      </c>
      <c r="D308" s="1">
        <v>5</v>
      </c>
      <c r="E308" t="s">
        <v>16</v>
      </c>
      <c r="F308" t="s">
        <v>16</v>
      </c>
      <c r="G308" s="1">
        <v>800.67</v>
      </c>
      <c r="H308">
        <v>0</v>
      </c>
      <c r="I308">
        <f>Sales_Data[[#This Row],[Sales]]*Sales_Data[[#This Row],[Discount]]</f>
        <v>0</v>
      </c>
      <c r="J308">
        <v>800.67</v>
      </c>
      <c r="K308" s="1">
        <v>30.6</v>
      </c>
      <c r="L308" s="1">
        <v>800.67</v>
      </c>
      <c r="M308" s="1" t="s">
        <v>13</v>
      </c>
      <c r="N308" s="1">
        <f>IF(Sales_Data[[#This Row],[Sales with Discount]]&lt;Sales_Data[[#This Row],[Sales with Free Shipping]],Sales_Data[[#This Row],[Sales with Discount]],Sales_Data[[#This Row],[Sales with Free Shipping]])</f>
        <v>800.67</v>
      </c>
      <c r="O308" s="1" t="str">
        <f>TEXT(Sales_Data[[#This Row],[Order Date]], "MM-YYYY")</f>
        <v>08-2019</v>
      </c>
    </row>
    <row r="309" spans="1:15" x14ac:dyDescent="0.3">
      <c r="A309" s="1">
        <v>51872</v>
      </c>
      <c r="B309" s="2">
        <v>43578</v>
      </c>
      <c r="C309" s="1" t="s">
        <v>14</v>
      </c>
      <c r="D309" s="1">
        <v>10</v>
      </c>
      <c r="E309" t="s">
        <v>17</v>
      </c>
      <c r="F309" t="s">
        <v>17</v>
      </c>
      <c r="G309" s="1">
        <v>2347.5100000000002</v>
      </c>
      <c r="H309">
        <v>0</v>
      </c>
      <c r="I309">
        <f>Sales_Data[[#This Row],[Sales]]*Sales_Data[[#This Row],[Discount]]</f>
        <v>0</v>
      </c>
      <c r="J309">
        <v>2347.5100000000002</v>
      </c>
      <c r="K309" s="1">
        <v>26.2</v>
      </c>
      <c r="L309" s="1">
        <v>2347.5100000000002</v>
      </c>
      <c r="M309" s="1" t="s">
        <v>10</v>
      </c>
      <c r="N309" s="1">
        <f>IF(Sales_Data[[#This Row],[Sales with Discount]]&lt;Sales_Data[[#This Row],[Sales with Free Shipping]],Sales_Data[[#This Row],[Sales with Discount]],Sales_Data[[#This Row],[Sales with Free Shipping]])</f>
        <v>2347.5100000000002</v>
      </c>
      <c r="O309" s="1" t="str">
        <f>TEXT(Sales_Data[[#This Row],[Order Date]], "MM-YYYY")</f>
        <v>04-2019</v>
      </c>
    </row>
    <row r="310" spans="1:15" x14ac:dyDescent="0.3">
      <c r="A310" s="1">
        <v>8224</v>
      </c>
      <c r="B310" s="2">
        <v>43502</v>
      </c>
      <c r="C310" s="1" t="s">
        <v>11</v>
      </c>
      <c r="D310" s="1">
        <v>41</v>
      </c>
      <c r="E310" t="s">
        <v>23</v>
      </c>
      <c r="F310" t="s">
        <v>23</v>
      </c>
      <c r="G310" s="1">
        <v>96.05</v>
      </c>
      <c r="H310">
        <v>0.01</v>
      </c>
      <c r="I310">
        <f>Sales_Data[[#This Row],[Sales]]*Sales_Data[[#This Row],[Discount]]</f>
        <v>0.96050000000000002</v>
      </c>
      <c r="J310">
        <v>95.089500000000001</v>
      </c>
      <c r="K310" s="1">
        <v>1.1000000000000001</v>
      </c>
      <c r="L310" s="1">
        <v>94.95</v>
      </c>
      <c r="M310" s="1" t="s">
        <v>10</v>
      </c>
      <c r="N310" s="1">
        <f>IF(Sales_Data[[#This Row],[Sales with Discount]]&lt;Sales_Data[[#This Row],[Sales with Free Shipping]],Sales_Data[[#This Row],[Sales with Discount]],Sales_Data[[#This Row],[Sales with Free Shipping]])</f>
        <v>94.95</v>
      </c>
      <c r="O310" s="1" t="str">
        <f>TEXT(Sales_Data[[#This Row],[Order Date]], "MM-YYYY")</f>
        <v>02-2019</v>
      </c>
    </row>
    <row r="311" spans="1:15" x14ac:dyDescent="0.3">
      <c r="A311" s="1">
        <v>42848</v>
      </c>
      <c r="B311" s="2">
        <v>43744</v>
      </c>
      <c r="C311" s="1" t="s">
        <v>11</v>
      </c>
      <c r="D311" s="1">
        <v>50</v>
      </c>
      <c r="E311" t="s">
        <v>24</v>
      </c>
      <c r="F311" t="s">
        <v>24</v>
      </c>
      <c r="G311" s="1">
        <v>414.94</v>
      </c>
      <c r="H311">
        <v>0.01</v>
      </c>
      <c r="I311">
        <f>Sales_Data[[#This Row],[Sales]]*Sales_Data[[#This Row],[Discount]]</f>
        <v>4.1494</v>
      </c>
      <c r="J311">
        <v>410.79059999999998</v>
      </c>
      <c r="K311" s="1">
        <v>6.2</v>
      </c>
      <c r="L311" s="1">
        <v>408.74</v>
      </c>
      <c r="M311" s="1" t="s">
        <v>10</v>
      </c>
      <c r="N311" s="1">
        <f>IF(Sales_Data[[#This Row],[Sales with Discount]]&lt;Sales_Data[[#This Row],[Sales with Free Shipping]],Sales_Data[[#This Row],[Sales with Discount]],Sales_Data[[#This Row],[Sales with Free Shipping]])</f>
        <v>408.74</v>
      </c>
      <c r="O311" s="1" t="str">
        <f>TEXT(Sales_Data[[#This Row],[Order Date]], "MM-YYYY")</f>
        <v>10-2019</v>
      </c>
    </row>
    <row r="312" spans="1:15" x14ac:dyDescent="0.3">
      <c r="A312" s="1">
        <v>43010</v>
      </c>
      <c r="B312" s="2">
        <v>43747</v>
      </c>
      <c r="C312" s="1" t="s">
        <v>12</v>
      </c>
      <c r="D312" s="1">
        <v>24</v>
      </c>
      <c r="E312" t="s">
        <v>14</v>
      </c>
      <c r="F312" t="s">
        <v>14</v>
      </c>
      <c r="G312" s="1">
        <v>262.72000000000003</v>
      </c>
      <c r="H312">
        <v>0</v>
      </c>
      <c r="I312">
        <f>Sales_Data[[#This Row],[Sales]]*Sales_Data[[#This Row],[Discount]]</f>
        <v>0</v>
      </c>
      <c r="J312">
        <v>262.72000000000003</v>
      </c>
      <c r="K312" s="1">
        <v>2.4</v>
      </c>
      <c r="L312" s="1">
        <v>262.72000000000003</v>
      </c>
      <c r="M312" s="1" t="s">
        <v>10</v>
      </c>
      <c r="N312" s="1">
        <f>IF(Sales_Data[[#This Row],[Sales with Discount]]&lt;Sales_Data[[#This Row],[Sales with Free Shipping]],Sales_Data[[#This Row],[Sales with Discount]],Sales_Data[[#This Row],[Sales with Free Shipping]])</f>
        <v>262.72000000000003</v>
      </c>
      <c r="O312" s="1" t="str">
        <f>TEXT(Sales_Data[[#This Row],[Order Date]], "MM-YYYY")</f>
        <v>10-2019</v>
      </c>
    </row>
    <row r="313" spans="1:15" x14ac:dyDescent="0.3">
      <c r="A313" s="1">
        <v>2562</v>
      </c>
      <c r="B313" s="2">
        <v>43677</v>
      </c>
      <c r="C313" s="1" t="s">
        <v>12</v>
      </c>
      <c r="D313" s="1">
        <v>28</v>
      </c>
      <c r="E313" t="s">
        <v>20</v>
      </c>
      <c r="F313" t="s">
        <v>20</v>
      </c>
      <c r="G313" s="1">
        <v>69.36</v>
      </c>
      <c r="H313">
        <v>0</v>
      </c>
      <c r="I313">
        <f>Sales_Data[[#This Row],[Sales]]*Sales_Data[[#This Row],[Discount]]</f>
        <v>0</v>
      </c>
      <c r="J313">
        <v>69.36</v>
      </c>
      <c r="K313" s="1">
        <v>2.1</v>
      </c>
      <c r="L313" s="1">
        <v>69.36</v>
      </c>
      <c r="M313" s="1" t="s">
        <v>10</v>
      </c>
      <c r="N313" s="1">
        <f>IF(Sales_Data[[#This Row],[Sales with Discount]]&lt;Sales_Data[[#This Row],[Sales with Free Shipping]],Sales_Data[[#This Row],[Sales with Discount]],Sales_Data[[#This Row],[Sales with Free Shipping]])</f>
        <v>69.36</v>
      </c>
      <c r="O313" s="1" t="str">
        <f>TEXT(Sales_Data[[#This Row],[Order Date]], "MM-YYYY")</f>
        <v>07-2019</v>
      </c>
    </row>
    <row r="314" spans="1:15" x14ac:dyDescent="0.3">
      <c r="A314" s="1">
        <v>57671</v>
      </c>
      <c r="B314" s="2">
        <v>43776</v>
      </c>
      <c r="C314" s="1" t="s">
        <v>11</v>
      </c>
      <c r="D314" s="1">
        <v>6</v>
      </c>
      <c r="E314" t="s">
        <v>17</v>
      </c>
      <c r="F314" t="s">
        <v>17</v>
      </c>
      <c r="G314" s="1">
        <v>24.37</v>
      </c>
      <c r="H314">
        <v>0</v>
      </c>
      <c r="I314">
        <f>Sales_Data[[#This Row],[Sales]]*Sales_Data[[#This Row],[Discount]]</f>
        <v>0</v>
      </c>
      <c r="J314">
        <v>24.37</v>
      </c>
      <c r="K314" s="1">
        <v>0.5</v>
      </c>
      <c r="L314" s="1">
        <v>24.37</v>
      </c>
      <c r="M314" s="1" t="s">
        <v>10</v>
      </c>
      <c r="N314" s="1">
        <f>IF(Sales_Data[[#This Row],[Sales with Discount]]&lt;Sales_Data[[#This Row],[Sales with Free Shipping]],Sales_Data[[#This Row],[Sales with Discount]],Sales_Data[[#This Row],[Sales with Free Shipping]])</f>
        <v>24.37</v>
      </c>
      <c r="O314" s="1" t="str">
        <f>TEXT(Sales_Data[[#This Row],[Order Date]], "MM-YYYY")</f>
        <v>11-2019</v>
      </c>
    </row>
    <row r="315" spans="1:15" x14ac:dyDescent="0.3">
      <c r="A315" s="1">
        <v>33924</v>
      </c>
      <c r="B315" s="2">
        <v>43756</v>
      </c>
      <c r="C315" s="1" t="s">
        <v>11</v>
      </c>
      <c r="D315" s="1">
        <v>12</v>
      </c>
      <c r="E315" t="s">
        <v>18</v>
      </c>
      <c r="F315" t="s">
        <v>18</v>
      </c>
      <c r="G315" s="1">
        <v>6599.83</v>
      </c>
      <c r="H315">
        <v>0</v>
      </c>
      <c r="I315">
        <f>Sales_Data[[#This Row],[Sales]]*Sales_Data[[#This Row],[Discount]]</f>
        <v>0</v>
      </c>
      <c r="J315">
        <v>6599.83</v>
      </c>
      <c r="K315" s="1">
        <v>30.1</v>
      </c>
      <c r="L315" s="1">
        <v>6599.83</v>
      </c>
      <c r="M315" s="1" t="s">
        <v>13</v>
      </c>
      <c r="N315" s="1">
        <f>IF(Sales_Data[[#This Row],[Sales with Discount]]&lt;Sales_Data[[#This Row],[Sales with Free Shipping]],Sales_Data[[#This Row],[Sales with Discount]],Sales_Data[[#This Row],[Sales with Free Shipping]])</f>
        <v>6599.83</v>
      </c>
      <c r="O315" s="1" t="str">
        <f>TEXT(Sales_Data[[#This Row],[Order Date]], "MM-YYYY")</f>
        <v>10-2019</v>
      </c>
    </row>
    <row r="316" spans="1:15" x14ac:dyDescent="0.3">
      <c r="A316" s="1">
        <v>24066</v>
      </c>
      <c r="B316" s="2">
        <v>43568</v>
      </c>
      <c r="C316" s="1" t="s">
        <v>9</v>
      </c>
      <c r="D316" s="1">
        <v>30</v>
      </c>
      <c r="E316" t="s">
        <v>20</v>
      </c>
      <c r="F316" t="s">
        <v>20</v>
      </c>
      <c r="G316" s="1">
        <v>4578.1126999999997</v>
      </c>
      <c r="H316">
        <v>0</v>
      </c>
      <c r="I316">
        <f>Sales_Data[[#This Row],[Sales]]*Sales_Data[[#This Row],[Discount]]</f>
        <v>0</v>
      </c>
      <c r="J316">
        <v>4578.1126999999997</v>
      </c>
      <c r="K316" s="1">
        <v>70.900000000000006</v>
      </c>
      <c r="L316" s="1">
        <v>4578.1126999999997</v>
      </c>
      <c r="M316" s="1" t="s">
        <v>13</v>
      </c>
      <c r="N316" s="1">
        <f>IF(Sales_Data[[#This Row],[Sales with Discount]]&lt;Sales_Data[[#This Row],[Sales with Free Shipping]],Sales_Data[[#This Row],[Sales with Discount]],Sales_Data[[#This Row],[Sales with Free Shipping]])</f>
        <v>4578.1126999999997</v>
      </c>
      <c r="O316" s="1" t="str">
        <f>TEXT(Sales_Data[[#This Row],[Order Date]], "MM-YYYY")</f>
        <v>04-2019</v>
      </c>
    </row>
    <row r="317" spans="1:15" x14ac:dyDescent="0.3">
      <c r="A317" s="1">
        <v>53024</v>
      </c>
      <c r="B317" s="2">
        <v>43597</v>
      </c>
      <c r="C317" s="1" t="s">
        <v>11</v>
      </c>
      <c r="D317" s="1">
        <v>9</v>
      </c>
      <c r="E317" t="s">
        <v>17</v>
      </c>
      <c r="F317" t="s">
        <v>17</v>
      </c>
      <c r="G317" s="1">
        <v>200.23</v>
      </c>
      <c r="H317">
        <v>0</v>
      </c>
      <c r="I317">
        <f>Sales_Data[[#This Row],[Sales]]*Sales_Data[[#This Row],[Discount]]</f>
        <v>0</v>
      </c>
      <c r="J317">
        <v>200.23</v>
      </c>
      <c r="K317" s="1">
        <v>15.4</v>
      </c>
      <c r="L317" s="1">
        <v>200.23</v>
      </c>
      <c r="M317" s="1" t="s">
        <v>10</v>
      </c>
      <c r="N317" s="1">
        <f>IF(Sales_Data[[#This Row],[Sales with Discount]]&lt;Sales_Data[[#This Row],[Sales with Free Shipping]],Sales_Data[[#This Row],[Sales with Discount]],Sales_Data[[#This Row],[Sales with Free Shipping]])</f>
        <v>200.23</v>
      </c>
      <c r="O317" s="1" t="str">
        <f>TEXT(Sales_Data[[#This Row],[Order Date]], "MM-YYYY")</f>
        <v>05-2019</v>
      </c>
    </row>
    <row r="318" spans="1:15" x14ac:dyDescent="0.3">
      <c r="A318" s="1">
        <v>53378</v>
      </c>
      <c r="B318" s="2">
        <v>43659</v>
      </c>
      <c r="C318" s="1" t="s">
        <v>14</v>
      </c>
      <c r="D318" s="1">
        <v>49</v>
      </c>
      <c r="E318" t="s">
        <v>24</v>
      </c>
      <c r="F318" t="s">
        <v>24</v>
      </c>
      <c r="G318" s="1">
        <v>2543.69</v>
      </c>
      <c r="H318">
        <v>0.01</v>
      </c>
      <c r="I318">
        <f>Sales_Data[[#This Row],[Sales]]*Sales_Data[[#This Row],[Discount]]</f>
        <v>25.436900000000001</v>
      </c>
      <c r="J318">
        <v>2518.2530999999999</v>
      </c>
      <c r="K318" s="1">
        <v>5.4</v>
      </c>
      <c r="L318" s="1">
        <v>2538.29</v>
      </c>
      <c r="M318" s="1" t="s">
        <v>10</v>
      </c>
      <c r="N318" s="1">
        <f>IF(Sales_Data[[#This Row],[Sales with Discount]]&lt;Sales_Data[[#This Row],[Sales with Free Shipping]],Sales_Data[[#This Row],[Sales with Discount]],Sales_Data[[#This Row],[Sales with Free Shipping]])</f>
        <v>2518.2530999999999</v>
      </c>
      <c r="O318" s="1" t="str">
        <f>TEXT(Sales_Data[[#This Row],[Order Date]], "MM-YYYY")</f>
        <v>07-2019</v>
      </c>
    </row>
    <row r="319" spans="1:15" x14ac:dyDescent="0.3">
      <c r="A319" s="1">
        <v>21505</v>
      </c>
      <c r="B319" s="2">
        <v>43802</v>
      </c>
      <c r="C319" s="1" t="s">
        <v>7</v>
      </c>
      <c r="D319" s="1">
        <v>3</v>
      </c>
      <c r="E319" t="s">
        <v>16</v>
      </c>
      <c r="F319" t="s">
        <v>16</v>
      </c>
      <c r="G319" s="1">
        <v>976.21</v>
      </c>
      <c r="H319">
        <v>0</v>
      </c>
      <c r="I319">
        <f>Sales_Data[[#This Row],[Sales]]*Sales_Data[[#This Row],[Discount]]</f>
        <v>0</v>
      </c>
      <c r="J319">
        <v>976.21</v>
      </c>
      <c r="K319" s="1">
        <v>74.400000000000006</v>
      </c>
      <c r="L319" s="1">
        <v>976.21</v>
      </c>
      <c r="M319" s="1" t="s">
        <v>13</v>
      </c>
      <c r="N319" s="1">
        <f>IF(Sales_Data[[#This Row],[Sales with Discount]]&lt;Sales_Data[[#This Row],[Sales with Free Shipping]],Sales_Data[[#This Row],[Sales with Discount]],Sales_Data[[#This Row],[Sales with Free Shipping]])</f>
        <v>976.21</v>
      </c>
      <c r="O319" s="1" t="str">
        <f>TEXT(Sales_Data[[#This Row],[Order Date]], "MM-YYYY")</f>
        <v>12-2019</v>
      </c>
    </row>
    <row r="320" spans="1:15" x14ac:dyDescent="0.3">
      <c r="A320" s="1">
        <v>42306</v>
      </c>
      <c r="B320" s="2">
        <v>43722</v>
      </c>
      <c r="C320" s="1" t="s">
        <v>9</v>
      </c>
      <c r="D320" s="1">
        <v>4</v>
      </c>
      <c r="E320" t="s">
        <v>16</v>
      </c>
      <c r="F320" t="s">
        <v>16</v>
      </c>
      <c r="G320" s="1">
        <v>39.01</v>
      </c>
      <c r="H320">
        <v>0</v>
      </c>
      <c r="I320">
        <f>Sales_Data[[#This Row],[Sales]]*Sales_Data[[#This Row],[Discount]]</f>
        <v>0</v>
      </c>
      <c r="J320">
        <v>39.01</v>
      </c>
      <c r="K320" s="1">
        <v>3.2</v>
      </c>
      <c r="L320" s="1">
        <v>39.01</v>
      </c>
      <c r="M320" s="1" t="s">
        <v>10</v>
      </c>
      <c r="N320" s="1">
        <f>IF(Sales_Data[[#This Row],[Sales with Discount]]&lt;Sales_Data[[#This Row],[Sales with Free Shipping]],Sales_Data[[#This Row],[Sales with Discount]],Sales_Data[[#This Row],[Sales with Free Shipping]])</f>
        <v>39.01</v>
      </c>
      <c r="O320" s="1" t="str">
        <f>TEXT(Sales_Data[[#This Row],[Order Date]], "MM-YYYY")</f>
        <v>09-2019</v>
      </c>
    </row>
    <row r="321" spans="1:15" x14ac:dyDescent="0.3">
      <c r="A321" s="1">
        <v>8833</v>
      </c>
      <c r="B321" s="2">
        <v>43589</v>
      </c>
      <c r="C321" s="1" t="s">
        <v>7</v>
      </c>
      <c r="D321" s="1">
        <v>40</v>
      </c>
      <c r="E321" t="s">
        <v>22</v>
      </c>
      <c r="F321" t="s">
        <v>22</v>
      </c>
      <c r="G321" s="1">
        <v>3572.7085999999999</v>
      </c>
      <c r="H321">
        <v>0.01</v>
      </c>
      <c r="I321">
        <f>Sales_Data[[#This Row],[Sales]]*Sales_Data[[#This Row],[Discount]]</f>
        <v>35.727086</v>
      </c>
      <c r="J321">
        <v>3536.9815140000001</v>
      </c>
      <c r="K321" s="1">
        <v>37.5</v>
      </c>
      <c r="L321" s="1">
        <v>3535.2085999999999</v>
      </c>
      <c r="M321" s="1" t="s">
        <v>10</v>
      </c>
      <c r="N321" s="1">
        <f>IF(Sales_Data[[#This Row],[Sales with Discount]]&lt;Sales_Data[[#This Row],[Sales with Free Shipping]],Sales_Data[[#This Row],[Sales with Discount]],Sales_Data[[#This Row],[Sales with Free Shipping]])</f>
        <v>3535.2085999999999</v>
      </c>
      <c r="O321" s="1" t="str">
        <f>TEXT(Sales_Data[[#This Row],[Order Date]], "MM-YYYY")</f>
        <v>05-2019</v>
      </c>
    </row>
    <row r="322" spans="1:15" x14ac:dyDescent="0.3">
      <c r="A322" s="1">
        <v>56224</v>
      </c>
      <c r="B322" s="2">
        <v>43763</v>
      </c>
      <c r="C322" s="1" t="s">
        <v>14</v>
      </c>
      <c r="D322" s="1">
        <v>32</v>
      </c>
      <c r="E322" t="s">
        <v>21</v>
      </c>
      <c r="F322" t="s">
        <v>21</v>
      </c>
      <c r="G322" s="1">
        <v>3429.61</v>
      </c>
      <c r="H322">
        <v>0</v>
      </c>
      <c r="I322">
        <f>Sales_Data[[#This Row],[Sales]]*Sales_Data[[#This Row],[Discount]]</f>
        <v>0</v>
      </c>
      <c r="J322">
        <v>3429.61</v>
      </c>
      <c r="K322" s="1">
        <v>79.599999999999994</v>
      </c>
      <c r="L322" s="1">
        <v>3429.61</v>
      </c>
      <c r="M322" s="1" t="s">
        <v>13</v>
      </c>
      <c r="N322" s="1">
        <f>IF(Sales_Data[[#This Row],[Sales with Discount]]&lt;Sales_Data[[#This Row],[Sales with Free Shipping]],Sales_Data[[#This Row],[Sales with Discount]],Sales_Data[[#This Row],[Sales with Free Shipping]])</f>
        <v>3429.61</v>
      </c>
      <c r="O322" s="1" t="str">
        <f>TEXT(Sales_Data[[#This Row],[Order Date]], "MM-YYYY")</f>
        <v>10-2019</v>
      </c>
    </row>
    <row r="323" spans="1:15" x14ac:dyDescent="0.3">
      <c r="A323" s="1">
        <v>8678</v>
      </c>
      <c r="B323" s="2">
        <v>43738</v>
      </c>
      <c r="C323" s="1" t="s">
        <v>7</v>
      </c>
      <c r="D323" s="1">
        <v>31</v>
      </c>
      <c r="E323" t="s">
        <v>21</v>
      </c>
      <c r="F323" t="s">
        <v>21</v>
      </c>
      <c r="G323" s="1">
        <v>1003.45</v>
      </c>
      <c r="H323">
        <v>0</v>
      </c>
      <c r="I323">
        <f>Sales_Data[[#This Row],[Sales]]*Sales_Data[[#This Row],[Discount]]</f>
        <v>0</v>
      </c>
      <c r="J323">
        <v>1003.45</v>
      </c>
      <c r="K323" s="1">
        <v>7.1</v>
      </c>
      <c r="L323" s="1">
        <v>1003.45</v>
      </c>
      <c r="M323" s="1" t="s">
        <v>10</v>
      </c>
      <c r="N323" s="1">
        <f>IF(Sales_Data[[#This Row],[Sales with Discount]]&lt;Sales_Data[[#This Row],[Sales with Free Shipping]],Sales_Data[[#This Row],[Sales with Discount]],Sales_Data[[#This Row],[Sales with Free Shipping]])</f>
        <v>1003.45</v>
      </c>
      <c r="O323" s="1" t="str">
        <f>TEXT(Sales_Data[[#This Row],[Order Date]], "MM-YYYY")</f>
        <v>09-2019</v>
      </c>
    </row>
    <row r="324" spans="1:15" x14ac:dyDescent="0.3">
      <c r="A324" s="1">
        <v>37763</v>
      </c>
      <c r="B324" s="2">
        <v>43503</v>
      </c>
      <c r="C324" s="1" t="s">
        <v>11</v>
      </c>
      <c r="D324" s="1">
        <v>29</v>
      </c>
      <c r="E324" t="s">
        <v>20</v>
      </c>
      <c r="F324" t="s">
        <v>20</v>
      </c>
      <c r="G324" s="1">
        <v>181.48269999999999</v>
      </c>
      <c r="H324">
        <v>0</v>
      </c>
      <c r="I324">
        <f>Sales_Data[[#This Row],[Sales]]*Sales_Data[[#This Row],[Discount]]</f>
        <v>0</v>
      </c>
      <c r="J324">
        <v>181.48269999999999</v>
      </c>
      <c r="K324" s="1">
        <v>10.6</v>
      </c>
      <c r="L324" s="1">
        <v>181.48269999999999</v>
      </c>
      <c r="M324" s="1" t="s">
        <v>10</v>
      </c>
      <c r="N324" s="1">
        <f>IF(Sales_Data[[#This Row],[Sales with Discount]]&lt;Sales_Data[[#This Row],[Sales with Free Shipping]],Sales_Data[[#This Row],[Sales with Discount]],Sales_Data[[#This Row],[Sales with Free Shipping]])</f>
        <v>181.48269999999999</v>
      </c>
      <c r="O324" s="1" t="str">
        <f>TEXT(Sales_Data[[#This Row],[Order Date]], "MM-YYYY")</f>
        <v>02-2019</v>
      </c>
    </row>
    <row r="325" spans="1:15" x14ac:dyDescent="0.3">
      <c r="A325" s="1">
        <v>12129</v>
      </c>
      <c r="B325" s="2">
        <v>43824</v>
      </c>
      <c r="C325" s="1" t="s">
        <v>14</v>
      </c>
      <c r="D325" s="1">
        <v>36</v>
      </c>
      <c r="E325" t="s">
        <v>22</v>
      </c>
      <c r="F325" t="s">
        <v>22</v>
      </c>
      <c r="G325" s="1">
        <v>5191.6899999999996</v>
      </c>
      <c r="H325">
        <v>0.01</v>
      </c>
      <c r="I325">
        <f>Sales_Data[[#This Row],[Sales]]*Sales_Data[[#This Row],[Discount]]</f>
        <v>51.916899999999998</v>
      </c>
      <c r="J325">
        <v>5139.7730999999994</v>
      </c>
      <c r="K325" s="1">
        <v>75.099999999999994</v>
      </c>
      <c r="L325" s="1">
        <v>5116.5899999999992</v>
      </c>
      <c r="M325" s="1" t="s">
        <v>13</v>
      </c>
      <c r="N325" s="1">
        <f>IF(Sales_Data[[#This Row],[Sales with Discount]]&lt;Sales_Data[[#This Row],[Sales with Free Shipping]],Sales_Data[[#This Row],[Sales with Discount]],Sales_Data[[#This Row],[Sales with Free Shipping]])</f>
        <v>5116.5899999999992</v>
      </c>
      <c r="O325" s="1" t="str">
        <f>TEXT(Sales_Data[[#This Row],[Order Date]], "MM-YYYY")</f>
        <v>12-2019</v>
      </c>
    </row>
    <row r="326" spans="1:15" x14ac:dyDescent="0.3">
      <c r="A326" s="1">
        <v>36832</v>
      </c>
      <c r="B326" s="2">
        <v>43617</v>
      </c>
      <c r="C326" s="1" t="s">
        <v>7</v>
      </c>
      <c r="D326" s="1">
        <v>24</v>
      </c>
      <c r="E326" t="s">
        <v>14</v>
      </c>
      <c r="F326" t="s">
        <v>14</v>
      </c>
      <c r="G326" s="1">
        <v>64.938299999999998</v>
      </c>
      <c r="H326">
        <v>0</v>
      </c>
      <c r="I326">
        <f>Sales_Data[[#This Row],[Sales]]*Sales_Data[[#This Row],[Discount]]</f>
        <v>0</v>
      </c>
      <c r="J326">
        <v>64.938299999999998</v>
      </c>
      <c r="K326" s="1">
        <v>2.1</v>
      </c>
      <c r="L326" s="1">
        <v>64.938299999999998</v>
      </c>
      <c r="M326" s="1" t="s">
        <v>8</v>
      </c>
      <c r="N326" s="1">
        <f>IF(Sales_Data[[#This Row],[Sales with Discount]]&lt;Sales_Data[[#This Row],[Sales with Free Shipping]],Sales_Data[[#This Row],[Sales with Discount]],Sales_Data[[#This Row],[Sales with Free Shipping]])</f>
        <v>64.938299999999998</v>
      </c>
      <c r="O326" s="1" t="str">
        <f>TEXT(Sales_Data[[#This Row],[Order Date]], "MM-YYYY")</f>
        <v>06-2019</v>
      </c>
    </row>
    <row r="327" spans="1:15" x14ac:dyDescent="0.3">
      <c r="A327" s="1">
        <v>13923</v>
      </c>
      <c r="B327" s="2">
        <v>43654</v>
      </c>
      <c r="C327" s="1" t="s">
        <v>9</v>
      </c>
      <c r="D327" s="1">
        <v>49</v>
      </c>
      <c r="E327" t="s">
        <v>24</v>
      </c>
      <c r="F327" t="s">
        <v>24</v>
      </c>
      <c r="G327" s="1">
        <v>1305.6500000000001</v>
      </c>
      <c r="H327">
        <v>0.01</v>
      </c>
      <c r="I327">
        <f>Sales_Data[[#This Row],[Sales]]*Sales_Data[[#This Row],[Discount]]</f>
        <v>13.056500000000002</v>
      </c>
      <c r="J327">
        <v>1292.5935000000002</v>
      </c>
      <c r="K327" s="1">
        <v>12.3</v>
      </c>
      <c r="L327" s="1">
        <v>1293.3500000000001</v>
      </c>
      <c r="M327" s="1" t="s">
        <v>10</v>
      </c>
      <c r="N327" s="1">
        <f>IF(Sales_Data[[#This Row],[Sales with Discount]]&lt;Sales_Data[[#This Row],[Sales with Free Shipping]],Sales_Data[[#This Row],[Sales with Discount]],Sales_Data[[#This Row],[Sales with Free Shipping]])</f>
        <v>1292.5935000000002</v>
      </c>
      <c r="O327" s="1" t="str">
        <f>TEXT(Sales_Data[[#This Row],[Order Date]], "MM-YYYY")</f>
        <v>07-2019</v>
      </c>
    </row>
    <row r="328" spans="1:15" x14ac:dyDescent="0.3">
      <c r="A328" s="1">
        <v>30375</v>
      </c>
      <c r="B328" s="2">
        <v>43588</v>
      </c>
      <c r="C328" s="1" t="s">
        <v>7</v>
      </c>
      <c r="D328" s="1">
        <v>20</v>
      </c>
      <c r="E328" t="s">
        <v>19</v>
      </c>
      <c r="F328" t="s">
        <v>19</v>
      </c>
      <c r="G328" s="1">
        <v>76.45</v>
      </c>
      <c r="H328">
        <v>0</v>
      </c>
      <c r="I328">
        <f>Sales_Data[[#This Row],[Sales]]*Sales_Data[[#This Row],[Discount]]</f>
        <v>0</v>
      </c>
      <c r="J328">
        <v>76.45</v>
      </c>
      <c r="K328" s="1">
        <v>6.7</v>
      </c>
      <c r="L328" s="1">
        <v>76.45</v>
      </c>
      <c r="M328" s="1" t="s">
        <v>10</v>
      </c>
      <c r="N328" s="1">
        <f>IF(Sales_Data[[#This Row],[Sales with Discount]]&lt;Sales_Data[[#This Row],[Sales with Free Shipping]],Sales_Data[[#This Row],[Sales with Discount]],Sales_Data[[#This Row],[Sales with Free Shipping]])</f>
        <v>76.45</v>
      </c>
      <c r="O328" s="1" t="str">
        <f>TEXT(Sales_Data[[#This Row],[Order Date]], "MM-YYYY")</f>
        <v>05-2019</v>
      </c>
    </row>
    <row r="329" spans="1:15" x14ac:dyDescent="0.3">
      <c r="A329" s="1">
        <v>18918</v>
      </c>
      <c r="B329" s="2">
        <v>43765</v>
      </c>
      <c r="C329" s="1" t="s">
        <v>11</v>
      </c>
      <c r="D329" s="1">
        <v>7</v>
      </c>
      <c r="E329" t="s">
        <v>17</v>
      </c>
      <c r="F329" t="s">
        <v>17</v>
      </c>
      <c r="G329" s="1">
        <v>6808.3458000000001</v>
      </c>
      <c r="H329">
        <v>0</v>
      </c>
      <c r="I329">
        <f>Sales_Data[[#This Row],[Sales]]*Sales_Data[[#This Row],[Discount]]</f>
        <v>0</v>
      </c>
      <c r="J329">
        <v>6808.3458000000001</v>
      </c>
      <c r="K329" s="1">
        <v>15</v>
      </c>
      <c r="L329" s="1">
        <v>6808.3458000000001</v>
      </c>
      <c r="M329" s="1" t="s">
        <v>10</v>
      </c>
      <c r="N329" s="1">
        <f>IF(Sales_Data[[#This Row],[Sales with Discount]]&lt;Sales_Data[[#This Row],[Sales with Free Shipping]],Sales_Data[[#This Row],[Sales with Discount]],Sales_Data[[#This Row],[Sales with Free Shipping]])</f>
        <v>6808.3458000000001</v>
      </c>
      <c r="O329" s="1" t="str">
        <f>TEXT(Sales_Data[[#This Row],[Order Date]], "MM-YYYY")</f>
        <v>10-2019</v>
      </c>
    </row>
    <row r="330" spans="1:15" x14ac:dyDescent="0.3">
      <c r="A330" s="1">
        <v>36929</v>
      </c>
      <c r="B330" s="2">
        <v>43610</v>
      </c>
      <c r="C330" s="1" t="s">
        <v>7</v>
      </c>
      <c r="D330" s="1">
        <v>45</v>
      </c>
      <c r="E330" t="s">
        <v>23</v>
      </c>
      <c r="F330" t="s">
        <v>23</v>
      </c>
      <c r="G330" s="1">
        <v>3892.95</v>
      </c>
      <c r="H330">
        <v>0.01</v>
      </c>
      <c r="I330">
        <f>Sales_Data[[#This Row],[Sales]]*Sales_Data[[#This Row],[Discount]]</f>
        <v>38.929499999999997</v>
      </c>
      <c r="J330">
        <v>3854.0204999999996</v>
      </c>
      <c r="K330" s="1">
        <v>4.8</v>
      </c>
      <c r="L330" s="1">
        <v>3888.1499999999996</v>
      </c>
      <c r="M330" s="1" t="s">
        <v>10</v>
      </c>
      <c r="N330" s="1">
        <f>IF(Sales_Data[[#This Row],[Sales with Discount]]&lt;Sales_Data[[#This Row],[Sales with Free Shipping]],Sales_Data[[#This Row],[Sales with Discount]],Sales_Data[[#This Row],[Sales with Free Shipping]])</f>
        <v>3854.0204999999996</v>
      </c>
      <c r="O330" s="1" t="str">
        <f>TEXT(Sales_Data[[#This Row],[Order Date]], "MM-YYYY")</f>
        <v>05-2019</v>
      </c>
    </row>
    <row r="331" spans="1:15" x14ac:dyDescent="0.3">
      <c r="A331" s="1">
        <v>3654</v>
      </c>
      <c r="B331" s="2">
        <v>43618</v>
      </c>
      <c r="C331" s="1" t="s">
        <v>7</v>
      </c>
      <c r="D331" s="1">
        <v>39</v>
      </c>
      <c r="E331" t="s">
        <v>22</v>
      </c>
      <c r="F331" t="s">
        <v>22</v>
      </c>
      <c r="G331" s="1">
        <v>7852.51</v>
      </c>
      <c r="H331">
        <v>0.01</v>
      </c>
      <c r="I331">
        <f>Sales_Data[[#This Row],[Sales]]*Sales_Data[[#This Row],[Discount]]</f>
        <v>78.525100000000009</v>
      </c>
      <c r="J331">
        <v>7773.9849000000004</v>
      </c>
      <c r="K331" s="1">
        <v>15</v>
      </c>
      <c r="L331" s="1">
        <v>7837.51</v>
      </c>
      <c r="M331" s="1" t="s">
        <v>10</v>
      </c>
      <c r="N331" s="1">
        <f>IF(Sales_Data[[#This Row],[Sales with Discount]]&lt;Sales_Data[[#This Row],[Sales with Free Shipping]],Sales_Data[[#This Row],[Sales with Discount]],Sales_Data[[#This Row],[Sales with Free Shipping]])</f>
        <v>7773.9849000000004</v>
      </c>
      <c r="O331" s="1" t="str">
        <f>TEXT(Sales_Data[[#This Row],[Order Date]], "MM-YYYY")</f>
        <v>06-2019</v>
      </c>
    </row>
    <row r="332" spans="1:15" x14ac:dyDescent="0.3">
      <c r="A332" s="1">
        <v>39425</v>
      </c>
      <c r="B332" s="2">
        <v>43693</v>
      </c>
      <c r="C332" s="1" t="s">
        <v>12</v>
      </c>
      <c r="D332" s="1">
        <v>23</v>
      </c>
      <c r="E332" t="s">
        <v>14</v>
      </c>
      <c r="F332" t="s">
        <v>14</v>
      </c>
      <c r="G332" s="1">
        <v>1356.18</v>
      </c>
      <c r="H332">
        <v>0</v>
      </c>
      <c r="I332">
        <f>Sales_Data[[#This Row],[Sales]]*Sales_Data[[#This Row],[Discount]]</f>
        <v>0</v>
      </c>
      <c r="J332">
        <v>1356.18</v>
      </c>
      <c r="K332" s="1">
        <v>6.4</v>
      </c>
      <c r="L332" s="1">
        <v>1356.18</v>
      </c>
      <c r="M332" s="1" t="s">
        <v>10</v>
      </c>
      <c r="N332" s="1">
        <f>IF(Sales_Data[[#This Row],[Sales with Discount]]&lt;Sales_Data[[#This Row],[Sales with Free Shipping]],Sales_Data[[#This Row],[Sales with Discount]],Sales_Data[[#This Row],[Sales with Free Shipping]])</f>
        <v>1356.18</v>
      </c>
      <c r="O332" s="1" t="str">
        <f>TEXT(Sales_Data[[#This Row],[Order Date]], "MM-YYYY")</f>
        <v>08-2019</v>
      </c>
    </row>
    <row r="333" spans="1:15" x14ac:dyDescent="0.3">
      <c r="A333" s="1">
        <v>17797</v>
      </c>
      <c r="B333" s="2">
        <v>43656</v>
      </c>
      <c r="C333" s="1" t="s">
        <v>7</v>
      </c>
      <c r="D333" s="1">
        <v>10</v>
      </c>
      <c r="E333" t="s">
        <v>17</v>
      </c>
      <c r="F333" t="s">
        <v>17</v>
      </c>
      <c r="G333" s="1">
        <v>1152.69</v>
      </c>
      <c r="H333">
        <v>0</v>
      </c>
      <c r="I333">
        <f>Sales_Data[[#This Row],[Sales]]*Sales_Data[[#This Row],[Discount]]</f>
        <v>0</v>
      </c>
      <c r="J333">
        <v>1152.69</v>
      </c>
      <c r="K333" s="1">
        <v>61.4</v>
      </c>
      <c r="L333" s="1">
        <v>1152.69</v>
      </c>
      <c r="M333" s="1" t="s">
        <v>13</v>
      </c>
      <c r="N333" s="1">
        <f>IF(Sales_Data[[#This Row],[Sales with Discount]]&lt;Sales_Data[[#This Row],[Sales with Free Shipping]],Sales_Data[[#This Row],[Sales with Discount]],Sales_Data[[#This Row],[Sales with Free Shipping]])</f>
        <v>1152.69</v>
      </c>
      <c r="O333" s="1" t="str">
        <f>TEXT(Sales_Data[[#This Row],[Order Date]], "MM-YYYY")</f>
        <v>07-2019</v>
      </c>
    </row>
    <row r="334" spans="1:15" x14ac:dyDescent="0.3">
      <c r="A334" s="1">
        <v>55779</v>
      </c>
      <c r="B334" s="2">
        <v>43534</v>
      </c>
      <c r="C334" s="1" t="s">
        <v>12</v>
      </c>
      <c r="D334" s="1">
        <v>26</v>
      </c>
      <c r="E334" t="s">
        <v>20</v>
      </c>
      <c r="F334" t="s">
        <v>20</v>
      </c>
      <c r="G334" s="1">
        <v>4358.29</v>
      </c>
      <c r="H334">
        <v>0</v>
      </c>
      <c r="I334">
        <f>Sales_Data[[#This Row],[Sales]]*Sales_Data[[#This Row],[Discount]]</f>
        <v>0</v>
      </c>
      <c r="J334">
        <v>4358.29</v>
      </c>
      <c r="K334" s="1">
        <v>32.1</v>
      </c>
      <c r="L334" s="1">
        <v>4358.29</v>
      </c>
      <c r="M334" s="1" t="s">
        <v>13</v>
      </c>
      <c r="N334" s="1">
        <f>IF(Sales_Data[[#This Row],[Sales with Discount]]&lt;Sales_Data[[#This Row],[Sales with Free Shipping]],Sales_Data[[#This Row],[Sales with Discount]],Sales_Data[[#This Row],[Sales with Free Shipping]])</f>
        <v>4358.29</v>
      </c>
      <c r="O334" s="1" t="str">
        <f>TEXT(Sales_Data[[#This Row],[Order Date]], "MM-YYYY")</f>
        <v>03-2019</v>
      </c>
    </row>
    <row r="335" spans="1:15" x14ac:dyDescent="0.3">
      <c r="A335" s="1">
        <v>31302</v>
      </c>
      <c r="B335" s="2">
        <v>43678</v>
      </c>
      <c r="C335" s="1" t="s">
        <v>9</v>
      </c>
      <c r="D335" s="1">
        <v>41</v>
      </c>
      <c r="E335" t="s">
        <v>23</v>
      </c>
      <c r="F335" t="s">
        <v>23</v>
      </c>
      <c r="G335" s="1">
        <v>4974.04</v>
      </c>
      <c r="H335">
        <v>0.01</v>
      </c>
      <c r="I335">
        <f>Sales_Data[[#This Row],[Sales]]*Sales_Data[[#This Row],[Discount]]</f>
        <v>49.740400000000001</v>
      </c>
      <c r="J335">
        <v>4924.2996000000003</v>
      </c>
      <c r="K335" s="1">
        <v>2.1</v>
      </c>
      <c r="L335" s="1">
        <v>4971.9399999999996</v>
      </c>
      <c r="M335" s="1" t="s">
        <v>10</v>
      </c>
      <c r="N335" s="1">
        <f>IF(Sales_Data[[#This Row],[Sales with Discount]]&lt;Sales_Data[[#This Row],[Sales with Free Shipping]],Sales_Data[[#This Row],[Sales with Discount]],Sales_Data[[#This Row],[Sales with Free Shipping]])</f>
        <v>4924.2996000000003</v>
      </c>
      <c r="O335" s="1" t="str">
        <f>TEXT(Sales_Data[[#This Row],[Order Date]], "MM-YYYY")</f>
        <v>08-2019</v>
      </c>
    </row>
    <row r="336" spans="1:15" x14ac:dyDescent="0.3">
      <c r="A336" s="1">
        <v>10470</v>
      </c>
      <c r="B336" s="2">
        <v>43589</v>
      </c>
      <c r="C336" s="1" t="s">
        <v>7</v>
      </c>
      <c r="D336" s="1">
        <v>20</v>
      </c>
      <c r="E336" t="s">
        <v>19</v>
      </c>
      <c r="F336" t="s">
        <v>19</v>
      </c>
      <c r="G336" s="1">
        <v>3117.0657000000001</v>
      </c>
      <c r="H336">
        <v>0</v>
      </c>
      <c r="I336">
        <f>Sales_Data[[#This Row],[Sales]]*Sales_Data[[#This Row],[Discount]]</f>
        <v>0</v>
      </c>
      <c r="J336">
        <v>3117.0657000000001</v>
      </c>
      <c r="K336" s="1">
        <v>5.3</v>
      </c>
      <c r="L336" s="1">
        <v>3117.0657000000001</v>
      </c>
      <c r="M336" s="1" t="s">
        <v>10</v>
      </c>
      <c r="N336" s="1">
        <f>IF(Sales_Data[[#This Row],[Sales with Discount]]&lt;Sales_Data[[#This Row],[Sales with Free Shipping]],Sales_Data[[#This Row],[Sales with Discount]],Sales_Data[[#This Row],[Sales with Free Shipping]])</f>
        <v>3117.0657000000001</v>
      </c>
      <c r="O336" s="1" t="str">
        <f>TEXT(Sales_Data[[#This Row],[Order Date]], "MM-YYYY")</f>
        <v>05-2019</v>
      </c>
    </row>
    <row r="337" spans="1:15" x14ac:dyDescent="0.3">
      <c r="A337" s="1">
        <v>24613</v>
      </c>
      <c r="B337" s="2">
        <v>43662</v>
      </c>
      <c r="C337" s="1" t="s">
        <v>7</v>
      </c>
      <c r="D337" s="1">
        <v>39</v>
      </c>
      <c r="E337" t="s">
        <v>22</v>
      </c>
      <c r="F337" t="s">
        <v>22</v>
      </c>
      <c r="G337" s="1">
        <v>832.22</v>
      </c>
      <c r="H337">
        <v>0.01</v>
      </c>
      <c r="I337">
        <f>Sales_Data[[#This Row],[Sales]]*Sales_Data[[#This Row],[Discount]]</f>
        <v>8.3222000000000005</v>
      </c>
      <c r="J337">
        <v>823.89780000000007</v>
      </c>
      <c r="K337" s="1">
        <v>4.4000000000000004</v>
      </c>
      <c r="L337" s="1">
        <v>827.82</v>
      </c>
      <c r="M337" s="1" t="s">
        <v>10</v>
      </c>
      <c r="N337" s="1">
        <f>IF(Sales_Data[[#This Row],[Sales with Discount]]&lt;Sales_Data[[#This Row],[Sales with Free Shipping]],Sales_Data[[#This Row],[Sales with Discount]],Sales_Data[[#This Row],[Sales with Free Shipping]])</f>
        <v>823.89780000000007</v>
      </c>
      <c r="O337" s="1" t="str">
        <f>TEXT(Sales_Data[[#This Row],[Order Date]], "MM-YYYY")</f>
        <v>07-2019</v>
      </c>
    </row>
    <row r="338" spans="1:15" x14ac:dyDescent="0.3">
      <c r="A338" s="1">
        <v>8801</v>
      </c>
      <c r="B338" s="2">
        <v>43687</v>
      </c>
      <c r="C338" s="1" t="s">
        <v>7</v>
      </c>
      <c r="D338" s="1">
        <v>25</v>
      </c>
      <c r="E338" t="s">
        <v>14</v>
      </c>
      <c r="F338" t="s">
        <v>14</v>
      </c>
      <c r="G338" s="1">
        <v>2706.4537</v>
      </c>
      <c r="H338">
        <v>0</v>
      </c>
      <c r="I338">
        <f>Sales_Data[[#This Row],[Sales]]*Sales_Data[[#This Row],[Discount]]</f>
        <v>0</v>
      </c>
      <c r="J338">
        <v>2706.4537</v>
      </c>
      <c r="K338" s="1">
        <v>3.2</v>
      </c>
      <c r="L338" s="1">
        <v>2706.4537</v>
      </c>
      <c r="M338" s="1" t="s">
        <v>8</v>
      </c>
      <c r="N338" s="1">
        <f>IF(Sales_Data[[#This Row],[Sales with Discount]]&lt;Sales_Data[[#This Row],[Sales with Free Shipping]],Sales_Data[[#This Row],[Sales with Discount]],Sales_Data[[#This Row],[Sales with Free Shipping]])</f>
        <v>2706.4537</v>
      </c>
      <c r="O338" s="1" t="str">
        <f>TEXT(Sales_Data[[#This Row],[Order Date]], "MM-YYYY")</f>
        <v>08-2019</v>
      </c>
    </row>
    <row r="339" spans="1:15" x14ac:dyDescent="0.3">
      <c r="A339" s="1">
        <v>614</v>
      </c>
      <c r="B339" s="2">
        <v>43799</v>
      </c>
      <c r="C339" s="1" t="s">
        <v>9</v>
      </c>
      <c r="D339" s="1">
        <v>24</v>
      </c>
      <c r="E339" t="s">
        <v>14</v>
      </c>
      <c r="F339" t="s">
        <v>14</v>
      </c>
      <c r="G339" s="1">
        <v>3601.73</v>
      </c>
      <c r="H339">
        <v>0</v>
      </c>
      <c r="I339">
        <f>Sales_Data[[#This Row],[Sales]]*Sales_Data[[#This Row],[Discount]]</f>
        <v>0</v>
      </c>
      <c r="J339">
        <v>3601.73</v>
      </c>
      <c r="K339" s="1">
        <v>56.1</v>
      </c>
      <c r="L339" s="1">
        <v>3601.73</v>
      </c>
      <c r="M339" s="1" t="s">
        <v>13</v>
      </c>
      <c r="N339" s="1">
        <f>IF(Sales_Data[[#This Row],[Sales with Discount]]&lt;Sales_Data[[#This Row],[Sales with Free Shipping]],Sales_Data[[#This Row],[Sales with Discount]],Sales_Data[[#This Row],[Sales with Free Shipping]])</f>
        <v>3601.73</v>
      </c>
      <c r="O339" s="1" t="str">
        <f>TEXT(Sales_Data[[#This Row],[Order Date]], "MM-YYYY")</f>
        <v>11-2019</v>
      </c>
    </row>
    <row r="340" spans="1:15" x14ac:dyDescent="0.3">
      <c r="A340" s="1">
        <v>32231</v>
      </c>
      <c r="B340" s="2">
        <v>43770</v>
      </c>
      <c r="C340" s="1" t="s">
        <v>7</v>
      </c>
      <c r="D340" s="1">
        <v>44</v>
      </c>
      <c r="E340" t="s">
        <v>23</v>
      </c>
      <c r="F340" t="s">
        <v>23</v>
      </c>
      <c r="G340" s="1">
        <v>205.79</v>
      </c>
      <c r="H340">
        <v>0.01</v>
      </c>
      <c r="I340">
        <f>Sales_Data[[#This Row],[Sales]]*Sales_Data[[#This Row],[Discount]]</f>
        <v>2.0579000000000001</v>
      </c>
      <c r="J340">
        <v>203.7321</v>
      </c>
      <c r="K340" s="1">
        <v>1.3</v>
      </c>
      <c r="L340" s="1">
        <v>204.48999999999998</v>
      </c>
      <c r="M340" s="1" t="s">
        <v>10</v>
      </c>
      <c r="N340" s="1">
        <f>IF(Sales_Data[[#This Row],[Sales with Discount]]&lt;Sales_Data[[#This Row],[Sales with Free Shipping]],Sales_Data[[#This Row],[Sales with Discount]],Sales_Data[[#This Row],[Sales with Free Shipping]])</f>
        <v>203.7321</v>
      </c>
      <c r="O340" s="1" t="str">
        <f>TEXT(Sales_Data[[#This Row],[Order Date]], "MM-YYYY")</f>
        <v>11-2019</v>
      </c>
    </row>
    <row r="341" spans="1:15" x14ac:dyDescent="0.3">
      <c r="A341" s="1">
        <v>29893</v>
      </c>
      <c r="B341" s="2">
        <v>43632</v>
      </c>
      <c r="C341" s="1" t="s">
        <v>14</v>
      </c>
      <c r="D341" s="1">
        <v>24</v>
      </c>
      <c r="E341" t="s">
        <v>14</v>
      </c>
      <c r="F341" t="s">
        <v>14</v>
      </c>
      <c r="G341" s="1">
        <v>5834.6</v>
      </c>
      <c r="H341">
        <v>0</v>
      </c>
      <c r="I341">
        <f>Sales_Data[[#This Row],[Sales]]*Sales_Data[[#This Row],[Discount]]</f>
        <v>0</v>
      </c>
      <c r="J341">
        <v>5834.6</v>
      </c>
      <c r="K341" s="1">
        <v>30.7</v>
      </c>
      <c r="L341" s="1">
        <v>5834.6</v>
      </c>
      <c r="M341" s="1" t="s">
        <v>13</v>
      </c>
      <c r="N341" s="1">
        <f>IF(Sales_Data[[#This Row],[Sales with Discount]]&lt;Sales_Data[[#This Row],[Sales with Free Shipping]],Sales_Data[[#This Row],[Sales with Discount]],Sales_Data[[#This Row],[Sales with Free Shipping]])</f>
        <v>5834.6</v>
      </c>
      <c r="O341" s="1" t="str">
        <f>TEXT(Sales_Data[[#This Row],[Order Date]], "MM-YYYY")</f>
        <v>06-2019</v>
      </c>
    </row>
    <row r="342" spans="1:15" x14ac:dyDescent="0.3">
      <c r="A342" s="1">
        <v>22497</v>
      </c>
      <c r="B342" s="2">
        <v>43583</v>
      </c>
      <c r="C342" s="1" t="s">
        <v>14</v>
      </c>
      <c r="D342" s="1">
        <v>37</v>
      </c>
      <c r="E342" t="s">
        <v>22</v>
      </c>
      <c r="F342" t="s">
        <v>22</v>
      </c>
      <c r="G342" s="1">
        <v>3487.4</v>
      </c>
      <c r="H342">
        <v>0.01</v>
      </c>
      <c r="I342">
        <f>Sales_Data[[#This Row],[Sales]]*Sales_Data[[#This Row],[Discount]]</f>
        <v>34.874000000000002</v>
      </c>
      <c r="J342">
        <v>3452.5259999999998</v>
      </c>
      <c r="K342" s="1">
        <v>30</v>
      </c>
      <c r="L342" s="1">
        <v>3457.4</v>
      </c>
      <c r="M342" s="1" t="s">
        <v>13</v>
      </c>
      <c r="N342" s="1">
        <f>IF(Sales_Data[[#This Row],[Sales with Discount]]&lt;Sales_Data[[#This Row],[Sales with Free Shipping]],Sales_Data[[#This Row],[Sales with Discount]],Sales_Data[[#This Row],[Sales with Free Shipping]])</f>
        <v>3452.5259999999998</v>
      </c>
      <c r="O342" s="1" t="str">
        <f>TEXT(Sales_Data[[#This Row],[Order Date]], "MM-YYYY")</f>
        <v>04-2019</v>
      </c>
    </row>
    <row r="343" spans="1:15" x14ac:dyDescent="0.3">
      <c r="A343" s="1">
        <v>54371</v>
      </c>
      <c r="B343" s="2">
        <v>43510</v>
      </c>
      <c r="C343" s="1" t="s">
        <v>11</v>
      </c>
      <c r="D343" s="1">
        <v>7</v>
      </c>
      <c r="E343" t="s">
        <v>17</v>
      </c>
      <c r="F343" t="s">
        <v>17</v>
      </c>
      <c r="G343" s="1">
        <v>126.93</v>
      </c>
      <c r="H343">
        <v>0</v>
      </c>
      <c r="I343">
        <f>Sales_Data[[#This Row],[Sales]]*Sales_Data[[#This Row],[Discount]]</f>
        <v>0</v>
      </c>
      <c r="J343">
        <v>126.93</v>
      </c>
      <c r="K343" s="1">
        <v>5.4</v>
      </c>
      <c r="L343" s="1">
        <v>126.93</v>
      </c>
      <c r="M343" s="1" t="s">
        <v>10</v>
      </c>
      <c r="N343" s="1">
        <f>IF(Sales_Data[[#This Row],[Sales with Discount]]&lt;Sales_Data[[#This Row],[Sales with Free Shipping]],Sales_Data[[#This Row],[Sales with Discount]],Sales_Data[[#This Row],[Sales with Free Shipping]])</f>
        <v>126.93</v>
      </c>
      <c r="O343" s="1" t="str">
        <f>TEXT(Sales_Data[[#This Row],[Order Date]], "MM-YYYY")</f>
        <v>02-2019</v>
      </c>
    </row>
    <row r="344" spans="1:15" x14ac:dyDescent="0.3">
      <c r="A344" s="1">
        <v>39808</v>
      </c>
      <c r="B344" s="2">
        <v>43710</v>
      </c>
      <c r="C344" s="1" t="s">
        <v>7</v>
      </c>
      <c r="D344" s="1">
        <v>50</v>
      </c>
      <c r="E344" t="s">
        <v>24</v>
      </c>
      <c r="F344" t="s">
        <v>24</v>
      </c>
      <c r="G344" s="1">
        <v>2168.27</v>
      </c>
      <c r="H344">
        <v>0.01</v>
      </c>
      <c r="I344">
        <f>Sales_Data[[#This Row],[Sales]]*Sales_Data[[#This Row],[Discount]]</f>
        <v>21.682700000000001</v>
      </c>
      <c r="J344">
        <v>2146.5873000000001</v>
      </c>
      <c r="K344" s="1">
        <v>10.5</v>
      </c>
      <c r="L344" s="1">
        <v>2157.77</v>
      </c>
      <c r="M344" s="1" t="s">
        <v>10</v>
      </c>
      <c r="N344" s="1">
        <f>IF(Sales_Data[[#This Row],[Sales with Discount]]&lt;Sales_Data[[#This Row],[Sales with Free Shipping]],Sales_Data[[#This Row],[Sales with Discount]],Sales_Data[[#This Row],[Sales with Free Shipping]])</f>
        <v>2146.5873000000001</v>
      </c>
      <c r="O344" s="1" t="str">
        <f>TEXT(Sales_Data[[#This Row],[Order Date]], "MM-YYYY")</f>
        <v>09-2019</v>
      </c>
    </row>
    <row r="345" spans="1:15" x14ac:dyDescent="0.3">
      <c r="A345" s="1">
        <v>32610</v>
      </c>
      <c r="B345" s="2">
        <v>43696</v>
      </c>
      <c r="C345" s="1" t="s">
        <v>11</v>
      </c>
      <c r="D345" s="1">
        <v>47</v>
      </c>
      <c r="E345" t="s">
        <v>24</v>
      </c>
      <c r="F345" t="s">
        <v>24</v>
      </c>
      <c r="G345" s="1">
        <v>339.18</v>
      </c>
      <c r="H345">
        <v>0.01</v>
      </c>
      <c r="I345">
        <f>Sales_Data[[#This Row],[Sales]]*Sales_Data[[#This Row],[Discount]]</f>
        <v>3.3917999999999999</v>
      </c>
      <c r="J345">
        <v>335.78820000000002</v>
      </c>
      <c r="K345" s="1">
        <v>9</v>
      </c>
      <c r="L345" s="1">
        <v>330.18</v>
      </c>
      <c r="M345" s="1" t="s">
        <v>10</v>
      </c>
      <c r="N345" s="1">
        <f>IF(Sales_Data[[#This Row],[Sales with Discount]]&lt;Sales_Data[[#This Row],[Sales with Free Shipping]],Sales_Data[[#This Row],[Sales with Discount]],Sales_Data[[#This Row],[Sales with Free Shipping]])</f>
        <v>330.18</v>
      </c>
      <c r="O345" s="1" t="str">
        <f>TEXT(Sales_Data[[#This Row],[Order Date]], "MM-YYYY")</f>
        <v>08-2019</v>
      </c>
    </row>
    <row r="346" spans="1:15" x14ac:dyDescent="0.3">
      <c r="A346" s="1">
        <v>54086</v>
      </c>
      <c r="B346" s="2">
        <v>43714</v>
      </c>
      <c r="C346" s="1" t="s">
        <v>7</v>
      </c>
      <c r="D346" s="1">
        <v>23</v>
      </c>
      <c r="E346" t="s">
        <v>14</v>
      </c>
      <c r="F346" t="s">
        <v>14</v>
      </c>
      <c r="G346" s="1">
        <v>5416.53</v>
      </c>
      <c r="H346">
        <v>0</v>
      </c>
      <c r="I346">
        <f>Sales_Data[[#This Row],[Sales]]*Sales_Data[[#This Row],[Discount]]</f>
        <v>0</v>
      </c>
      <c r="J346">
        <v>5416.53</v>
      </c>
      <c r="K346" s="1">
        <v>30</v>
      </c>
      <c r="L346" s="1">
        <v>5416.53</v>
      </c>
      <c r="M346" s="1" t="s">
        <v>13</v>
      </c>
      <c r="N346" s="1">
        <f>IF(Sales_Data[[#This Row],[Sales with Discount]]&lt;Sales_Data[[#This Row],[Sales with Free Shipping]],Sales_Data[[#This Row],[Sales with Discount]],Sales_Data[[#This Row],[Sales with Free Shipping]])</f>
        <v>5416.53</v>
      </c>
      <c r="O346" s="1" t="str">
        <f>TEXT(Sales_Data[[#This Row],[Order Date]], "MM-YYYY")</f>
        <v>09-2019</v>
      </c>
    </row>
    <row r="347" spans="1:15" x14ac:dyDescent="0.3">
      <c r="A347" s="1">
        <v>25733</v>
      </c>
      <c r="B347" s="2">
        <v>43597</v>
      </c>
      <c r="C347" s="1" t="s">
        <v>7</v>
      </c>
      <c r="D347" s="1">
        <v>24</v>
      </c>
      <c r="E347" t="s">
        <v>14</v>
      </c>
      <c r="F347" t="s">
        <v>14</v>
      </c>
      <c r="G347" s="1">
        <v>596.24</v>
      </c>
      <c r="H347">
        <v>0</v>
      </c>
      <c r="I347">
        <f>Sales_Data[[#This Row],[Sales]]*Sales_Data[[#This Row],[Discount]]</f>
        <v>0</v>
      </c>
      <c r="J347">
        <v>596.24</v>
      </c>
      <c r="K347" s="1">
        <v>13.9</v>
      </c>
      <c r="L347" s="1">
        <v>596.24</v>
      </c>
      <c r="M347" s="1" t="s">
        <v>10</v>
      </c>
      <c r="N347" s="1">
        <f>IF(Sales_Data[[#This Row],[Sales with Discount]]&lt;Sales_Data[[#This Row],[Sales with Free Shipping]],Sales_Data[[#This Row],[Sales with Discount]],Sales_Data[[#This Row],[Sales with Free Shipping]])</f>
        <v>596.24</v>
      </c>
      <c r="O347" s="1" t="str">
        <f>TEXT(Sales_Data[[#This Row],[Order Date]], "MM-YYYY")</f>
        <v>05-2019</v>
      </c>
    </row>
    <row r="348" spans="1:15" x14ac:dyDescent="0.3">
      <c r="A348" s="1">
        <v>9281</v>
      </c>
      <c r="B348" s="2">
        <v>43518</v>
      </c>
      <c r="C348" s="1" t="s">
        <v>12</v>
      </c>
      <c r="D348" s="1">
        <v>31</v>
      </c>
      <c r="E348" t="s">
        <v>21</v>
      </c>
      <c r="F348" t="s">
        <v>21</v>
      </c>
      <c r="G348" s="1">
        <v>213.79</v>
      </c>
      <c r="H348">
        <v>0</v>
      </c>
      <c r="I348">
        <f>Sales_Data[[#This Row],[Sales]]*Sales_Data[[#This Row],[Discount]]</f>
        <v>0</v>
      </c>
      <c r="J348">
        <v>213.79</v>
      </c>
      <c r="K348" s="1">
        <v>7.3</v>
      </c>
      <c r="L348" s="1">
        <v>213.79</v>
      </c>
      <c r="M348" s="1" t="s">
        <v>8</v>
      </c>
      <c r="N348" s="1">
        <f>IF(Sales_Data[[#This Row],[Sales with Discount]]&lt;Sales_Data[[#This Row],[Sales with Free Shipping]],Sales_Data[[#This Row],[Sales with Discount]],Sales_Data[[#This Row],[Sales with Free Shipping]])</f>
        <v>213.79</v>
      </c>
      <c r="O348" s="1" t="str">
        <f>TEXT(Sales_Data[[#This Row],[Order Date]], "MM-YYYY")</f>
        <v>02-2019</v>
      </c>
    </row>
    <row r="349" spans="1:15" x14ac:dyDescent="0.3">
      <c r="A349" s="1">
        <v>9602</v>
      </c>
      <c r="B349" s="2">
        <v>43779</v>
      </c>
      <c r="C349" s="1" t="s">
        <v>12</v>
      </c>
      <c r="D349" s="1">
        <v>16</v>
      </c>
      <c r="E349" t="s">
        <v>19</v>
      </c>
      <c r="F349" t="s">
        <v>19</v>
      </c>
      <c r="G349" s="1">
        <v>38.770000000000003</v>
      </c>
      <c r="H349">
        <v>0</v>
      </c>
      <c r="I349">
        <f>Sales_Data[[#This Row],[Sales]]*Sales_Data[[#This Row],[Discount]]</f>
        <v>0</v>
      </c>
      <c r="J349">
        <v>38.770000000000003</v>
      </c>
      <c r="K349" s="1">
        <v>2.1</v>
      </c>
      <c r="L349" s="1">
        <v>38.770000000000003</v>
      </c>
      <c r="M349" s="1" t="s">
        <v>10</v>
      </c>
      <c r="N349" s="1">
        <f>IF(Sales_Data[[#This Row],[Sales with Discount]]&lt;Sales_Data[[#This Row],[Sales with Free Shipping]],Sales_Data[[#This Row],[Sales with Discount]],Sales_Data[[#This Row],[Sales with Free Shipping]])</f>
        <v>38.770000000000003</v>
      </c>
      <c r="O349" s="1" t="str">
        <f>TEXT(Sales_Data[[#This Row],[Order Date]], "MM-YYYY")</f>
        <v>11-2019</v>
      </c>
    </row>
    <row r="350" spans="1:15" x14ac:dyDescent="0.3">
      <c r="A350" s="1">
        <v>1796</v>
      </c>
      <c r="B350" s="2">
        <v>43789</v>
      </c>
      <c r="C350" s="1" t="s">
        <v>9</v>
      </c>
      <c r="D350" s="1">
        <v>43</v>
      </c>
      <c r="E350" t="s">
        <v>23</v>
      </c>
      <c r="F350" t="s">
        <v>23</v>
      </c>
      <c r="G350" s="1">
        <v>196.25</v>
      </c>
      <c r="H350">
        <v>0.01</v>
      </c>
      <c r="I350">
        <f>Sales_Data[[#This Row],[Sales]]*Sales_Data[[#This Row],[Discount]]</f>
        <v>1.9625000000000001</v>
      </c>
      <c r="J350">
        <v>194.28749999999999</v>
      </c>
      <c r="K350" s="1">
        <v>5.4</v>
      </c>
      <c r="L350" s="1">
        <v>190.85</v>
      </c>
      <c r="M350" s="1" t="s">
        <v>10</v>
      </c>
      <c r="N350" s="1">
        <f>IF(Sales_Data[[#This Row],[Sales with Discount]]&lt;Sales_Data[[#This Row],[Sales with Free Shipping]],Sales_Data[[#This Row],[Sales with Discount]],Sales_Data[[#This Row],[Sales with Free Shipping]])</f>
        <v>190.85</v>
      </c>
      <c r="O350" s="1" t="str">
        <f>TEXT(Sales_Data[[#This Row],[Order Date]], "MM-YYYY")</f>
        <v>11-2019</v>
      </c>
    </row>
    <row r="351" spans="1:15" x14ac:dyDescent="0.3">
      <c r="A351" s="1">
        <v>33444</v>
      </c>
      <c r="B351" s="2">
        <v>43744</v>
      </c>
      <c r="C351" s="1" t="s">
        <v>14</v>
      </c>
      <c r="D351" s="1">
        <v>11</v>
      </c>
      <c r="E351" t="s">
        <v>18</v>
      </c>
      <c r="F351" t="s">
        <v>18</v>
      </c>
      <c r="G351" s="1">
        <v>32.65</v>
      </c>
      <c r="H351">
        <v>0</v>
      </c>
      <c r="I351">
        <f>Sales_Data[[#This Row],[Sales]]*Sales_Data[[#This Row],[Discount]]</f>
        <v>0</v>
      </c>
      <c r="J351">
        <v>32.65</v>
      </c>
      <c r="K351" s="1">
        <v>2.6</v>
      </c>
      <c r="L351" s="1">
        <v>32.65</v>
      </c>
      <c r="M351" s="1" t="s">
        <v>10</v>
      </c>
      <c r="N351" s="1">
        <f>IF(Sales_Data[[#This Row],[Sales with Discount]]&lt;Sales_Data[[#This Row],[Sales with Free Shipping]],Sales_Data[[#This Row],[Sales with Discount]],Sales_Data[[#This Row],[Sales with Free Shipping]])</f>
        <v>32.65</v>
      </c>
      <c r="O351" s="1" t="str">
        <f>TEXT(Sales_Data[[#This Row],[Order Date]], "MM-YYYY")</f>
        <v>10-2019</v>
      </c>
    </row>
    <row r="352" spans="1:15" x14ac:dyDescent="0.3">
      <c r="A352" s="1">
        <v>11398</v>
      </c>
      <c r="B352" s="2">
        <v>43683</v>
      </c>
      <c r="C352" s="1" t="s">
        <v>9</v>
      </c>
      <c r="D352" s="1">
        <v>16</v>
      </c>
      <c r="E352" t="s">
        <v>19</v>
      </c>
      <c r="F352" t="s">
        <v>19</v>
      </c>
      <c r="G352" s="1">
        <v>117.38</v>
      </c>
      <c r="H352">
        <v>0</v>
      </c>
      <c r="I352">
        <f>Sales_Data[[#This Row],[Sales]]*Sales_Data[[#This Row],[Discount]]</f>
        <v>0</v>
      </c>
      <c r="J352">
        <v>117.38</v>
      </c>
      <c r="K352" s="1">
        <v>11.1</v>
      </c>
      <c r="L352" s="1">
        <v>117.38</v>
      </c>
      <c r="M352" s="1" t="s">
        <v>10</v>
      </c>
      <c r="N352" s="1">
        <f>IF(Sales_Data[[#This Row],[Sales with Discount]]&lt;Sales_Data[[#This Row],[Sales with Free Shipping]],Sales_Data[[#This Row],[Sales with Discount]],Sales_Data[[#This Row],[Sales with Free Shipping]])</f>
        <v>117.38</v>
      </c>
      <c r="O352" s="1" t="str">
        <f>TEXT(Sales_Data[[#This Row],[Order Date]], "MM-YYYY")</f>
        <v>08-2019</v>
      </c>
    </row>
    <row r="353" spans="1:15" x14ac:dyDescent="0.3">
      <c r="A353" s="1">
        <v>46626</v>
      </c>
      <c r="B353" s="2">
        <v>43643</v>
      </c>
      <c r="C353" s="1" t="s">
        <v>7</v>
      </c>
      <c r="D353" s="1">
        <v>8</v>
      </c>
      <c r="E353" t="s">
        <v>17</v>
      </c>
      <c r="F353" t="s">
        <v>17</v>
      </c>
      <c r="G353" s="1">
        <v>883.78</v>
      </c>
      <c r="H353">
        <v>0</v>
      </c>
      <c r="I353">
        <f>Sales_Data[[#This Row],[Sales]]*Sales_Data[[#This Row],[Discount]]</f>
        <v>0</v>
      </c>
      <c r="J353">
        <v>883.78</v>
      </c>
      <c r="K353" s="1">
        <v>62.3</v>
      </c>
      <c r="L353" s="1">
        <v>883.78</v>
      </c>
      <c r="M353" s="1" t="s">
        <v>13</v>
      </c>
      <c r="N353" s="1">
        <f>IF(Sales_Data[[#This Row],[Sales with Discount]]&lt;Sales_Data[[#This Row],[Sales with Free Shipping]],Sales_Data[[#This Row],[Sales with Discount]],Sales_Data[[#This Row],[Sales with Free Shipping]])</f>
        <v>883.78</v>
      </c>
      <c r="O353" s="1" t="str">
        <f>TEXT(Sales_Data[[#This Row],[Order Date]], "MM-YYYY")</f>
        <v>06-2019</v>
      </c>
    </row>
    <row r="354" spans="1:15" x14ac:dyDescent="0.3">
      <c r="A354" s="1">
        <v>41634</v>
      </c>
      <c r="B354" s="2">
        <v>43807</v>
      </c>
      <c r="C354" s="1" t="s">
        <v>11</v>
      </c>
      <c r="D354" s="1">
        <v>7</v>
      </c>
      <c r="E354" t="s">
        <v>17</v>
      </c>
      <c r="F354" t="s">
        <v>17</v>
      </c>
      <c r="G354" s="1">
        <v>61.3645</v>
      </c>
      <c r="H354">
        <v>0</v>
      </c>
      <c r="I354">
        <f>Sales_Data[[#This Row],[Sales]]*Sales_Data[[#This Row],[Discount]]</f>
        <v>0</v>
      </c>
      <c r="J354">
        <v>61.3645</v>
      </c>
      <c r="K354" s="1">
        <v>2.1</v>
      </c>
      <c r="L354" s="1">
        <v>61.3645</v>
      </c>
      <c r="M354" s="1" t="s">
        <v>10</v>
      </c>
      <c r="N354" s="1">
        <f>IF(Sales_Data[[#This Row],[Sales with Discount]]&lt;Sales_Data[[#This Row],[Sales with Free Shipping]],Sales_Data[[#This Row],[Sales with Discount]],Sales_Data[[#This Row],[Sales with Free Shipping]])</f>
        <v>61.3645</v>
      </c>
      <c r="O354" s="1" t="str">
        <f>TEXT(Sales_Data[[#This Row],[Order Date]], "MM-YYYY")</f>
        <v>12-2019</v>
      </c>
    </row>
    <row r="355" spans="1:15" x14ac:dyDescent="0.3">
      <c r="A355" s="1">
        <v>42722</v>
      </c>
      <c r="B355" s="2">
        <v>43745</v>
      </c>
      <c r="C355" s="1" t="s">
        <v>11</v>
      </c>
      <c r="D355" s="1">
        <v>23</v>
      </c>
      <c r="E355" t="s">
        <v>14</v>
      </c>
      <c r="F355" t="s">
        <v>14</v>
      </c>
      <c r="G355" s="1">
        <v>1232.81</v>
      </c>
      <c r="H355">
        <v>0</v>
      </c>
      <c r="I355">
        <f>Sales_Data[[#This Row],[Sales]]*Sales_Data[[#This Row],[Discount]]</f>
        <v>0</v>
      </c>
      <c r="J355">
        <v>1232.81</v>
      </c>
      <c r="K355" s="1">
        <v>4.8</v>
      </c>
      <c r="L355" s="1">
        <v>1232.81</v>
      </c>
      <c r="M355" s="1" t="s">
        <v>10</v>
      </c>
      <c r="N355" s="1">
        <f>IF(Sales_Data[[#This Row],[Sales with Discount]]&lt;Sales_Data[[#This Row],[Sales with Free Shipping]],Sales_Data[[#This Row],[Sales with Discount]],Sales_Data[[#This Row],[Sales with Free Shipping]])</f>
        <v>1232.81</v>
      </c>
      <c r="O355" s="1" t="str">
        <f>TEXT(Sales_Data[[#This Row],[Order Date]], "MM-YYYY")</f>
        <v>10-2019</v>
      </c>
    </row>
    <row r="356" spans="1:15" x14ac:dyDescent="0.3">
      <c r="A356" s="1">
        <v>33444</v>
      </c>
      <c r="B356" s="2">
        <v>43744</v>
      </c>
      <c r="C356" s="1" t="s">
        <v>14</v>
      </c>
      <c r="D356" s="1">
        <v>8</v>
      </c>
      <c r="E356" t="s">
        <v>17</v>
      </c>
      <c r="F356" t="s">
        <v>17</v>
      </c>
      <c r="G356" s="1">
        <v>136.75</v>
      </c>
      <c r="H356">
        <v>0</v>
      </c>
      <c r="I356">
        <f>Sales_Data[[#This Row],[Sales]]*Sales_Data[[#This Row],[Discount]]</f>
        <v>0</v>
      </c>
      <c r="J356">
        <v>136.75</v>
      </c>
      <c r="K356" s="1">
        <v>8</v>
      </c>
      <c r="L356" s="1">
        <v>136.75</v>
      </c>
      <c r="M356" s="1" t="s">
        <v>10</v>
      </c>
      <c r="N356" s="1">
        <f>IF(Sales_Data[[#This Row],[Sales with Discount]]&lt;Sales_Data[[#This Row],[Sales with Free Shipping]],Sales_Data[[#This Row],[Sales with Discount]],Sales_Data[[#This Row],[Sales with Free Shipping]])</f>
        <v>136.75</v>
      </c>
      <c r="O356" s="1" t="str">
        <f>TEXT(Sales_Data[[#This Row],[Order Date]], "MM-YYYY")</f>
        <v>10-2019</v>
      </c>
    </row>
    <row r="357" spans="1:15" x14ac:dyDescent="0.3">
      <c r="A357" s="1">
        <v>26818</v>
      </c>
      <c r="B357" s="2">
        <v>43472</v>
      </c>
      <c r="C357" s="1" t="s">
        <v>11</v>
      </c>
      <c r="D357" s="1">
        <v>36</v>
      </c>
      <c r="E357" t="s">
        <v>22</v>
      </c>
      <c r="F357" t="s">
        <v>22</v>
      </c>
      <c r="G357" s="1">
        <v>268.93</v>
      </c>
      <c r="H357">
        <v>0.01</v>
      </c>
      <c r="I357">
        <f>Sales_Data[[#This Row],[Sales]]*Sales_Data[[#This Row],[Discount]]</f>
        <v>2.6893000000000002</v>
      </c>
      <c r="J357">
        <v>266.2407</v>
      </c>
      <c r="K357" s="1">
        <v>8.3000000000000007</v>
      </c>
      <c r="L357" s="1">
        <v>260.63</v>
      </c>
      <c r="M357" s="1" t="s">
        <v>10</v>
      </c>
      <c r="N357" s="1">
        <f>IF(Sales_Data[[#This Row],[Sales with Discount]]&lt;Sales_Data[[#This Row],[Sales with Free Shipping]],Sales_Data[[#This Row],[Sales with Discount]],Sales_Data[[#This Row],[Sales with Free Shipping]])</f>
        <v>260.63</v>
      </c>
      <c r="O357" s="1" t="str">
        <f>TEXT(Sales_Data[[#This Row],[Order Date]], "MM-YYYY")</f>
        <v>01-2019</v>
      </c>
    </row>
    <row r="358" spans="1:15" x14ac:dyDescent="0.3">
      <c r="A358" s="1">
        <v>32449</v>
      </c>
      <c r="B358" s="2">
        <v>43808</v>
      </c>
      <c r="C358" s="1" t="s">
        <v>12</v>
      </c>
      <c r="D358" s="1">
        <v>39</v>
      </c>
      <c r="E358" t="s">
        <v>22</v>
      </c>
      <c r="F358" t="s">
        <v>22</v>
      </c>
      <c r="G358" s="1">
        <v>297.01</v>
      </c>
      <c r="H358">
        <v>0.01</v>
      </c>
      <c r="I358">
        <f>Sales_Data[[#This Row],[Sales]]*Sales_Data[[#This Row],[Discount]]</f>
        <v>2.9701</v>
      </c>
      <c r="J358">
        <v>294.03989999999999</v>
      </c>
      <c r="K358" s="1">
        <v>11.9</v>
      </c>
      <c r="L358" s="1">
        <v>285.11</v>
      </c>
      <c r="M358" s="1" t="s">
        <v>10</v>
      </c>
      <c r="N358" s="1">
        <f>IF(Sales_Data[[#This Row],[Sales with Discount]]&lt;Sales_Data[[#This Row],[Sales with Free Shipping]],Sales_Data[[#This Row],[Sales with Discount]],Sales_Data[[#This Row],[Sales with Free Shipping]])</f>
        <v>285.11</v>
      </c>
      <c r="O358" s="1" t="str">
        <f>TEXT(Sales_Data[[#This Row],[Order Date]], "MM-YYYY")</f>
        <v>12-2019</v>
      </c>
    </row>
    <row r="359" spans="1:15" x14ac:dyDescent="0.3">
      <c r="A359" s="1">
        <v>52225</v>
      </c>
      <c r="B359" s="2">
        <v>43567</v>
      </c>
      <c r="C359" s="1" t="s">
        <v>12</v>
      </c>
      <c r="D359" s="1">
        <v>10</v>
      </c>
      <c r="E359" t="s">
        <v>17</v>
      </c>
      <c r="F359" t="s">
        <v>17</v>
      </c>
      <c r="G359" s="1">
        <v>140.27000000000001</v>
      </c>
      <c r="H359">
        <v>0</v>
      </c>
      <c r="I359">
        <f>Sales_Data[[#This Row],[Sales]]*Sales_Data[[#This Row],[Discount]]</f>
        <v>0</v>
      </c>
      <c r="J359">
        <v>140.27000000000001</v>
      </c>
      <c r="K359" s="1">
        <v>3</v>
      </c>
      <c r="L359" s="1">
        <v>140.27000000000001</v>
      </c>
      <c r="M359" s="1" t="s">
        <v>10</v>
      </c>
      <c r="N359" s="1">
        <f>IF(Sales_Data[[#This Row],[Sales with Discount]]&lt;Sales_Data[[#This Row],[Sales with Free Shipping]],Sales_Data[[#This Row],[Sales with Discount]],Sales_Data[[#This Row],[Sales with Free Shipping]])</f>
        <v>140.27000000000001</v>
      </c>
      <c r="O359" s="1" t="str">
        <f>TEXT(Sales_Data[[#This Row],[Order Date]], "MM-YYYY")</f>
        <v>04-2019</v>
      </c>
    </row>
    <row r="360" spans="1:15" x14ac:dyDescent="0.3">
      <c r="A360" s="1">
        <v>35590</v>
      </c>
      <c r="B360" s="2">
        <v>43801</v>
      </c>
      <c r="C360" s="1" t="s">
        <v>12</v>
      </c>
      <c r="D360" s="1">
        <v>4</v>
      </c>
      <c r="E360" t="s">
        <v>16</v>
      </c>
      <c r="F360" t="s">
        <v>16</v>
      </c>
      <c r="G360" s="1">
        <v>453.63</v>
      </c>
      <c r="H360">
        <v>0</v>
      </c>
      <c r="I360">
        <f>Sales_Data[[#This Row],[Sales]]*Sales_Data[[#This Row],[Discount]]</f>
        <v>0</v>
      </c>
      <c r="J360">
        <v>453.63</v>
      </c>
      <c r="K360" s="1">
        <v>21.4</v>
      </c>
      <c r="L360" s="1">
        <v>453.63</v>
      </c>
      <c r="M360" s="1" t="s">
        <v>10</v>
      </c>
      <c r="N360" s="1">
        <f>IF(Sales_Data[[#This Row],[Sales with Discount]]&lt;Sales_Data[[#This Row],[Sales with Free Shipping]],Sales_Data[[#This Row],[Sales with Discount]],Sales_Data[[#This Row],[Sales with Free Shipping]])</f>
        <v>453.63</v>
      </c>
      <c r="O360" s="1" t="str">
        <f>TEXT(Sales_Data[[#This Row],[Order Date]], "MM-YYYY")</f>
        <v>12-2019</v>
      </c>
    </row>
    <row r="361" spans="1:15" x14ac:dyDescent="0.3">
      <c r="A361" s="1">
        <v>5382</v>
      </c>
      <c r="B361" s="2">
        <v>43476</v>
      </c>
      <c r="C361" s="1" t="s">
        <v>7</v>
      </c>
      <c r="D361" s="1">
        <v>30</v>
      </c>
      <c r="E361" t="s">
        <v>20</v>
      </c>
      <c r="F361" t="s">
        <v>20</v>
      </c>
      <c r="G361" s="1">
        <v>278.33</v>
      </c>
      <c r="H361">
        <v>0</v>
      </c>
      <c r="I361">
        <f>Sales_Data[[#This Row],[Sales]]*Sales_Data[[#This Row],[Discount]]</f>
        <v>0</v>
      </c>
      <c r="J361">
        <v>278.33</v>
      </c>
      <c r="K361" s="1">
        <v>4.5</v>
      </c>
      <c r="L361" s="1">
        <v>278.33</v>
      </c>
      <c r="M361" s="1" t="s">
        <v>10</v>
      </c>
      <c r="N361" s="1">
        <f>IF(Sales_Data[[#This Row],[Sales with Discount]]&lt;Sales_Data[[#This Row],[Sales with Free Shipping]],Sales_Data[[#This Row],[Sales with Discount]],Sales_Data[[#This Row],[Sales with Free Shipping]])</f>
        <v>278.33</v>
      </c>
      <c r="O361" s="1" t="str">
        <f>TEXT(Sales_Data[[#This Row],[Order Date]], "MM-YYYY")</f>
        <v>01-2019</v>
      </c>
    </row>
    <row r="362" spans="1:15" x14ac:dyDescent="0.3">
      <c r="A362" s="1">
        <v>13543</v>
      </c>
      <c r="B362" s="2">
        <v>43685</v>
      </c>
      <c r="C362" s="1" t="s">
        <v>14</v>
      </c>
      <c r="D362" s="1">
        <v>2</v>
      </c>
      <c r="E362" t="s">
        <v>16</v>
      </c>
      <c r="F362" t="s">
        <v>16</v>
      </c>
      <c r="G362" s="1">
        <v>29.78</v>
      </c>
      <c r="H362">
        <v>0</v>
      </c>
      <c r="I362">
        <f>Sales_Data[[#This Row],[Sales]]*Sales_Data[[#This Row],[Discount]]</f>
        <v>0</v>
      </c>
      <c r="J362">
        <v>29.78</v>
      </c>
      <c r="K362" s="1">
        <v>10.1</v>
      </c>
      <c r="L362" s="1">
        <v>29.78</v>
      </c>
      <c r="M362" s="1" t="s">
        <v>10</v>
      </c>
      <c r="N362" s="1">
        <f>IF(Sales_Data[[#This Row],[Sales with Discount]]&lt;Sales_Data[[#This Row],[Sales with Free Shipping]],Sales_Data[[#This Row],[Sales with Discount]],Sales_Data[[#This Row],[Sales with Free Shipping]])</f>
        <v>29.78</v>
      </c>
      <c r="O362" s="1" t="str">
        <f>TEXT(Sales_Data[[#This Row],[Order Date]], "MM-YYYY")</f>
        <v>08-2019</v>
      </c>
    </row>
    <row r="363" spans="1:15" x14ac:dyDescent="0.3">
      <c r="A363" s="1">
        <v>7106</v>
      </c>
      <c r="B363" s="2">
        <v>43595</v>
      </c>
      <c r="C363" s="1" t="s">
        <v>7</v>
      </c>
      <c r="D363" s="1">
        <v>31</v>
      </c>
      <c r="E363" t="s">
        <v>21</v>
      </c>
      <c r="F363" t="s">
        <v>21</v>
      </c>
      <c r="G363" s="1">
        <v>5253.8</v>
      </c>
      <c r="H363">
        <v>0</v>
      </c>
      <c r="I363">
        <f>Sales_Data[[#This Row],[Sales]]*Sales_Data[[#This Row],[Discount]]</f>
        <v>0</v>
      </c>
      <c r="J363">
        <v>5253.8</v>
      </c>
      <c r="K363" s="1">
        <v>5.9</v>
      </c>
      <c r="L363" s="1">
        <v>5253.8</v>
      </c>
      <c r="M363" s="1" t="s">
        <v>10</v>
      </c>
      <c r="N363" s="1">
        <f>IF(Sales_Data[[#This Row],[Sales with Discount]]&lt;Sales_Data[[#This Row],[Sales with Free Shipping]],Sales_Data[[#This Row],[Sales with Discount]],Sales_Data[[#This Row],[Sales with Free Shipping]])</f>
        <v>5253.8</v>
      </c>
      <c r="O363" s="1" t="str">
        <f>TEXT(Sales_Data[[#This Row],[Order Date]], "MM-YYYY")</f>
        <v>05-2019</v>
      </c>
    </row>
    <row r="364" spans="1:15" x14ac:dyDescent="0.3">
      <c r="A364" s="1">
        <v>58368</v>
      </c>
      <c r="B364" s="2">
        <v>43655</v>
      </c>
      <c r="C364" s="1" t="s">
        <v>9</v>
      </c>
      <c r="D364" s="1">
        <v>39</v>
      </c>
      <c r="E364" t="s">
        <v>22</v>
      </c>
      <c r="F364" t="s">
        <v>22</v>
      </c>
      <c r="G364" s="1">
        <v>291.11</v>
      </c>
      <c r="H364">
        <v>0.01</v>
      </c>
      <c r="I364">
        <f>Sales_Data[[#This Row],[Sales]]*Sales_Data[[#This Row],[Discount]]</f>
        <v>2.9111000000000002</v>
      </c>
      <c r="J364">
        <v>288.19890000000004</v>
      </c>
      <c r="K364" s="1">
        <v>10.199999999999999</v>
      </c>
      <c r="L364" s="1">
        <v>280.91000000000003</v>
      </c>
      <c r="M364" s="1" t="s">
        <v>10</v>
      </c>
      <c r="N364" s="1">
        <f>IF(Sales_Data[[#This Row],[Sales with Discount]]&lt;Sales_Data[[#This Row],[Sales with Free Shipping]],Sales_Data[[#This Row],[Sales with Discount]],Sales_Data[[#This Row],[Sales with Free Shipping]])</f>
        <v>280.91000000000003</v>
      </c>
      <c r="O364" s="1" t="str">
        <f>TEXT(Sales_Data[[#This Row],[Order Date]], "MM-YYYY")</f>
        <v>07-2019</v>
      </c>
    </row>
    <row r="365" spans="1:15" x14ac:dyDescent="0.3">
      <c r="A365" s="1">
        <v>11874</v>
      </c>
      <c r="B365" s="2">
        <v>43717</v>
      </c>
      <c r="C365" s="1" t="s">
        <v>14</v>
      </c>
      <c r="D365" s="1">
        <v>20</v>
      </c>
      <c r="E365" t="s">
        <v>19</v>
      </c>
      <c r="F365" t="s">
        <v>19</v>
      </c>
      <c r="G365" s="1">
        <v>830.07</v>
      </c>
      <c r="H365">
        <v>0</v>
      </c>
      <c r="I365">
        <f>Sales_Data[[#This Row],[Sales]]*Sales_Data[[#This Row],[Discount]]</f>
        <v>0</v>
      </c>
      <c r="J365">
        <v>830.07</v>
      </c>
      <c r="K365" s="1">
        <v>10.5</v>
      </c>
      <c r="L365" s="1">
        <v>830.07</v>
      </c>
      <c r="M365" s="1" t="s">
        <v>10</v>
      </c>
      <c r="N365" s="1">
        <f>IF(Sales_Data[[#This Row],[Sales with Discount]]&lt;Sales_Data[[#This Row],[Sales with Free Shipping]],Sales_Data[[#This Row],[Sales with Discount]],Sales_Data[[#This Row],[Sales with Free Shipping]])</f>
        <v>830.07</v>
      </c>
      <c r="O365" s="1" t="str">
        <f>TEXT(Sales_Data[[#This Row],[Order Date]], "MM-YYYY")</f>
        <v>09-2019</v>
      </c>
    </row>
    <row r="366" spans="1:15" x14ac:dyDescent="0.3">
      <c r="A366" s="1">
        <v>17735</v>
      </c>
      <c r="B366" s="2">
        <v>43658</v>
      </c>
      <c r="C366" s="1" t="s">
        <v>7</v>
      </c>
      <c r="D366" s="1">
        <v>45</v>
      </c>
      <c r="E366" t="s">
        <v>23</v>
      </c>
      <c r="F366" t="s">
        <v>23</v>
      </c>
      <c r="G366" s="1">
        <v>333.47</v>
      </c>
      <c r="H366">
        <v>0.01</v>
      </c>
      <c r="I366">
        <f>Sales_Data[[#This Row],[Sales]]*Sales_Data[[#This Row],[Discount]]</f>
        <v>3.3347000000000002</v>
      </c>
      <c r="J366">
        <v>330.13530000000003</v>
      </c>
      <c r="K366" s="1">
        <v>5.9</v>
      </c>
      <c r="L366" s="1">
        <v>327.57000000000005</v>
      </c>
      <c r="M366" s="1" t="s">
        <v>10</v>
      </c>
      <c r="N366" s="1">
        <f>IF(Sales_Data[[#This Row],[Sales with Discount]]&lt;Sales_Data[[#This Row],[Sales with Free Shipping]],Sales_Data[[#This Row],[Sales with Discount]],Sales_Data[[#This Row],[Sales with Free Shipping]])</f>
        <v>327.57000000000005</v>
      </c>
      <c r="O366" s="1" t="str">
        <f>TEXT(Sales_Data[[#This Row],[Order Date]], "MM-YYYY")</f>
        <v>07-2019</v>
      </c>
    </row>
    <row r="367" spans="1:15" x14ac:dyDescent="0.3">
      <c r="A367" s="1">
        <v>33159</v>
      </c>
      <c r="B367" s="2">
        <v>43582</v>
      </c>
      <c r="C367" s="1" t="s">
        <v>14</v>
      </c>
      <c r="D367" s="1">
        <v>3</v>
      </c>
      <c r="E367" t="s">
        <v>16</v>
      </c>
      <c r="F367" t="s">
        <v>16</v>
      </c>
      <c r="G367" s="1">
        <v>60.66</v>
      </c>
      <c r="H367">
        <v>0</v>
      </c>
      <c r="I367">
        <f>Sales_Data[[#This Row],[Sales]]*Sales_Data[[#This Row],[Discount]]</f>
        <v>0</v>
      </c>
      <c r="J367">
        <v>60.66</v>
      </c>
      <c r="K367" s="1">
        <v>1.1000000000000001</v>
      </c>
      <c r="L367" s="1">
        <v>60.66</v>
      </c>
      <c r="M367" s="1" t="s">
        <v>10</v>
      </c>
      <c r="N367" s="1">
        <f>IF(Sales_Data[[#This Row],[Sales with Discount]]&lt;Sales_Data[[#This Row],[Sales with Free Shipping]],Sales_Data[[#This Row],[Sales with Discount]],Sales_Data[[#This Row],[Sales with Free Shipping]])</f>
        <v>60.66</v>
      </c>
      <c r="O367" s="1" t="str">
        <f>TEXT(Sales_Data[[#This Row],[Order Date]], "MM-YYYY")</f>
        <v>04-2019</v>
      </c>
    </row>
    <row r="368" spans="1:15" x14ac:dyDescent="0.3">
      <c r="A368" s="1">
        <v>1346</v>
      </c>
      <c r="B368" s="2">
        <v>43633</v>
      </c>
      <c r="C368" s="1" t="s">
        <v>9</v>
      </c>
      <c r="D368" s="1">
        <v>48</v>
      </c>
      <c r="E368" t="s">
        <v>24</v>
      </c>
      <c r="F368" t="s">
        <v>24</v>
      </c>
      <c r="G368" s="1">
        <v>5125.18</v>
      </c>
      <c r="H368">
        <v>0.01</v>
      </c>
      <c r="I368">
        <f>Sales_Data[[#This Row],[Sales]]*Sales_Data[[#This Row],[Discount]]</f>
        <v>51.251800000000003</v>
      </c>
      <c r="J368">
        <v>5073.9282000000003</v>
      </c>
      <c r="K368" s="1">
        <v>28.1</v>
      </c>
      <c r="L368" s="1">
        <v>5097.08</v>
      </c>
      <c r="M368" s="1" t="s">
        <v>13</v>
      </c>
      <c r="N368" s="1">
        <f>IF(Sales_Data[[#This Row],[Sales with Discount]]&lt;Sales_Data[[#This Row],[Sales with Free Shipping]],Sales_Data[[#This Row],[Sales with Discount]],Sales_Data[[#This Row],[Sales with Free Shipping]])</f>
        <v>5073.9282000000003</v>
      </c>
      <c r="O368" s="1" t="str">
        <f>TEXT(Sales_Data[[#This Row],[Order Date]], "MM-YYYY")</f>
        <v>06-2019</v>
      </c>
    </row>
    <row r="369" spans="1:15" x14ac:dyDescent="0.3">
      <c r="A369" s="1">
        <v>47014</v>
      </c>
      <c r="B369" s="2">
        <v>43598</v>
      </c>
      <c r="C369" s="1" t="s">
        <v>12</v>
      </c>
      <c r="D369" s="1">
        <v>33</v>
      </c>
      <c r="E369" t="s">
        <v>21</v>
      </c>
      <c r="F369" t="s">
        <v>21</v>
      </c>
      <c r="G369" s="1">
        <v>859.33</v>
      </c>
      <c r="H369">
        <v>0</v>
      </c>
      <c r="I369">
        <f>Sales_Data[[#This Row],[Sales]]*Sales_Data[[#This Row],[Discount]]</f>
        <v>0</v>
      </c>
      <c r="J369">
        <v>859.33</v>
      </c>
      <c r="K369" s="1">
        <v>15.4</v>
      </c>
      <c r="L369" s="1">
        <v>859.33</v>
      </c>
      <c r="M369" s="1" t="s">
        <v>13</v>
      </c>
      <c r="N369" s="1">
        <f>IF(Sales_Data[[#This Row],[Sales with Discount]]&lt;Sales_Data[[#This Row],[Sales with Free Shipping]],Sales_Data[[#This Row],[Sales with Discount]],Sales_Data[[#This Row],[Sales with Free Shipping]])</f>
        <v>859.33</v>
      </c>
      <c r="O369" s="1" t="str">
        <f>TEXT(Sales_Data[[#This Row],[Order Date]], "MM-YYYY")</f>
        <v>05-2019</v>
      </c>
    </row>
    <row r="370" spans="1:15" x14ac:dyDescent="0.3">
      <c r="A370" s="1">
        <v>47879</v>
      </c>
      <c r="B370" s="2">
        <v>43475</v>
      </c>
      <c r="C370" s="1" t="s">
        <v>12</v>
      </c>
      <c r="D370" s="1">
        <v>19</v>
      </c>
      <c r="E370" t="s">
        <v>19</v>
      </c>
      <c r="F370" t="s">
        <v>19</v>
      </c>
      <c r="G370" s="1">
        <v>184.61779999999999</v>
      </c>
      <c r="H370">
        <v>0</v>
      </c>
      <c r="I370">
        <f>Sales_Data[[#This Row],[Sales]]*Sales_Data[[#This Row],[Discount]]</f>
        <v>0</v>
      </c>
      <c r="J370">
        <v>184.61779999999999</v>
      </c>
      <c r="K370" s="1">
        <v>2.2999999999999998</v>
      </c>
      <c r="L370" s="1">
        <v>184.61779999999999</v>
      </c>
      <c r="M370" s="1" t="s">
        <v>10</v>
      </c>
      <c r="N370" s="1">
        <f>IF(Sales_Data[[#This Row],[Sales with Discount]]&lt;Sales_Data[[#This Row],[Sales with Free Shipping]],Sales_Data[[#This Row],[Sales with Discount]],Sales_Data[[#This Row],[Sales with Free Shipping]])</f>
        <v>184.61779999999999</v>
      </c>
      <c r="O370" s="1" t="str">
        <f>TEXT(Sales_Data[[#This Row],[Order Date]], "MM-YYYY")</f>
        <v>01-2019</v>
      </c>
    </row>
    <row r="371" spans="1:15" x14ac:dyDescent="0.3">
      <c r="A371" s="1">
        <v>6757</v>
      </c>
      <c r="B371" s="2">
        <v>43496</v>
      </c>
      <c r="C371" s="1" t="s">
        <v>14</v>
      </c>
      <c r="D371" s="1">
        <v>11</v>
      </c>
      <c r="E371" t="s">
        <v>18</v>
      </c>
      <c r="F371" t="s">
        <v>18</v>
      </c>
      <c r="G371" s="1">
        <v>2678.22</v>
      </c>
      <c r="H371">
        <v>0</v>
      </c>
      <c r="I371">
        <f>Sales_Data[[#This Row],[Sales]]*Sales_Data[[#This Row],[Discount]]</f>
        <v>0</v>
      </c>
      <c r="J371">
        <v>2678.22</v>
      </c>
      <c r="K371" s="1">
        <v>66.099999999999994</v>
      </c>
      <c r="L371" s="1">
        <v>2678.22</v>
      </c>
      <c r="M371" s="1" t="s">
        <v>13</v>
      </c>
      <c r="N371" s="1">
        <f>IF(Sales_Data[[#This Row],[Sales with Discount]]&lt;Sales_Data[[#This Row],[Sales with Free Shipping]],Sales_Data[[#This Row],[Sales with Discount]],Sales_Data[[#This Row],[Sales with Free Shipping]])</f>
        <v>2678.22</v>
      </c>
      <c r="O371" s="1" t="str">
        <f>TEXT(Sales_Data[[#This Row],[Order Date]], "MM-YYYY")</f>
        <v>01-2019</v>
      </c>
    </row>
    <row r="372" spans="1:15" x14ac:dyDescent="0.3">
      <c r="A372" s="1">
        <v>55813</v>
      </c>
      <c r="B372" s="2">
        <v>43674</v>
      </c>
      <c r="C372" s="1" t="s">
        <v>7</v>
      </c>
      <c r="D372" s="1">
        <v>39</v>
      </c>
      <c r="E372" t="s">
        <v>22</v>
      </c>
      <c r="F372" t="s">
        <v>22</v>
      </c>
      <c r="G372" s="1">
        <v>2836.32</v>
      </c>
      <c r="H372">
        <v>0.01</v>
      </c>
      <c r="I372">
        <f>Sales_Data[[#This Row],[Sales]]*Sales_Data[[#This Row],[Discount]]</f>
        <v>28.363200000000003</v>
      </c>
      <c r="J372">
        <v>2807.9567999999999</v>
      </c>
      <c r="K372" s="1">
        <v>40.200000000000003</v>
      </c>
      <c r="L372" s="1">
        <v>2796.1200000000003</v>
      </c>
      <c r="M372" s="1" t="s">
        <v>10</v>
      </c>
      <c r="N372" s="1">
        <f>IF(Sales_Data[[#This Row],[Sales with Discount]]&lt;Sales_Data[[#This Row],[Sales with Free Shipping]],Sales_Data[[#This Row],[Sales with Discount]],Sales_Data[[#This Row],[Sales with Free Shipping]])</f>
        <v>2796.1200000000003</v>
      </c>
      <c r="O372" s="1" t="str">
        <f>TEXT(Sales_Data[[#This Row],[Order Date]], "MM-YYYY")</f>
        <v>07-2019</v>
      </c>
    </row>
    <row r="373" spans="1:15" x14ac:dyDescent="0.3">
      <c r="A373" s="1">
        <v>11745</v>
      </c>
      <c r="B373" s="2">
        <v>43665</v>
      </c>
      <c r="C373" s="1" t="s">
        <v>9</v>
      </c>
      <c r="D373" s="1">
        <v>17</v>
      </c>
      <c r="E373" t="s">
        <v>19</v>
      </c>
      <c r="F373" t="s">
        <v>19</v>
      </c>
      <c r="G373" s="1">
        <v>734.31</v>
      </c>
      <c r="H373">
        <v>0</v>
      </c>
      <c r="I373">
        <f>Sales_Data[[#This Row],[Sales]]*Sales_Data[[#This Row],[Discount]]</f>
        <v>0</v>
      </c>
      <c r="J373">
        <v>734.31</v>
      </c>
      <c r="K373" s="1">
        <v>21.4</v>
      </c>
      <c r="L373" s="1">
        <v>734.31</v>
      </c>
      <c r="M373" s="1" t="s">
        <v>10</v>
      </c>
      <c r="N373" s="1">
        <f>IF(Sales_Data[[#This Row],[Sales with Discount]]&lt;Sales_Data[[#This Row],[Sales with Free Shipping]],Sales_Data[[#This Row],[Sales with Discount]],Sales_Data[[#This Row],[Sales with Free Shipping]])</f>
        <v>734.31</v>
      </c>
      <c r="O373" s="1" t="str">
        <f>TEXT(Sales_Data[[#This Row],[Order Date]], "MM-YYYY")</f>
        <v>07-2019</v>
      </c>
    </row>
    <row r="374" spans="1:15" x14ac:dyDescent="0.3">
      <c r="A374" s="1">
        <v>22980</v>
      </c>
      <c r="B374" s="2">
        <v>43739</v>
      </c>
      <c r="C374" s="1" t="s">
        <v>11</v>
      </c>
      <c r="D374" s="1">
        <v>17</v>
      </c>
      <c r="E374" t="s">
        <v>19</v>
      </c>
      <c r="F374" t="s">
        <v>19</v>
      </c>
      <c r="G374" s="1">
        <v>239.78</v>
      </c>
      <c r="H374">
        <v>0</v>
      </c>
      <c r="I374">
        <f>Sales_Data[[#This Row],[Sales]]*Sales_Data[[#This Row],[Discount]]</f>
        <v>0</v>
      </c>
      <c r="J374">
        <v>239.78</v>
      </c>
      <c r="K374" s="1">
        <v>6.7</v>
      </c>
      <c r="L374" s="1">
        <v>239.78</v>
      </c>
      <c r="M374" s="1" t="s">
        <v>10</v>
      </c>
      <c r="N374" s="1">
        <f>IF(Sales_Data[[#This Row],[Sales with Discount]]&lt;Sales_Data[[#This Row],[Sales with Free Shipping]],Sales_Data[[#This Row],[Sales with Discount]],Sales_Data[[#This Row],[Sales with Free Shipping]])</f>
        <v>239.78</v>
      </c>
      <c r="O374" s="1" t="str">
        <f>TEXT(Sales_Data[[#This Row],[Order Date]], "MM-YYYY")</f>
        <v>10-2019</v>
      </c>
    </row>
    <row r="375" spans="1:15" x14ac:dyDescent="0.3">
      <c r="A375" s="1">
        <v>18757</v>
      </c>
      <c r="B375" s="2">
        <v>43607</v>
      </c>
      <c r="C375" s="1" t="s">
        <v>7</v>
      </c>
      <c r="D375" s="1">
        <v>9</v>
      </c>
      <c r="E375" t="s">
        <v>17</v>
      </c>
      <c r="F375" t="s">
        <v>17</v>
      </c>
      <c r="G375" s="1">
        <v>237.75</v>
      </c>
      <c r="H375">
        <v>0</v>
      </c>
      <c r="I375">
        <f>Sales_Data[[#This Row],[Sales]]*Sales_Data[[#This Row],[Discount]]</f>
        <v>0</v>
      </c>
      <c r="J375">
        <v>237.75</v>
      </c>
      <c r="K375" s="1">
        <v>16.2</v>
      </c>
      <c r="L375" s="1">
        <v>237.75</v>
      </c>
      <c r="M375" s="1" t="s">
        <v>10</v>
      </c>
      <c r="N375" s="1">
        <f>IF(Sales_Data[[#This Row],[Sales with Discount]]&lt;Sales_Data[[#This Row],[Sales with Free Shipping]],Sales_Data[[#This Row],[Sales with Discount]],Sales_Data[[#This Row],[Sales with Free Shipping]])</f>
        <v>237.75</v>
      </c>
      <c r="O375" s="1" t="str">
        <f>TEXT(Sales_Data[[#This Row],[Order Date]], "MM-YYYY")</f>
        <v>05-2019</v>
      </c>
    </row>
    <row r="376" spans="1:15" x14ac:dyDescent="0.3">
      <c r="A376" s="1">
        <v>54183</v>
      </c>
      <c r="B376" s="2">
        <v>43570</v>
      </c>
      <c r="C376" s="1" t="s">
        <v>12</v>
      </c>
      <c r="D376" s="1">
        <v>32</v>
      </c>
      <c r="E376" t="s">
        <v>21</v>
      </c>
      <c r="F376" t="s">
        <v>21</v>
      </c>
      <c r="G376" s="1">
        <v>2967.87</v>
      </c>
      <c r="H376">
        <v>0</v>
      </c>
      <c r="I376">
        <f>Sales_Data[[#This Row],[Sales]]*Sales_Data[[#This Row],[Discount]]</f>
        <v>0</v>
      </c>
      <c r="J376">
        <v>2967.87</v>
      </c>
      <c r="K376" s="1">
        <v>5.9</v>
      </c>
      <c r="L376" s="1">
        <v>2967.87</v>
      </c>
      <c r="M376" s="1" t="s">
        <v>8</v>
      </c>
      <c r="N376" s="1">
        <f>IF(Sales_Data[[#This Row],[Sales with Discount]]&lt;Sales_Data[[#This Row],[Sales with Free Shipping]],Sales_Data[[#This Row],[Sales with Discount]],Sales_Data[[#This Row],[Sales with Free Shipping]])</f>
        <v>2967.87</v>
      </c>
      <c r="O376" s="1" t="str">
        <f>TEXT(Sales_Data[[#This Row],[Order Date]], "MM-YYYY")</f>
        <v>04-2019</v>
      </c>
    </row>
    <row r="377" spans="1:15" x14ac:dyDescent="0.3">
      <c r="A377" s="1">
        <v>16039</v>
      </c>
      <c r="B377" s="2">
        <v>43601</v>
      </c>
      <c r="C377" s="1" t="s">
        <v>9</v>
      </c>
      <c r="D377" s="1">
        <v>3</v>
      </c>
      <c r="E377" t="s">
        <v>16</v>
      </c>
      <c r="F377" t="s">
        <v>16</v>
      </c>
      <c r="G377" s="1">
        <v>129.6</v>
      </c>
      <c r="H377">
        <v>0</v>
      </c>
      <c r="I377">
        <f>Sales_Data[[#This Row],[Sales]]*Sales_Data[[#This Row],[Discount]]</f>
        <v>0</v>
      </c>
      <c r="J377">
        <v>129.6</v>
      </c>
      <c r="K377" s="1">
        <v>2.1</v>
      </c>
      <c r="L377" s="1">
        <v>129.6</v>
      </c>
      <c r="M377" s="1" t="s">
        <v>10</v>
      </c>
      <c r="N377" s="1">
        <f>IF(Sales_Data[[#This Row],[Sales with Discount]]&lt;Sales_Data[[#This Row],[Sales with Free Shipping]],Sales_Data[[#This Row],[Sales with Discount]],Sales_Data[[#This Row],[Sales with Free Shipping]])</f>
        <v>129.6</v>
      </c>
      <c r="O377" s="1" t="str">
        <f>TEXT(Sales_Data[[#This Row],[Order Date]], "MM-YYYY")</f>
        <v>05-2019</v>
      </c>
    </row>
    <row r="378" spans="1:15" x14ac:dyDescent="0.3">
      <c r="A378" s="1">
        <v>12804</v>
      </c>
      <c r="B378" s="2">
        <v>43610</v>
      </c>
      <c r="C378" s="1" t="s">
        <v>14</v>
      </c>
      <c r="D378" s="1">
        <v>50</v>
      </c>
      <c r="E378" t="s">
        <v>24</v>
      </c>
      <c r="F378" t="s">
        <v>24</v>
      </c>
      <c r="G378" s="1">
        <v>89.89</v>
      </c>
      <c r="H378">
        <v>0.01</v>
      </c>
      <c r="I378">
        <f>Sales_Data[[#This Row],[Sales]]*Sales_Data[[#This Row],[Discount]]</f>
        <v>0.89890000000000003</v>
      </c>
      <c r="J378">
        <v>88.991100000000003</v>
      </c>
      <c r="K378" s="1">
        <v>0.8</v>
      </c>
      <c r="L378" s="1">
        <v>89.09</v>
      </c>
      <c r="M378" s="1" t="s">
        <v>10</v>
      </c>
      <c r="N378" s="1">
        <f>IF(Sales_Data[[#This Row],[Sales with Discount]]&lt;Sales_Data[[#This Row],[Sales with Free Shipping]],Sales_Data[[#This Row],[Sales with Discount]],Sales_Data[[#This Row],[Sales with Free Shipping]])</f>
        <v>88.991100000000003</v>
      </c>
      <c r="O378" s="1" t="str">
        <f>TEXT(Sales_Data[[#This Row],[Order Date]], "MM-YYYY")</f>
        <v>05-2019</v>
      </c>
    </row>
    <row r="379" spans="1:15" x14ac:dyDescent="0.3">
      <c r="A379" s="1">
        <v>4771</v>
      </c>
      <c r="B379" s="2">
        <v>43812</v>
      </c>
      <c r="C379" s="1" t="s">
        <v>12</v>
      </c>
      <c r="D379" s="1">
        <v>4</v>
      </c>
      <c r="E379" t="s">
        <v>16</v>
      </c>
      <c r="F379" t="s">
        <v>16</v>
      </c>
      <c r="G379" s="1">
        <v>145.44</v>
      </c>
      <c r="H379">
        <v>0</v>
      </c>
      <c r="I379">
        <f>Sales_Data[[#This Row],[Sales]]*Sales_Data[[#This Row],[Discount]]</f>
        <v>0</v>
      </c>
      <c r="J379">
        <v>145.44</v>
      </c>
      <c r="K379" s="1">
        <v>48.7</v>
      </c>
      <c r="L379" s="1">
        <v>145.44</v>
      </c>
      <c r="M379" s="1" t="s">
        <v>13</v>
      </c>
      <c r="N379" s="1">
        <f>IF(Sales_Data[[#This Row],[Sales with Discount]]&lt;Sales_Data[[#This Row],[Sales with Free Shipping]],Sales_Data[[#This Row],[Sales with Discount]],Sales_Data[[#This Row],[Sales with Free Shipping]])</f>
        <v>145.44</v>
      </c>
      <c r="O379" s="1" t="str">
        <f>TEXT(Sales_Data[[#This Row],[Order Date]], "MM-YYYY")</f>
        <v>12-2019</v>
      </c>
    </row>
    <row r="380" spans="1:15" x14ac:dyDescent="0.3">
      <c r="A380" s="1">
        <v>44099</v>
      </c>
      <c r="B380" s="2">
        <v>43536</v>
      </c>
      <c r="C380" s="1" t="s">
        <v>14</v>
      </c>
      <c r="D380" s="1">
        <v>34</v>
      </c>
      <c r="E380" t="s">
        <v>21</v>
      </c>
      <c r="F380" t="s">
        <v>21</v>
      </c>
      <c r="G380" s="1">
        <v>12651.17</v>
      </c>
      <c r="H380">
        <v>0</v>
      </c>
      <c r="I380">
        <f>Sales_Data[[#This Row],[Sales]]*Sales_Data[[#This Row],[Discount]]</f>
        <v>0</v>
      </c>
      <c r="J380">
        <v>12651.17</v>
      </c>
      <c r="K380" s="1">
        <v>21.4</v>
      </c>
      <c r="L380" s="1">
        <v>12651.17</v>
      </c>
      <c r="M380" s="1" t="s">
        <v>10</v>
      </c>
      <c r="N380" s="1">
        <f>IF(Sales_Data[[#This Row],[Sales with Discount]]&lt;Sales_Data[[#This Row],[Sales with Free Shipping]],Sales_Data[[#This Row],[Sales with Discount]],Sales_Data[[#This Row],[Sales with Free Shipping]])</f>
        <v>12651.17</v>
      </c>
      <c r="O380" s="1" t="str">
        <f>TEXT(Sales_Data[[#This Row],[Order Date]], "MM-YYYY")</f>
        <v>03-2019</v>
      </c>
    </row>
    <row r="381" spans="1:15" x14ac:dyDescent="0.3">
      <c r="A381" s="1">
        <v>30886</v>
      </c>
      <c r="B381" s="2">
        <v>43597</v>
      </c>
      <c r="C381" s="1" t="s">
        <v>7</v>
      </c>
      <c r="D381" s="1">
        <v>28</v>
      </c>
      <c r="E381" t="s">
        <v>20</v>
      </c>
      <c r="F381" t="s">
        <v>20</v>
      </c>
      <c r="G381" s="1">
        <v>5693.01</v>
      </c>
      <c r="H381">
        <v>0</v>
      </c>
      <c r="I381">
        <f>Sales_Data[[#This Row],[Sales]]*Sales_Data[[#This Row],[Discount]]</f>
        <v>0</v>
      </c>
      <c r="J381">
        <v>5693.01</v>
      </c>
      <c r="K381" s="1">
        <v>21.4</v>
      </c>
      <c r="L381" s="1">
        <v>5693.01</v>
      </c>
      <c r="M381" s="1" t="s">
        <v>10</v>
      </c>
      <c r="N381" s="1">
        <f>IF(Sales_Data[[#This Row],[Sales with Discount]]&lt;Sales_Data[[#This Row],[Sales with Free Shipping]],Sales_Data[[#This Row],[Sales with Discount]],Sales_Data[[#This Row],[Sales with Free Shipping]])</f>
        <v>5693.01</v>
      </c>
      <c r="O381" s="1" t="str">
        <f>TEXT(Sales_Data[[#This Row],[Order Date]], "MM-YYYY")</f>
        <v>05-2019</v>
      </c>
    </row>
    <row r="382" spans="1:15" x14ac:dyDescent="0.3">
      <c r="A382" s="1">
        <v>42246</v>
      </c>
      <c r="B382" s="2">
        <v>43581</v>
      </c>
      <c r="C382" s="1" t="s">
        <v>11</v>
      </c>
      <c r="D382" s="1">
        <v>5</v>
      </c>
      <c r="E382" t="s">
        <v>16</v>
      </c>
      <c r="F382" t="s">
        <v>16</v>
      </c>
      <c r="G382" s="1">
        <v>27.08</v>
      </c>
      <c r="H382">
        <v>0</v>
      </c>
      <c r="I382">
        <f>Sales_Data[[#This Row],[Sales]]*Sales_Data[[#This Row],[Discount]]</f>
        <v>0</v>
      </c>
      <c r="J382">
        <v>27.08</v>
      </c>
      <c r="K382" s="1">
        <v>0.8</v>
      </c>
      <c r="L382" s="1">
        <v>27.08</v>
      </c>
      <c r="M382" s="1" t="s">
        <v>10</v>
      </c>
      <c r="N382" s="1">
        <f>IF(Sales_Data[[#This Row],[Sales with Discount]]&lt;Sales_Data[[#This Row],[Sales with Free Shipping]],Sales_Data[[#This Row],[Sales with Discount]],Sales_Data[[#This Row],[Sales with Free Shipping]])</f>
        <v>27.08</v>
      </c>
      <c r="O382" s="1" t="str">
        <f>TEXT(Sales_Data[[#This Row],[Order Date]], "MM-YYYY")</f>
        <v>04-2019</v>
      </c>
    </row>
    <row r="383" spans="1:15" x14ac:dyDescent="0.3">
      <c r="A383" s="1">
        <v>42437</v>
      </c>
      <c r="B383" s="2">
        <v>43529</v>
      </c>
      <c r="C383" s="1" t="s">
        <v>12</v>
      </c>
      <c r="D383" s="1">
        <v>43</v>
      </c>
      <c r="E383" t="s">
        <v>23</v>
      </c>
      <c r="F383" t="s">
        <v>23</v>
      </c>
      <c r="G383" s="1">
        <v>20824.13</v>
      </c>
      <c r="H383">
        <v>0.01</v>
      </c>
      <c r="I383">
        <f>Sales_Data[[#This Row],[Sales]]*Sales_Data[[#This Row],[Discount]]</f>
        <v>208.24130000000002</v>
      </c>
      <c r="J383">
        <v>20615.8887</v>
      </c>
      <c r="K383" s="1">
        <v>52.4</v>
      </c>
      <c r="L383" s="1">
        <v>20771.73</v>
      </c>
      <c r="M383" s="1" t="s">
        <v>13</v>
      </c>
      <c r="N383" s="1">
        <f>IF(Sales_Data[[#This Row],[Sales with Discount]]&lt;Sales_Data[[#This Row],[Sales with Free Shipping]],Sales_Data[[#This Row],[Sales with Discount]],Sales_Data[[#This Row],[Sales with Free Shipping]])</f>
        <v>20615.8887</v>
      </c>
      <c r="O383" s="1" t="str">
        <f>TEXT(Sales_Data[[#This Row],[Order Date]], "MM-YYYY")</f>
        <v>03-2019</v>
      </c>
    </row>
    <row r="384" spans="1:15" x14ac:dyDescent="0.3">
      <c r="A384" s="1">
        <v>10593</v>
      </c>
      <c r="B384" s="2">
        <v>43507</v>
      </c>
      <c r="C384" s="1" t="s">
        <v>9</v>
      </c>
      <c r="D384" s="1">
        <v>26</v>
      </c>
      <c r="E384" t="s">
        <v>20</v>
      </c>
      <c r="F384" t="s">
        <v>20</v>
      </c>
      <c r="G384" s="1">
        <v>774.49</v>
      </c>
      <c r="H384">
        <v>0</v>
      </c>
      <c r="I384">
        <f>Sales_Data[[#This Row],[Sales]]*Sales_Data[[#This Row],[Discount]]</f>
        <v>0</v>
      </c>
      <c r="J384">
        <v>774.49</v>
      </c>
      <c r="K384" s="1">
        <v>20.8</v>
      </c>
      <c r="L384" s="1">
        <v>774.49</v>
      </c>
      <c r="M384" s="1" t="s">
        <v>10</v>
      </c>
      <c r="N384" s="1">
        <f>IF(Sales_Data[[#This Row],[Sales with Discount]]&lt;Sales_Data[[#This Row],[Sales with Free Shipping]],Sales_Data[[#This Row],[Sales with Discount]],Sales_Data[[#This Row],[Sales with Free Shipping]])</f>
        <v>774.49</v>
      </c>
      <c r="O384" s="1" t="str">
        <f>TEXT(Sales_Data[[#This Row],[Order Date]], "MM-YYYY")</f>
        <v>02-2019</v>
      </c>
    </row>
    <row r="385" spans="1:15" x14ac:dyDescent="0.3">
      <c r="A385" s="1">
        <v>34976</v>
      </c>
      <c r="B385" s="2">
        <v>43793</v>
      </c>
      <c r="C385" s="1" t="s">
        <v>14</v>
      </c>
      <c r="D385" s="1">
        <v>29</v>
      </c>
      <c r="E385" t="s">
        <v>20</v>
      </c>
      <c r="F385" t="s">
        <v>20</v>
      </c>
      <c r="G385" s="1">
        <v>179.97</v>
      </c>
      <c r="H385">
        <v>0</v>
      </c>
      <c r="I385">
        <f>Sales_Data[[#This Row],[Sales]]*Sales_Data[[#This Row],[Discount]]</f>
        <v>0</v>
      </c>
      <c r="J385">
        <v>179.97</v>
      </c>
      <c r="K385" s="1">
        <v>5.8</v>
      </c>
      <c r="L385" s="1">
        <v>179.97</v>
      </c>
      <c r="M385" s="1" t="s">
        <v>10</v>
      </c>
      <c r="N385" s="1">
        <f>IF(Sales_Data[[#This Row],[Sales with Discount]]&lt;Sales_Data[[#This Row],[Sales with Free Shipping]],Sales_Data[[#This Row],[Sales with Discount]],Sales_Data[[#This Row],[Sales with Free Shipping]])</f>
        <v>179.97</v>
      </c>
      <c r="O385" s="1" t="str">
        <f>TEXT(Sales_Data[[#This Row],[Order Date]], "MM-YYYY")</f>
        <v>11-2019</v>
      </c>
    </row>
    <row r="386" spans="1:15" x14ac:dyDescent="0.3">
      <c r="A386" s="1">
        <v>34757</v>
      </c>
      <c r="B386" s="2">
        <v>43613</v>
      </c>
      <c r="C386" s="1" t="s">
        <v>9</v>
      </c>
      <c r="D386" s="1">
        <v>40</v>
      </c>
      <c r="E386" t="s">
        <v>22</v>
      </c>
      <c r="F386" t="s">
        <v>22</v>
      </c>
      <c r="G386" s="1">
        <v>268.14</v>
      </c>
      <c r="H386">
        <v>0.01</v>
      </c>
      <c r="I386">
        <f>Sales_Data[[#This Row],[Sales]]*Sales_Data[[#This Row],[Discount]]</f>
        <v>2.6814</v>
      </c>
      <c r="J386">
        <v>265.45859999999999</v>
      </c>
      <c r="K386" s="1">
        <v>6.7</v>
      </c>
      <c r="L386" s="1">
        <v>261.44</v>
      </c>
      <c r="M386" s="1" t="s">
        <v>8</v>
      </c>
      <c r="N386" s="1">
        <f>IF(Sales_Data[[#This Row],[Sales with Discount]]&lt;Sales_Data[[#This Row],[Sales with Free Shipping]],Sales_Data[[#This Row],[Sales with Discount]],Sales_Data[[#This Row],[Sales with Free Shipping]])</f>
        <v>261.44</v>
      </c>
      <c r="O386" s="1" t="str">
        <f>TEXT(Sales_Data[[#This Row],[Order Date]], "MM-YYYY")</f>
        <v>05-2019</v>
      </c>
    </row>
    <row r="387" spans="1:15" x14ac:dyDescent="0.3">
      <c r="A387" s="1">
        <v>16772</v>
      </c>
      <c r="B387" s="2">
        <v>43825</v>
      </c>
      <c r="C387" s="1" t="s">
        <v>9</v>
      </c>
      <c r="D387" s="1">
        <v>38</v>
      </c>
      <c r="E387" t="s">
        <v>22</v>
      </c>
      <c r="F387" t="s">
        <v>22</v>
      </c>
      <c r="G387" s="1">
        <v>102.41</v>
      </c>
      <c r="H387">
        <v>0.01</v>
      </c>
      <c r="I387">
        <f>Sales_Data[[#This Row],[Sales]]*Sales_Data[[#This Row],[Discount]]</f>
        <v>1.0241</v>
      </c>
      <c r="J387">
        <v>101.38589999999999</v>
      </c>
      <c r="K387" s="1">
        <v>0.5</v>
      </c>
      <c r="L387" s="1">
        <v>101.91</v>
      </c>
      <c r="M387" s="1" t="s">
        <v>10</v>
      </c>
      <c r="N387" s="1">
        <f>IF(Sales_Data[[#This Row],[Sales with Discount]]&lt;Sales_Data[[#This Row],[Sales with Free Shipping]],Sales_Data[[#This Row],[Sales with Discount]],Sales_Data[[#This Row],[Sales with Free Shipping]])</f>
        <v>101.38589999999999</v>
      </c>
      <c r="O387" s="1" t="str">
        <f>TEXT(Sales_Data[[#This Row],[Order Date]], "MM-YYYY")</f>
        <v>12-2019</v>
      </c>
    </row>
    <row r="388" spans="1:15" x14ac:dyDescent="0.3">
      <c r="A388" s="1">
        <v>19905</v>
      </c>
      <c r="B388" s="2">
        <v>43689</v>
      </c>
      <c r="C388" s="1" t="s">
        <v>12</v>
      </c>
      <c r="D388" s="1">
        <v>25</v>
      </c>
      <c r="E388" t="s">
        <v>14</v>
      </c>
      <c r="F388" t="s">
        <v>14</v>
      </c>
      <c r="G388" s="1">
        <v>14660.44</v>
      </c>
      <c r="H388">
        <v>0</v>
      </c>
      <c r="I388">
        <f>Sales_Data[[#This Row],[Sales]]*Sales_Data[[#This Row],[Discount]]</f>
        <v>0</v>
      </c>
      <c r="J388">
        <v>14660.44</v>
      </c>
      <c r="K388" s="1">
        <v>69.099999999999994</v>
      </c>
      <c r="L388" s="1">
        <v>14660.44</v>
      </c>
      <c r="M388" s="1" t="s">
        <v>13</v>
      </c>
      <c r="N388" s="1">
        <f>IF(Sales_Data[[#This Row],[Sales with Discount]]&lt;Sales_Data[[#This Row],[Sales with Free Shipping]],Sales_Data[[#This Row],[Sales with Discount]],Sales_Data[[#This Row],[Sales with Free Shipping]])</f>
        <v>14660.44</v>
      </c>
      <c r="O388" s="1" t="str">
        <f>TEXT(Sales_Data[[#This Row],[Order Date]], "MM-YYYY")</f>
        <v>08-2019</v>
      </c>
    </row>
    <row r="389" spans="1:15" x14ac:dyDescent="0.3">
      <c r="A389" s="1">
        <v>13601</v>
      </c>
      <c r="B389" s="2">
        <v>43693</v>
      </c>
      <c r="C389" s="1" t="s">
        <v>7</v>
      </c>
      <c r="D389" s="1">
        <v>17</v>
      </c>
      <c r="E389" t="s">
        <v>19</v>
      </c>
      <c r="F389" t="s">
        <v>19</v>
      </c>
      <c r="G389" s="1">
        <v>880.51369999999997</v>
      </c>
      <c r="H389">
        <v>0</v>
      </c>
      <c r="I389">
        <f>Sales_Data[[#This Row],[Sales]]*Sales_Data[[#This Row],[Discount]]</f>
        <v>0</v>
      </c>
      <c r="J389">
        <v>880.51369999999997</v>
      </c>
      <c r="K389" s="1">
        <v>21.4</v>
      </c>
      <c r="L389" s="1">
        <v>880.51369999999997</v>
      </c>
      <c r="M389" s="1" t="s">
        <v>10</v>
      </c>
      <c r="N389" s="1">
        <f>IF(Sales_Data[[#This Row],[Sales with Discount]]&lt;Sales_Data[[#This Row],[Sales with Free Shipping]],Sales_Data[[#This Row],[Sales with Discount]],Sales_Data[[#This Row],[Sales with Free Shipping]])</f>
        <v>880.51369999999997</v>
      </c>
      <c r="O389" s="1" t="str">
        <f>TEXT(Sales_Data[[#This Row],[Order Date]], "MM-YYYY")</f>
        <v>08-2019</v>
      </c>
    </row>
    <row r="390" spans="1:15" x14ac:dyDescent="0.3">
      <c r="A390" s="1">
        <v>17826</v>
      </c>
      <c r="B390" s="2">
        <v>43646</v>
      </c>
      <c r="C390" s="1" t="s">
        <v>9</v>
      </c>
      <c r="D390" s="1">
        <v>18</v>
      </c>
      <c r="E390" t="s">
        <v>19</v>
      </c>
      <c r="F390" t="s">
        <v>19</v>
      </c>
      <c r="G390" s="1">
        <v>84.46</v>
      </c>
      <c r="H390">
        <v>0</v>
      </c>
      <c r="I390">
        <f>Sales_Data[[#This Row],[Sales]]*Sales_Data[[#This Row],[Discount]]</f>
        <v>0</v>
      </c>
      <c r="J390">
        <v>84.46</v>
      </c>
      <c r="K390" s="1">
        <v>7.5</v>
      </c>
      <c r="L390" s="1">
        <v>84.46</v>
      </c>
      <c r="M390" s="1" t="s">
        <v>10</v>
      </c>
      <c r="N390" s="1">
        <f>IF(Sales_Data[[#This Row],[Sales with Discount]]&lt;Sales_Data[[#This Row],[Sales with Free Shipping]],Sales_Data[[#This Row],[Sales with Discount]],Sales_Data[[#This Row],[Sales with Free Shipping]])</f>
        <v>84.46</v>
      </c>
      <c r="O390" s="1" t="str">
        <f>TEXT(Sales_Data[[#This Row],[Order Date]], "MM-YYYY")</f>
        <v>06-2019</v>
      </c>
    </row>
    <row r="391" spans="1:15" x14ac:dyDescent="0.3">
      <c r="A391" s="1">
        <v>3556</v>
      </c>
      <c r="B391" s="2">
        <v>43730</v>
      </c>
      <c r="C391" s="1" t="s">
        <v>11</v>
      </c>
      <c r="D391" s="1">
        <v>48</v>
      </c>
      <c r="E391" t="s">
        <v>24</v>
      </c>
      <c r="F391" t="s">
        <v>24</v>
      </c>
      <c r="G391" s="1">
        <v>288.23</v>
      </c>
      <c r="H391">
        <v>0.01</v>
      </c>
      <c r="I391">
        <f>Sales_Data[[#This Row],[Sales]]*Sales_Data[[#This Row],[Discount]]</f>
        <v>2.8823000000000003</v>
      </c>
      <c r="J391">
        <v>285.34770000000003</v>
      </c>
      <c r="K391" s="1">
        <v>5.4</v>
      </c>
      <c r="L391" s="1">
        <v>282.83000000000004</v>
      </c>
      <c r="M391" s="1" t="s">
        <v>10</v>
      </c>
      <c r="N391" s="1">
        <f>IF(Sales_Data[[#This Row],[Sales with Discount]]&lt;Sales_Data[[#This Row],[Sales with Free Shipping]],Sales_Data[[#This Row],[Sales with Discount]],Sales_Data[[#This Row],[Sales with Free Shipping]])</f>
        <v>282.83000000000004</v>
      </c>
      <c r="O391" s="1" t="str">
        <f>TEXT(Sales_Data[[#This Row],[Order Date]], "MM-YYYY")</f>
        <v>09-2019</v>
      </c>
    </row>
    <row r="392" spans="1:15" x14ac:dyDescent="0.3">
      <c r="A392" s="1">
        <v>46276</v>
      </c>
      <c r="B392" s="2">
        <v>43808</v>
      </c>
      <c r="C392" s="1" t="s">
        <v>12</v>
      </c>
      <c r="D392" s="1">
        <v>4</v>
      </c>
      <c r="E392" t="s">
        <v>16</v>
      </c>
      <c r="F392" t="s">
        <v>16</v>
      </c>
      <c r="G392" s="1">
        <v>122.87</v>
      </c>
      <c r="H392">
        <v>0</v>
      </c>
      <c r="I392">
        <f>Sales_Data[[#This Row],[Sales]]*Sales_Data[[#This Row],[Discount]]</f>
        <v>0</v>
      </c>
      <c r="J392">
        <v>122.87</v>
      </c>
      <c r="K392" s="1">
        <v>2.1</v>
      </c>
      <c r="L392" s="1">
        <v>122.87</v>
      </c>
      <c r="M392" s="1" t="s">
        <v>10</v>
      </c>
      <c r="N392" s="1">
        <f>IF(Sales_Data[[#This Row],[Sales with Discount]]&lt;Sales_Data[[#This Row],[Sales with Free Shipping]],Sales_Data[[#This Row],[Sales with Discount]],Sales_Data[[#This Row],[Sales with Free Shipping]])</f>
        <v>122.87</v>
      </c>
      <c r="O392" s="1" t="str">
        <f>TEXT(Sales_Data[[#This Row],[Order Date]], "MM-YYYY")</f>
        <v>12-2019</v>
      </c>
    </row>
    <row r="393" spans="1:15" x14ac:dyDescent="0.3">
      <c r="A393" s="1">
        <v>50466</v>
      </c>
      <c r="B393" s="2">
        <v>43644</v>
      </c>
      <c r="C393" s="1" t="s">
        <v>12</v>
      </c>
      <c r="D393" s="1">
        <v>32</v>
      </c>
      <c r="E393" t="s">
        <v>21</v>
      </c>
      <c r="F393" t="s">
        <v>21</v>
      </c>
      <c r="G393" s="1">
        <v>7374.51</v>
      </c>
      <c r="H393">
        <v>0</v>
      </c>
      <c r="I393">
        <f>Sales_Data[[#This Row],[Sales]]*Sales_Data[[#This Row],[Discount]]</f>
        <v>0</v>
      </c>
      <c r="J393">
        <v>7374.51</v>
      </c>
      <c r="K393" s="1">
        <v>16.100000000000001</v>
      </c>
      <c r="L393" s="1">
        <v>7374.51</v>
      </c>
      <c r="M393" s="1" t="s">
        <v>8</v>
      </c>
      <c r="N393" s="1">
        <f>IF(Sales_Data[[#This Row],[Sales with Discount]]&lt;Sales_Data[[#This Row],[Sales with Free Shipping]],Sales_Data[[#This Row],[Sales with Discount]],Sales_Data[[#This Row],[Sales with Free Shipping]])</f>
        <v>7374.51</v>
      </c>
      <c r="O393" s="1" t="str">
        <f>TEXT(Sales_Data[[#This Row],[Order Date]], "MM-YYYY")</f>
        <v>06-2019</v>
      </c>
    </row>
    <row r="394" spans="1:15" x14ac:dyDescent="0.3">
      <c r="A394" s="1">
        <v>4199</v>
      </c>
      <c r="B394" s="2">
        <v>43507</v>
      </c>
      <c r="C394" s="1" t="s">
        <v>12</v>
      </c>
      <c r="D394" s="1">
        <v>43</v>
      </c>
      <c r="E394" t="s">
        <v>23</v>
      </c>
      <c r="F394" t="s">
        <v>23</v>
      </c>
      <c r="G394" s="1">
        <v>684.49</v>
      </c>
      <c r="H394">
        <v>0.01</v>
      </c>
      <c r="I394">
        <f>Sales_Data[[#This Row],[Sales]]*Sales_Data[[#This Row],[Discount]]</f>
        <v>6.8449</v>
      </c>
      <c r="J394">
        <v>677.64509999999996</v>
      </c>
      <c r="K394" s="1">
        <v>5.7</v>
      </c>
      <c r="L394" s="1">
        <v>678.79</v>
      </c>
      <c r="M394" s="1" t="s">
        <v>8</v>
      </c>
      <c r="N394" s="1">
        <f>IF(Sales_Data[[#This Row],[Sales with Discount]]&lt;Sales_Data[[#This Row],[Sales with Free Shipping]],Sales_Data[[#This Row],[Sales with Discount]],Sales_Data[[#This Row],[Sales with Free Shipping]])</f>
        <v>677.64509999999996</v>
      </c>
      <c r="O394" s="1" t="str">
        <f>TEXT(Sales_Data[[#This Row],[Order Date]], "MM-YYYY")</f>
        <v>02-2019</v>
      </c>
    </row>
    <row r="395" spans="1:15" x14ac:dyDescent="0.3">
      <c r="A395" s="1">
        <v>3556</v>
      </c>
      <c r="B395" s="2">
        <v>43730</v>
      </c>
      <c r="C395" s="1" t="s">
        <v>11</v>
      </c>
      <c r="D395" s="1">
        <v>41</v>
      </c>
      <c r="E395" t="s">
        <v>23</v>
      </c>
      <c r="F395" t="s">
        <v>23</v>
      </c>
      <c r="G395" s="1">
        <v>5279.37</v>
      </c>
      <c r="H395">
        <v>0.01</v>
      </c>
      <c r="I395">
        <f>Sales_Data[[#This Row],[Sales]]*Sales_Data[[#This Row],[Discount]]</f>
        <v>52.793700000000001</v>
      </c>
      <c r="J395">
        <v>5226.5762999999997</v>
      </c>
      <c r="K395" s="1">
        <v>13.5</v>
      </c>
      <c r="L395" s="1">
        <v>5265.87</v>
      </c>
      <c r="M395" s="1" t="s">
        <v>10</v>
      </c>
      <c r="N395" s="1">
        <f>IF(Sales_Data[[#This Row],[Sales with Discount]]&lt;Sales_Data[[#This Row],[Sales with Free Shipping]],Sales_Data[[#This Row],[Sales with Discount]],Sales_Data[[#This Row],[Sales with Free Shipping]])</f>
        <v>5226.5762999999997</v>
      </c>
      <c r="O395" s="1" t="str">
        <f>TEXT(Sales_Data[[#This Row],[Order Date]], "MM-YYYY")</f>
        <v>09-2019</v>
      </c>
    </row>
    <row r="396" spans="1:15" x14ac:dyDescent="0.3">
      <c r="A396" s="1">
        <v>8546</v>
      </c>
      <c r="B396" s="2">
        <v>43556</v>
      </c>
      <c r="C396" s="1" t="s">
        <v>9</v>
      </c>
      <c r="D396" s="1">
        <v>4</v>
      </c>
      <c r="E396" t="s">
        <v>16</v>
      </c>
      <c r="F396" t="s">
        <v>16</v>
      </c>
      <c r="G396" s="1">
        <v>55.58</v>
      </c>
      <c r="H396">
        <v>0</v>
      </c>
      <c r="I396">
        <f>Sales_Data[[#This Row],[Sales]]*Sales_Data[[#This Row],[Discount]]</f>
        <v>0</v>
      </c>
      <c r="J396">
        <v>55.58</v>
      </c>
      <c r="K396" s="1">
        <v>2.1</v>
      </c>
      <c r="L396" s="1">
        <v>55.58</v>
      </c>
      <c r="M396" s="1" t="s">
        <v>8</v>
      </c>
      <c r="N396" s="1">
        <f>IF(Sales_Data[[#This Row],[Sales with Discount]]&lt;Sales_Data[[#This Row],[Sales with Free Shipping]],Sales_Data[[#This Row],[Sales with Discount]],Sales_Data[[#This Row],[Sales with Free Shipping]])</f>
        <v>55.58</v>
      </c>
      <c r="O396" s="1" t="str">
        <f>TEXT(Sales_Data[[#This Row],[Order Date]], "MM-YYYY")</f>
        <v>04-2019</v>
      </c>
    </row>
    <row r="397" spans="1:15" x14ac:dyDescent="0.3">
      <c r="A397" s="1">
        <v>39943</v>
      </c>
      <c r="B397" s="2">
        <v>43623</v>
      </c>
      <c r="C397" s="1" t="s">
        <v>9</v>
      </c>
      <c r="D397" s="1">
        <v>16</v>
      </c>
      <c r="E397" t="s">
        <v>19</v>
      </c>
      <c r="F397" t="s">
        <v>19</v>
      </c>
      <c r="G397" s="1">
        <v>30.66</v>
      </c>
      <c r="H397">
        <v>0</v>
      </c>
      <c r="I397">
        <f>Sales_Data[[#This Row],[Sales]]*Sales_Data[[#This Row],[Discount]]</f>
        <v>0</v>
      </c>
      <c r="J397">
        <v>30.66</v>
      </c>
      <c r="K397" s="1">
        <v>2.1</v>
      </c>
      <c r="L397" s="1">
        <v>30.66</v>
      </c>
      <c r="M397" s="1" t="s">
        <v>10</v>
      </c>
      <c r="N397" s="1">
        <f>IF(Sales_Data[[#This Row],[Sales with Discount]]&lt;Sales_Data[[#This Row],[Sales with Free Shipping]],Sales_Data[[#This Row],[Sales with Discount]],Sales_Data[[#This Row],[Sales with Free Shipping]])</f>
        <v>30.66</v>
      </c>
      <c r="O397" s="1" t="str">
        <f>TEXT(Sales_Data[[#This Row],[Order Date]], "MM-YYYY")</f>
        <v>06-2019</v>
      </c>
    </row>
    <row r="398" spans="1:15" x14ac:dyDescent="0.3">
      <c r="A398" s="1">
        <v>54501</v>
      </c>
      <c r="B398" s="2">
        <v>43798</v>
      </c>
      <c r="C398" s="1" t="s">
        <v>12</v>
      </c>
      <c r="D398" s="1">
        <v>36</v>
      </c>
      <c r="E398" t="s">
        <v>22</v>
      </c>
      <c r="F398" t="s">
        <v>22</v>
      </c>
      <c r="G398" s="1">
        <v>2181.8200000000002</v>
      </c>
      <c r="H398">
        <v>0.01</v>
      </c>
      <c r="I398">
        <f>Sales_Data[[#This Row],[Sales]]*Sales_Data[[#This Row],[Discount]]</f>
        <v>21.818200000000001</v>
      </c>
      <c r="J398">
        <v>2160.0018</v>
      </c>
      <c r="K398" s="1">
        <v>5.3</v>
      </c>
      <c r="L398" s="1">
        <v>2176.52</v>
      </c>
      <c r="M398" s="1" t="s">
        <v>10</v>
      </c>
      <c r="N398" s="1">
        <f>IF(Sales_Data[[#This Row],[Sales with Discount]]&lt;Sales_Data[[#This Row],[Sales with Free Shipping]],Sales_Data[[#This Row],[Sales with Discount]],Sales_Data[[#This Row],[Sales with Free Shipping]])</f>
        <v>2160.0018</v>
      </c>
      <c r="O398" s="1" t="str">
        <f>TEXT(Sales_Data[[#This Row],[Order Date]], "MM-YYYY")</f>
        <v>11-2019</v>
      </c>
    </row>
    <row r="399" spans="1:15" x14ac:dyDescent="0.3">
      <c r="A399" s="1">
        <v>13282</v>
      </c>
      <c r="B399" s="2">
        <v>43594</v>
      </c>
      <c r="C399" s="1" t="s">
        <v>7</v>
      </c>
      <c r="D399" s="1">
        <v>22</v>
      </c>
      <c r="E399" t="s">
        <v>14</v>
      </c>
      <c r="F399" t="s">
        <v>14</v>
      </c>
      <c r="G399" s="1">
        <v>817.32</v>
      </c>
      <c r="H399">
        <v>0</v>
      </c>
      <c r="I399">
        <f>Sales_Data[[#This Row],[Sales]]*Sales_Data[[#This Row],[Discount]]</f>
        <v>0</v>
      </c>
      <c r="J399">
        <v>817.32</v>
      </c>
      <c r="K399" s="1">
        <v>8.1</v>
      </c>
      <c r="L399" s="1">
        <v>817.32</v>
      </c>
      <c r="M399" s="1" t="s">
        <v>10</v>
      </c>
      <c r="N399" s="1">
        <f>IF(Sales_Data[[#This Row],[Sales with Discount]]&lt;Sales_Data[[#This Row],[Sales with Free Shipping]],Sales_Data[[#This Row],[Sales with Discount]],Sales_Data[[#This Row],[Sales with Free Shipping]])</f>
        <v>817.32</v>
      </c>
      <c r="O399" s="1" t="str">
        <f>TEXT(Sales_Data[[#This Row],[Order Date]], "MM-YYYY")</f>
        <v>05-2019</v>
      </c>
    </row>
    <row r="400" spans="1:15" x14ac:dyDescent="0.3">
      <c r="A400" s="1">
        <v>20451</v>
      </c>
      <c r="B400" s="2">
        <v>43610</v>
      </c>
      <c r="C400" s="1" t="s">
        <v>12</v>
      </c>
      <c r="D400" s="1">
        <v>6</v>
      </c>
      <c r="E400" t="s">
        <v>17</v>
      </c>
      <c r="F400" t="s">
        <v>17</v>
      </c>
      <c r="G400" s="1">
        <v>57.48</v>
      </c>
      <c r="H400">
        <v>0</v>
      </c>
      <c r="I400">
        <f>Sales_Data[[#This Row],[Sales]]*Sales_Data[[#This Row],[Discount]]</f>
        <v>0</v>
      </c>
      <c r="J400">
        <v>57.48</v>
      </c>
      <c r="K400" s="1">
        <v>2.2000000000000002</v>
      </c>
      <c r="L400" s="1">
        <v>57.48</v>
      </c>
      <c r="M400" s="1" t="s">
        <v>10</v>
      </c>
      <c r="N400" s="1">
        <f>IF(Sales_Data[[#This Row],[Sales with Discount]]&lt;Sales_Data[[#This Row],[Sales with Free Shipping]],Sales_Data[[#This Row],[Sales with Discount]],Sales_Data[[#This Row],[Sales with Free Shipping]])</f>
        <v>57.48</v>
      </c>
      <c r="O400" s="1" t="str">
        <f>TEXT(Sales_Data[[#This Row],[Order Date]], "MM-YYYY")</f>
        <v>05-2019</v>
      </c>
    </row>
    <row r="401" spans="1:15" x14ac:dyDescent="0.3">
      <c r="A401" s="1">
        <v>24451</v>
      </c>
      <c r="B401" s="2">
        <v>43802</v>
      </c>
      <c r="C401" s="1" t="s">
        <v>12</v>
      </c>
      <c r="D401" s="1">
        <v>24</v>
      </c>
      <c r="E401" t="s">
        <v>14</v>
      </c>
      <c r="F401" t="s">
        <v>14</v>
      </c>
      <c r="G401" s="1">
        <v>1808.27</v>
      </c>
      <c r="H401">
        <v>0</v>
      </c>
      <c r="I401">
        <f>Sales_Data[[#This Row],[Sales]]*Sales_Data[[#This Row],[Discount]]</f>
        <v>0</v>
      </c>
      <c r="J401">
        <v>1808.27</v>
      </c>
      <c r="K401" s="1">
        <v>64.2</v>
      </c>
      <c r="L401" s="1">
        <v>1808.27</v>
      </c>
      <c r="M401" s="1" t="s">
        <v>13</v>
      </c>
      <c r="N401" s="1">
        <f>IF(Sales_Data[[#This Row],[Sales with Discount]]&lt;Sales_Data[[#This Row],[Sales with Free Shipping]],Sales_Data[[#This Row],[Sales with Discount]],Sales_Data[[#This Row],[Sales with Free Shipping]])</f>
        <v>1808.27</v>
      </c>
      <c r="O401" s="1" t="str">
        <f>TEXT(Sales_Data[[#This Row],[Order Date]], "MM-YYYY")</f>
        <v>12-2019</v>
      </c>
    </row>
    <row r="402" spans="1:15" x14ac:dyDescent="0.3">
      <c r="A402" s="1">
        <v>324</v>
      </c>
      <c r="B402" s="2">
        <v>43543</v>
      </c>
      <c r="C402" s="1" t="s">
        <v>12</v>
      </c>
      <c r="D402" s="1">
        <v>25</v>
      </c>
      <c r="E402" t="s">
        <v>14</v>
      </c>
      <c r="F402" t="s">
        <v>14</v>
      </c>
      <c r="G402" s="1">
        <v>4143.72</v>
      </c>
      <c r="H402">
        <v>0</v>
      </c>
      <c r="I402">
        <f>Sales_Data[[#This Row],[Sales]]*Sales_Data[[#This Row],[Discount]]</f>
        <v>0</v>
      </c>
      <c r="J402">
        <v>4143.72</v>
      </c>
      <c r="K402" s="1">
        <v>15</v>
      </c>
      <c r="L402" s="1">
        <v>4143.72</v>
      </c>
      <c r="M402" s="1" t="s">
        <v>10</v>
      </c>
      <c r="N402" s="1">
        <f>IF(Sales_Data[[#This Row],[Sales with Discount]]&lt;Sales_Data[[#This Row],[Sales with Free Shipping]],Sales_Data[[#This Row],[Sales with Discount]],Sales_Data[[#This Row],[Sales with Free Shipping]])</f>
        <v>4143.72</v>
      </c>
      <c r="O402" s="1" t="str">
        <f>TEXT(Sales_Data[[#This Row],[Order Date]], "MM-YYYY")</f>
        <v>03-2019</v>
      </c>
    </row>
    <row r="403" spans="1:15" x14ac:dyDescent="0.3">
      <c r="A403" s="1">
        <v>24672</v>
      </c>
      <c r="B403" s="2">
        <v>43541</v>
      </c>
      <c r="C403" s="1" t="s">
        <v>14</v>
      </c>
      <c r="D403" s="1">
        <v>37</v>
      </c>
      <c r="E403" t="s">
        <v>22</v>
      </c>
      <c r="F403" t="s">
        <v>22</v>
      </c>
      <c r="G403" s="1">
        <v>11270.25</v>
      </c>
      <c r="H403">
        <v>0.01</v>
      </c>
      <c r="I403">
        <f>Sales_Data[[#This Row],[Sales]]*Sales_Data[[#This Row],[Discount]]</f>
        <v>112.7025</v>
      </c>
      <c r="J403">
        <v>11157.547500000001</v>
      </c>
      <c r="K403" s="1">
        <v>37.5</v>
      </c>
      <c r="L403" s="1">
        <v>11232.75</v>
      </c>
      <c r="M403" s="1" t="s">
        <v>10</v>
      </c>
      <c r="N403" s="1">
        <f>IF(Sales_Data[[#This Row],[Sales with Discount]]&lt;Sales_Data[[#This Row],[Sales with Free Shipping]],Sales_Data[[#This Row],[Sales with Discount]],Sales_Data[[#This Row],[Sales with Free Shipping]])</f>
        <v>11157.547500000001</v>
      </c>
      <c r="O403" s="1" t="str">
        <f>TEXT(Sales_Data[[#This Row],[Order Date]], "MM-YYYY")</f>
        <v>03-2019</v>
      </c>
    </row>
    <row r="404" spans="1:15" x14ac:dyDescent="0.3">
      <c r="A404" s="1">
        <v>56261</v>
      </c>
      <c r="B404" s="2">
        <v>43522</v>
      </c>
      <c r="C404" s="1" t="s">
        <v>12</v>
      </c>
      <c r="D404" s="1">
        <v>43</v>
      </c>
      <c r="E404" t="s">
        <v>23</v>
      </c>
      <c r="F404" t="s">
        <v>23</v>
      </c>
      <c r="G404" s="1">
        <v>18068.830000000002</v>
      </c>
      <c r="H404">
        <v>0.01</v>
      </c>
      <c r="I404">
        <f>Sales_Data[[#This Row],[Sales]]*Sales_Data[[#This Row],[Discount]]</f>
        <v>180.68830000000003</v>
      </c>
      <c r="J404">
        <v>17888.1417</v>
      </c>
      <c r="K404" s="1">
        <v>91.6</v>
      </c>
      <c r="L404" s="1">
        <v>17977.230000000003</v>
      </c>
      <c r="M404" s="1" t="s">
        <v>13</v>
      </c>
      <c r="N404" s="1">
        <f>IF(Sales_Data[[#This Row],[Sales with Discount]]&lt;Sales_Data[[#This Row],[Sales with Free Shipping]],Sales_Data[[#This Row],[Sales with Discount]],Sales_Data[[#This Row],[Sales with Free Shipping]])</f>
        <v>17888.1417</v>
      </c>
      <c r="O404" s="1" t="str">
        <f>TEXT(Sales_Data[[#This Row],[Order Date]], "MM-YYYY")</f>
        <v>02-2019</v>
      </c>
    </row>
    <row r="405" spans="1:15" x14ac:dyDescent="0.3">
      <c r="A405" s="1">
        <v>21510</v>
      </c>
      <c r="B405" s="2">
        <v>43593</v>
      </c>
      <c r="C405" s="1" t="s">
        <v>9</v>
      </c>
      <c r="D405" s="1">
        <v>16</v>
      </c>
      <c r="E405" t="s">
        <v>19</v>
      </c>
      <c r="F405" t="s">
        <v>19</v>
      </c>
      <c r="G405" s="1">
        <v>398.14</v>
      </c>
      <c r="H405">
        <v>0</v>
      </c>
      <c r="I405">
        <f>Sales_Data[[#This Row],[Sales]]*Sales_Data[[#This Row],[Discount]]</f>
        <v>0</v>
      </c>
      <c r="J405">
        <v>398.14</v>
      </c>
      <c r="K405" s="1">
        <v>2.1</v>
      </c>
      <c r="L405" s="1">
        <v>398.14</v>
      </c>
      <c r="M405" s="1" t="s">
        <v>8</v>
      </c>
      <c r="N405" s="1">
        <f>IF(Sales_Data[[#This Row],[Sales with Discount]]&lt;Sales_Data[[#This Row],[Sales with Free Shipping]],Sales_Data[[#This Row],[Sales with Discount]],Sales_Data[[#This Row],[Sales with Free Shipping]])</f>
        <v>398.14</v>
      </c>
      <c r="O405" s="1" t="str">
        <f>TEXT(Sales_Data[[#This Row],[Order Date]], "MM-YYYY")</f>
        <v>05-2019</v>
      </c>
    </row>
    <row r="406" spans="1:15" x14ac:dyDescent="0.3">
      <c r="A406" s="1">
        <v>39876</v>
      </c>
      <c r="B406" s="2">
        <v>43568</v>
      </c>
      <c r="C406" s="1" t="s">
        <v>9</v>
      </c>
      <c r="D406" s="1">
        <v>46</v>
      </c>
      <c r="E406" t="s">
        <v>24</v>
      </c>
      <c r="F406" t="s">
        <v>24</v>
      </c>
      <c r="G406" s="1">
        <v>937.95</v>
      </c>
      <c r="H406">
        <v>0.01</v>
      </c>
      <c r="I406">
        <f>Sales_Data[[#This Row],[Sales]]*Sales_Data[[#This Row],[Discount]]</f>
        <v>9.3795000000000002</v>
      </c>
      <c r="J406">
        <v>928.57050000000004</v>
      </c>
      <c r="K406" s="1">
        <v>5.6</v>
      </c>
      <c r="L406" s="1">
        <v>932.35</v>
      </c>
      <c r="M406" s="1" t="s">
        <v>10</v>
      </c>
      <c r="N406" s="1">
        <f>IF(Sales_Data[[#This Row],[Sales with Discount]]&lt;Sales_Data[[#This Row],[Sales with Free Shipping]],Sales_Data[[#This Row],[Sales with Discount]],Sales_Data[[#This Row],[Sales with Free Shipping]])</f>
        <v>928.57050000000004</v>
      </c>
      <c r="O406" s="1" t="str">
        <f>TEXT(Sales_Data[[#This Row],[Order Date]], "MM-YYYY")</f>
        <v>04-2019</v>
      </c>
    </row>
    <row r="407" spans="1:15" x14ac:dyDescent="0.3">
      <c r="A407" s="1">
        <v>36929</v>
      </c>
      <c r="B407" s="2">
        <v>43610</v>
      </c>
      <c r="C407" s="1" t="s">
        <v>7</v>
      </c>
      <c r="D407" s="1">
        <v>37</v>
      </c>
      <c r="E407" t="s">
        <v>22</v>
      </c>
      <c r="F407" t="s">
        <v>22</v>
      </c>
      <c r="G407" s="1">
        <v>1419.56</v>
      </c>
      <c r="H407">
        <v>0.01</v>
      </c>
      <c r="I407">
        <f>Sales_Data[[#This Row],[Sales]]*Sales_Data[[#This Row],[Discount]]</f>
        <v>14.195599999999999</v>
      </c>
      <c r="J407">
        <v>1405.3643999999999</v>
      </c>
      <c r="K407" s="1">
        <v>9.4</v>
      </c>
      <c r="L407" s="1">
        <v>1410.1599999999999</v>
      </c>
      <c r="M407" s="1" t="s">
        <v>10</v>
      </c>
      <c r="N407" s="1">
        <f>IF(Sales_Data[[#This Row],[Sales with Discount]]&lt;Sales_Data[[#This Row],[Sales with Free Shipping]],Sales_Data[[#This Row],[Sales with Discount]],Sales_Data[[#This Row],[Sales with Free Shipping]])</f>
        <v>1405.3643999999999</v>
      </c>
      <c r="O407" s="1" t="str">
        <f>TEXT(Sales_Data[[#This Row],[Order Date]], "MM-YYYY")</f>
        <v>05-2019</v>
      </c>
    </row>
    <row r="408" spans="1:15" x14ac:dyDescent="0.3">
      <c r="A408" s="1">
        <v>29507</v>
      </c>
      <c r="B408" s="2">
        <v>43504</v>
      </c>
      <c r="C408" s="1" t="s">
        <v>7</v>
      </c>
      <c r="D408" s="1">
        <v>14</v>
      </c>
      <c r="E408" t="s">
        <v>18</v>
      </c>
      <c r="F408" t="s">
        <v>18</v>
      </c>
      <c r="G408" s="1">
        <v>3263.11</v>
      </c>
      <c r="H408">
        <v>0</v>
      </c>
      <c r="I408">
        <f>Sales_Data[[#This Row],[Sales]]*Sales_Data[[#This Row],[Discount]]</f>
        <v>0</v>
      </c>
      <c r="J408">
        <v>3263.11</v>
      </c>
      <c r="K408" s="1">
        <v>38.200000000000003</v>
      </c>
      <c r="L408" s="1">
        <v>3263.11</v>
      </c>
      <c r="M408" s="1" t="s">
        <v>13</v>
      </c>
      <c r="N408" s="1">
        <f>IF(Sales_Data[[#This Row],[Sales with Discount]]&lt;Sales_Data[[#This Row],[Sales with Free Shipping]],Sales_Data[[#This Row],[Sales with Discount]],Sales_Data[[#This Row],[Sales with Free Shipping]])</f>
        <v>3263.11</v>
      </c>
      <c r="O408" s="1" t="str">
        <f>TEXT(Sales_Data[[#This Row],[Order Date]], "MM-YYYY")</f>
        <v>02-2019</v>
      </c>
    </row>
    <row r="409" spans="1:15" x14ac:dyDescent="0.3">
      <c r="A409" s="1">
        <v>30727</v>
      </c>
      <c r="B409" s="2">
        <v>43671</v>
      </c>
      <c r="C409" s="1" t="s">
        <v>14</v>
      </c>
      <c r="D409" s="1">
        <v>28</v>
      </c>
      <c r="E409" t="s">
        <v>20</v>
      </c>
      <c r="F409" t="s">
        <v>20</v>
      </c>
      <c r="G409" s="1">
        <v>1247.93</v>
      </c>
      <c r="H409">
        <v>0</v>
      </c>
      <c r="I409">
        <f>Sales_Data[[#This Row],[Sales]]*Sales_Data[[#This Row],[Discount]]</f>
        <v>0</v>
      </c>
      <c r="J409">
        <v>1247.93</v>
      </c>
      <c r="K409" s="1">
        <v>4.8</v>
      </c>
      <c r="L409" s="1">
        <v>1247.93</v>
      </c>
      <c r="M409" s="1" t="s">
        <v>8</v>
      </c>
      <c r="N409" s="1">
        <f>IF(Sales_Data[[#This Row],[Sales with Discount]]&lt;Sales_Data[[#This Row],[Sales with Free Shipping]],Sales_Data[[#This Row],[Sales with Discount]],Sales_Data[[#This Row],[Sales with Free Shipping]])</f>
        <v>1247.93</v>
      </c>
      <c r="O409" s="1" t="str">
        <f>TEXT(Sales_Data[[#This Row],[Order Date]], "MM-YYYY")</f>
        <v>07-2019</v>
      </c>
    </row>
    <row r="410" spans="1:15" x14ac:dyDescent="0.3">
      <c r="A410" s="1">
        <v>50055</v>
      </c>
      <c r="B410" s="2">
        <v>43756</v>
      </c>
      <c r="C410" s="1" t="s">
        <v>14</v>
      </c>
      <c r="D410" s="1">
        <v>11</v>
      </c>
      <c r="E410" t="s">
        <v>18</v>
      </c>
      <c r="F410" t="s">
        <v>18</v>
      </c>
      <c r="G410" s="1">
        <v>81.099999999999994</v>
      </c>
      <c r="H410">
        <v>0</v>
      </c>
      <c r="I410">
        <f>Sales_Data[[#This Row],[Sales]]*Sales_Data[[#This Row],[Discount]]</f>
        <v>0</v>
      </c>
      <c r="J410">
        <v>81.099999999999994</v>
      </c>
      <c r="K410" s="1">
        <v>5.3</v>
      </c>
      <c r="L410" s="1">
        <v>81.099999999999994</v>
      </c>
      <c r="M410" s="1" t="s">
        <v>10</v>
      </c>
      <c r="N410" s="1">
        <f>IF(Sales_Data[[#This Row],[Sales with Discount]]&lt;Sales_Data[[#This Row],[Sales with Free Shipping]],Sales_Data[[#This Row],[Sales with Discount]],Sales_Data[[#This Row],[Sales with Free Shipping]])</f>
        <v>81.099999999999994</v>
      </c>
      <c r="O410" s="1" t="str">
        <f>TEXT(Sales_Data[[#This Row],[Order Date]], "MM-YYYY")</f>
        <v>10-2019</v>
      </c>
    </row>
    <row r="411" spans="1:15" x14ac:dyDescent="0.3">
      <c r="A411" s="1">
        <v>6501</v>
      </c>
      <c r="B411" s="2">
        <v>43477</v>
      </c>
      <c r="C411" s="1" t="s">
        <v>9</v>
      </c>
      <c r="D411" s="1">
        <v>46</v>
      </c>
      <c r="E411" t="s">
        <v>24</v>
      </c>
      <c r="F411" t="s">
        <v>24</v>
      </c>
      <c r="G411" s="1">
        <v>4940.5495000000001</v>
      </c>
      <c r="H411">
        <v>0.01</v>
      </c>
      <c r="I411">
        <f>Sales_Data[[#This Row],[Sales]]*Sales_Data[[#This Row],[Discount]]</f>
        <v>49.405495000000002</v>
      </c>
      <c r="J411">
        <v>4891.1440050000001</v>
      </c>
      <c r="K411" s="1">
        <v>8.1999999999999993</v>
      </c>
      <c r="L411" s="1">
        <v>4932.3495000000003</v>
      </c>
      <c r="M411" s="1" t="s">
        <v>10</v>
      </c>
      <c r="N411" s="1">
        <f>IF(Sales_Data[[#This Row],[Sales with Discount]]&lt;Sales_Data[[#This Row],[Sales with Free Shipping]],Sales_Data[[#This Row],[Sales with Discount]],Sales_Data[[#This Row],[Sales with Free Shipping]])</f>
        <v>4891.1440050000001</v>
      </c>
      <c r="O411" s="1" t="str">
        <f>TEXT(Sales_Data[[#This Row],[Order Date]], "MM-YYYY")</f>
        <v>01-2019</v>
      </c>
    </row>
    <row r="412" spans="1:15" x14ac:dyDescent="0.3">
      <c r="A412" s="1">
        <v>49381</v>
      </c>
      <c r="B412" s="2">
        <v>43812</v>
      </c>
      <c r="C412" s="1" t="s">
        <v>11</v>
      </c>
      <c r="D412" s="1">
        <v>21</v>
      </c>
      <c r="E412" t="s">
        <v>14</v>
      </c>
      <c r="F412" t="s">
        <v>14</v>
      </c>
      <c r="G412" s="1">
        <v>1645.13</v>
      </c>
      <c r="H412">
        <v>0</v>
      </c>
      <c r="I412">
        <f>Sales_Data[[#This Row],[Sales]]*Sales_Data[[#This Row],[Discount]]</f>
        <v>0</v>
      </c>
      <c r="J412">
        <v>1645.13</v>
      </c>
      <c r="K412" s="1">
        <v>37.5</v>
      </c>
      <c r="L412" s="1">
        <v>1645.13</v>
      </c>
      <c r="M412" s="1" t="s">
        <v>10</v>
      </c>
      <c r="N412" s="1">
        <f>IF(Sales_Data[[#This Row],[Sales with Discount]]&lt;Sales_Data[[#This Row],[Sales with Free Shipping]],Sales_Data[[#This Row],[Sales with Discount]],Sales_Data[[#This Row],[Sales with Free Shipping]])</f>
        <v>1645.13</v>
      </c>
      <c r="O412" s="1" t="str">
        <f>TEXT(Sales_Data[[#This Row],[Order Date]], "MM-YYYY")</f>
        <v>12-2019</v>
      </c>
    </row>
    <row r="413" spans="1:15" x14ac:dyDescent="0.3">
      <c r="A413" s="1">
        <v>48003</v>
      </c>
      <c r="B413" s="2">
        <v>43490</v>
      </c>
      <c r="C413" s="1" t="s">
        <v>14</v>
      </c>
      <c r="D413" s="1">
        <v>30</v>
      </c>
      <c r="E413" t="s">
        <v>20</v>
      </c>
      <c r="F413" t="s">
        <v>20</v>
      </c>
      <c r="G413" s="1">
        <v>196.16</v>
      </c>
      <c r="H413">
        <v>0</v>
      </c>
      <c r="I413">
        <f>Sales_Data[[#This Row],[Sales]]*Sales_Data[[#This Row],[Discount]]</f>
        <v>0</v>
      </c>
      <c r="J413">
        <v>196.16</v>
      </c>
      <c r="K413" s="1">
        <v>4.7</v>
      </c>
      <c r="L413" s="1">
        <v>196.16</v>
      </c>
      <c r="M413" s="1" t="s">
        <v>10</v>
      </c>
      <c r="N413" s="1">
        <f>IF(Sales_Data[[#This Row],[Sales with Discount]]&lt;Sales_Data[[#This Row],[Sales with Free Shipping]],Sales_Data[[#This Row],[Sales with Discount]],Sales_Data[[#This Row],[Sales with Free Shipping]])</f>
        <v>196.16</v>
      </c>
      <c r="O413" s="1" t="str">
        <f>TEXT(Sales_Data[[#This Row],[Order Date]], "MM-YYYY")</f>
        <v>01-2019</v>
      </c>
    </row>
    <row r="414" spans="1:15" x14ac:dyDescent="0.3">
      <c r="A414" s="1">
        <v>28871</v>
      </c>
      <c r="B414" s="2">
        <v>43570</v>
      </c>
      <c r="C414" s="1" t="s">
        <v>9</v>
      </c>
      <c r="D414" s="1">
        <v>10</v>
      </c>
      <c r="E414" t="s">
        <v>17</v>
      </c>
      <c r="F414" t="s">
        <v>17</v>
      </c>
      <c r="G414" s="1">
        <v>58.87</v>
      </c>
      <c r="H414">
        <v>0</v>
      </c>
      <c r="I414">
        <f>Sales_Data[[#This Row],[Sales]]*Sales_Data[[#This Row],[Discount]]</f>
        <v>0</v>
      </c>
      <c r="J414">
        <v>58.87</v>
      </c>
      <c r="K414" s="1">
        <v>5.5</v>
      </c>
      <c r="L414" s="1">
        <v>58.87</v>
      </c>
      <c r="M414" s="1" t="s">
        <v>10</v>
      </c>
      <c r="N414" s="1">
        <f>IF(Sales_Data[[#This Row],[Sales with Discount]]&lt;Sales_Data[[#This Row],[Sales with Free Shipping]],Sales_Data[[#This Row],[Sales with Discount]],Sales_Data[[#This Row],[Sales with Free Shipping]])</f>
        <v>58.87</v>
      </c>
      <c r="O414" s="1" t="str">
        <f>TEXT(Sales_Data[[#This Row],[Order Date]], "MM-YYYY")</f>
        <v>04-2019</v>
      </c>
    </row>
    <row r="415" spans="1:15" x14ac:dyDescent="0.3">
      <c r="A415" s="1">
        <v>50144</v>
      </c>
      <c r="B415" s="2">
        <v>43623</v>
      </c>
      <c r="C415" s="1" t="s">
        <v>12</v>
      </c>
      <c r="D415" s="1">
        <v>36</v>
      </c>
      <c r="E415" t="s">
        <v>22</v>
      </c>
      <c r="F415" t="s">
        <v>22</v>
      </c>
      <c r="G415" s="1">
        <v>4461.83</v>
      </c>
      <c r="H415">
        <v>0.01</v>
      </c>
      <c r="I415">
        <f>Sales_Data[[#This Row],[Sales]]*Sales_Data[[#This Row],[Discount]]</f>
        <v>44.618299999999998</v>
      </c>
      <c r="J415">
        <v>4417.2116999999998</v>
      </c>
      <c r="K415" s="1">
        <v>9.6999999999999993</v>
      </c>
      <c r="L415" s="1">
        <v>4452.13</v>
      </c>
      <c r="M415" s="1" t="s">
        <v>8</v>
      </c>
      <c r="N415" s="1">
        <f>IF(Sales_Data[[#This Row],[Sales with Discount]]&lt;Sales_Data[[#This Row],[Sales with Free Shipping]],Sales_Data[[#This Row],[Sales with Discount]],Sales_Data[[#This Row],[Sales with Free Shipping]])</f>
        <v>4417.2116999999998</v>
      </c>
      <c r="O415" s="1" t="str">
        <f>TEXT(Sales_Data[[#This Row],[Order Date]], "MM-YYYY")</f>
        <v>06-2019</v>
      </c>
    </row>
    <row r="416" spans="1:15" x14ac:dyDescent="0.3">
      <c r="A416" s="1">
        <v>39972</v>
      </c>
      <c r="B416" s="2">
        <v>43733</v>
      </c>
      <c r="C416" s="1" t="s">
        <v>11</v>
      </c>
      <c r="D416" s="1">
        <v>35</v>
      </c>
      <c r="E416" t="s">
        <v>21</v>
      </c>
      <c r="F416" t="s">
        <v>21</v>
      </c>
      <c r="G416" s="1">
        <v>240.3</v>
      </c>
      <c r="H416">
        <v>0</v>
      </c>
      <c r="I416">
        <f>Sales_Data[[#This Row],[Sales]]*Sales_Data[[#This Row],[Discount]]</f>
        <v>0</v>
      </c>
      <c r="J416">
        <v>240.3</v>
      </c>
      <c r="K416" s="1">
        <v>0.5</v>
      </c>
      <c r="L416" s="1">
        <v>240.3</v>
      </c>
      <c r="M416" s="1" t="s">
        <v>10</v>
      </c>
      <c r="N416" s="1">
        <f>IF(Sales_Data[[#This Row],[Sales with Discount]]&lt;Sales_Data[[#This Row],[Sales with Free Shipping]],Sales_Data[[#This Row],[Sales with Discount]],Sales_Data[[#This Row],[Sales with Free Shipping]])</f>
        <v>240.3</v>
      </c>
      <c r="O416" s="1" t="str">
        <f>TEXT(Sales_Data[[#This Row],[Order Date]], "MM-YYYY")</f>
        <v>09-2019</v>
      </c>
    </row>
    <row r="417" spans="1:15" x14ac:dyDescent="0.3">
      <c r="A417" s="1">
        <v>41286</v>
      </c>
      <c r="B417" s="2">
        <v>43724</v>
      </c>
      <c r="C417" s="1" t="s">
        <v>14</v>
      </c>
      <c r="D417" s="1">
        <v>40</v>
      </c>
      <c r="E417" t="s">
        <v>22</v>
      </c>
      <c r="F417" t="s">
        <v>22</v>
      </c>
      <c r="G417" s="1">
        <v>279.23</v>
      </c>
      <c r="H417">
        <v>0.01</v>
      </c>
      <c r="I417">
        <f>Sales_Data[[#This Row],[Sales]]*Sales_Data[[#This Row],[Discount]]</f>
        <v>2.7923000000000004</v>
      </c>
      <c r="J417">
        <v>276.43770000000001</v>
      </c>
      <c r="K417" s="1">
        <v>6.7</v>
      </c>
      <c r="L417" s="1">
        <v>272.53000000000003</v>
      </c>
      <c r="M417" s="1" t="s">
        <v>10</v>
      </c>
      <c r="N417" s="1">
        <f>IF(Sales_Data[[#This Row],[Sales with Discount]]&lt;Sales_Data[[#This Row],[Sales with Free Shipping]],Sales_Data[[#This Row],[Sales with Discount]],Sales_Data[[#This Row],[Sales with Free Shipping]])</f>
        <v>272.53000000000003</v>
      </c>
      <c r="O417" s="1" t="str">
        <f>TEXT(Sales_Data[[#This Row],[Order Date]], "MM-YYYY")</f>
        <v>09-2019</v>
      </c>
    </row>
    <row r="418" spans="1:15" x14ac:dyDescent="0.3">
      <c r="A418" s="1">
        <v>21796</v>
      </c>
      <c r="B418" s="2">
        <v>43591</v>
      </c>
      <c r="C418" s="1" t="s">
        <v>7</v>
      </c>
      <c r="D418" s="1">
        <v>41</v>
      </c>
      <c r="E418" t="s">
        <v>23</v>
      </c>
      <c r="F418" t="s">
        <v>23</v>
      </c>
      <c r="G418" s="1">
        <v>649.63</v>
      </c>
      <c r="H418">
        <v>0.01</v>
      </c>
      <c r="I418">
        <f>Sales_Data[[#This Row],[Sales]]*Sales_Data[[#This Row],[Discount]]</f>
        <v>6.4962999999999997</v>
      </c>
      <c r="J418">
        <v>643.13369999999998</v>
      </c>
      <c r="K418" s="1">
        <v>1.5</v>
      </c>
      <c r="L418" s="1">
        <v>648.13</v>
      </c>
      <c r="M418" s="1" t="s">
        <v>10</v>
      </c>
      <c r="N418" s="1">
        <f>IF(Sales_Data[[#This Row],[Sales with Discount]]&lt;Sales_Data[[#This Row],[Sales with Free Shipping]],Sales_Data[[#This Row],[Sales with Discount]],Sales_Data[[#This Row],[Sales with Free Shipping]])</f>
        <v>643.13369999999998</v>
      </c>
      <c r="O418" s="1" t="str">
        <f>TEXT(Sales_Data[[#This Row],[Order Date]], "MM-YYYY")</f>
        <v>05-2019</v>
      </c>
    </row>
    <row r="419" spans="1:15" x14ac:dyDescent="0.3">
      <c r="A419" s="1">
        <v>23174</v>
      </c>
      <c r="B419" s="2">
        <v>43672</v>
      </c>
      <c r="C419" s="1" t="s">
        <v>7</v>
      </c>
      <c r="D419" s="1">
        <v>8</v>
      </c>
      <c r="E419" t="s">
        <v>17</v>
      </c>
      <c r="F419" t="s">
        <v>17</v>
      </c>
      <c r="G419" s="1">
        <v>147.91999999999999</v>
      </c>
      <c r="H419">
        <v>0</v>
      </c>
      <c r="I419">
        <f>Sales_Data[[#This Row],[Sales]]*Sales_Data[[#This Row],[Discount]]</f>
        <v>0</v>
      </c>
      <c r="J419">
        <v>147.91999999999999</v>
      </c>
      <c r="K419" s="1">
        <v>7.5</v>
      </c>
      <c r="L419" s="1">
        <v>147.91999999999999</v>
      </c>
      <c r="M419" s="1" t="s">
        <v>10</v>
      </c>
      <c r="N419" s="1">
        <f>IF(Sales_Data[[#This Row],[Sales with Discount]]&lt;Sales_Data[[#This Row],[Sales with Free Shipping]],Sales_Data[[#This Row],[Sales with Discount]],Sales_Data[[#This Row],[Sales with Free Shipping]])</f>
        <v>147.91999999999999</v>
      </c>
      <c r="O419" s="1" t="str">
        <f>TEXT(Sales_Data[[#This Row],[Order Date]], "MM-YYYY")</f>
        <v>07-2019</v>
      </c>
    </row>
    <row r="420" spans="1:15" x14ac:dyDescent="0.3">
      <c r="A420" s="1">
        <v>13345</v>
      </c>
      <c r="B420" s="2">
        <v>43710</v>
      </c>
      <c r="C420" s="1" t="s">
        <v>11</v>
      </c>
      <c r="D420" s="1">
        <v>45</v>
      </c>
      <c r="E420" t="s">
        <v>23</v>
      </c>
      <c r="F420" t="s">
        <v>23</v>
      </c>
      <c r="G420" s="1">
        <v>517.49</v>
      </c>
      <c r="H420">
        <v>0.01</v>
      </c>
      <c r="I420">
        <f>Sales_Data[[#This Row],[Sales]]*Sales_Data[[#This Row],[Discount]]</f>
        <v>5.1749000000000001</v>
      </c>
      <c r="J420">
        <v>512.31510000000003</v>
      </c>
      <c r="K420" s="1">
        <v>3.6</v>
      </c>
      <c r="L420" s="1">
        <v>513.89</v>
      </c>
      <c r="M420" s="1" t="s">
        <v>10</v>
      </c>
      <c r="N420" s="1">
        <f>IF(Sales_Data[[#This Row],[Sales with Discount]]&lt;Sales_Data[[#This Row],[Sales with Free Shipping]],Sales_Data[[#This Row],[Sales with Discount]],Sales_Data[[#This Row],[Sales with Free Shipping]])</f>
        <v>512.31510000000003</v>
      </c>
      <c r="O420" s="1" t="str">
        <f>TEXT(Sales_Data[[#This Row],[Order Date]], "MM-YYYY")</f>
        <v>09-2019</v>
      </c>
    </row>
    <row r="421" spans="1:15" x14ac:dyDescent="0.3">
      <c r="A421" s="1">
        <v>58368</v>
      </c>
      <c r="B421" s="2">
        <v>43655</v>
      </c>
      <c r="C421" s="1" t="s">
        <v>9</v>
      </c>
      <c r="D421" s="1">
        <v>5</v>
      </c>
      <c r="E421" t="s">
        <v>16</v>
      </c>
      <c r="F421" t="s">
        <v>16</v>
      </c>
      <c r="G421" s="1">
        <v>348.21010000000001</v>
      </c>
      <c r="H421">
        <v>0</v>
      </c>
      <c r="I421">
        <f>Sales_Data[[#This Row],[Sales]]*Sales_Data[[#This Row],[Discount]]</f>
        <v>0</v>
      </c>
      <c r="J421">
        <v>348.21010000000001</v>
      </c>
      <c r="K421" s="1">
        <v>7.4</v>
      </c>
      <c r="L421" s="1">
        <v>348.21010000000001</v>
      </c>
      <c r="M421" s="1" t="s">
        <v>8</v>
      </c>
      <c r="N421" s="1">
        <f>IF(Sales_Data[[#This Row],[Sales with Discount]]&lt;Sales_Data[[#This Row],[Sales with Free Shipping]],Sales_Data[[#This Row],[Sales with Discount]],Sales_Data[[#This Row],[Sales with Free Shipping]])</f>
        <v>348.21010000000001</v>
      </c>
      <c r="O421" s="1" t="str">
        <f>TEXT(Sales_Data[[#This Row],[Order Date]], "MM-YYYY")</f>
        <v>07-2019</v>
      </c>
    </row>
    <row r="422" spans="1:15" x14ac:dyDescent="0.3">
      <c r="A422" s="1">
        <v>29030</v>
      </c>
      <c r="B422" s="2">
        <v>43466</v>
      </c>
      <c r="C422" s="1" t="s">
        <v>14</v>
      </c>
      <c r="D422" s="1">
        <v>10</v>
      </c>
      <c r="E422" t="s">
        <v>17</v>
      </c>
      <c r="F422" t="s">
        <v>17</v>
      </c>
      <c r="G422" s="1">
        <v>206.06</v>
      </c>
      <c r="H422">
        <v>0</v>
      </c>
      <c r="I422">
        <f>Sales_Data[[#This Row],[Sales]]*Sales_Data[[#This Row],[Discount]]</f>
        <v>0</v>
      </c>
      <c r="J422">
        <v>206.06</v>
      </c>
      <c r="K422" s="1">
        <v>4.4000000000000004</v>
      </c>
      <c r="L422" s="1">
        <v>206.06</v>
      </c>
      <c r="M422" s="1" t="s">
        <v>10</v>
      </c>
      <c r="N422" s="1">
        <f>IF(Sales_Data[[#This Row],[Sales with Discount]]&lt;Sales_Data[[#This Row],[Sales with Free Shipping]],Sales_Data[[#This Row],[Sales with Discount]],Sales_Data[[#This Row],[Sales with Free Shipping]])</f>
        <v>206.06</v>
      </c>
      <c r="O422" s="1" t="str">
        <f>TEXT(Sales_Data[[#This Row],[Order Date]], "MM-YYYY")</f>
        <v>01-2019</v>
      </c>
    </row>
    <row r="423" spans="1:15" x14ac:dyDescent="0.3">
      <c r="A423" s="1">
        <v>19394</v>
      </c>
      <c r="B423" s="2">
        <v>43824</v>
      </c>
      <c r="C423" s="1" t="s">
        <v>14</v>
      </c>
      <c r="D423" s="1">
        <v>16</v>
      </c>
      <c r="E423" t="s">
        <v>19</v>
      </c>
      <c r="F423" t="s">
        <v>19</v>
      </c>
      <c r="G423" s="1">
        <v>298.87990000000002</v>
      </c>
      <c r="H423">
        <v>0</v>
      </c>
      <c r="I423">
        <f>Sales_Data[[#This Row],[Sales]]*Sales_Data[[#This Row],[Discount]]</f>
        <v>0</v>
      </c>
      <c r="J423">
        <v>298.87990000000002</v>
      </c>
      <c r="K423" s="1">
        <v>1.1000000000000001</v>
      </c>
      <c r="L423" s="1">
        <v>298.87990000000002</v>
      </c>
      <c r="M423" s="1" t="s">
        <v>10</v>
      </c>
      <c r="N423" s="1">
        <f>IF(Sales_Data[[#This Row],[Sales with Discount]]&lt;Sales_Data[[#This Row],[Sales with Free Shipping]],Sales_Data[[#This Row],[Sales with Discount]],Sales_Data[[#This Row],[Sales with Free Shipping]])</f>
        <v>298.87990000000002</v>
      </c>
      <c r="O423" s="1" t="str">
        <f>TEXT(Sales_Data[[#This Row],[Order Date]], "MM-YYYY")</f>
        <v>12-2019</v>
      </c>
    </row>
    <row r="424" spans="1:15" x14ac:dyDescent="0.3">
      <c r="A424" s="1">
        <v>46726</v>
      </c>
      <c r="B424" s="2">
        <v>43651</v>
      </c>
      <c r="C424" s="1" t="s">
        <v>11</v>
      </c>
      <c r="D424" s="1">
        <v>46</v>
      </c>
      <c r="E424" t="s">
        <v>24</v>
      </c>
      <c r="F424" t="s">
        <v>24</v>
      </c>
      <c r="G424" s="1">
        <v>348.79</v>
      </c>
      <c r="H424">
        <v>0.01</v>
      </c>
      <c r="I424">
        <f>Sales_Data[[#This Row],[Sales]]*Sales_Data[[#This Row],[Discount]]</f>
        <v>3.4879000000000002</v>
      </c>
      <c r="J424">
        <v>345.3021</v>
      </c>
      <c r="K424" s="1">
        <v>9</v>
      </c>
      <c r="L424" s="1">
        <v>339.79</v>
      </c>
      <c r="M424" s="1" t="s">
        <v>10</v>
      </c>
      <c r="N424" s="1">
        <f>IF(Sales_Data[[#This Row],[Sales with Discount]]&lt;Sales_Data[[#This Row],[Sales with Free Shipping]],Sales_Data[[#This Row],[Sales with Discount]],Sales_Data[[#This Row],[Sales with Free Shipping]])</f>
        <v>339.79</v>
      </c>
      <c r="O424" s="1" t="str">
        <f>TEXT(Sales_Data[[#This Row],[Order Date]], "MM-YYYY")</f>
        <v>07-2019</v>
      </c>
    </row>
    <row r="425" spans="1:15" x14ac:dyDescent="0.3">
      <c r="A425" s="1">
        <v>52999</v>
      </c>
      <c r="B425" s="2">
        <v>43580</v>
      </c>
      <c r="C425" s="1" t="s">
        <v>11</v>
      </c>
      <c r="D425" s="1">
        <v>7</v>
      </c>
      <c r="E425" t="s">
        <v>17</v>
      </c>
      <c r="F425" t="s">
        <v>17</v>
      </c>
      <c r="G425" s="1">
        <v>47.75</v>
      </c>
      <c r="H425">
        <v>0</v>
      </c>
      <c r="I425">
        <f>Sales_Data[[#This Row],[Sales]]*Sales_Data[[#This Row],[Discount]]</f>
        <v>0</v>
      </c>
      <c r="J425">
        <v>47.75</v>
      </c>
      <c r="K425" s="1">
        <v>6.1</v>
      </c>
      <c r="L425" s="1">
        <v>47.75</v>
      </c>
      <c r="M425" s="1" t="s">
        <v>10</v>
      </c>
      <c r="N425" s="1">
        <f>IF(Sales_Data[[#This Row],[Sales with Discount]]&lt;Sales_Data[[#This Row],[Sales with Free Shipping]],Sales_Data[[#This Row],[Sales with Discount]],Sales_Data[[#This Row],[Sales with Free Shipping]])</f>
        <v>47.75</v>
      </c>
      <c r="O425" s="1" t="str">
        <f>TEXT(Sales_Data[[#This Row],[Order Date]], "MM-YYYY")</f>
        <v>04-2019</v>
      </c>
    </row>
    <row r="426" spans="1:15" x14ac:dyDescent="0.3">
      <c r="A426" s="1">
        <v>56672</v>
      </c>
      <c r="B426" s="2">
        <v>43597</v>
      </c>
      <c r="C426" s="1" t="s">
        <v>9</v>
      </c>
      <c r="D426" s="1">
        <v>8</v>
      </c>
      <c r="E426" t="s">
        <v>17</v>
      </c>
      <c r="F426" t="s">
        <v>17</v>
      </c>
      <c r="G426" s="1">
        <v>635.19000000000005</v>
      </c>
      <c r="H426">
        <v>0</v>
      </c>
      <c r="I426">
        <f>Sales_Data[[#This Row],[Sales]]*Sales_Data[[#This Row],[Discount]]</f>
        <v>0</v>
      </c>
      <c r="J426">
        <v>635.19000000000005</v>
      </c>
      <c r="K426" s="1">
        <v>64.2</v>
      </c>
      <c r="L426" s="1">
        <v>635.19000000000005</v>
      </c>
      <c r="M426" s="1" t="s">
        <v>13</v>
      </c>
      <c r="N426" s="1">
        <f>IF(Sales_Data[[#This Row],[Sales with Discount]]&lt;Sales_Data[[#This Row],[Sales with Free Shipping]],Sales_Data[[#This Row],[Sales with Discount]],Sales_Data[[#This Row],[Sales with Free Shipping]])</f>
        <v>635.19000000000005</v>
      </c>
      <c r="O426" s="1" t="str">
        <f>TEXT(Sales_Data[[#This Row],[Order Date]], "MM-YYYY")</f>
        <v>05-2019</v>
      </c>
    </row>
    <row r="427" spans="1:15" x14ac:dyDescent="0.3">
      <c r="A427" s="1">
        <v>53188</v>
      </c>
      <c r="B427" s="2">
        <v>43774</v>
      </c>
      <c r="C427" s="1" t="s">
        <v>9</v>
      </c>
      <c r="D427" s="1">
        <v>22</v>
      </c>
      <c r="E427" t="s">
        <v>14</v>
      </c>
      <c r="F427" t="s">
        <v>14</v>
      </c>
      <c r="G427" s="1">
        <v>664.69</v>
      </c>
      <c r="H427">
        <v>0</v>
      </c>
      <c r="I427">
        <f>Sales_Data[[#This Row],[Sales]]*Sales_Data[[#This Row],[Discount]]</f>
        <v>0</v>
      </c>
      <c r="J427">
        <v>664.69</v>
      </c>
      <c r="K427" s="1">
        <v>7.1</v>
      </c>
      <c r="L427" s="1">
        <v>664.69</v>
      </c>
      <c r="M427" s="1" t="s">
        <v>10</v>
      </c>
      <c r="N427" s="1">
        <f>IF(Sales_Data[[#This Row],[Sales with Discount]]&lt;Sales_Data[[#This Row],[Sales with Free Shipping]],Sales_Data[[#This Row],[Sales with Discount]],Sales_Data[[#This Row],[Sales with Free Shipping]])</f>
        <v>664.69</v>
      </c>
      <c r="O427" s="1" t="str">
        <f>TEXT(Sales_Data[[#This Row],[Order Date]], "MM-YYYY")</f>
        <v>11-2019</v>
      </c>
    </row>
    <row r="428" spans="1:15" x14ac:dyDescent="0.3">
      <c r="A428" s="1">
        <v>52999</v>
      </c>
      <c r="B428" s="2">
        <v>43580</v>
      </c>
      <c r="C428" s="1" t="s">
        <v>11</v>
      </c>
      <c r="D428" s="1">
        <v>5</v>
      </c>
      <c r="E428" t="s">
        <v>16</v>
      </c>
      <c r="F428" t="s">
        <v>16</v>
      </c>
      <c r="G428" s="1">
        <v>46.66</v>
      </c>
      <c r="H428">
        <v>0</v>
      </c>
      <c r="I428">
        <f>Sales_Data[[#This Row],[Sales]]*Sales_Data[[#This Row],[Discount]]</f>
        <v>0</v>
      </c>
      <c r="J428">
        <v>46.66</v>
      </c>
      <c r="K428" s="1">
        <v>4.3</v>
      </c>
      <c r="L428" s="1">
        <v>46.66</v>
      </c>
      <c r="M428" s="1" t="s">
        <v>8</v>
      </c>
      <c r="N428" s="1">
        <f>IF(Sales_Data[[#This Row],[Sales with Discount]]&lt;Sales_Data[[#This Row],[Sales with Free Shipping]],Sales_Data[[#This Row],[Sales with Discount]],Sales_Data[[#This Row],[Sales with Free Shipping]])</f>
        <v>46.66</v>
      </c>
      <c r="O428" s="1" t="str">
        <f>TEXT(Sales_Data[[#This Row],[Order Date]], "MM-YYYY")</f>
        <v>04-2019</v>
      </c>
    </row>
    <row r="429" spans="1:15" x14ac:dyDescent="0.3">
      <c r="A429" s="1">
        <v>52673</v>
      </c>
      <c r="B429" s="2">
        <v>43593</v>
      </c>
      <c r="C429" s="1" t="s">
        <v>14</v>
      </c>
      <c r="D429" s="1">
        <v>14</v>
      </c>
      <c r="E429" t="s">
        <v>18</v>
      </c>
      <c r="F429" t="s">
        <v>18</v>
      </c>
      <c r="G429" s="1">
        <v>2188.2199999999998</v>
      </c>
      <c r="H429">
        <v>0</v>
      </c>
      <c r="I429">
        <f>Sales_Data[[#This Row],[Sales]]*Sales_Data[[#This Row],[Discount]]</f>
        <v>0</v>
      </c>
      <c r="J429">
        <v>2188.2199999999998</v>
      </c>
      <c r="K429" s="1">
        <v>9.6</v>
      </c>
      <c r="L429" s="1">
        <v>2188.2199999999998</v>
      </c>
      <c r="M429" s="1" t="s">
        <v>10</v>
      </c>
      <c r="N429" s="1">
        <f>IF(Sales_Data[[#This Row],[Sales with Discount]]&lt;Sales_Data[[#This Row],[Sales with Free Shipping]],Sales_Data[[#This Row],[Sales with Discount]],Sales_Data[[#This Row],[Sales with Free Shipping]])</f>
        <v>2188.2199999999998</v>
      </c>
      <c r="O429" s="1" t="str">
        <f>TEXT(Sales_Data[[#This Row],[Order Date]], "MM-YYYY")</f>
        <v>05-2019</v>
      </c>
    </row>
    <row r="430" spans="1:15" x14ac:dyDescent="0.3">
      <c r="A430" s="1">
        <v>54886</v>
      </c>
      <c r="B430" s="2">
        <v>43681</v>
      </c>
      <c r="C430" s="1" t="s">
        <v>12</v>
      </c>
      <c r="D430" s="1">
        <v>39</v>
      </c>
      <c r="E430" t="s">
        <v>22</v>
      </c>
      <c r="F430" t="s">
        <v>22</v>
      </c>
      <c r="G430" s="1">
        <v>449.35</v>
      </c>
      <c r="H430">
        <v>0.01</v>
      </c>
      <c r="I430">
        <f>Sales_Data[[#This Row],[Sales]]*Sales_Data[[#This Row],[Discount]]</f>
        <v>4.4935</v>
      </c>
      <c r="J430">
        <v>444.85650000000004</v>
      </c>
      <c r="K430" s="1">
        <v>5.5</v>
      </c>
      <c r="L430" s="1">
        <v>443.85</v>
      </c>
      <c r="M430" s="1" t="s">
        <v>10</v>
      </c>
      <c r="N430" s="1">
        <f>IF(Sales_Data[[#This Row],[Sales with Discount]]&lt;Sales_Data[[#This Row],[Sales with Free Shipping]],Sales_Data[[#This Row],[Sales with Discount]],Sales_Data[[#This Row],[Sales with Free Shipping]])</f>
        <v>443.85</v>
      </c>
      <c r="O430" s="1" t="str">
        <f>TEXT(Sales_Data[[#This Row],[Order Date]], "MM-YYYY")</f>
        <v>08-2019</v>
      </c>
    </row>
    <row r="431" spans="1:15" x14ac:dyDescent="0.3">
      <c r="A431" s="1">
        <v>40994</v>
      </c>
      <c r="B431" s="2">
        <v>43747</v>
      </c>
      <c r="C431" s="1" t="s">
        <v>9</v>
      </c>
      <c r="D431" s="1">
        <v>42</v>
      </c>
      <c r="E431" t="s">
        <v>23</v>
      </c>
      <c r="F431" t="s">
        <v>23</v>
      </c>
      <c r="G431" s="1">
        <v>848.55</v>
      </c>
      <c r="H431">
        <v>0.01</v>
      </c>
      <c r="I431">
        <f>Sales_Data[[#This Row],[Sales]]*Sales_Data[[#This Row],[Discount]]</f>
        <v>8.4855</v>
      </c>
      <c r="J431">
        <v>840.06449999999995</v>
      </c>
      <c r="K431" s="1">
        <v>1.6</v>
      </c>
      <c r="L431" s="1">
        <v>846.94999999999993</v>
      </c>
      <c r="M431" s="1" t="s">
        <v>10</v>
      </c>
      <c r="N431" s="1">
        <f>IF(Sales_Data[[#This Row],[Sales with Discount]]&lt;Sales_Data[[#This Row],[Sales with Free Shipping]],Sales_Data[[#This Row],[Sales with Discount]],Sales_Data[[#This Row],[Sales with Free Shipping]])</f>
        <v>840.06449999999995</v>
      </c>
      <c r="O431" s="1" t="str">
        <f>TEXT(Sales_Data[[#This Row],[Order Date]], "MM-YYYY")</f>
        <v>10-2019</v>
      </c>
    </row>
    <row r="432" spans="1:15" x14ac:dyDescent="0.3">
      <c r="A432" s="1">
        <v>8388</v>
      </c>
      <c r="B432" s="2">
        <v>43518</v>
      </c>
      <c r="C432" s="1" t="s">
        <v>7</v>
      </c>
      <c r="D432" s="1">
        <v>39</v>
      </c>
      <c r="E432" t="s">
        <v>22</v>
      </c>
      <c r="F432" t="s">
        <v>22</v>
      </c>
      <c r="G432" s="1">
        <v>310.62</v>
      </c>
      <c r="H432">
        <v>0.01</v>
      </c>
      <c r="I432">
        <f>Sales_Data[[#This Row],[Sales]]*Sales_Data[[#This Row],[Discount]]</f>
        <v>3.1062000000000003</v>
      </c>
      <c r="J432">
        <v>307.5138</v>
      </c>
      <c r="K432" s="1">
        <v>4.3</v>
      </c>
      <c r="L432" s="1">
        <v>306.32</v>
      </c>
      <c r="M432" s="1" t="s">
        <v>10</v>
      </c>
      <c r="N432" s="1">
        <f>IF(Sales_Data[[#This Row],[Sales with Discount]]&lt;Sales_Data[[#This Row],[Sales with Free Shipping]],Sales_Data[[#This Row],[Sales with Discount]],Sales_Data[[#This Row],[Sales with Free Shipping]])</f>
        <v>306.32</v>
      </c>
      <c r="O432" s="1" t="str">
        <f>TEXT(Sales_Data[[#This Row],[Order Date]], "MM-YYYY")</f>
        <v>02-2019</v>
      </c>
    </row>
    <row r="433" spans="1:15" x14ac:dyDescent="0.3">
      <c r="A433" s="1">
        <v>13670</v>
      </c>
      <c r="B433" s="2">
        <v>43608</v>
      </c>
      <c r="C433" s="1" t="s">
        <v>12</v>
      </c>
      <c r="D433" s="1">
        <v>27</v>
      </c>
      <c r="E433" t="s">
        <v>20</v>
      </c>
      <c r="F433" t="s">
        <v>20</v>
      </c>
      <c r="G433" s="1">
        <v>124.52</v>
      </c>
      <c r="H433">
        <v>0</v>
      </c>
      <c r="I433">
        <f>Sales_Data[[#This Row],[Sales]]*Sales_Data[[#This Row],[Discount]]</f>
        <v>0</v>
      </c>
      <c r="J433">
        <v>124.52</v>
      </c>
      <c r="K433" s="1">
        <v>0.5</v>
      </c>
      <c r="L433" s="1">
        <v>124.52</v>
      </c>
      <c r="M433" s="1" t="s">
        <v>8</v>
      </c>
      <c r="N433" s="1">
        <f>IF(Sales_Data[[#This Row],[Sales with Discount]]&lt;Sales_Data[[#This Row],[Sales with Free Shipping]],Sales_Data[[#This Row],[Sales with Discount]],Sales_Data[[#This Row],[Sales with Free Shipping]])</f>
        <v>124.52</v>
      </c>
      <c r="O433" s="1" t="str">
        <f>TEXT(Sales_Data[[#This Row],[Order Date]], "MM-YYYY")</f>
        <v>05-2019</v>
      </c>
    </row>
    <row r="434" spans="1:15" x14ac:dyDescent="0.3">
      <c r="A434" s="1">
        <v>51237</v>
      </c>
      <c r="B434" s="2">
        <v>43534</v>
      </c>
      <c r="C434" s="1" t="s">
        <v>14</v>
      </c>
      <c r="D434" s="1">
        <v>26</v>
      </c>
      <c r="E434" t="s">
        <v>20</v>
      </c>
      <c r="F434" t="s">
        <v>20</v>
      </c>
      <c r="G434" s="1">
        <v>5102.8999999999996</v>
      </c>
      <c r="H434">
        <v>0</v>
      </c>
      <c r="I434">
        <f>Sales_Data[[#This Row],[Sales]]*Sales_Data[[#This Row],[Discount]]</f>
        <v>0</v>
      </c>
      <c r="J434">
        <v>5102.8999999999996</v>
      </c>
      <c r="K434" s="1">
        <v>6.4</v>
      </c>
      <c r="L434" s="1">
        <v>5102.8999999999996</v>
      </c>
      <c r="M434" s="1" t="s">
        <v>10</v>
      </c>
      <c r="N434" s="1">
        <f>IF(Sales_Data[[#This Row],[Sales with Discount]]&lt;Sales_Data[[#This Row],[Sales with Free Shipping]],Sales_Data[[#This Row],[Sales with Discount]],Sales_Data[[#This Row],[Sales with Free Shipping]])</f>
        <v>5102.8999999999996</v>
      </c>
      <c r="O434" s="1" t="str">
        <f>TEXT(Sales_Data[[#This Row],[Order Date]], "MM-YYYY")</f>
        <v>03-2019</v>
      </c>
    </row>
    <row r="435" spans="1:15" x14ac:dyDescent="0.3">
      <c r="A435" s="1">
        <v>42306</v>
      </c>
      <c r="B435" s="2">
        <v>43722</v>
      </c>
      <c r="C435" s="1" t="s">
        <v>9</v>
      </c>
      <c r="D435" s="1">
        <v>19</v>
      </c>
      <c r="E435" t="s">
        <v>19</v>
      </c>
      <c r="F435" t="s">
        <v>19</v>
      </c>
      <c r="G435" s="1">
        <v>828</v>
      </c>
      <c r="H435">
        <v>0</v>
      </c>
      <c r="I435">
        <f>Sales_Data[[#This Row],[Sales]]*Sales_Data[[#This Row],[Discount]]</f>
        <v>0</v>
      </c>
      <c r="J435">
        <v>828</v>
      </c>
      <c r="K435" s="1">
        <v>5.7</v>
      </c>
      <c r="L435" s="1">
        <v>828</v>
      </c>
      <c r="M435" s="1" t="s">
        <v>10</v>
      </c>
      <c r="N435" s="1">
        <f>IF(Sales_Data[[#This Row],[Sales with Discount]]&lt;Sales_Data[[#This Row],[Sales with Free Shipping]],Sales_Data[[#This Row],[Sales with Discount]],Sales_Data[[#This Row],[Sales with Free Shipping]])</f>
        <v>828</v>
      </c>
      <c r="O435" s="1" t="str">
        <f>TEXT(Sales_Data[[#This Row],[Order Date]], "MM-YYYY")</f>
        <v>09-2019</v>
      </c>
    </row>
    <row r="436" spans="1:15" x14ac:dyDescent="0.3">
      <c r="A436" s="1">
        <v>15236</v>
      </c>
      <c r="B436" s="2">
        <v>43564</v>
      </c>
      <c r="C436" s="1" t="s">
        <v>11</v>
      </c>
      <c r="D436" s="1">
        <v>33</v>
      </c>
      <c r="E436" t="s">
        <v>21</v>
      </c>
      <c r="F436" t="s">
        <v>21</v>
      </c>
      <c r="G436" s="1">
        <v>365.32</v>
      </c>
      <c r="H436">
        <v>0</v>
      </c>
      <c r="I436">
        <f>Sales_Data[[#This Row],[Sales]]*Sales_Data[[#This Row],[Discount]]</f>
        <v>0</v>
      </c>
      <c r="J436">
        <v>365.32</v>
      </c>
      <c r="K436" s="1">
        <v>3.2</v>
      </c>
      <c r="L436" s="1">
        <v>365.32</v>
      </c>
      <c r="M436" s="1" t="s">
        <v>10</v>
      </c>
      <c r="N436" s="1">
        <f>IF(Sales_Data[[#This Row],[Sales with Discount]]&lt;Sales_Data[[#This Row],[Sales with Free Shipping]],Sales_Data[[#This Row],[Sales with Discount]],Sales_Data[[#This Row],[Sales with Free Shipping]])</f>
        <v>365.32</v>
      </c>
      <c r="O436" s="1" t="str">
        <f>TEXT(Sales_Data[[#This Row],[Order Date]], "MM-YYYY")</f>
        <v>04-2019</v>
      </c>
    </row>
    <row r="437" spans="1:15" x14ac:dyDescent="0.3">
      <c r="A437" s="1">
        <v>37831</v>
      </c>
      <c r="B437" s="2">
        <v>43672</v>
      </c>
      <c r="C437" s="1" t="s">
        <v>11</v>
      </c>
      <c r="D437" s="1">
        <v>30</v>
      </c>
      <c r="E437" t="s">
        <v>20</v>
      </c>
      <c r="F437" t="s">
        <v>20</v>
      </c>
      <c r="G437" s="1">
        <v>485.64</v>
      </c>
      <c r="H437">
        <v>0</v>
      </c>
      <c r="I437">
        <f>Sales_Data[[#This Row],[Sales]]*Sales_Data[[#This Row],[Discount]]</f>
        <v>0</v>
      </c>
      <c r="J437">
        <v>485.64</v>
      </c>
      <c r="K437" s="1">
        <v>4.3</v>
      </c>
      <c r="L437" s="1">
        <v>485.64</v>
      </c>
      <c r="M437" s="1" t="s">
        <v>10</v>
      </c>
      <c r="N437" s="1">
        <f>IF(Sales_Data[[#This Row],[Sales with Discount]]&lt;Sales_Data[[#This Row],[Sales with Free Shipping]],Sales_Data[[#This Row],[Sales with Discount]],Sales_Data[[#This Row],[Sales with Free Shipping]])</f>
        <v>485.64</v>
      </c>
      <c r="O437" s="1" t="str">
        <f>TEXT(Sales_Data[[#This Row],[Order Date]], "MM-YYYY")</f>
        <v>07-2019</v>
      </c>
    </row>
    <row r="438" spans="1:15" x14ac:dyDescent="0.3">
      <c r="A438" s="1">
        <v>33031</v>
      </c>
      <c r="B438" s="2">
        <v>43701</v>
      </c>
      <c r="C438" s="1" t="s">
        <v>9</v>
      </c>
      <c r="D438" s="1">
        <v>24</v>
      </c>
      <c r="E438" t="s">
        <v>14</v>
      </c>
      <c r="F438" t="s">
        <v>14</v>
      </c>
      <c r="G438" s="1">
        <v>589.23</v>
      </c>
      <c r="H438">
        <v>0</v>
      </c>
      <c r="I438">
        <f>Sales_Data[[#This Row],[Sales]]*Sales_Data[[#This Row],[Discount]]</f>
        <v>0</v>
      </c>
      <c r="J438">
        <v>589.23</v>
      </c>
      <c r="K438" s="1">
        <v>16.8</v>
      </c>
      <c r="L438" s="1">
        <v>589.23</v>
      </c>
      <c r="M438" s="1" t="s">
        <v>13</v>
      </c>
      <c r="N438" s="1">
        <f>IF(Sales_Data[[#This Row],[Sales with Discount]]&lt;Sales_Data[[#This Row],[Sales with Free Shipping]],Sales_Data[[#This Row],[Sales with Discount]],Sales_Data[[#This Row],[Sales with Free Shipping]])</f>
        <v>589.23</v>
      </c>
      <c r="O438" s="1" t="str">
        <f>TEXT(Sales_Data[[#This Row],[Order Date]], "MM-YYYY")</f>
        <v>08-2019</v>
      </c>
    </row>
    <row r="439" spans="1:15" x14ac:dyDescent="0.3">
      <c r="A439" s="1">
        <v>51044</v>
      </c>
      <c r="B439" s="2">
        <v>43482</v>
      </c>
      <c r="C439" s="1" t="s">
        <v>7</v>
      </c>
      <c r="D439" s="1">
        <v>19</v>
      </c>
      <c r="E439" t="s">
        <v>19</v>
      </c>
      <c r="F439" t="s">
        <v>19</v>
      </c>
      <c r="G439" s="1">
        <v>125.48</v>
      </c>
      <c r="H439">
        <v>0</v>
      </c>
      <c r="I439">
        <f>Sales_Data[[#This Row],[Sales]]*Sales_Data[[#This Row],[Discount]]</f>
        <v>0</v>
      </c>
      <c r="J439">
        <v>125.48</v>
      </c>
      <c r="K439" s="1">
        <v>0.9</v>
      </c>
      <c r="L439" s="1">
        <v>125.48</v>
      </c>
      <c r="M439" s="1" t="s">
        <v>10</v>
      </c>
      <c r="N439" s="1">
        <f>IF(Sales_Data[[#This Row],[Sales with Discount]]&lt;Sales_Data[[#This Row],[Sales with Free Shipping]],Sales_Data[[#This Row],[Sales with Discount]],Sales_Data[[#This Row],[Sales with Free Shipping]])</f>
        <v>125.48</v>
      </c>
      <c r="O439" s="1" t="str">
        <f>TEXT(Sales_Data[[#This Row],[Order Date]], "MM-YYYY")</f>
        <v>01-2019</v>
      </c>
    </row>
    <row r="440" spans="1:15" x14ac:dyDescent="0.3">
      <c r="A440" s="1">
        <v>32000</v>
      </c>
      <c r="B440" s="2">
        <v>43721</v>
      </c>
      <c r="C440" s="1" t="s">
        <v>7</v>
      </c>
      <c r="D440" s="1">
        <v>26</v>
      </c>
      <c r="E440" t="s">
        <v>20</v>
      </c>
      <c r="F440" t="s">
        <v>20</v>
      </c>
      <c r="G440" s="1">
        <v>16230.6374</v>
      </c>
      <c r="H440">
        <v>0</v>
      </c>
      <c r="I440">
        <f>Sales_Data[[#This Row],[Sales]]*Sales_Data[[#This Row],[Discount]]</f>
        <v>0</v>
      </c>
      <c r="J440">
        <v>16230.6374</v>
      </c>
      <c r="K440" s="1">
        <v>157.4</v>
      </c>
      <c r="L440" s="1">
        <v>16230.6374</v>
      </c>
      <c r="M440" s="1" t="s">
        <v>13</v>
      </c>
      <c r="N440" s="1">
        <f>IF(Sales_Data[[#This Row],[Sales with Discount]]&lt;Sales_Data[[#This Row],[Sales with Free Shipping]],Sales_Data[[#This Row],[Sales with Discount]],Sales_Data[[#This Row],[Sales with Free Shipping]])</f>
        <v>16230.6374</v>
      </c>
      <c r="O440" s="1" t="str">
        <f>TEXT(Sales_Data[[#This Row],[Order Date]], "MM-YYYY")</f>
        <v>09-2019</v>
      </c>
    </row>
    <row r="441" spans="1:15" x14ac:dyDescent="0.3">
      <c r="A441" s="1">
        <v>15872</v>
      </c>
      <c r="B441" s="2">
        <v>43768</v>
      </c>
      <c r="C441" s="1" t="s">
        <v>11</v>
      </c>
      <c r="D441" s="1">
        <v>48</v>
      </c>
      <c r="E441" t="s">
        <v>24</v>
      </c>
      <c r="F441" t="s">
        <v>24</v>
      </c>
      <c r="G441" s="1">
        <v>5561.99</v>
      </c>
      <c r="H441">
        <v>0.01</v>
      </c>
      <c r="I441">
        <f>Sales_Data[[#This Row],[Sales]]*Sales_Data[[#This Row],[Discount]]</f>
        <v>55.619900000000001</v>
      </c>
      <c r="J441">
        <v>5506.3701000000001</v>
      </c>
      <c r="K441" s="1">
        <v>16.8</v>
      </c>
      <c r="L441" s="1">
        <v>5545.19</v>
      </c>
      <c r="M441" s="1" t="s">
        <v>13</v>
      </c>
      <c r="N441" s="1">
        <f>IF(Sales_Data[[#This Row],[Sales with Discount]]&lt;Sales_Data[[#This Row],[Sales with Free Shipping]],Sales_Data[[#This Row],[Sales with Discount]],Sales_Data[[#This Row],[Sales with Free Shipping]])</f>
        <v>5506.3701000000001</v>
      </c>
      <c r="O441" s="1" t="str">
        <f>TEXT(Sales_Data[[#This Row],[Order Date]], "MM-YYYY")</f>
        <v>10-2019</v>
      </c>
    </row>
    <row r="442" spans="1:15" x14ac:dyDescent="0.3">
      <c r="A442" s="1">
        <v>19586</v>
      </c>
      <c r="B442" s="2">
        <v>43770</v>
      </c>
      <c r="C442" s="1" t="s">
        <v>11</v>
      </c>
      <c r="D442" s="1">
        <v>36</v>
      </c>
      <c r="E442" t="s">
        <v>22</v>
      </c>
      <c r="F442" t="s">
        <v>22</v>
      </c>
      <c r="G442" s="1">
        <v>75.574100000000001</v>
      </c>
      <c r="H442">
        <v>0.01</v>
      </c>
      <c r="I442">
        <f>Sales_Data[[#This Row],[Sales]]*Sales_Data[[#This Row],[Discount]]</f>
        <v>0.755741</v>
      </c>
      <c r="J442">
        <v>74.818359000000001</v>
      </c>
      <c r="K442" s="1">
        <v>2.7</v>
      </c>
      <c r="L442" s="1">
        <v>72.874099999999999</v>
      </c>
      <c r="M442" s="1" t="s">
        <v>10</v>
      </c>
      <c r="N442" s="1">
        <f>IF(Sales_Data[[#This Row],[Sales with Discount]]&lt;Sales_Data[[#This Row],[Sales with Free Shipping]],Sales_Data[[#This Row],[Sales with Discount]],Sales_Data[[#This Row],[Sales with Free Shipping]])</f>
        <v>72.874099999999999</v>
      </c>
      <c r="O442" s="1" t="str">
        <f>TEXT(Sales_Data[[#This Row],[Order Date]], "MM-YYYY")</f>
        <v>11-2019</v>
      </c>
    </row>
    <row r="443" spans="1:15" x14ac:dyDescent="0.3">
      <c r="A443" s="1">
        <v>54501</v>
      </c>
      <c r="B443" s="2">
        <v>43798</v>
      </c>
      <c r="C443" s="1" t="s">
        <v>12</v>
      </c>
      <c r="D443" s="1">
        <v>38</v>
      </c>
      <c r="E443" t="s">
        <v>22</v>
      </c>
      <c r="F443" t="s">
        <v>22</v>
      </c>
      <c r="G443" s="1">
        <v>838.84</v>
      </c>
      <c r="H443">
        <v>0.01</v>
      </c>
      <c r="I443">
        <f>Sales_Data[[#This Row],[Sales]]*Sales_Data[[#This Row],[Discount]]</f>
        <v>8.3884000000000007</v>
      </c>
      <c r="J443">
        <v>830.45159999999998</v>
      </c>
      <c r="K443" s="1">
        <v>37.5</v>
      </c>
      <c r="L443" s="1">
        <v>801.34</v>
      </c>
      <c r="M443" s="1" t="s">
        <v>10</v>
      </c>
      <c r="N443" s="1">
        <f>IF(Sales_Data[[#This Row],[Sales with Discount]]&lt;Sales_Data[[#This Row],[Sales with Free Shipping]],Sales_Data[[#This Row],[Sales with Discount]],Sales_Data[[#This Row],[Sales with Free Shipping]])</f>
        <v>801.34</v>
      </c>
      <c r="O443" s="1" t="str">
        <f>TEXT(Sales_Data[[#This Row],[Order Date]], "MM-YYYY")</f>
        <v>11-2019</v>
      </c>
    </row>
    <row r="444" spans="1:15" x14ac:dyDescent="0.3">
      <c r="A444" s="1">
        <v>44422</v>
      </c>
      <c r="B444" s="2">
        <v>43568</v>
      </c>
      <c r="C444" s="1" t="s">
        <v>14</v>
      </c>
      <c r="D444" s="1">
        <v>1</v>
      </c>
      <c r="E444" t="s">
        <v>16</v>
      </c>
      <c r="F444" t="s">
        <v>16</v>
      </c>
      <c r="G444" s="1">
        <v>16.82</v>
      </c>
      <c r="H444">
        <v>0</v>
      </c>
      <c r="I444">
        <f>Sales_Data[[#This Row],[Sales]]*Sales_Data[[#This Row],[Discount]]</f>
        <v>0</v>
      </c>
      <c r="J444">
        <v>16.82</v>
      </c>
      <c r="K444" s="1">
        <v>4.8</v>
      </c>
      <c r="L444" s="1">
        <v>16.82</v>
      </c>
      <c r="M444" s="1" t="s">
        <v>10</v>
      </c>
      <c r="N444" s="1">
        <f>IF(Sales_Data[[#This Row],[Sales with Discount]]&lt;Sales_Data[[#This Row],[Sales with Free Shipping]],Sales_Data[[#This Row],[Sales with Discount]],Sales_Data[[#This Row],[Sales with Free Shipping]])</f>
        <v>16.82</v>
      </c>
      <c r="O444" s="1" t="str">
        <f>TEXT(Sales_Data[[#This Row],[Order Date]], "MM-YYYY")</f>
        <v>04-2019</v>
      </c>
    </row>
    <row r="445" spans="1:15" x14ac:dyDescent="0.3">
      <c r="A445" s="1">
        <v>12356</v>
      </c>
      <c r="B445" s="2">
        <v>43756</v>
      </c>
      <c r="C445" s="1" t="s">
        <v>12</v>
      </c>
      <c r="D445" s="1">
        <v>39</v>
      </c>
      <c r="E445" t="s">
        <v>22</v>
      </c>
      <c r="F445" t="s">
        <v>22</v>
      </c>
      <c r="G445" s="1">
        <v>260.06</v>
      </c>
      <c r="H445">
        <v>0.01</v>
      </c>
      <c r="I445">
        <f>Sales_Data[[#This Row],[Sales]]*Sales_Data[[#This Row],[Discount]]</f>
        <v>2.6006</v>
      </c>
      <c r="J445">
        <v>257.45940000000002</v>
      </c>
      <c r="K445" s="1">
        <v>5.7</v>
      </c>
      <c r="L445" s="1">
        <v>254.36</v>
      </c>
      <c r="M445" s="1" t="s">
        <v>10</v>
      </c>
      <c r="N445" s="1">
        <f>IF(Sales_Data[[#This Row],[Sales with Discount]]&lt;Sales_Data[[#This Row],[Sales with Free Shipping]],Sales_Data[[#This Row],[Sales with Discount]],Sales_Data[[#This Row],[Sales with Free Shipping]])</f>
        <v>254.36</v>
      </c>
      <c r="O445" s="1" t="str">
        <f>TEXT(Sales_Data[[#This Row],[Order Date]], "MM-YYYY")</f>
        <v>10-2019</v>
      </c>
    </row>
    <row r="446" spans="1:15" x14ac:dyDescent="0.3">
      <c r="A446" s="1">
        <v>35012</v>
      </c>
      <c r="B446" s="2">
        <v>43624</v>
      </c>
      <c r="C446" s="1" t="s">
        <v>14</v>
      </c>
      <c r="D446" s="1">
        <v>10</v>
      </c>
      <c r="E446" t="s">
        <v>17</v>
      </c>
      <c r="F446" t="s">
        <v>17</v>
      </c>
      <c r="G446" s="1">
        <v>135.66999999999999</v>
      </c>
      <c r="H446">
        <v>0</v>
      </c>
      <c r="I446">
        <f>Sales_Data[[#This Row],[Sales]]*Sales_Data[[#This Row],[Discount]]</f>
        <v>0</v>
      </c>
      <c r="J446">
        <v>135.66999999999999</v>
      </c>
      <c r="K446" s="1">
        <v>5.3</v>
      </c>
      <c r="L446" s="1">
        <v>135.66999999999999</v>
      </c>
      <c r="M446" s="1" t="s">
        <v>10</v>
      </c>
      <c r="N446" s="1">
        <f>IF(Sales_Data[[#This Row],[Sales with Discount]]&lt;Sales_Data[[#This Row],[Sales with Free Shipping]],Sales_Data[[#This Row],[Sales with Discount]],Sales_Data[[#This Row],[Sales with Free Shipping]])</f>
        <v>135.66999999999999</v>
      </c>
      <c r="O446" s="1" t="str">
        <f>TEXT(Sales_Data[[#This Row],[Order Date]], "MM-YYYY")</f>
        <v>06-2019</v>
      </c>
    </row>
    <row r="447" spans="1:15" x14ac:dyDescent="0.3">
      <c r="A447" s="1">
        <v>42982</v>
      </c>
      <c r="B447" s="2">
        <v>43673</v>
      </c>
      <c r="C447" s="1" t="s">
        <v>7</v>
      </c>
      <c r="D447" s="1">
        <v>42</v>
      </c>
      <c r="E447" t="s">
        <v>23</v>
      </c>
      <c r="F447" t="s">
        <v>23</v>
      </c>
      <c r="G447" s="1">
        <v>1698.72</v>
      </c>
      <c r="H447">
        <v>0.01</v>
      </c>
      <c r="I447">
        <f>Sales_Data[[#This Row],[Sales]]*Sales_Data[[#This Row],[Discount]]</f>
        <v>16.987200000000001</v>
      </c>
      <c r="J447">
        <v>1681.7328</v>
      </c>
      <c r="K447" s="1">
        <v>3.3</v>
      </c>
      <c r="L447" s="1">
        <v>1695.42</v>
      </c>
      <c r="M447" s="1" t="s">
        <v>10</v>
      </c>
      <c r="N447" s="1">
        <f>IF(Sales_Data[[#This Row],[Sales with Discount]]&lt;Sales_Data[[#This Row],[Sales with Free Shipping]],Sales_Data[[#This Row],[Sales with Discount]],Sales_Data[[#This Row],[Sales with Free Shipping]])</f>
        <v>1681.7328</v>
      </c>
      <c r="O447" s="1" t="str">
        <f>TEXT(Sales_Data[[#This Row],[Order Date]], "MM-YYYY")</f>
        <v>07-2019</v>
      </c>
    </row>
    <row r="448" spans="1:15" x14ac:dyDescent="0.3">
      <c r="A448" s="1">
        <v>51297</v>
      </c>
      <c r="B448" s="2">
        <v>43780</v>
      </c>
      <c r="C448" s="1" t="s">
        <v>7</v>
      </c>
      <c r="D448" s="1">
        <v>41</v>
      </c>
      <c r="E448" t="s">
        <v>23</v>
      </c>
      <c r="F448" t="s">
        <v>23</v>
      </c>
      <c r="G448" s="1">
        <v>381.22</v>
      </c>
      <c r="H448">
        <v>0.01</v>
      </c>
      <c r="I448">
        <f>Sales_Data[[#This Row],[Sales]]*Sales_Data[[#This Row],[Discount]]</f>
        <v>3.8122000000000003</v>
      </c>
      <c r="J448">
        <v>377.40780000000001</v>
      </c>
      <c r="K448" s="1">
        <v>3.2</v>
      </c>
      <c r="L448" s="1">
        <v>378.02000000000004</v>
      </c>
      <c r="M448" s="1" t="s">
        <v>8</v>
      </c>
      <c r="N448" s="1">
        <f>IF(Sales_Data[[#This Row],[Sales with Discount]]&lt;Sales_Data[[#This Row],[Sales with Free Shipping]],Sales_Data[[#This Row],[Sales with Discount]],Sales_Data[[#This Row],[Sales with Free Shipping]])</f>
        <v>377.40780000000001</v>
      </c>
      <c r="O448" s="1" t="str">
        <f>TEXT(Sales_Data[[#This Row],[Order Date]], "MM-YYYY")</f>
        <v>11-2019</v>
      </c>
    </row>
    <row r="449" spans="1:15" x14ac:dyDescent="0.3">
      <c r="A449" s="1">
        <v>388</v>
      </c>
      <c r="B449" s="2">
        <v>43814</v>
      </c>
      <c r="C449" s="1" t="s">
        <v>11</v>
      </c>
      <c r="D449" s="1">
        <v>46</v>
      </c>
      <c r="E449" t="s">
        <v>24</v>
      </c>
      <c r="F449" t="s">
        <v>24</v>
      </c>
      <c r="G449" s="1">
        <v>554.19000000000005</v>
      </c>
      <c r="H449">
        <v>0.01</v>
      </c>
      <c r="I449">
        <f>Sales_Data[[#This Row],[Sales]]*Sales_Data[[#This Row],[Discount]]</f>
        <v>5.5419000000000009</v>
      </c>
      <c r="J449">
        <v>548.6481</v>
      </c>
      <c r="K449" s="1">
        <v>7.4</v>
      </c>
      <c r="L449" s="1">
        <v>546.79000000000008</v>
      </c>
      <c r="M449" s="1" t="s">
        <v>10</v>
      </c>
      <c r="N449" s="1">
        <f>IF(Sales_Data[[#This Row],[Sales with Discount]]&lt;Sales_Data[[#This Row],[Sales with Free Shipping]],Sales_Data[[#This Row],[Sales with Discount]],Sales_Data[[#This Row],[Sales with Free Shipping]])</f>
        <v>546.79000000000008</v>
      </c>
      <c r="O449" s="1" t="str">
        <f>TEXT(Sales_Data[[#This Row],[Order Date]], "MM-YYYY")</f>
        <v>12-2019</v>
      </c>
    </row>
    <row r="450" spans="1:15" x14ac:dyDescent="0.3">
      <c r="A450" s="1">
        <v>11269</v>
      </c>
      <c r="B450" s="2">
        <v>43611</v>
      </c>
      <c r="C450" s="1" t="s">
        <v>7</v>
      </c>
      <c r="D450" s="1">
        <v>39</v>
      </c>
      <c r="E450" t="s">
        <v>22</v>
      </c>
      <c r="F450" t="s">
        <v>22</v>
      </c>
      <c r="G450" s="1">
        <v>2228.87</v>
      </c>
      <c r="H450">
        <v>0.01</v>
      </c>
      <c r="I450">
        <f>Sales_Data[[#This Row],[Sales]]*Sales_Data[[#This Row],[Discount]]</f>
        <v>22.288699999999999</v>
      </c>
      <c r="J450">
        <v>2206.5812999999998</v>
      </c>
      <c r="K450" s="1">
        <v>6.4</v>
      </c>
      <c r="L450" s="1">
        <v>2222.4699999999998</v>
      </c>
      <c r="M450" s="1" t="s">
        <v>8</v>
      </c>
      <c r="N450" s="1">
        <f>IF(Sales_Data[[#This Row],[Sales with Discount]]&lt;Sales_Data[[#This Row],[Sales with Free Shipping]],Sales_Data[[#This Row],[Sales with Discount]],Sales_Data[[#This Row],[Sales with Free Shipping]])</f>
        <v>2206.5812999999998</v>
      </c>
      <c r="O450" s="1" t="str">
        <f>TEXT(Sales_Data[[#This Row],[Order Date]], "MM-YYYY")</f>
        <v>05-2019</v>
      </c>
    </row>
    <row r="451" spans="1:15" x14ac:dyDescent="0.3">
      <c r="A451" s="1">
        <v>36484</v>
      </c>
      <c r="B451" s="2">
        <v>43492</v>
      </c>
      <c r="C451" s="1" t="s">
        <v>12</v>
      </c>
      <c r="D451" s="1">
        <v>41</v>
      </c>
      <c r="E451" t="s">
        <v>23</v>
      </c>
      <c r="F451" t="s">
        <v>23</v>
      </c>
      <c r="G451" s="1">
        <v>2547.2094000000002</v>
      </c>
      <c r="H451">
        <v>0.01</v>
      </c>
      <c r="I451">
        <f>Sales_Data[[#This Row],[Sales]]*Sales_Data[[#This Row],[Discount]]</f>
        <v>25.472094000000002</v>
      </c>
      <c r="J451">
        <v>2521.737306</v>
      </c>
      <c r="K451" s="1">
        <v>4.2</v>
      </c>
      <c r="L451" s="1">
        <v>2543.0094000000004</v>
      </c>
      <c r="M451" s="1" t="s">
        <v>8</v>
      </c>
      <c r="N451" s="1">
        <f>IF(Sales_Data[[#This Row],[Sales with Discount]]&lt;Sales_Data[[#This Row],[Sales with Free Shipping]],Sales_Data[[#This Row],[Sales with Discount]],Sales_Data[[#This Row],[Sales with Free Shipping]])</f>
        <v>2521.737306</v>
      </c>
      <c r="O451" s="1" t="str">
        <f>TEXT(Sales_Data[[#This Row],[Order Date]], "MM-YYYY")</f>
        <v>01-2019</v>
      </c>
    </row>
    <row r="452" spans="1:15" x14ac:dyDescent="0.3">
      <c r="A452" s="1">
        <v>3361</v>
      </c>
      <c r="B452" s="2">
        <v>43699</v>
      </c>
      <c r="C452" s="1" t="s">
        <v>11</v>
      </c>
      <c r="D452" s="1">
        <v>23</v>
      </c>
      <c r="E452" t="s">
        <v>14</v>
      </c>
      <c r="F452" t="s">
        <v>14</v>
      </c>
      <c r="G452" s="1">
        <v>143.02000000000001</v>
      </c>
      <c r="H452">
        <v>0</v>
      </c>
      <c r="I452">
        <f>Sales_Data[[#This Row],[Sales]]*Sales_Data[[#This Row],[Discount]]</f>
        <v>0</v>
      </c>
      <c r="J452">
        <v>143.02000000000001</v>
      </c>
      <c r="K452" s="1">
        <v>2.4</v>
      </c>
      <c r="L452" s="1">
        <v>143.02000000000001</v>
      </c>
      <c r="M452" s="1" t="s">
        <v>10</v>
      </c>
      <c r="N452" s="1">
        <f>IF(Sales_Data[[#This Row],[Sales with Discount]]&lt;Sales_Data[[#This Row],[Sales with Free Shipping]],Sales_Data[[#This Row],[Sales with Discount]],Sales_Data[[#This Row],[Sales with Free Shipping]])</f>
        <v>143.02000000000001</v>
      </c>
      <c r="O452" s="1" t="str">
        <f>TEXT(Sales_Data[[#This Row],[Order Date]], "MM-YYYY")</f>
        <v>08-2019</v>
      </c>
    </row>
    <row r="453" spans="1:15" x14ac:dyDescent="0.3">
      <c r="A453" s="1">
        <v>49344</v>
      </c>
      <c r="B453" s="2">
        <v>43829</v>
      </c>
      <c r="C453" s="1" t="s">
        <v>7</v>
      </c>
      <c r="D453" s="1">
        <v>1</v>
      </c>
      <c r="E453" t="s">
        <v>16</v>
      </c>
      <c r="F453" t="s">
        <v>16</v>
      </c>
      <c r="G453" s="1">
        <v>859.56309999999996</v>
      </c>
      <c r="H453">
        <v>0</v>
      </c>
      <c r="I453">
        <f>Sales_Data[[#This Row],[Sales]]*Sales_Data[[#This Row],[Discount]]</f>
        <v>0</v>
      </c>
      <c r="J453">
        <v>859.56309999999996</v>
      </c>
      <c r="K453" s="1">
        <v>26.2</v>
      </c>
      <c r="L453" s="1">
        <v>859.56309999999996</v>
      </c>
      <c r="M453" s="1" t="s">
        <v>10</v>
      </c>
      <c r="N453" s="1">
        <f>IF(Sales_Data[[#This Row],[Sales with Discount]]&lt;Sales_Data[[#This Row],[Sales with Free Shipping]],Sales_Data[[#This Row],[Sales with Discount]],Sales_Data[[#This Row],[Sales with Free Shipping]])</f>
        <v>859.56309999999996</v>
      </c>
      <c r="O453" s="1" t="str">
        <f>TEXT(Sales_Data[[#This Row],[Order Date]], "MM-YYYY")</f>
        <v>12-2019</v>
      </c>
    </row>
    <row r="454" spans="1:15" x14ac:dyDescent="0.3">
      <c r="A454" s="1">
        <v>9473</v>
      </c>
      <c r="B454" s="2">
        <v>43749</v>
      </c>
      <c r="C454" s="1" t="s">
        <v>11</v>
      </c>
      <c r="D454" s="1">
        <v>34</v>
      </c>
      <c r="E454" t="s">
        <v>21</v>
      </c>
      <c r="F454" t="s">
        <v>21</v>
      </c>
      <c r="G454" s="1">
        <v>603.28740000000005</v>
      </c>
      <c r="H454">
        <v>0</v>
      </c>
      <c r="I454">
        <f>Sales_Data[[#This Row],[Sales]]*Sales_Data[[#This Row],[Discount]]</f>
        <v>0</v>
      </c>
      <c r="J454">
        <v>603.28740000000005</v>
      </c>
      <c r="K454" s="1">
        <v>3.2</v>
      </c>
      <c r="L454" s="1">
        <v>603.28740000000005</v>
      </c>
      <c r="M454" s="1" t="s">
        <v>10</v>
      </c>
      <c r="N454" s="1">
        <f>IF(Sales_Data[[#This Row],[Sales with Discount]]&lt;Sales_Data[[#This Row],[Sales with Free Shipping]],Sales_Data[[#This Row],[Sales with Discount]],Sales_Data[[#This Row],[Sales with Free Shipping]])</f>
        <v>603.28740000000005</v>
      </c>
      <c r="O454" s="1" t="str">
        <f>TEXT(Sales_Data[[#This Row],[Order Date]], "MM-YYYY")</f>
        <v>10-2019</v>
      </c>
    </row>
    <row r="455" spans="1:15" x14ac:dyDescent="0.3">
      <c r="A455" s="1">
        <v>21220</v>
      </c>
      <c r="B455" s="2">
        <v>43821</v>
      </c>
      <c r="C455" s="1" t="s">
        <v>11</v>
      </c>
      <c r="D455" s="1">
        <v>4</v>
      </c>
      <c r="E455" t="s">
        <v>16</v>
      </c>
      <c r="F455" t="s">
        <v>16</v>
      </c>
      <c r="G455" s="1">
        <v>509.65</v>
      </c>
      <c r="H455">
        <v>0</v>
      </c>
      <c r="I455">
        <f>Sales_Data[[#This Row],[Sales]]*Sales_Data[[#This Row],[Discount]]</f>
        <v>0</v>
      </c>
      <c r="J455">
        <v>509.65</v>
      </c>
      <c r="K455" s="1">
        <v>28.1</v>
      </c>
      <c r="L455" s="1">
        <v>509.65</v>
      </c>
      <c r="M455" s="1" t="s">
        <v>13</v>
      </c>
      <c r="N455" s="1">
        <f>IF(Sales_Data[[#This Row],[Sales with Discount]]&lt;Sales_Data[[#This Row],[Sales with Free Shipping]],Sales_Data[[#This Row],[Sales with Discount]],Sales_Data[[#This Row],[Sales with Free Shipping]])</f>
        <v>509.65</v>
      </c>
      <c r="O455" s="1" t="str">
        <f>TEXT(Sales_Data[[#This Row],[Order Date]], "MM-YYYY")</f>
        <v>12-2019</v>
      </c>
    </row>
    <row r="456" spans="1:15" x14ac:dyDescent="0.3">
      <c r="A456" s="1">
        <v>4096</v>
      </c>
      <c r="B456" s="2">
        <v>43648</v>
      </c>
      <c r="C456" s="1" t="s">
        <v>11</v>
      </c>
      <c r="D456" s="1">
        <v>21</v>
      </c>
      <c r="E456" t="s">
        <v>14</v>
      </c>
      <c r="F456" t="s">
        <v>14</v>
      </c>
      <c r="G456" s="1">
        <v>137.26</v>
      </c>
      <c r="H456">
        <v>0</v>
      </c>
      <c r="I456">
        <f>Sales_Data[[#This Row],[Sales]]*Sales_Data[[#This Row],[Discount]]</f>
        <v>0</v>
      </c>
      <c r="J456">
        <v>137.26</v>
      </c>
      <c r="K456" s="1">
        <v>0.5</v>
      </c>
      <c r="L456" s="1">
        <v>137.26</v>
      </c>
      <c r="M456" s="1" t="s">
        <v>10</v>
      </c>
      <c r="N456" s="1">
        <f>IF(Sales_Data[[#This Row],[Sales with Discount]]&lt;Sales_Data[[#This Row],[Sales with Free Shipping]],Sales_Data[[#This Row],[Sales with Discount]],Sales_Data[[#This Row],[Sales with Free Shipping]])</f>
        <v>137.26</v>
      </c>
      <c r="O456" s="1" t="str">
        <f>TEXT(Sales_Data[[#This Row],[Order Date]], "MM-YYYY")</f>
        <v>07-2019</v>
      </c>
    </row>
    <row r="457" spans="1:15" x14ac:dyDescent="0.3">
      <c r="A457" s="1">
        <v>38310</v>
      </c>
      <c r="B457" s="2">
        <v>43569</v>
      </c>
      <c r="C457" s="1" t="s">
        <v>9</v>
      </c>
      <c r="D457" s="1">
        <v>4</v>
      </c>
      <c r="E457" t="s">
        <v>16</v>
      </c>
      <c r="F457" t="s">
        <v>16</v>
      </c>
      <c r="G457" s="1">
        <v>66.819999999999993</v>
      </c>
      <c r="H457">
        <v>0</v>
      </c>
      <c r="I457">
        <f>Sales_Data[[#This Row],[Sales]]*Sales_Data[[#This Row],[Discount]]</f>
        <v>0</v>
      </c>
      <c r="J457">
        <v>66.819999999999993</v>
      </c>
      <c r="K457" s="1">
        <v>52.4</v>
      </c>
      <c r="L457" s="1">
        <v>66.819999999999993</v>
      </c>
      <c r="M457" s="1" t="s">
        <v>10</v>
      </c>
      <c r="N457" s="1">
        <f>IF(Sales_Data[[#This Row],[Sales with Discount]]&lt;Sales_Data[[#This Row],[Sales with Free Shipping]],Sales_Data[[#This Row],[Sales with Discount]],Sales_Data[[#This Row],[Sales with Free Shipping]])</f>
        <v>66.819999999999993</v>
      </c>
      <c r="O457" s="1" t="str">
        <f>TEXT(Sales_Data[[#This Row],[Order Date]], "MM-YYYY")</f>
        <v>04-2019</v>
      </c>
    </row>
    <row r="458" spans="1:15" x14ac:dyDescent="0.3">
      <c r="A458" s="1">
        <v>8832</v>
      </c>
      <c r="B458" s="2">
        <v>43497</v>
      </c>
      <c r="C458" s="1" t="s">
        <v>7</v>
      </c>
      <c r="D458" s="1">
        <v>39</v>
      </c>
      <c r="E458" t="s">
        <v>22</v>
      </c>
      <c r="F458" t="s">
        <v>22</v>
      </c>
      <c r="G458" s="1">
        <v>693.16</v>
      </c>
      <c r="H458">
        <v>0.01</v>
      </c>
      <c r="I458">
        <f>Sales_Data[[#This Row],[Sales]]*Sales_Data[[#This Row],[Discount]]</f>
        <v>6.9315999999999995</v>
      </c>
      <c r="J458">
        <v>686.22839999999997</v>
      </c>
      <c r="K458" s="1">
        <v>9.6</v>
      </c>
      <c r="L458" s="1">
        <v>683.56</v>
      </c>
      <c r="M458" s="1" t="s">
        <v>10</v>
      </c>
      <c r="N458" s="1">
        <f>IF(Sales_Data[[#This Row],[Sales with Discount]]&lt;Sales_Data[[#This Row],[Sales with Free Shipping]],Sales_Data[[#This Row],[Sales with Discount]],Sales_Data[[#This Row],[Sales with Free Shipping]])</f>
        <v>683.56</v>
      </c>
      <c r="O458" s="1" t="str">
        <f>TEXT(Sales_Data[[#This Row],[Order Date]], "MM-YYYY")</f>
        <v>02-2019</v>
      </c>
    </row>
    <row r="459" spans="1:15" x14ac:dyDescent="0.3">
      <c r="A459" s="1">
        <v>40933</v>
      </c>
      <c r="B459" s="2">
        <v>43612</v>
      </c>
      <c r="C459" s="1" t="s">
        <v>9</v>
      </c>
      <c r="D459" s="1">
        <v>37</v>
      </c>
      <c r="E459" t="s">
        <v>22</v>
      </c>
      <c r="F459" t="s">
        <v>22</v>
      </c>
      <c r="G459" s="1">
        <v>102.11</v>
      </c>
      <c r="H459">
        <v>0.01</v>
      </c>
      <c r="I459">
        <f>Sales_Data[[#This Row],[Sales]]*Sales_Data[[#This Row],[Discount]]</f>
        <v>1.0211000000000001</v>
      </c>
      <c r="J459">
        <v>101.0889</v>
      </c>
      <c r="K459" s="1">
        <v>4.5999999999999996</v>
      </c>
      <c r="L459" s="1">
        <v>97.51</v>
      </c>
      <c r="M459" s="1" t="s">
        <v>10</v>
      </c>
      <c r="N459" s="1">
        <f>IF(Sales_Data[[#This Row],[Sales with Discount]]&lt;Sales_Data[[#This Row],[Sales with Free Shipping]],Sales_Data[[#This Row],[Sales with Discount]],Sales_Data[[#This Row],[Sales with Free Shipping]])</f>
        <v>97.51</v>
      </c>
      <c r="O459" s="1" t="str">
        <f>TEXT(Sales_Data[[#This Row],[Order Date]], "MM-YYYY")</f>
        <v>05-2019</v>
      </c>
    </row>
    <row r="460" spans="1:15" x14ac:dyDescent="0.3">
      <c r="A460" s="1">
        <v>47620</v>
      </c>
      <c r="B460" s="2">
        <v>43642</v>
      </c>
      <c r="C460" s="1" t="s">
        <v>7</v>
      </c>
      <c r="D460" s="1">
        <v>27</v>
      </c>
      <c r="E460" t="s">
        <v>20</v>
      </c>
      <c r="F460" t="s">
        <v>20</v>
      </c>
      <c r="G460" s="1">
        <v>323.35000000000002</v>
      </c>
      <c r="H460">
        <v>0</v>
      </c>
      <c r="I460">
        <f>Sales_Data[[#This Row],[Sales]]*Sales_Data[[#This Row],[Discount]]</f>
        <v>0</v>
      </c>
      <c r="J460">
        <v>323.35000000000002</v>
      </c>
      <c r="K460" s="1">
        <v>3.6</v>
      </c>
      <c r="L460" s="1">
        <v>323.35000000000002</v>
      </c>
      <c r="M460" s="1" t="s">
        <v>10</v>
      </c>
      <c r="N460" s="1">
        <f>IF(Sales_Data[[#This Row],[Sales with Discount]]&lt;Sales_Data[[#This Row],[Sales with Free Shipping]],Sales_Data[[#This Row],[Sales with Discount]],Sales_Data[[#This Row],[Sales with Free Shipping]])</f>
        <v>323.35000000000002</v>
      </c>
      <c r="O460" s="1" t="str">
        <f>TEXT(Sales_Data[[#This Row],[Order Date]], "MM-YYYY")</f>
        <v>06-2019</v>
      </c>
    </row>
    <row r="461" spans="1:15" x14ac:dyDescent="0.3">
      <c r="A461" s="1">
        <v>57600</v>
      </c>
      <c r="B461" s="2">
        <v>43780</v>
      </c>
      <c r="C461" s="1" t="s">
        <v>12</v>
      </c>
      <c r="D461" s="1">
        <v>12</v>
      </c>
      <c r="E461" t="s">
        <v>18</v>
      </c>
      <c r="F461" t="s">
        <v>18</v>
      </c>
      <c r="G461" s="1">
        <v>435.7</v>
      </c>
      <c r="H461">
        <v>0</v>
      </c>
      <c r="I461">
        <f>Sales_Data[[#This Row],[Sales]]*Sales_Data[[#This Row],[Discount]]</f>
        <v>0</v>
      </c>
      <c r="J461">
        <v>435.7</v>
      </c>
      <c r="K461" s="1">
        <v>18.3</v>
      </c>
      <c r="L461" s="1">
        <v>435.7</v>
      </c>
      <c r="M461" s="1" t="s">
        <v>10</v>
      </c>
      <c r="N461" s="1">
        <f>IF(Sales_Data[[#This Row],[Sales with Discount]]&lt;Sales_Data[[#This Row],[Sales with Free Shipping]],Sales_Data[[#This Row],[Sales with Discount]],Sales_Data[[#This Row],[Sales with Free Shipping]])</f>
        <v>435.7</v>
      </c>
      <c r="O461" s="1" t="str">
        <f>TEXT(Sales_Data[[#This Row],[Order Date]], "MM-YYYY")</f>
        <v>11-2019</v>
      </c>
    </row>
    <row r="462" spans="1:15" x14ac:dyDescent="0.3">
      <c r="A462" s="1">
        <v>32230</v>
      </c>
      <c r="B462" s="2">
        <v>43696</v>
      </c>
      <c r="C462" s="1" t="s">
        <v>9</v>
      </c>
      <c r="D462" s="1">
        <v>46</v>
      </c>
      <c r="E462" t="s">
        <v>24</v>
      </c>
      <c r="F462" t="s">
        <v>24</v>
      </c>
      <c r="G462" s="1">
        <v>1876.51</v>
      </c>
      <c r="H462">
        <v>0.01</v>
      </c>
      <c r="I462">
        <f>Sales_Data[[#This Row],[Sales]]*Sales_Data[[#This Row],[Discount]]</f>
        <v>18.7651</v>
      </c>
      <c r="J462">
        <v>1857.7448999999999</v>
      </c>
      <c r="K462" s="1">
        <v>9.8000000000000007</v>
      </c>
      <c r="L462" s="1">
        <v>1866.71</v>
      </c>
      <c r="M462" s="1" t="s">
        <v>10</v>
      </c>
      <c r="N462" s="1">
        <f>IF(Sales_Data[[#This Row],[Sales with Discount]]&lt;Sales_Data[[#This Row],[Sales with Free Shipping]],Sales_Data[[#This Row],[Sales with Discount]],Sales_Data[[#This Row],[Sales with Free Shipping]])</f>
        <v>1857.7448999999999</v>
      </c>
      <c r="O462" s="1" t="str">
        <f>TEXT(Sales_Data[[#This Row],[Order Date]], "MM-YYYY")</f>
        <v>08-2019</v>
      </c>
    </row>
    <row r="463" spans="1:15" x14ac:dyDescent="0.3">
      <c r="A463" s="1">
        <v>44386</v>
      </c>
      <c r="B463" s="2">
        <v>43564</v>
      </c>
      <c r="C463" s="1" t="s">
        <v>14</v>
      </c>
      <c r="D463" s="1">
        <v>27</v>
      </c>
      <c r="E463" t="s">
        <v>20</v>
      </c>
      <c r="F463" t="s">
        <v>20</v>
      </c>
      <c r="G463" s="1">
        <v>138.09</v>
      </c>
      <c r="H463">
        <v>0</v>
      </c>
      <c r="I463">
        <f>Sales_Data[[#This Row],[Sales]]*Sales_Data[[#This Row],[Discount]]</f>
        <v>0</v>
      </c>
      <c r="J463">
        <v>138.09</v>
      </c>
      <c r="K463" s="1">
        <v>5.3</v>
      </c>
      <c r="L463" s="1">
        <v>138.09</v>
      </c>
      <c r="M463" s="1" t="s">
        <v>10</v>
      </c>
      <c r="N463" s="1">
        <f>IF(Sales_Data[[#This Row],[Sales with Discount]]&lt;Sales_Data[[#This Row],[Sales with Free Shipping]],Sales_Data[[#This Row],[Sales with Discount]],Sales_Data[[#This Row],[Sales with Free Shipping]])</f>
        <v>138.09</v>
      </c>
      <c r="O463" s="1" t="str">
        <f>TEXT(Sales_Data[[#This Row],[Order Date]], "MM-YYYY")</f>
        <v>04-2019</v>
      </c>
    </row>
    <row r="464" spans="1:15" x14ac:dyDescent="0.3">
      <c r="A464" s="1">
        <v>32608</v>
      </c>
      <c r="B464" s="2">
        <v>43607</v>
      </c>
      <c r="C464" s="1" t="s">
        <v>9</v>
      </c>
      <c r="D464" s="1">
        <v>20</v>
      </c>
      <c r="E464" t="s">
        <v>19</v>
      </c>
      <c r="F464" t="s">
        <v>19</v>
      </c>
      <c r="G464" s="1">
        <v>1457.24</v>
      </c>
      <c r="H464">
        <v>0</v>
      </c>
      <c r="I464">
        <f>Sales_Data[[#This Row],[Sales]]*Sales_Data[[#This Row],[Discount]]</f>
        <v>0</v>
      </c>
      <c r="J464">
        <v>1457.24</v>
      </c>
      <c r="K464" s="1">
        <v>3.7</v>
      </c>
      <c r="L464" s="1">
        <v>1457.24</v>
      </c>
      <c r="M464" s="1" t="s">
        <v>10</v>
      </c>
      <c r="N464" s="1">
        <f>IF(Sales_Data[[#This Row],[Sales with Discount]]&lt;Sales_Data[[#This Row],[Sales with Free Shipping]],Sales_Data[[#This Row],[Sales with Discount]],Sales_Data[[#This Row],[Sales with Free Shipping]])</f>
        <v>1457.24</v>
      </c>
      <c r="O464" s="1" t="str">
        <f>TEXT(Sales_Data[[#This Row],[Order Date]], "MM-YYYY")</f>
        <v>05-2019</v>
      </c>
    </row>
    <row r="465" spans="1:15" x14ac:dyDescent="0.3">
      <c r="A465" s="1">
        <v>13668</v>
      </c>
      <c r="B465" s="2">
        <v>43519</v>
      </c>
      <c r="C465" s="1" t="s">
        <v>12</v>
      </c>
      <c r="D465" s="1">
        <v>42</v>
      </c>
      <c r="E465" t="s">
        <v>23</v>
      </c>
      <c r="F465" t="s">
        <v>23</v>
      </c>
      <c r="G465" s="1">
        <v>302.39</v>
      </c>
      <c r="H465">
        <v>0.01</v>
      </c>
      <c r="I465">
        <f>Sales_Data[[#This Row],[Sales]]*Sales_Data[[#This Row],[Discount]]</f>
        <v>3.0238999999999998</v>
      </c>
      <c r="J465">
        <v>299.36609999999996</v>
      </c>
      <c r="K465" s="1">
        <v>5.6</v>
      </c>
      <c r="L465" s="1">
        <v>296.78999999999996</v>
      </c>
      <c r="M465" s="1" t="s">
        <v>10</v>
      </c>
      <c r="N465" s="1">
        <f>IF(Sales_Data[[#This Row],[Sales with Discount]]&lt;Sales_Data[[#This Row],[Sales with Free Shipping]],Sales_Data[[#This Row],[Sales with Discount]],Sales_Data[[#This Row],[Sales with Free Shipping]])</f>
        <v>296.78999999999996</v>
      </c>
      <c r="O465" s="1" t="str">
        <f>TEXT(Sales_Data[[#This Row],[Order Date]], "MM-YYYY")</f>
        <v>02-2019</v>
      </c>
    </row>
    <row r="466" spans="1:15" x14ac:dyDescent="0.3">
      <c r="A466" s="1">
        <v>39972</v>
      </c>
      <c r="B466" s="2">
        <v>43733</v>
      </c>
      <c r="C466" s="1" t="s">
        <v>11</v>
      </c>
      <c r="D466" s="1">
        <v>36</v>
      </c>
      <c r="E466" t="s">
        <v>22</v>
      </c>
      <c r="F466" t="s">
        <v>22</v>
      </c>
      <c r="G466" s="1">
        <v>148.29</v>
      </c>
      <c r="H466">
        <v>0.01</v>
      </c>
      <c r="I466">
        <f>Sales_Data[[#This Row],[Sales]]*Sales_Data[[#This Row],[Discount]]</f>
        <v>1.4828999999999999</v>
      </c>
      <c r="J466">
        <v>146.80709999999999</v>
      </c>
      <c r="K466" s="1">
        <v>0.5</v>
      </c>
      <c r="L466" s="1">
        <v>147.79</v>
      </c>
      <c r="M466" s="1" t="s">
        <v>10</v>
      </c>
      <c r="N466" s="1">
        <f>IF(Sales_Data[[#This Row],[Sales with Discount]]&lt;Sales_Data[[#This Row],[Sales with Free Shipping]],Sales_Data[[#This Row],[Sales with Discount]],Sales_Data[[#This Row],[Sales with Free Shipping]])</f>
        <v>146.80709999999999</v>
      </c>
      <c r="O466" s="1" t="str">
        <f>TEXT(Sales_Data[[#This Row],[Order Date]], "MM-YYYY")</f>
        <v>09-2019</v>
      </c>
    </row>
    <row r="467" spans="1:15" x14ac:dyDescent="0.3">
      <c r="A467" s="1">
        <v>933</v>
      </c>
      <c r="B467" s="2">
        <v>43681</v>
      </c>
      <c r="C467" s="1" t="s">
        <v>11</v>
      </c>
      <c r="D467" s="1">
        <v>15</v>
      </c>
      <c r="E467" t="s">
        <v>18</v>
      </c>
      <c r="F467" t="s">
        <v>18</v>
      </c>
      <c r="G467" s="1">
        <v>86.25</v>
      </c>
      <c r="H467">
        <v>0</v>
      </c>
      <c r="I467">
        <f>Sales_Data[[#This Row],[Sales]]*Sales_Data[[#This Row],[Discount]]</f>
        <v>0</v>
      </c>
      <c r="J467">
        <v>86.25</v>
      </c>
      <c r="K467" s="1">
        <v>3.2</v>
      </c>
      <c r="L467" s="1">
        <v>86.25</v>
      </c>
      <c r="M467" s="1" t="s">
        <v>10</v>
      </c>
      <c r="N467" s="1">
        <f>IF(Sales_Data[[#This Row],[Sales with Discount]]&lt;Sales_Data[[#This Row],[Sales with Free Shipping]],Sales_Data[[#This Row],[Sales with Discount]],Sales_Data[[#This Row],[Sales with Free Shipping]])</f>
        <v>86.25</v>
      </c>
      <c r="O467" s="1" t="str">
        <f>TEXT(Sales_Data[[#This Row],[Order Date]], "MM-YYYY")</f>
        <v>08-2019</v>
      </c>
    </row>
    <row r="468" spans="1:15" x14ac:dyDescent="0.3">
      <c r="A468" s="1">
        <v>4578</v>
      </c>
      <c r="B468" s="2">
        <v>43720</v>
      </c>
      <c r="C468" s="1" t="s">
        <v>7</v>
      </c>
      <c r="D468" s="1">
        <v>48</v>
      </c>
      <c r="E468" t="s">
        <v>24</v>
      </c>
      <c r="F468" t="s">
        <v>24</v>
      </c>
      <c r="G468" s="1">
        <v>774.82</v>
      </c>
      <c r="H468">
        <v>0.01</v>
      </c>
      <c r="I468">
        <f>Sales_Data[[#This Row],[Sales]]*Sales_Data[[#This Row],[Discount]]</f>
        <v>7.7482000000000006</v>
      </c>
      <c r="J468">
        <v>767.07180000000005</v>
      </c>
      <c r="K468" s="1">
        <v>14.3</v>
      </c>
      <c r="L468" s="1">
        <v>760.5200000000001</v>
      </c>
      <c r="M468" s="1" t="s">
        <v>10</v>
      </c>
      <c r="N468" s="1">
        <f>IF(Sales_Data[[#This Row],[Sales with Discount]]&lt;Sales_Data[[#This Row],[Sales with Free Shipping]],Sales_Data[[#This Row],[Sales with Discount]],Sales_Data[[#This Row],[Sales with Free Shipping]])</f>
        <v>760.5200000000001</v>
      </c>
      <c r="O468" s="1" t="str">
        <f>TEXT(Sales_Data[[#This Row],[Order Date]], "MM-YYYY")</f>
        <v>09-2019</v>
      </c>
    </row>
    <row r="469" spans="1:15" x14ac:dyDescent="0.3">
      <c r="A469" s="1">
        <v>44768</v>
      </c>
      <c r="B469" s="2">
        <v>43611</v>
      </c>
      <c r="C469" s="1" t="s">
        <v>11</v>
      </c>
      <c r="D469" s="1">
        <v>45</v>
      </c>
      <c r="E469" t="s">
        <v>23</v>
      </c>
      <c r="F469" t="s">
        <v>23</v>
      </c>
      <c r="G469" s="1">
        <v>17868.53</v>
      </c>
      <c r="H469">
        <v>0.01</v>
      </c>
      <c r="I469">
        <f>Sales_Data[[#This Row],[Sales]]*Sales_Data[[#This Row],[Discount]]</f>
        <v>178.68529999999998</v>
      </c>
      <c r="J469">
        <v>17689.844699999998</v>
      </c>
      <c r="K469" s="1">
        <v>63</v>
      </c>
      <c r="L469" s="1">
        <v>17805.53</v>
      </c>
      <c r="M469" s="1" t="s">
        <v>13</v>
      </c>
      <c r="N469" s="1">
        <f>IF(Sales_Data[[#This Row],[Sales with Discount]]&lt;Sales_Data[[#This Row],[Sales with Free Shipping]],Sales_Data[[#This Row],[Sales with Discount]],Sales_Data[[#This Row],[Sales with Free Shipping]])</f>
        <v>17689.844699999998</v>
      </c>
      <c r="O469" s="1" t="str">
        <f>TEXT(Sales_Data[[#This Row],[Order Date]], "MM-YYYY")</f>
        <v>05-2019</v>
      </c>
    </row>
    <row r="470" spans="1:15" x14ac:dyDescent="0.3">
      <c r="A470" s="1">
        <v>10593</v>
      </c>
      <c r="B470" s="2">
        <v>43507</v>
      </c>
      <c r="C470" s="1" t="s">
        <v>9</v>
      </c>
      <c r="D470" s="1">
        <v>27</v>
      </c>
      <c r="E470" t="s">
        <v>20</v>
      </c>
      <c r="F470" t="s">
        <v>20</v>
      </c>
      <c r="G470" s="1">
        <v>465.74</v>
      </c>
      <c r="H470">
        <v>0</v>
      </c>
      <c r="I470">
        <f>Sales_Data[[#This Row],[Sales]]*Sales_Data[[#This Row],[Discount]]</f>
        <v>0</v>
      </c>
      <c r="J470">
        <v>465.74</v>
      </c>
      <c r="K470" s="1">
        <v>9.6</v>
      </c>
      <c r="L470" s="1">
        <v>465.74</v>
      </c>
      <c r="M470" s="1" t="s">
        <v>10</v>
      </c>
      <c r="N470" s="1">
        <f>IF(Sales_Data[[#This Row],[Sales with Discount]]&lt;Sales_Data[[#This Row],[Sales with Free Shipping]],Sales_Data[[#This Row],[Sales with Discount]],Sales_Data[[#This Row],[Sales with Free Shipping]])</f>
        <v>465.74</v>
      </c>
      <c r="O470" s="1" t="str">
        <f>TEXT(Sales_Data[[#This Row],[Order Date]], "MM-YYYY")</f>
        <v>02-2019</v>
      </c>
    </row>
    <row r="471" spans="1:15" x14ac:dyDescent="0.3">
      <c r="A471" s="1">
        <v>30720</v>
      </c>
      <c r="B471" s="2">
        <v>43735</v>
      </c>
      <c r="C471" s="1" t="s">
        <v>7</v>
      </c>
      <c r="D471" s="1">
        <v>27</v>
      </c>
      <c r="E471" t="s">
        <v>20</v>
      </c>
      <c r="F471" t="s">
        <v>20</v>
      </c>
      <c r="G471" s="1">
        <v>2566.8200000000002</v>
      </c>
      <c r="H471">
        <v>0</v>
      </c>
      <c r="I471">
        <f>Sales_Data[[#This Row],[Sales]]*Sales_Data[[#This Row],[Discount]]</f>
        <v>0</v>
      </c>
      <c r="J471">
        <v>2566.8200000000002</v>
      </c>
      <c r="K471" s="1">
        <v>19.399999999999999</v>
      </c>
      <c r="L471" s="1">
        <v>2566.8200000000002</v>
      </c>
      <c r="M471" s="1" t="s">
        <v>8</v>
      </c>
      <c r="N471" s="1">
        <f>IF(Sales_Data[[#This Row],[Sales with Discount]]&lt;Sales_Data[[#This Row],[Sales with Free Shipping]],Sales_Data[[#This Row],[Sales with Discount]],Sales_Data[[#This Row],[Sales with Free Shipping]])</f>
        <v>2566.8200000000002</v>
      </c>
      <c r="O471" s="1" t="str">
        <f>TEXT(Sales_Data[[#This Row],[Order Date]], "MM-YYYY")</f>
        <v>09-2019</v>
      </c>
    </row>
    <row r="472" spans="1:15" x14ac:dyDescent="0.3">
      <c r="A472" s="1">
        <v>41927</v>
      </c>
      <c r="B472" s="2">
        <v>43659</v>
      </c>
      <c r="C472" s="1" t="s">
        <v>11</v>
      </c>
      <c r="D472" s="1">
        <v>46</v>
      </c>
      <c r="E472" t="s">
        <v>24</v>
      </c>
      <c r="F472" t="s">
        <v>24</v>
      </c>
      <c r="G472" s="1">
        <v>2495.4899999999998</v>
      </c>
      <c r="H472">
        <v>0.01</v>
      </c>
      <c r="I472">
        <f>Sales_Data[[#This Row],[Sales]]*Sales_Data[[#This Row],[Discount]]</f>
        <v>24.954899999999999</v>
      </c>
      <c r="J472">
        <v>2470.5350999999996</v>
      </c>
      <c r="K472" s="1">
        <v>7.7</v>
      </c>
      <c r="L472" s="1">
        <v>2487.79</v>
      </c>
      <c r="M472" s="1" t="s">
        <v>8</v>
      </c>
      <c r="N472" s="1">
        <f>IF(Sales_Data[[#This Row],[Sales with Discount]]&lt;Sales_Data[[#This Row],[Sales with Free Shipping]],Sales_Data[[#This Row],[Sales with Discount]],Sales_Data[[#This Row],[Sales with Free Shipping]])</f>
        <v>2470.5350999999996</v>
      </c>
      <c r="O472" s="1" t="str">
        <f>TEXT(Sales_Data[[#This Row],[Order Date]], "MM-YYYY")</f>
        <v>07-2019</v>
      </c>
    </row>
    <row r="473" spans="1:15" x14ac:dyDescent="0.3">
      <c r="A473" s="1">
        <v>39168</v>
      </c>
      <c r="B473" s="2">
        <v>43602</v>
      </c>
      <c r="C473" s="1" t="s">
        <v>9</v>
      </c>
      <c r="D473" s="1">
        <v>22</v>
      </c>
      <c r="E473" t="s">
        <v>14</v>
      </c>
      <c r="F473" t="s">
        <v>14</v>
      </c>
      <c r="G473" s="1">
        <v>866.6</v>
      </c>
      <c r="H473">
        <v>0</v>
      </c>
      <c r="I473">
        <f>Sales_Data[[#This Row],[Sales]]*Sales_Data[[#This Row],[Discount]]</f>
        <v>0</v>
      </c>
      <c r="J473">
        <v>866.6</v>
      </c>
      <c r="K473" s="1">
        <v>3.2</v>
      </c>
      <c r="L473" s="1">
        <v>866.6</v>
      </c>
      <c r="M473" s="1" t="s">
        <v>10</v>
      </c>
      <c r="N473" s="1">
        <f>IF(Sales_Data[[#This Row],[Sales with Discount]]&lt;Sales_Data[[#This Row],[Sales with Free Shipping]],Sales_Data[[#This Row],[Sales with Discount]],Sales_Data[[#This Row],[Sales with Free Shipping]])</f>
        <v>866.6</v>
      </c>
      <c r="O473" s="1" t="str">
        <f>TEXT(Sales_Data[[#This Row],[Order Date]], "MM-YYYY")</f>
        <v>05-2019</v>
      </c>
    </row>
    <row r="474" spans="1:15" x14ac:dyDescent="0.3">
      <c r="A474" s="1">
        <v>35938</v>
      </c>
      <c r="B474" s="2">
        <v>43786</v>
      </c>
      <c r="C474" s="1" t="s">
        <v>11</v>
      </c>
      <c r="D474" s="1">
        <v>6</v>
      </c>
      <c r="E474" t="s">
        <v>17</v>
      </c>
      <c r="F474" t="s">
        <v>17</v>
      </c>
      <c r="G474" s="1">
        <v>1894.65</v>
      </c>
      <c r="H474">
        <v>0</v>
      </c>
      <c r="I474">
        <f>Sales_Data[[#This Row],[Sales]]*Sales_Data[[#This Row],[Discount]]</f>
        <v>0</v>
      </c>
      <c r="J474">
        <v>1894.65</v>
      </c>
      <c r="K474" s="1">
        <v>61</v>
      </c>
      <c r="L474" s="1">
        <v>1894.65</v>
      </c>
      <c r="M474" s="1" t="s">
        <v>13</v>
      </c>
      <c r="N474" s="1">
        <f>IF(Sales_Data[[#This Row],[Sales with Discount]]&lt;Sales_Data[[#This Row],[Sales with Free Shipping]],Sales_Data[[#This Row],[Sales with Discount]],Sales_Data[[#This Row],[Sales with Free Shipping]])</f>
        <v>1894.65</v>
      </c>
      <c r="O474" s="1" t="str">
        <f>TEXT(Sales_Data[[#This Row],[Order Date]], "MM-YYYY")</f>
        <v>11-2019</v>
      </c>
    </row>
    <row r="475" spans="1:15" x14ac:dyDescent="0.3">
      <c r="A475" s="1">
        <v>26309</v>
      </c>
      <c r="B475" s="2">
        <v>43514</v>
      </c>
      <c r="C475" s="1" t="s">
        <v>7</v>
      </c>
      <c r="D475" s="1">
        <v>42</v>
      </c>
      <c r="E475" t="s">
        <v>23</v>
      </c>
      <c r="F475" t="s">
        <v>23</v>
      </c>
      <c r="G475" s="1">
        <v>137.1</v>
      </c>
      <c r="H475">
        <v>0.01</v>
      </c>
      <c r="I475">
        <f>Sales_Data[[#This Row],[Sales]]*Sales_Data[[#This Row],[Discount]]</f>
        <v>1.371</v>
      </c>
      <c r="J475">
        <v>135.72899999999998</v>
      </c>
      <c r="K475" s="1">
        <v>1.1000000000000001</v>
      </c>
      <c r="L475" s="1">
        <v>136</v>
      </c>
      <c r="M475" s="1" t="s">
        <v>10</v>
      </c>
      <c r="N475" s="1">
        <f>IF(Sales_Data[[#This Row],[Sales with Discount]]&lt;Sales_Data[[#This Row],[Sales with Free Shipping]],Sales_Data[[#This Row],[Sales with Discount]],Sales_Data[[#This Row],[Sales with Free Shipping]])</f>
        <v>135.72899999999998</v>
      </c>
      <c r="O475" s="1" t="str">
        <f>TEXT(Sales_Data[[#This Row],[Order Date]], "MM-YYYY")</f>
        <v>02-2019</v>
      </c>
    </row>
    <row r="476" spans="1:15" x14ac:dyDescent="0.3">
      <c r="A476" s="1">
        <v>15491</v>
      </c>
      <c r="B476" s="2">
        <v>43482</v>
      </c>
      <c r="C476" s="1" t="s">
        <v>14</v>
      </c>
      <c r="D476" s="1">
        <v>5</v>
      </c>
      <c r="E476" t="s">
        <v>16</v>
      </c>
      <c r="F476" t="s">
        <v>16</v>
      </c>
      <c r="G476" s="1">
        <v>964.47</v>
      </c>
      <c r="H476">
        <v>0</v>
      </c>
      <c r="I476">
        <f>Sales_Data[[#This Row],[Sales]]*Sales_Data[[#This Row],[Discount]]</f>
        <v>0</v>
      </c>
      <c r="J476">
        <v>964.47</v>
      </c>
      <c r="K476" s="1">
        <v>2.7</v>
      </c>
      <c r="L476" s="1">
        <v>964.47</v>
      </c>
      <c r="M476" s="1" t="s">
        <v>10</v>
      </c>
      <c r="N476" s="1">
        <f>IF(Sales_Data[[#This Row],[Sales with Discount]]&lt;Sales_Data[[#This Row],[Sales with Free Shipping]],Sales_Data[[#This Row],[Sales with Discount]],Sales_Data[[#This Row],[Sales with Free Shipping]])</f>
        <v>964.47</v>
      </c>
      <c r="O476" s="1" t="str">
        <f>TEXT(Sales_Data[[#This Row],[Order Date]], "MM-YYYY")</f>
        <v>01-2019</v>
      </c>
    </row>
    <row r="477" spans="1:15" x14ac:dyDescent="0.3">
      <c r="A477" s="1">
        <v>28454</v>
      </c>
      <c r="B477" s="2">
        <v>43683</v>
      </c>
      <c r="C477" s="1" t="s">
        <v>14</v>
      </c>
      <c r="D477" s="1">
        <v>25</v>
      </c>
      <c r="E477" t="s">
        <v>14</v>
      </c>
      <c r="F477" t="s">
        <v>14</v>
      </c>
      <c r="G477" s="1">
        <v>168.42</v>
      </c>
      <c r="H477">
        <v>0</v>
      </c>
      <c r="I477">
        <f>Sales_Data[[#This Row],[Sales]]*Sales_Data[[#This Row],[Discount]]</f>
        <v>0</v>
      </c>
      <c r="J477">
        <v>168.42</v>
      </c>
      <c r="K477" s="1">
        <v>7.2</v>
      </c>
      <c r="L477" s="1">
        <v>168.42</v>
      </c>
      <c r="M477" s="1" t="s">
        <v>10</v>
      </c>
      <c r="N477" s="1">
        <f>IF(Sales_Data[[#This Row],[Sales with Discount]]&lt;Sales_Data[[#This Row],[Sales with Free Shipping]],Sales_Data[[#This Row],[Sales with Discount]],Sales_Data[[#This Row],[Sales with Free Shipping]])</f>
        <v>168.42</v>
      </c>
      <c r="O477" s="1" t="str">
        <f>TEXT(Sales_Data[[#This Row],[Order Date]], "MM-YYYY")</f>
        <v>08-2019</v>
      </c>
    </row>
    <row r="478" spans="1:15" x14ac:dyDescent="0.3">
      <c r="A478" s="1">
        <v>16807</v>
      </c>
      <c r="B478" s="2">
        <v>43479</v>
      </c>
      <c r="C478" s="1" t="s">
        <v>14</v>
      </c>
      <c r="D478" s="1">
        <v>48</v>
      </c>
      <c r="E478" t="s">
        <v>24</v>
      </c>
      <c r="F478" t="s">
        <v>24</v>
      </c>
      <c r="G478" s="1">
        <v>1696.59</v>
      </c>
      <c r="H478">
        <v>0.01</v>
      </c>
      <c r="I478">
        <f>Sales_Data[[#This Row],[Sales]]*Sales_Data[[#This Row],[Discount]]</f>
        <v>16.965899999999998</v>
      </c>
      <c r="J478">
        <v>1679.6241</v>
      </c>
      <c r="K478" s="1">
        <v>5.3</v>
      </c>
      <c r="L478" s="1">
        <v>1691.29</v>
      </c>
      <c r="M478" s="1" t="s">
        <v>10</v>
      </c>
      <c r="N478" s="1">
        <f>IF(Sales_Data[[#This Row],[Sales with Discount]]&lt;Sales_Data[[#This Row],[Sales with Free Shipping]],Sales_Data[[#This Row],[Sales with Discount]],Sales_Data[[#This Row],[Sales with Free Shipping]])</f>
        <v>1679.6241</v>
      </c>
      <c r="O478" s="1" t="str">
        <f>TEXT(Sales_Data[[#This Row],[Order Date]], "MM-YYYY")</f>
        <v>01-2019</v>
      </c>
    </row>
    <row r="479" spans="1:15" x14ac:dyDescent="0.3">
      <c r="A479" s="1">
        <v>37762</v>
      </c>
      <c r="B479" s="2">
        <v>43622</v>
      </c>
      <c r="C479" s="1" t="s">
        <v>14</v>
      </c>
      <c r="D479" s="1">
        <v>20</v>
      </c>
      <c r="E479" t="s">
        <v>19</v>
      </c>
      <c r="F479" t="s">
        <v>19</v>
      </c>
      <c r="G479" s="1">
        <v>144.47</v>
      </c>
      <c r="H479">
        <v>0</v>
      </c>
      <c r="I479">
        <f>Sales_Data[[#This Row],[Sales]]*Sales_Data[[#This Row],[Discount]]</f>
        <v>0</v>
      </c>
      <c r="J479">
        <v>144.47</v>
      </c>
      <c r="K479" s="1">
        <v>7.2</v>
      </c>
      <c r="L479" s="1">
        <v>144.47</v>
      </c>
      <c r="M479" s="1" t="s">
        <v>10</v>
      </c>
      <c r="N479" s="1">
        <f>IF(Sales_Data[[#This Row],[Sales with Discount]]&lt;Sales_Data[[#This Row],[Sales with Free Shipping]],Sales_Data[[#This Row],[Sales with Discount]],Sales_Data[[#This Row],[Sales with Free Shipping]])</f>
        <v>144.47</v>
      </c>
      <c r="O479" s="1" t="str">
        <f>TEXT(Sales_Data[[#This Row],[Order Date]], "MM-YYYY")</f>
        <v>06-2019</v>
      </c>
    </row>
    <row r="480" spans="1:15" x14ac:dyDescent="0.3">
      <c r="A480" s="1">
        <v>33893</v>
      </c>
      <c r="B480" s="2">
        <v>43728</v>
      </c>
      <c r="C480" s="1" t="s">
        <v>11</v>
      </c>
      <c r="D480" s="1">
        <v>16</v>
      </c>
      <c r="E480" t="s">
        <v>19</v>
      </c>
      <c r="F480" t="s">
        <v>19</v>
      </c>
      <c r="G480" s="1">
        <v>94.48</v>
      </c>
      <c r="H480">
        <v>0</v>
      </c>
      <c r="I480">
        <f>Sales_Data[[#This Row],[Sales]]*Sales_Data[[#This Row],[Discount]]</f>
        <v>0</v>
      </c>
      <c r="J480">
        <v>94.48</v>
      </c>
      <c r="K480" s="1">
        <v>2.4</v>
      </c>
      <c r="L480" s="1">
        <v>94.48</v>
      </c>
      <c r="M480" s="1" t="s">
        <v>10</v>
      </c>
      <c r="N480" s="1">
        <f>IF(Sales_Data[[#This Row],[Sales with Discount]]&lt;Sales_Data[[#This Row],[Sales with Free Shipping]],Sales_Data[[#This Row],[Sales with Discount]],Sales_Data[[#This Row],[Sales with Free Shipping]])</f>
        <v>94.48</v>
      </c>
      <c r="O480" s="1" t="str">
        <f>TEXT(Sales_Data[[#This Row],[Order Date]], "MM-YYYY")</f>
        <v>09-2019</v>
      </c>
    </row>
    <row r="481" spans="1:15" x14ac:dyDescent="0.3">
      <c r="A481" s="1">
        <v>3907</v>
      </c>
      <c r="B481" s="2">
        <v>43695</v>
      </c>
      <c r="C481" s="1" t="s">
        <v>14</v>
      </c>
      <c r="D481" s="1">
        <v>34</v>
      </c>
      <c r="E481" t="s">
        <v>21</v>
      </c>
      <c r="F481" t="s">
        <v>21</v>
      </c>
      <c r="G481" s="1">
        <v>780.92</v>
      </c>
      <c r="H481">
        <v>0</v>
      </c>
      <c r="I481">
        <f>Sales_Data[[#This Row],[Sales]]*Sales_Data[[#This Row],[Discount]]</f>
        <v>0</v>
      </c>
      <c r="J481">
        <v>780.92</v>
      </c>
      <c r="K481" s="1">
        <v>16.2</v>
      </c>
      <c r="L481" s="1">
        <v>780.92</v>
      </c>
      <c r="M481" s="1" t="s">
        <v>10</v>
      </c>
      <c r="N481" s="1">
        <f>IF(Sales_Data[[#This Row],[Sales with Discount]]&lt;Sales_Data[[#This Row],[Sales with Free Shipping]],Sales_Data[[#This Row],[Sales with Discount]],Sales_Data[[#This Row],[Sales with Free Shipping]])</f>
        <v>780.92</v>
      </c>
      <c r="O481" s="1" t="str">
        <f>TEXT(Sales_Data[[#This Row],[Order Date]], "MM-YYYY")</f>
        <v>08-2019</v>
      </c>
    </row>
    <row r="482" spans="1:15" x14ac:dyDescent="0.3">
      <c r="A482" s="1">
        <v>51109</v>
      </c>
      <c r="B482" s="2">
        <v>43777</v>
      </c>
      <c r="C482" s="1" t="s">
        <v>9</v>
      </c>
      <c r="D482" s="1">
        <v>28</v>
      </c>
      <c r="E482" t="s">
        <v>20</v>
      </c>
      <c r="F482" t="s">
        <v>20</v>
      </c>
      <c r="G482" s="1">
        <v>119.89</v>
      </c>
      <c r="H482">
        <v>0</v>
      </c>
      <c r="I482">
        <f>Sales_Data[[#This Row],[Sales]]*Sales_Data[[#This Row],[Discount]]</f>
        <v>0</v>
      </c>
      <c r="J482">
        <v>119.89</v>
      </c>
      <c r="K482" s="1">
        <v>1.4</v>
      </c>
      <c r="L482" s="1">
        <v>119.89</v>
      </c>
      <c r="M482" s="1" t="s">
        <v>10</v>
      </c>
      <c r="N482" s="1">
        <f>IF(Sales_Data[[#This Row],[Sales with Discount]]&lt;Sales_Data[[#This Row],[Sales with Free Shipping]],Sales_Data[[#This Row],[Sales with Discount]],Sales_Data[[#This Row],[Sales with Free Shipping]])</f>
        <v>119.89</v>
      </c>
      <c r="O482" s="1" t="str">
        <f>TEXT(Sales_Data[[#This Row],[Order Date]], "MM-YYYY")</f>
        <v>11-2019</v>
      </c>
    </row>
    <row r="483" spans="1:15" x14ac:dyDescent="0.3">
      <c r="A483" s="1">
        <v>18500</v>
      </c>
      <c r="B483" s="2">
        <v>43506</v>
      </c>
      <c r="C483" s="1" t="s">
        <v>14</v>
      </c>
      <c r="D483" s="1">
        <v>30</v>
      </c>
      <c r="E483" t="s">
        <v>20</v>
      </c>
      <c r="F483" t="s">
        <v>20</v>
      </c>
      <c r="G483" s="1">
        <v>1126.3699999999999</v>
      </c>
      <c r="H483">
        <v>0</v>
      </c>
      <c r="I483">
        <f>Sales_Data[[#This Row],[Sales]]*Sales_Data[[#This Row],[Discount]]</f>
        <v>0</v>
      </c>
      <c r="J483">
        <v>1126.3699999999999</v>
      </c>
      <c r="K483" s="1">
        <v>5.9</v>
      </c>
      <c r="L483" s="1">
        <v>1126.3699999999999</v>
      </c>
      <c r="M483" s="1" t="s">
        <v>10</v>
      </c>
      <c r="N483" s="1">
        <f>IF(Sales_Data[[#This Row],[Sales with Discount]]&lt;Sales_Data[[#This Row],[Sales with Free Shipping]],Sales_Data[[#This Row],[Sales with Discount]],Sales_Data[[#This Row],[Sales with Free Shipping]])</f>
        <v>1126.3699999999999</v>
      </c>
      <c r="O483" s="1" t="str">
        <f>TEXT(Sales_Data[[#This Row],[Order Date]], "MM-YYYY")</f>
        <v>02-2019</v>
      </c>
    </row>
    <row r="484" spans="1:15" x14ac:dyDescent="0.3">
      <c r="A484" s="1">
        <v>31684</v>
      </c>
      <c r="B484" s="2">
        <v>43724</v>
      </c>
      <c r="C484" s="1" t="s">
        <v>12</v>
      </c>
      <c r="D484" s="1">
        <v>28</v>
      </c>
      <c r="E484" t="s">
        <v>20</v>
      </c>
      <c r="F484" t="s">
        <v>20</v>
      </c>
      <c r="G484" s="1">
        <v>488.89</v>
      </c>
      <c r="H484">
        <v>0</v>
      </c>
      <c r="I484">
        <f>Sales_Data[[#This Row],[Sales]]*Sales_Data[[#This Row],[Discount]]</f>
        <v>0</v>
      </c>
      <c r="J484">
        <v>488.89</v>
      </c>
      <c r="K484" s="1">
        <v>19</v>
      </c>
      <c r="L484" s="1">
        <v>488.89</v>
      </c>
      <c r="M484" s="1" t="s">
        <v>8</v>
      </c>
      <c r="N484" s="1">
        <f>IF(Sales_Data[[#This Row],[Sales with Discount]]&lt;Sales_Data[[#This Row],[Sales with Free Shipping]],Sales_Data[[#This Row],[Sales with Discount]],Sales_Data[[#This Row],[Sales with Free Shipping]])</f>
        <v>488.89</v>
      </c>
      <c r="O484" s="1" t="str">
        <f>TEXT(Sales_Data[[#This Row],[Order Date]], "MM-YYYY")</f>
        <v>09-2019</v>
      </c>
    </row>
    <row r="485" spans="1:15" x14ac:dyDescent="0.3">
      <c r="A485" s="1">
        <v>16197</v>
      </c>
      <c r="B485" s="2">
        <v>43764</v>
      </c>
      <c r="C485" s="1" t="s">
        <v>12</v>
      </c>
      <c r="D485" s="1">
        <v>23</v>
      </c>
      <c r="E485" t="s">
        <v>14</v>
      </c>
      <c r="F485" t="s">
        <v>14</v>
      </c>
      <c r="G485" s="1">
        <v>234.02</v>
      </c>
      <c r="H485">
        <v>0</v>
      </c>
      <c r="I485">
        <f>Sales_Data[[#This Row],[Sales]]*Sales_Data[[#This Row],[Discount]]</f>
        <v>0</v>
      </c>
      <c r="J485">
        <v>234.02</v>
      </c>
      <c r="K485" s="1">
        <v>2.2999999999999998</v>
      </c>
      <c r="L485" s="1">
        <v>234.02</v>
      </c>
      <c r="M485" s="1" t="s">
        <v>8</v>
      </c>
      <c r="N485" s="1">
        <f>IF(Sales_Data[[#This Row],[Sales with Discount]]&lt;Sales_Data[[#This Row],[Sales with Free Shipping]],Sales_Data[[#This Row],[Sales with Discount]],Sales_Data[[#This Row],[Sales with Free Shipping]])</f>
        <v>234.02</v>
      </c>
      <c r="O485" s="1" t="str">
        <f>TEXT(Sales_Data[[#This Row],[Order Date]], "MM-YYYY")</f>
        <v>10-2019</v>
      </c>
    </row>
    <row r="486" spans="1:15" x14ac:dyDescent="0.3">
      <c r="A486" s="1">
        <v>44647</v>
      </c>
      <c r="B486" s="2">
        <v>43488</v>
      </c>
      <c r="C486" s="1" t="s">
        <v>7</v>
      </c>
      <c r="D486" s="1">
        <v>24</v>
      </c>
      <c r="E486" t="s">
        <v>14</v>
      </c>
      <c r="F486" t="s">
        <v>14</v>
      </c>
      <c r="G486" s="1">
        <v>324.11</v>
      </c>
      <c r="H486">
        <v>0</v>
      </c>
      <c r="I486">
        <f>Sales_Data[[#This Row],[Sales]]*Sales_Data[[#This Row],[Discount]]</f>
        <v>0</v>
      </c>
      <c r="J486">
        <v>324.11</v>
      </c>
      <c r="K486" s="1">
        <v>6.6</v>
      </c>
      <c r="L486" s="1">
        <v>324.11</v>
      </c>
      <c r="M486" s="1" t="s">
        <v>10</v>
      </c>
      <c r="N486" s="1">
        <f>IF(Sales_Data[[#This Row],[Sales with Discount]]&lt;Sales_Data[[#This Row],[Sales with Free Shipping]],Sales_Data[[#This Row],[Sales with Discount]],Sales_Data[[#This Row],[Sales with Free Shipping]])</f>
        <v>324.11</v>
      </c>
      <c r="O486" s="1" t="str">
        <f>TEXT(Sales_Data[[#This Row],[Order Date]], "MM-YYYY")</f>
        <v>01-2019</v>
      </c>
    </row>
    <row r="487" spans="1:15" x14ac:dyDescent="0.3">
      <c r="A487" s="1">
        <v>13157</v>
      </c>
      <c r="B487" s="2">
        <v>43506</v>
      </c>
      <c r="C487" s="1" t="s">
        <v>14</v>
      </c>
      <c r="D487" s="1">
        <v>2</v>
      </c>
      <c r="E487" t="s">
        <v>16</v>
      </c>
      <c r="F487" t="s">
        <v>16</v>
      </c>
      <c r="G487" s="1">
        <v>41.66</v>
      </c>
      <c r="H487">
        <v>0</v>
      </c>
      <c r="I487">
        <f>Sales_Data[[#This Row],[Sales]]*Sales_Data[[#This Row],[Discount]]</f>
        <v>0</v>
      </c>
      <c r="J487">
        <v>41.66</v>
      </c>
      <c r="K487" s="1">
        <v>5.0999999999999996</v>
      </c>
      <c r="L487" s="1">
        <v>41.66</v>
      </c>
      <c r="M487" s="1" t="s">
        <v>10</v>
      </c>
      <c r="N487" s="1">
        <f>IF(Sales_Data[[#This Row],[Sales with Discount]]&lt;Sales_Data[[#This Row],[Sales with Free Shipping]],Sales_Data[[#This Row],[Sales with Discount]],Sales_Data[[#This Row],[Sales with Free Shipping]])</f>
        <v>41.66</v>
      </c>
      <c r="O487" s="1" t="str">
        <f>TEXT(Sales_Data[[#This Row],[Order Date]], "MM-YYYY")</f>
        <v>02-2019</v>
      </c>
    </row>
    <row r="488" spans="1:15" x14ac:dyDescent="0.3">
      <c r="A488" s="1">
        <v>8034</v>
      </c>
      <c r="B488" s="2">
        <v>43483</v>
      </c>
      <c r="C488" s="1" t="s">
        <v>9</v>
      </c>
      <c r="D488" s="1">
        <v>13</v>
      </c>
      <c r="E488" t="s">
        <v>18</v>
      </c>
      <c r="F488" t="s">
        <v>18</v>
      </c>
      <c r="G488" s="1">
        <v>255.12</v>
      </c>
      <c r="H488">
        <v>0</v>
      </c>
      <c r="I488">
        <f>Sales_Data[[#This Row],[Sales]]*Sales_Data[[#This Row],[Discount]]</f>
        <v>0</v>
      </c>
      <c r="J488">
        <v>255.12</v>
      </c>
      <c r="K488" s="1">
        <v>9.6</v>
      </c>
      <c r="L488" s="1">
        <v>255.12</v>
      </c>
      <c r="M488" s="1" t="s">
        <v>10</v>
      </c>
      <c r="N488" s="1">
        <f>IF(Sales_Data[[#This Row],[Sales with Discount]]&lt;Sales_Data[[#This Row],[Sales with Free Shipping]],Sales_Data[[#This Row],[Sales with Discount]],Sales_Data[[#This Row],[Sales with Free Shipping]])</f>
        <v>255.12</v>
      </c>
      <c r="O488" s="1" t="str">
        <f>TEXT(Sales_Data[[#This Row],[Order Date]], "MM-YYYY")</f>
        <v>01-2019</v>
      </c>
    </row>
    <row r="489" spans="1:15" x14ac:dyDescent="0.3">
      <c r="A489" s="1">
        <v>30599</v>
      </c>
      <c r="B489" s="2">
        <v>43505</v>
      </c>
      <c r="C489" s="1" t="s">
        <v>11</v>
      </c>
      <c r="D489" s="1">
        <v>23</v>
      </c>
      <c r="E489" t="s">
        <v>14</v>
      </c>
      <c r="F489" t="s">
        <v>14</v>
      </c>
      <c r="G489" s="1">
        <v>113.35</v>
      </c>
      <c r="H489">
        <v>0</v>
      </c>
      <c r="I489">
        <f>Sales_Data[[#This Row],[Sales]]*Sales_Data[[#This Row],[Discount]]</f>
        <v>0</v>
      </c>
      <c r="J489">
        <v>113.35</v>
      </c>
      <c r="K489" s="1">
        <v>0.9</v>
      </c>
      <c r="L489" s="1">
        <v>113.35</v>
      </c>
      <c r="M489" s="1" t="s">
        <v>10</v>
      </c>
      <c r="N489" s="1">
        <f>IF(Sales_Data[[#This Row],[Sales with Discount]]&lt;Sales_Data[[#This Row],[Sales with Free Shipping]],Sales_Data[[#This Row],[Sales with Discount]],Sales_Data[[#This Row],[Sales with Free Shipping]])</f>
        <v>113.35</v>
      </c>
      <c r="O489" s="1" t="str">
        <f>TEXT(Sales_Data[[#This Row],[Order Date]], "MM-YYYY")</f>
        <v>02-2019</v>
      </c>
    </row>
    <row r="490" spans="1:15" x14ac:dyDescent="0.3">
      <c r="A490" s="1">
        <v>50148</v>
      </c>
      <c r="B490" s="2">
        <v>43496</v>
      </c>
      <c r="C490" s="1" t="s">
        <v>14</v>
      </c>
      <c r="D490" s="1">
        <v>9</v>
      </c>
      <c r="E490" t="s">
        <v>17</v>
      </c>
      <c r="F490" t="s">
        <v>17</v>
      </c>
      <c r="G490" s="1">
        <v>19223.03</v>
      </c>
      <c r="H490">
        <v>0</v>
      </c>
      <c r="I490">
        <f>Sales_Data[[#This Row],[Sales]]*Sales_Data[[#This Row],[Discount]]</f>
        <v>0</v>
      </c>
      <c r="J490">
        <v>19223.03</v>
      </c>
      <c r="K490" s="1">
        <v>15</v>
      </c>
      <c r="L490" s="1">
        <v>19223.03</v>
      </c>
      <c r="M490" s="1" t="s">
        <v>10</v>
      </c>
      <c r="N490" s="1">
        <f>IF(Sales_Data[[#This Row],[Sales with Discount]]&lt;Sales_Data[[#This Row],[Sales with Free Shipping]],Sales_Data[[#This Row],[Sales with Discount]],Sales_Data[[#This Row],[Sales with Free Shipping]])</f>
        <v>19223.03</v>
      </c>
      <c r="O490" s="1" t="str">
        <f>TEXT(Sales_Data[[#This Row],[Order Date]], "MM-YYYY")</f>
        <v>01-2019</v>
      </c>
    </row>
    <row r="491" spans="1:15" x14ac:dyDescent="0.3">
      <c r="A491" s="1">
        <v>52003</v>
      </c>
      <c r="B491" s="2">
        <v>43513</v>
      </c>
      <c r="C491" s="1" t="s">
        <v>7</v>
      </c>
      <c r="D491" s="1">
        <v>2</v>
      </c>
      <c r="E491" t="s">
        <v>16</v>
      </c>
      <c r="F491" t="s">
        <v>16</v>
      </c>
      <c r="G491" s="1">
        <v>99.87</v>
      </c>
      <c r="H491">
        <v>0</v>
      </c>
      <c r="I491">
        <f>Sales_Data[[#This Row],[Sales]]*Sales_Data[[#This Row],[Discount]]</f>
        <v>0</v>
      </c>
      <c r="J491">
        <v>99.87</v>
      </c>
      <c r="K491" s="1">
        <v>5.4</v>
      </c>
      <c r="L491" s="1">
        <v>99.87</v>
      </c>
      <c r="M491" s="1" t="s">
        <v>10</v>
      </c>
      <c r="N491" s="1">
        <f>IF(Sales_Data[[#This Row],[Sales with Discount]]&lt;Sales_Data[[#This Row],[Sales with Free Shipping]],Sales_Data[[#This Row],[Sales with Discount]],Sales_Data[[#This Row],[Sales with Free Shipping]])</f>
        <v>99.87</v>
      </c>
      <c r="O491" s="1" t="str">
        <f>TEXT(Sales_Data[[#This Row],[Order Date]], "MM-YYYY")</f>
        <v>02-2019</v>
      </c>
    </row>
    <row r="492" spans="1:15" x14ac:dyDescent="0.3">
      <c r="A492" s="1">
        <v>15399</v>
      </c>
      <c r="B492" s="2">
        <v>43598</v>
      </c>
      <c r="C492" s="1" t="s">
        <v>12</v>
      </c>
      <c r="D492" s="1">
        <v>7</v>
      </c>
      <c r="E492" t="s">
        <v>17</v>
      </c>
      <c r="F492" t="s">
        <v>17</v>
      </c>
      <c r="G492" s="1">
        <v>2356.62</v>
      </c>
      <c r="H492">
        <v>0</v>
      </c>
      <c r="I492">
        <f>Sales_Data[[#This Row],[Sales]]*Sales_Data[[#This Row],[Discount]]</f>
        <v>0</v>
      </c>
      <c r="J492">
        <v>2356.62</v>
      </c>
      <c r="K492" s="1">
        <v>74.400000000000006</v>
      </c>
      <c r="L492" s="1">
        <v>2356.62</v>
      </c>
      <c r="M492" s="1" t="s">
        <v>13</v>
      </c>
      <c r="N492" s="1">
        <f>IF(Sales_Data[[#This Row],[Sales with Discount]]&lt;Sales_Data[[#This Row],[Sales with Free Shipping]],Sales_Data[[#This Row],[Sales with Discount]],Sales_Data[[#This Row],[Sales with Free Shipping]])</f>
        <v>2356.62</v>
      </c>
      <c r="O492" s="1" t="str">
        <f>TEXT(Sales_Data[[#This Row],[Order Date]], "MM-YYYY")</f>
        <v>05-2019</v>
      </c>
    </row>
    <row r="493" spans="1:15" x14ac:dyDescent="0.3">
      <c r="A493" s="1">
        <v>36163</v>
      </c>
      <c r="B493" s="2">
        <v>43774</v>
      </c>
      <c r="C493" s="1" t="s">
        <v>7</v>
      </c>
      <c r="D493" s="1">
        <v>32</v>
      </c>
      <c r="E493" t="s">
        <v>21</v>
      </c>
      <c r="F493" t="s">
        <v>21</v>
      </c>
      <c r="G493" s="1">
        <v>495.41</v>
      </c>
      <c r="H493">
        <v>0</v>
      </c>
      <c r="I493">
        <f>Sales_Data[[#This Row],[Sales]]*Sales_Data[[#This Row],[Discount]]</f>
        <v>0</v>
      </c>
      <c r="J493">
        <v>495.41</v>
      </c>
      <c r="K493" s="1">
        <v>7.7</v>
      </c>
      <c r="L493" s="1">
        <v>495.41</v>
      </c>
      <c r="M493" s="1" t="s">
        <v>10</v>
      </c>
      <c r="N493" s="1">
        <f>IF(Sales_Data[[#This Row],[Sales with Discount]]&lt;Sales_Data[[#This Row],[Sales with Free Shipping]],Sales_Data[[#This Row],[Sales with Discount]],Sales_Data[[#This Row],[Sales with Free Shipping]])</f>
        <v>495.41</v>
      </c>
      <c r="O493" s="1" t="str">
        <f>TEXT(Sales_Data[[#This Row],[Order Date]], "MM-YYYY")</f>
        <v>11-2019</v>
      </c>
    </row>
    <row r="494" spans="1:15" x14ac:dyDescent="0.3">
      <c r="A494" s="1">
        <v>51239</v>
      </c>
      <c r="B494" s="2">
        <v>43518</v>
      </c>
      <c r="C494" s="1" t="s">
        <v>7</v>
      </c>
      <c r="D494" s="1">
        <v>48</v>
      </c>
      <c r="E494" t="s">
        <v>24</v>
      </c>
      <c r="F494" t="s">
        <v>24</v>
      </c>
      <c r="G494" s="1">
        <v>4329.49</v>
      </c>
      <c r="H494">
        <v>0.01</v>
      </c>
      <c r="I494">
        <f>Sales_Data[[#This Row],[Sales]]*Sales_Data[[#This Row],[Discount]]</f>
        <v>43.294899999999998</v>
      </c>
      <c r="J494">
        <v>4286.1950999999999</v>
      </c>
      <c r="K494" s="1">
        <v>64.2</v>
      </c>
      <c r="L494" s="1">
        <v>4265.29</v>
      </c>
      <c r="M494" s="1" t="s">
        <v>13</v>
      </c>
      <c r="N494" s="1">
        <f>IF(Sales_Data[[#This Row],[Sales with Discount]]&lt;Sales_Data[[#This Row],[Sales with Free Shipping]],Sales_Data[[#This Row],[Sales with Discount]],Sales_Data[[#This Row],[Sales with Free Shipping]])</f>
        <v>4265.29</v>
      </c>
      <c r="O494" s="1" t="str">
        <f>TEXT(Sales_Data[[#This Row],[Order Date]], "MM-YYYY")</f>
        <v>02-2019</v>
      </c>
    </row>
    <row r="495" spans="1:15" x14ac:dyDescent="0.3">
      <c r="A495" s="1">
        <v>44805</v>
      </c>
      <c r="B495" s="2">
        <v>43722</v>
      </c>
      <c r="C495" s="1" t="s">
        <v>9</v>
      </c>
      <c r="D495" s="1">
        <v>40</v>
      </c>
      <c r="E495" t="s">
        <v>22</v>
      </c>
      <c r="F495" t="s">
        <v>22</v>
      </c>
      <c r="G495" s="1">
        <v>1830.4</v>
      </c>
      <c r="H495">
        <v>0.01</v>
      </c>
      <c r="I495">
        <f>Sales_Data[[#This Row],[Sales]]*Sales_Data[[#This Row],[Discount]]</f>
        <v>18.304000000000002</v>
      </c>
      <c r="J495">
        <v>1812.096</v>
      </c>
      <c r="K495" s="1">
        <v>3.2</v>
      </c>
      <c r="L495" s="1">
        <v>1827.2</v>
      </c>
      <c r="M495" s="1" t="s">
        <v>10</v>
      </c>
      <c r="N495" s="1">
        <f>IF(Sales_Data[[#This Row],[Sales with Discount]]&lt;Sales_Data[[#This Row],[Sales with Free Shipping]],Sales_Data[[#This Row],[Sales with Discount]],Sales_Data[[#This Row],[Sales with Free Shipping]])</f>
        <v>1812.096</v>
      </c>
      <c r="O495" s="1" t="str">
        <f>TEXT(Sales_Data[[#This Row],[Order Date]], "MM-YYYY")</f>
        <v>09-2019</v>
      </c>
    </row>
    <row r="496" spans="1:15" x14ac:dyDescent="0.3">
      <c r="A496" s="1">
        <v>5767</v>
      </c>
      <c r="B496" s="2">
        <v>43583</v>
      </c>
      <c r="C496" s="1" t="s">
        <v>9</v>
      </c>
      <c r="D496" s="1">
        <v>31</v>
      </c>
      <c r="E496" t="s">
        <v>21</v>
      </c>
      <c r="F496" t="s">
        <v>21</v>
      </c>
      <c r="G496" s="1">
        <v>2557.88</v>
      </c>
      <c r="H496">
        <v>0</v>
      </c>
      <c r="I496">
        <f>Sales_Data[[#This Row],[Sales]]*Sales_Data[[#This Row],[Discount]]</f>
        <v>0</v>
      </c>
      <c r="J496">
        <v>2557.88</v>
      </c>
      <c r="K496" s="1">
        <v>5.9</v>
      </c>
      <c r="L496" s="1">
        <v>2557.88</v>
      </c>
      <c r="M496" s="1" t="s">
        <v>10</v>
      </c>
      <c r="N496" s="1">
        <f>IF(Sales_Data[[#This Row],[Sales with Discount]]&lt;Sales_Data[[#This Row],[Sales with Free Shipping]],Sales_Data[[#This Row],[Sales with Discount]],Sales_Data[[#This Row],[Sales with Free Shipping]])</f>
        <v>2557.88</v>
      </c>
      <c r="O496" s="1" t="str">
        <f>TEXT(Sales_Data[[#This Row],[Order Date]], "MM-YYYY")</f>
        <v>04-2019</v>
      </c>
    </row>
    <row r="497" spans="1:15" x14ac:dyDescent="0.3">
      <c r="A497" s="1">
        <v>23745</v>
      </c>
      <c r="B497" s="2">
        <v>43804</v>
      </c>
      <c r="C497" s="1" t="s">
        <v>7</v>
      </c>
      <c r="D497" s="1">
        <v>12</v>
      </c>
      <c r="E497" t="s">
        <v>18</v>
      </c>
      <c r="F497" t="s">
        <v>18</v>
      </c>
      <c r="G497" s="1">
        <v>765.91</v>
      </c>
      <c r="H497">
        <v>0</v>
      </c>
      <c r="I497">
        <f>Sales_Data[[#This Row],[Sales]]*Sales_Data[[#This Row],[Discount]]</f>
        <v>0</v>
      </c>
      <c r="J497">
        <v>765.91</v>
      </c>
      <c r="K497" s="1">
        <v>55.9</v>
      </c>
      <c r="L497" s="1">
        <v>765.91</v>
      </c>
      <c r="M497" s="1" t="s">
        <v>10</v>
      </c>
      <c r="N497" s="1">
        <f>IF(Sales_Data[[#This Row],[Sales with Discount]]&lt;Sales_Data[[#This Row],[Sales with Free Shipping]],Sales_Data[[#This Row],[Sales with Discount]],Sales_Data[[#This Row],[Sales with Free Shipping]])</f>
        <v>765.91</v>
      </c>
      <c r="O497" s="1" t="str">
        <f>TEXT(Sales_Data[[#This Row],[Order Date]], "MM-YYYY")</f>
        <v>12-2019</v>
      </c>
    </row>
    <row r="498" spans="1:15" x14ac:dyDescent="0.3">
      <c r="A498" s="1">
        <v>33666</v>
      </c>
      <c r="B498" s="2">
        <v>43662</v>
      </c>
      <c r="C498" s="1" t="s">
        <v>11</v>
      </c>
      <c r="D498" s="1">
        <v>17</v>
      </c>
      <c r="E498" t="s">
        <v>19</v>
      </c>
      <c r="F498" t="s">
        <v>19</v>
      </c>
      <c r="G498" s="1">
        <v>4067.36</v>
      </c>
      <c r="H498">
        <v>0</v>
      </c>
      <c r="I498">
        <f>Sales_Data[[#This Row],[Sales]]*Sales_Data[[#This Row],[Discount]]</f>
        <v>0</v>
      </c>
      <c r="J498">
        <v>4067.36</v>
      </c>
      <c r="K498" s="1">
        <v>73.8</v>
      </c>
      <c r="L498" s="1">
        <v>4067.36</v>
      </c>
      <c r="M498" s="1" t="s">
        <v>10</v>
      </c>
      <c r="N498" s="1">
        <f>IF(Sales_Data[[#This Row],[Sales with Discount]]&lt;Sales_Data[[#This Row],[Sales with Free Shipping]],Sales_Data[[#This Row],[Sales with Discount]],Sales_Data[[#This Row],[Sales with Free Shipping]])</f>
        <v>4067.36</v>
      </c>
      <c r="O498" s="1" t="str">
        <f>TEXT(Sales_Data[[#This Row],[Order Date]], "MM-YYYY")</f>
        <v>07-2019</v>
      </c>
    </row>
    <row r="499" spans="1:15" x14ac:dyDescent="0.3">
      <c r="A499" s="1">
        <v>34723</v>
      </c>
      <c r="B499" s="2">
        <v>43808</v>
      </c>
      <c r="C499" s="1" t="s">
        <v>14</v>
      </c>
      <c r="D499" s="1">
        <v>4</v>
      </c>
      <c r="E499" t="s">
        <v>16</v>
      </c>
      <c r="F499" t="s">
        <v>16</v>
      </c>
      <c r="G499" s="1">
        <v>6521.7997999999998</v>
      </c>
      <c r="H499">
        <v>0</v>
      </c>
      <c r="I499">
        <f>Sales_Data[[#This Row],[Sales]]*Sales_Data[[#This Row],[Discount]]</f>
        <v>0</v>
      </c>
      <c r="J499">
        <v>6521.7997999999998</v>
      </c>
      <c r="K499" s="1">
        <v>31.8</v>
      </c>
      <c r="L499" s="1">
        <v>6521.7997999999998</v>
      </c>
      <c r="M499" s="1" t="s">
        <v>13</v>
      </c>
      <c r="N499" s="1">
        <f>IF(Sales_Data[[#This Row],[Sales with Discount]]&lt;Sales_Data[[#This Row],[Sales with Free Shipping]],Sales_Data[[#This Row],[Sales with Discount]],Sales_Data[[#This Row],[Sales with Free Shipping]])</f>
        <v>6521.7997999999998</v>
      </c>
      <c r="O499" s="1" t="str">
        <f>TEXT(Sales_Data[[#This Row],[Order Date]], "MM-YYYY")</f>
        <v>12-2019</v>
      </c>
    </row>
    <row r="500" spans="1:15" x14ac:dyDescent="0.3">
      <c r="A500" s="1">
        <v>49380</v>
      </c>
      <c r="B500" s="2">
        <v>43589</v>
      </c>
      <c r="C500" s="1" t="s">
        <v>14</v>
      </c>
      <c r="D500" s="1">
        <v>11</v>
      </c>
      <c r="E500" t="s">
        <v>18</v>
      </c>
      <c r="F500" t="s">
        <v>18</v>
      </c>
      <c r="G500" s="1">
        <v>23695.55</v>
      </c>
      <c r="H500">
        <v>0</v>
      </c>
      <c r="I500">
        <f>Sales_Data[[#This Row],[Sales]]*Sales_Data[[#This Row],[Discount]]</f>
        <v>0</v>
      </c>
      <c r="J500">
        <v>23695.55</v>
      </c>
      <c r="K500" s="1">
        <v>15</v>
      </c>
      <c r="L500" s="1">
        <v>23695.55</v>
      </c>
      <c r="M500" s="1" t="s">
        <v>10</v>
      </c>
      <c r="N500" s="1">
        <f>IF(Sales_Data[[#This Row],[Sales with Discount]]&lt;Sales_Data[[#This Row],[Sales with Free Shipping]],Sales_Data[[#This Row],[Sales with Discount]],Sales_Data[[#This Row],[Sales with Free Shipping]])</f>
        <v>23695.55</v>
      </c>
      <c r="O500" s="1" t="str">
        <f>TEXT(Sales_Data[[#This Row],[Order Date]], "MM-YYYY")</f>
        <v>05-2019</v>
      </c>
    </row>
    <row r="501" spans="1:15" x14ac:dyDescent="0.3">
      <c r="A501" s="1">
        <v>52676</v>
      </c>
      <c r="B501" s="2">
        <v>43705</v>
      </c>
      <c r="C501" s="1" t="s">
        <v>9</v>
      </c>
      <c r="D501" s="1">
        <v>46</v>
      </c>
      <c r="E501" t="s">
        <v>24</v>
      </c>
      <c r="F501" t="s">
        <v>24</v>
      </c>
      <c r="G501" s="1">
        <v>1048</v>
      </c>
      <c r="H501">
        <v>0.01</v>
      </c>
      <c r="I501">
        <f>Sales_Data[[#This Row],[Sales]]*Sales_Data[[#This Row],[Discount]]</f>
        <v>10.48</v>
      </c>
      <c r="J501">
        <v>1037.52</v>
      </c>
      <c r="K501" s="1">
        <v>6.3</v>
      </c>
      <c r="L501" s="1">
        <v>1041.7</v>
      </c>
      <c r="M501" s="1" t="s">
        <v>10</v>
      </c>
      <c r="N501" s="1">
        <f>IF(Sales_Data[[#This Row],[Sales with Discount]]&lt;Sales_Data[[#This Row],[Sales with Free Shipping]],Sales_Data[[#This Row],[Sales with Discount]],Sales_Data[[#This Row],[Sales with Free Shipping]])</f>
        <v>1037.52</v>
      </c>
      <c r="O501" s="1" t="str">
        <f>TEXT(Sales_Data[[#This Row],[Order Date]], "MM-YYYY")</f>
        <v>08-2019</v>
      </c>
    </row>
    <row r="502" spans="1:15" x14ac:dyDescent="0.3">
      <c r="A502" s="1">
        <v>25348</v>
      </c>
      <c r="B502" s="2">
        <v>43594</v>
      </c>
      <c r="C502" s="1" t="s">
        <v>12</v>
      </c>
      <c r="D502" s="1">
        <v>7</v>
      </c>
      <c r="E502" t="s">
        <v>17</v>
      </c>
      <c r="F502" t="s">
        <v>17</v>
      </c>
      <c r="G502" s="1">
        <v>330.87</v>
      </c>
      <c r="H502">
        <v>0</v>
      </c>
      <c r="I502">
        <f>Sales_Data[[#This Row],[Sales]]*Sales_Data[[#This Row],[Discount]]</f>
        <v>0</v>
      </c>
      <c r="J502">
        <v>330.87</v>
      </c>
      <c r="K502" s="1">
        <v>1.3</v>
      </c>
      <c r="L502" s="1">
        <v>330.87</v>
      </c>
      <c r="M502" s="1" t="s">
        <v>10</v>
      </c>
      <c r="N502" s="1">
        <f>IF(Sales_Data[[#This Row],[Sales with Discount]]&lt;Sales_Data[[#This Row],[Sales with Free Shipping]],Sales_Data[[#This Row],[Sales with Discount]],Sales_Data[[#This Row],[Sales with Free Shipping]])</f>
        <v>330.87</v>
      </c>
      <c r="O502" s="1" t="str">
        <f>TEXT(Sales_Data[[#This Row],[Order Date]], "MM-YYYY")</f>
        <v>05-2019</v>
      </c>
    </row>
    <row r="503" spans="1:15" x14ac:dyDescent="0.3">
      <c r="A503" s="1">
        <v>33570</v>
      </c>
      <c r="B503" s="2">
        <v>43815</v>
      </c>
      <c r="C503" s="1" t="s">
        <v>11</v>
      </c>
      <c r="D503" s="1">
        <v>1</v>
      </c>
      <c r="E503" t="s">
        <v>16</v>
      </c>
      <c r="F503" t="s">
        <v>16</v>
      </c>
      <c r="G503" s="1">
        <v>1605.88</v>
      </c>
      <c r="H503">
        <v>0</v>
      </c>
      <c r="I503">
        <f>Sales_Data[[#This Row],[Sales]]*Sales_Data[[#This Row],[Discount]]</f>
        <v>0</v>
      </c>
      <c r="J503">
        <v>1605.88</v>
      </c>
      <c r="K503" s="1">
        <v>31.8</v>
      </c>
      <c r="L503" s="1">
        <v>1605.88</v>
      </c>
      <c r="M503" s="1" t="s">
        <v>13</v>
      </c>
      <c r="N503" s="1">
        <f>IF(Sales_Data[[#This Row],[Sales with Discount]]&lt;Sales_Data[[#This Row],[Sales with Free Shipping]],Sales_Data[[#This Row],[Sales with Discount]],Sales_Data[[#This Row],[Sales with Free Shipping]])</f>
        <v>1605.88</v>
      </c>
      <c r="O503" s="1" t="str">
        <f>TEXT(Sales_Data[[#This Row],[Order Date]], "MM-YYYY")</f>
        <v>12-2019</v>
      </c>
    </row>
    <row r="504" spans="1:15" x14ac:dyDescent="0.3">
      <c r="A504" s="1">
        <v>59905</v>
      </c>
      <c r="B504" s="2">
        <v>43569</v>
      </c>
      <c r="C504" s="1" t="s">
        <v>9</v>
      </c>
      <c r="D504" s="1">
        <v>6</v>
      </c>
      <c r="E504" t="s">
        <v>17</v>
      </c>
      <c r="F504" t="s">
        <v>17</v>
      </c>
      <c r="G504" s="1">
        <v>52.18</v>
      </c>
      <c r="H504">
        <v>0</v>
      </c>
      <c r="I504">
        <f>Sales_Data[[#This Row],[Sales]]*Sales_Data[[#This Row],[Discount]]</f>
        <v>0</v>
      </c>
      <c r="J504">
        <v>52.18</v>
      </c>
      <c r="K504" s="1">
        <v>1.8</v>
      </c>
      <c r="L504" s="1">
        <v>52.18</v>
      </c>
      <c r="M504" s="1" t="s">
        <v>10</v>
      </c>
      <c r="N504" s="1">
        <f>IF(Sales_Data[[#This Row],[Sales with Discount]]&lt;Sales_Data[[#This Row],[Sales with Free Shipping]],Sales_Data[[#This Row],[Sales with Discount]],Sales_Data[[#This Row],[Sales with Free Shipping]])</f>
        <v>52.18</v>
      </c>
      <c r="O504" s="1" t="str">
        <f>TEXT(Sales_Data[[#This Row],[Order Date]], "MM-YYYY")</f>
        <v>04-2019</v>
      </c>
    </row>
    <row r="505" spans="1:15" x14ac:dyDescent="0.3">
      <c r="A505" s="1">
        <v>21796</v>
      </c>
      <c r="B505" s="2">
        <v>43591</v>
      </c>
      <c r="C505" s="1" t="s">
        <v>7</v>
      </c>
      <c r="D505" s="1">
        <v>31</v>
      </c>
      <c r="E505" t="s">
        <v>21</v>
      </c>
      <c r="F505" t="s">
        <v>21</v>
      </c>
      <c r="G505" s="1">
        <v>36.615400000000001</v>
      </c>
      <c r="H505">
        <v>0</v>
      </c>
      <c r="I505">
        <f>Sales_Data[[#This Row],[Sales]]*Sales_Data[[#This Row],[Discount]]</f>
        <v>0</v>
      </c>
      <c r="J505">
        <v>36.615400000000001</v>
      </c>
      <c r="K505" s="1">
        <v>0.7</v>
      </c>
      <c r="L505" s="1">
        <v>36.615400000000001</v>
      </c>
      <c r="M505" s="1" t="s">
        <v>10</v>
      </c>
      <c r="N505" s="1">
        <f>IF(Sales_Data[[#This Row],[Sales with Discount]]&lt;Sales_Data[[#This Row],[Sales with Free Shipping]],Sales_Data[[#This Row],[Sales with Discount]],Sales_Data[[#This Row],[Sales with Free Shipping]])</f>
        <v>36.615400000000001</v>
      </c>
      <c r="O505" s="1" t="str">
        <f>TEXT(Sales_Data[[#This Row],[Order Date]], "MM-YYYY")</f>
        <v>05-2019</v>
      </c>
    </row>
    <row r="506" spans="1:15" x14ac:dyDescent="0.3">
      <c r="A506" s="1">
        <v>6183</v>
      </c>
      <c r="B506" s="2">
        <v>43631</v>
      </c>
      <c r="C506" s="1" t="s">
        <v>14</v>
      </c>
      <c r="D506" s="1">
        <v>41</v>
      </c>
      <c r="E506" t="s">
        <v>23</v>
      </c>
      <c r="F506" t="s">
        <v>23</v>
      </c>
      <c r="G506" s="1">
        <v>2131.37</v>
      </c>
      <c r="H506">
        <v>0.01</v>
      </c>
      <c r="I506">
        <f>Sales_Data[[#This Row],[Sales]]*Sales_Data[[#This Row],[Discount]]</f>
        <v>21.313700000000001</v>
      </c>
      <c r="J506">
        <v>2110.0562999999997</v>
      </c>
      <c r="K506" s="1">
        <v>6.3</v>
      </c>
      <c r="L506" s="1">
        <v>2125.0699999999997</v>
      </c>
      <c r="M506" s="1" t="s">
        <v>10</v>
      </c>
      <c r="N506" s="1">
        <f>IF(Sales_Data[[#This Row],[Sales with Discount]]&lt;Sales_Data[[#This Row],[Sales with Free Shipping]],Sales_Data[[#This Row],[Sales with Discount]],Sales_Data[[#This Row],[Sales with Free Shipping]])</f>
        <v>2110.0562999999997</v>
      </c>
      <c r="O506" s="1" t="str">
        <f>TEXT(Sales_Data[[#This Row],[Order Date]], "MM-YYYY")</f>
        <v>06-2019</v>
      </c>
    </row>
    <row r="507" spans="1:15" x14ac:dyDescent="0.3">
      <c r="A507" s="1">
        <v>59234</v>
      </c>
      <c r="B507" s="2">
        <v>43675</v>
      </c>
      <c r="C507" s="1" t="s">
        <v>7</v>
      </c>
      <c r="D507" s="1">
        <v>16</v>
      </c>
      <c r="E507" t="s">
        <v>19</v>
      </c>
      <c r="F507" t="s">
        <v>19</v>
      </c>
      <c r="G507" s="1">
        <v>853.05</v>
      </c>
      <c r="H507">
        <v>0</v>
      </c>
      <c r="I507">
        <f>Sales_Data[[#This Row],[Sales]]*Sales_Data[[#This Row],[Discount]]</f>
        <v>0</v>
      </c>
      <c r="J507">
        <v>853.05</v>
      </c>
      <c r="K507" s="1">
        <v>15.2</v>
      </c>
      <c r="L507" s="1">
        <v>853.05</v>
      </c>
      <c r="M507" s="1" t="s">
        <v>13</v>
      </c>
      <c r="N507" s="1">
        <f>IF(Sales_Data[[#This Row],[Sales with Discount]]&lt;Sales_Data[[#This Row],[Sales with Free Shipping]],Sales_Data[[#This Row],[Sales with Discount]],Sales_Data[[#This Row],[Sales with Free Shipping]])</f>
        <v>853.05</v>
      </c>
      <c r="O507" s="1" t="str">
        <f>TEXT(Sales_Data[[#This Row],[Order Date]], "MM-YYYY")</f>
        <v>07-2019</v>
      </c>
    </row>
    <row r="508" spans="1:15" x14ac:dyDescent="0.3">
      <c r="A508" s="1">
        <v>56967</v>
      </c>
      <c r="B508" s="2">
        <v>43526</v>
      </c>
      <c r="C508" s="1" t="s">
        <v>7</v>
      </c>
      <c r="D508" s="1">
        <v>17</v>
      </c>
      <c r="E508" t="s">
        <v>19</v>
      </c>
      <c r="F508" t="s">
        <v>19</v>
      </c>
      <c r="G508" s="1">
        <v>1480.77</v>
      </c>
      <c r="H508">
        <v>0</v>
      </c>
      <c r="I508">
        <f>Sales_Data[[#This Row],[Sales]]*Sales_Data[[#This Row],[Discount]]</f>
        <v>0</v>
      </c>
      <c r="J508">
        <v>1480.77</v>
      </c>
      <c r="K508" s="1">
        <v>6.6</v>
      </c>
      <c r="L508" s="1">
        <v>1480.77</v>
      </c>
      <c r="M508" s="1" t="s">
        <v>8</v>
      </c>
      <c r="N508" s="1">
        <f>IF(Sales_Data[[#This Row],[Sales with Discount]]&lt;Sales_Data[[#This Row],[Sales with Free Shipping]],Sales_Data[[#This Row],[Sales with Discount]],Sales_Data[[#This Row],[Sales with Free Shipping]])</f>
        <v>1480.77</v>
      </c>
      <c r="O508" s="1" t="str">
        <f>TEXT(Sales_Data[[#This Row],[Order Date]], "MM-YYYY")</f>
        <v>03-2019</v>
      </c>
    </row>
    <row r="509" spans="1:15" x14ac:dyDescent="0.3">
      <c r="A509" s="1">
        <v>50567</v>
      </c>
      <c r="B509" s="2">
        <v>43500</v>
      </c>
      <c r="C509" s="1" t="s">
        <v>14</v>
      </c>
      <c r="D509" s="1">
        <v>22</v>
      </c>
      <c r="E509" t="s">
        <v>14</v>
      </c>
      <c r="F509" t="s">
        <v>14</v>
      </c>
      <c r="G509" s="1">
        <v>1611.07</v>
      </c>
      <c r="H509">
        <v>0</v>
      </c>
      <c r="I509">
        <f>Sales_Data[[#This Row],[Sales]]*Sales_Data[[#This Row],[Discount]]</f>
        <v>0</v>
      </c>
      <c r="J509">
        <v>1611.07</v>
      </c>
      <c r="K509" s="1">
        <v>32.1</v>
      </c>
      <c r="L509" s="1">
        <v>1611.07</v>
      </c>
      <c r="M509" s="1" t="s">
        <v>13</v>
      </c>
      <c r="N509" s="1">
        <f>IF(Sales_Data[[#This Row],[Sales with Discount]]&lt;Sales_Data[[#This Row],[Sales with Free Shipping]],Sales_Data[[#This Row],[Sales with Discount]],Sales_Data[[#This Row],[Sales with Free Shipping]])</f>
        <v>1611.07</v>
      </c>
      <c r="O509" s="1" t="str">
        <f>TEXT(Sales_Data[[#This Row],[Order Date]], "MM-YYYY")</f>
        <v>02-2019</v>
      </c>
    </row>
    <row r="510" spans="1:15" x14ac:dyDescent="0.3">
      <c r="A510" s="1">
        <v>27109</v>
      </c>
      <c r="B510" s="2">
        <v>43503</v>
      </c>
      <c r="C510" s="1" t="s">
        <v>12</v>
      </c>
      <c r="D510" s="1">
        <v>48</v>
      </c>
      <c r="E510" t="s">
        <v>24</v>
      </c>
      <c r="F510" t="s">
        <v>24</v>
      </c>
      <c r="G510" s="1">
        <v>575.9</v>
      </c>
      <c r="H510">
        <v>0.01</v>
      </c>
      <c r="I510">
        <f>Sales_Data[[#This Row],[Sales]]*Sales_Data[[#This Row],[Discount]]</f>
        <v>5.7589999999999995</v>
      </c>
      <c r="J510">
        <v>570.14099999999996</v>
      </c>
      <c r="K510" s="1">
        <v>7</v>
      </c>
      <c r="L510" s="1">
        <v>568.9</v>
      </c>
      <c r="M510" s="1" t="s">
        <v>10</v>
      </c>
      <c r="N510" s="1">
        <f>IF(Sales_Data[[#This Row],[Sales with Discount]]&lt;Sales_Data[[#This Row],[Sales with Free Shipping]],Sales_Data[[#This Row],[Sales with Discount]],Sales_Data[[#This Row],[Sales with Free Shipping]])</f>
        <v>568.9</v>
      </c>
      <c r="O510" s="1" t="str">
        <f>TEXT(Sales_Data[[#This Row],[Order Date]], "MM-YYYY")</f>
        <v>02-2019</v>
      </c>
    </row>
    <row r="511" spans="1:15" x14ac:dyDescent="0.3">
      <c r="A511" s="1">
        <v>2755</v>
      </c>
      <c r="B511" s="2">
        <v>43501</v>
      </c>
      <c r="C511" s="1" t="s">
        <v>11</v>
      </c>
      <c r="D511" s="1">
        <v>30</v>
      </c>
      <c r="E511" t="s">
        <v>20</v>
      </c>
      <c r="F511" t="s">
        <v>20</v>
      </c>
      <c r="G511" s="1">
        <v>787.84</v>
      </c>
      <c r="H511">
        <v>0</v>
      </c>
      <c r="I511">
        <f>Sales_Data[[#This Row],[Sales]]*Sales_Data[[#This Row],[Discount]]</f>
        <v>0</v>
      </c>
      <c r="J511">
        <v>787.84</v>
      </c>
      <c r="K511" s="1">
        <v>3.2</v>
      </c>
      <c r="L511" s="1">
        <v>787.84</v>
      </c>
      <c r="M511" s="1" t="s">
        <v>10</v>
      </c>
      <c r="N511" s="1">
        <f>IF(Sales_Data[[#This Row],[Sales with Discount]]&lt;Sales_Data[[#This Row],[Sales with Free Shipping]],Sales_Data[[#This Row],[Sales with Discount]],Sales_Data[[#This Row],[Sales with Free Shipping]])</f>
        <v>787.84</v>
      </c>
      <c r="O511" s="1" t="str">
        <f>TEXT(Sales_Data[[#This Row],[Order Date]], "MM-YYYY")</f>
        <v>02-2019</v>
      </c>
    </row>
    <row r="512" spans="1:15" x14ac:dyDescent="0.3">
      <c r="A512" s="1">
        <v>46977</v>
      </c>
      <c r="B512" s="2">
        <v>43592</v>
      </c>
      <c r="C512" s="1" t="s">
        <v>14</v>
      </c>
      <c r="D512" s="1">
        <v>19</v>
      </c>
      <c r="E512" t="s">
        <v>19</v>
      </c>
      <c r="F512" t="s">
        <v>19</v>
      </c>
      <c r="G512" s="1">
        <v>3189</v>
      </c>
      <c r="H512">
        <v>0</v>
      </c>
      <c r="I512">
        <f>Sales_Data[[#This Row],[Sales]]*Sales_Data[[#This Row],[Discount]]</f>
        <v>0</v>
      </c>
      <c r="J512">
        <v>3189</v>
      </c>
      <c r="K512" s="1">
        <v>9.6</v>
      </c>
      <c r="L512" s="1">
        <v>3189</v>
      </c>
      <c r="M512" s="1" t="s">
        <v>10</v>
      </c>
      <c r="N512" s="1">
        <f>IF(Sales_Data[[#This Row],[Sales with Discount]]&lt;Sales_Data[[#This Row],[Sales with Free Shipping]],Sales_Data[[#This Row],[Sales with Discount]],Sales_Data[[#This Row],[Sales with Free Shipping]])</f>
        <v>3189</v>
      </c>
      <c r="O512" s="1" t="str">
        <f>TEXT(Sales_Data[[#This Row],[Order Date]], "MM-YYYY")</f>
        <v>05-2019</v>
      </c>
    </row>
    <row r="513" spans="1:15" x14ac:dyDescent="0.3">
      <c r="A513" s="1">
        <v>2560</v>
      </c>
      <c r="B513" s="2">
        <v>43712</v>
      </c>
      <c r="C513" s="1" t="s">
        <v>12</v>
      </c>
      <c r="D513" s="1">
        <v>23</v>
      </c>
      <c r="E513" t="s">
        <v>14</v>
      </c>
      <c r="F513" t="s">
        <v>14</v>
      </c>
      <c r="G513" s="1">
        <v>122.13</v>
      </c>
      <c r="H513">
        <v>0</v>
      </c>
      <c r="I513">
        <f>Sales_Data[[#This Row],[Sales]]*Sales_Data[[#This Row],[Discount]]</f>
        <v>0</v>
      </c>
      <c r="J513">
        <v>122.13</v>
      </c>
      <c r="K513" s="1">
        <v>5.9</v>
      </c>
      <c r="L513" s="1">
        <v>122.13</v>
      </c>
      <c r="M513" s="1" t="s">
        <v>10</v>
      </c>
      <c r="N513" s="1">
        <f>IF(Sales_Data[[#This Row],[Sales with Discount]]&lt;Sales_Data[[#This Row],[Sales with Free Shipping]],Sales_Data[[#This Row],[Sales with Discount]],Sales_Data[[#This Row],[Sales with Free Shipping]])</f>
        <v>122.13</v>
      </c>
      <c r="O513" s="1" t="str">
        <f>TEXT(Sales_Data[[#This Row],[Order Date]], "MM-YYYY")</f>
        <v>09-2019</v>
      </c>
    </row>
    <row r="514" spans="1:15" x14ac:dyDescent="0.3">
      <c r="A514" s="1">
        <v>11969</v>
      </c>
      <c r="B514" s="2">
        <v>43483</v>
      </c>
      <c r="C514" s="1" t="s">
        <v>11</v>
      </c>
      <c r="D514" s="1">
        <v>42</v>
      </c>
      <c r="E514" t="s">
        <v>23</v>
      </c>
      <c r="F514" t="s">
        <v>23</v>
      </c>
      <c r="G514" s="1">
        <v>12263.013199999999</v>
      </c>
      <c r="H514">
        <v>0.01</v>
      </c>
      <c r="I514">
        <f>Sales_Data[[#This Row],[Sales]]*Sales_Data[[#This Row],[Discount]]</f>
        <v>122.630132</v>
      </c>
      <c r="J514">
        <v>12140.383067999999</v>
      </c>
      <c r="K514" s="1">
        <v>64.2</v>
      </c>
      <c r="L514" s="1">
        <v>12198.813199999999</v>
      </c>
      <c r="M514" s="1" t="s">
        <v>13</v>
      </c>
      <c r="N514" s="1">
        <f>IF(Sales_Data[[#This Row],[Sales with Discount]]&lt;Sales_Data[[#This Row],[Sales with Free Shipping]],Sales_Data[[#This Row],[Sales with Discount]],Sales_Data[[#This Row],[Sales with Free Shipping]])</f>
        <v>12140.383067999999</v>
      </c>
      <c r="O514" s="1" t="str">
        <f>TEXT(Sales_Data[[#This Row],[Order Date]], "MM-YYYY")</f>
        <v>01-2019</v>
      </c>
    </row>
    <row r="515" spans="1:15" x14ac:dyDescent="0.3">
      <c r="A515" s="1">
        <v>38656</v>
      </c>
      <c r="B515" s="2">
        <v>43687</v>
      </c>
      <c r="C515" s="1" t="s">
        <v>7</v>
      </c>
      <c r="D515" s="1">
        <v>41</v>
      </c>
      <c r="E515" t="s">
        <v>23</v>
      </c>
      <c r="F515" t="s">
        <v>23</v>
      </c>
      <c r="G515" s="1">
        <v>173.89</v>
      </c>
      <c r="H515">
        <v>0.01</v>
      </c>
      <c r="I515">
        <f>Sales_Data[[#This Row],[Sales]]*Sales_Data[[#This Row],[Discount]]</f>
        <v>1.7388999999999999</v>
      </c>
      <c r="J515">
        <v>172.15109999999999</v>
      </c>
      <c r="K515" s="1">
        <v>5.7</v>
      </c>
      <c r="L515" s="1">
        <v>168.19</v>
      </c>
      <c r="M515" s="1" t="s">
        <v>10</v>
      </c>
      <c r="N515" s="1">
        <f>IF(Sales_Data[[#This Row],[Sales with Discount]]&lt;Sales_Data[[#This Row],[Sales with Free Shipping]],Sales_Data[[#This Row],[Sales with Discount]],Sales_Data[[#This Row],[Sales with Free Shipping]])</f>
        <v>168.19</v>
      </c>
      <c r="O515" s="1" t="str">
        <f>TEXT(Sales_Data[[#This Row],[Order Date]], "MM-YYYY")</f>
        <v>08-2019</v>
      </c>
    </row>
    <row r="516" spans="1:15" x14ac:dyDescent="0.3">
      <c r="A516" s="1">
        <v>32835</v>
      </c>
      <c r="B516" s="2">
        <v>43653</v>
      </c>
      <c r="C516" s="1" t="s">
        <v>14</v>
      </c>
      <c r="D516" s="1">
        <v>15</v>
      </c>
      <c r="E516" t="s">
        <v>18</v>
      </c>
      <c r="F516" t="s">
        <v>18</v>
      </c>
      <c r="G516" s="1">
        <v>612.50279999999998</v>
      </c>
      <c r="H516">
        <v>0</v>
      </c>
      <c r="I516">
        <f>Sales_Data[[#This Row],[Sales]]*Sales_Data[[#This Row],[Discount]]</f>
        <v>0</v>
      </c>
      <c r="J516">
        <v>612.50279999999998</v>
      </c>
      <c r="K516" s="1">
        <v>5.3</v>
      </c>
      <c r="L516" s="1">
        <v>612.50279999999998</v>
      </c>
      <c r="M516" s="1" t="s">
        <v>10</v>
      </c>
      <c r="N516" s="1">
        <f>IF(Sales_Data[[#This Row],[Sales with Discount]]&lt;Sales_Data[[#This Row],[Sales with Free Shipping]],Sales_Data[[#This Row],[Sales with Discount]],Sales_Data[[#This Row],[Sales with Free Shipping]])</f>
        <v>612.50279999999998</v>
      </c>
      <c r="O516" s="1" t="str">
        <f>TEXT(Sales_Data[[#This Row],[Order Date]], "MM-YYYY")</f>
        <v>07-2019</v>
      </c>
    </row>
    <row r="517" spans="1:15" x14ac:dyDescent="0.3">
      <c r="A517" s="1">
        <v>34723</v>
      </c>
      <c r="B517" s="2">
        <v>43808</v>
      </c>
      <c r="C517" s="1" t="s">
        <v>14</v>
      </c>
      <c r="D517" s="1">
        <v>29</v>
      </c>
      <c r="E517" t="s">
        <v>20</v>
      </c>
      <c r="F517" t="s">
        <v>20</v>
      </c>
      <c r="G517" s="1">
        <v>1592.05</v>
      </c>
      <c r="H517">
        <v>0</v>
      </c>
      <c r="I517">
        <f>Sales_Data[[#This Row],[Sales]]*Sales_Data[[#This Row],[Discount]]</f>
        <v>0</v>
      </c>
      <c r="J517">
        <v>1592.05</v>
      </c>
      <c r="K517" s="1">
        <v>9.6</v>
      </c>
      <c r="L517" s="1">
        <v>1592.05</v>
      </c>
      <c r="M517" s="1" t="s">
        <v>10</v>
      </c>
      <c r="N517" s="1">
        <f>IF(Sales_Data[[#This Row],[Sales with Discount]]&lt;Sales_Data[[#This Row],[Sales with Free Shipping]],Sales_Data[[#This Row],[Sales with Discount]],Sales_Data[[#This Row],[Sales with Free Shipping]])</f>
        <v>1592.05</v>
      </c>
      <c r="O517" s="1" t="str">
        <f>TEXT(Sales_Data[[#This Row],[Order Date]], "MM-YYYY")</f>
        <v>12-2019</v>
      </c>
    </row>
    <row r="518" spans="1:15" x14ac:dyDescent="0.3">
      <c r="A518" s="1">
        <v>51872</v>
      </c>
      <c r="B518" s="2">
        <v>43578</v>
      </c>
      <c r="C518" s="1" t="s">
        <v>14</v>
      </c>
      <c r="D518" s="1">
        <v>37</v>
      </c>
      <c r="E518" t="s">
        <v>22</v>
      </c>
      <c r="F518" t="s">
        <v>22</v>
      </c>
      <c r="G518" s="1">
        <v>4983.6871000000001</v>
      </c>
      <c r="H518">
        <v>0.01</v>
      </c>
      <c r="I518">
        <f>Sales_Data[[#This Row],[Sales]]*Sales_Data[[#This Row],[Discount]]</f>
        <v>49.836871000000002</v>
      </c>
      <c r="J518">
        <v>4933.8502289999997</v>
      </c>
      <c r="K518" s="1">
        <v>4.2</v>
      </c>
      <c r="L518" s="1">
        <v>4979.4871000000003</v>
      </c>
      <c r="M518" s="1" t="s">
        <v>10</v>
      </c>
      <c r="N518" s="1">
        <f>IF(Sales_Data[[#This Row],[Sales with Discount]]&lt;Sales_Data[[#This Row],[Sales with Free Shipping]],Sales_Data[[#This Row],[Sales with Discount]],Sales_Data[[#This Row],[Sales with Free Shipping]])</f>
        <v>4933.8502289999997</v>
      </c>
      <c r="O518" s="1" t="str">
        <f>TEXT(Sales_Data[[#This Row],[Order Date]], "MM-YYYY")</f>
        <v>04-2019</v>
      </c>
    </row>
    <row r="519" spans="1:15" x14ac:dyDescent="0.3">
      <c r="A519" s="1">
        <v>43653</v>
      </c>
      <c r="B519" s="2">
        <v>43768</v>
      </c>
      <c r="C519" s="1" t="s">
        <v>9</v>
      </c>
      <c r="D519" s="1">
        <v>3</v>
      </c>
      <c r="E519" t="s">
        <v>16</v>
      </c>
      <c r="F519" t="s">
        <v>16</v>
      </c>
      <c r="G519" s="1">
        <v>11.36</v>
      </c>
      <c r="H519">
        <v>0</v>
      </c>
      <c r="I519">
        <f>Sales_Data[[#This Row],[Sales]]*Sales_Data[[#This Row],[Discount]]</f>
        <v>0</v>
      </c>
      <c r="J519">
        <v>11.36</v>
      </c>
      <c r="K519" s="1">
        <v>1.4</v>
      </c>
      <c r="L519" s="1">
        <v>11.36</v>
      </c>
      <c r="M519" s="1" t="s">
        <v>10</v>
      </c>
      <c r="N519" s="1">
        <f>IF(Sales_Data[[#This Row],[Sales with Discount]]&lt;Sales_Data[[#This Row],[Sales with Free Shipping]],Sales_Data[[#This Row],[Sales with Discount]],Sales_Data[[#This Row],[Sales with Free Shipping]])</f>
        <v>11.36</v>
      </c>
      <c r="O519" s="1" t="str">
        <f>TEXT(Sales_Data[[#This Row],[Order Date]], "MM-YYYY")</f>
        <v>10-2019</v>
      </c>
    </row>
    <row r="520" spans="1:15" x14ac:dyDescent="0.3">
      <c r="A520" s="1">
        <v>10917</v>
      </c>
      <c r="B520" s="2">
        <v>43505</v>
      </c>
      <c r="C520" s="1" t="s">
        <v>12</v>
      </c>
      <c r="D520" s="1">
        <v>14</v>
      </c>
      <c r="E520" t="s">
        <v>18</v>
      </c>
      <c r="F520" t="s">
        <v>18</v>
      </c>
      <c r="G520" s="1">
        <v>1371.05</v>
      </c>
      <c r="H520">
        <v>0</v>
      </c>
      <c r="I520">
        <f>Sales_Data[[#This Row],[Sales]]*Sales_Data[[#This Row],[Discount]]</f>
        <v>0</v>
      </c>
      <c r="J520">
        <v>1371.05</v>
      </c>
      <c r="K520" s="1">
        <v>6.4</v>
      </c>
      <c r="L520" s="1">
        <v>1371.05</v>
      </c>
      <c r="M520" s="1" t="s">
        <v>8</v>
      </c>
      <c r="N520" s="1">
        <f>IF(Sales_Data[[#This Row],[Sales with Discount]]&lt;Sales_Data[[#This Row],[Sales with Free Shipping]],Sales_Data[[#This Row],[Sales with Discount]],Sales_Data[[#This Row],[Sales with Free Shipping]])</f>
        <v>1371.05</v>
      </c>
      <c r="O520" s="1" t="str">
        <f>TEXT(Sales_Data[[#This Row],[Order Date]], "MM-YYYY")</f>
        <v>02-2019</v>
      </c>
    </row>
    <row r="521" spans="1:15" x14ac:dyDescent="0.3">
      <c r="A521" s="1">
        <v>11969</v>
      </c>
      <c r="B521" s="2">
        <v>43483</v>
      </c>
      <c r="C521" s="1" t="s">
        <v>11</v>
      </c>
      <c r="D521" s="1">
        <v>16</v>
      </c>
      <c r="E521" t="s">
        <v>19</v>
      </c>
      <c r="F521" t="s">
        <v>19</v>
      </c>
      <c r="G521" s="1">
        <v>1802.9072000000001</v>
      </c>
      <c r="H521">
        <v>0</v>
      </c>
      <c r="I521">
        <f>Sales_Data[[#This Row],[Sales]]*Sales_Data[[#This Row],[Discount]]</f>
        <v>0</v>
      </c>
      <c r="J521">
        <v>1802.9072000000001</v>
      </c>
      <c r="K521" s="1">
        <v>37.5</v>
      </c>
      <c r="L521" s="1">
        <v>1802.9072000000001</v>
      </c>
      <c r="M521" s="1" t="s">
        <v>10</v>
      </c>
      <c r="N521" s="1">
        <f>IF(Sales_Data[[#This Row],[Sales with Discount]]&lt;Sales_Data[[#This Row],[Sales with Free Shipping]],Sales_Data[[#This Row],[Sales with Discount]],Sales_Data[[#This Row],[Sales with Free Shipping]])</f>
        <v>1802.9072000000001</v>
      </c>
      <c r="O521" s="1" t="str">
        <f>TEXT(Sales_Data[[#This Row],[Order Date]], "MM-YYYY")</f>
        <v>01-2019</v>
      </c>
    </row>
    <row r="522" spans="1:15" x14ac:dyDescent="0.3">
      <c r="A522" s="1">
        <v>18757</v>
      </c>
      <c r="B522" s="2">
        <v>43607</v>
      </c>
      <c r="C522" s="1" t="s">
        <v>7</v>
      </c>
      <c r="D522" s="1">
        <v>43</v>
      </c>
      <c r="E522" t="s">
        <v>23</v>
      </c>
      <c r="F522" t="s">
        <v>23</v>
      </c>
      <c r="G522" s="1">
        <v>342.36</v>
      </c>
      <c r="H522">
        <v>0.01</v>
      </c>
      <c r="I522">
        <f>Sales_Data[[#This Row],[Sales]]*Sales_Data[[#This Row],[Discount]]</f>
        <v>3.4236000000000004</v>
      </c>
      <c r="J522">
        <v>338.93639999999999</v>
      </c>
      <c r="K522" s="1">
        <v>1.7</v>
      </c>
      <c r="L522" s="1">
        <v>340.66</v>
      </c>
      <c r="M522" s="1" t="s">
        <v>8</v>
      </c>
      <c r="N522" s="1">
        <f>IF(Sales_Data[[#This Row],[Sales with Discount]]&lt;Sales_Data[[#This Row],[Sales with Free Shipping]],Sales_Data[[#This Row],[Sales with Discount]],Sales_Data[[#This Row],[Sales with Free Shipping]])</f>
        <v>338.93639999999999</v>
      </c>
      <c r="O522" s="1" t="str">
        <f>TEXT(Sales_Data[[#This Row],[Order Date]], "MM-YYYY")</f>
        <v>05-2019</v>
      </c>
    </row>
    <row r="523" spans="1:15" x14ac:dyDescent="0.3">
      <c r="A523" s="1">
        <v>49953</v>
      </c>
      <c r="B523" s="2">
        <v>43541</v>
      </c>
      <c r="C523" s="1" t="s">
        <v>11</v>
      </c>
      <c r="D523" s="1">
        <v>18</v>
      </c>
      <c r="E523" t="s">
        <v>19</v>
      </c>
      <c r="F523" t="s">
        <v>19</v>
      </c>
      <c r="G523" s="1">
        <v>303.35000000000002</v>
      </c>
      <c r="H523">
        <v>0</v>
      </c>
      <c r="I523">
        <f>Sales_Data[[#This Row],[Sales]]*Sales_Data[[#This Row],[Discount]]</f>
        <v>0</v>
      </c>
      <c r="J523">
        <v>303.35000000000002</v>
      </c>
      <c r="K523" s="1">
        <v>7</v>
      </c>
      <c r="L523" s="1">
        <v>303.35000000000002</v>
      </c>
      <c r="M523" s="1" t="s">
        <v>10</v>
      </c>
      <c r="N523" s="1">
        <f>IF(Sales_Data[[#This Row],[Sales with Discount]]&lt;Sales_Data[[#This Row],[Sales with Free Shipping]],Sales_Data[[#This Row],[Sales with Discount]],Sales_Data[[#This Row],[Sales with Free Shipping]])</f>
        <v>303.35000000000002</v>
      </c>
      <c r="O523" s="1" t="str">
        <f>TEXT(Sales_Data[[#This Row],[Order Date]], "MM-YYYY")</f>
        <v>03-2019</v>
      </c>
    </row>
    <row r="524" spans="1:15" x14ac:dyDescent="0.3">
      <c r="A524" s="1">
        <v>8388</v>
      </c>
      <c r="B524" s="2">
        <v>43518</v>
      </c>
      <c r="C524" s="1" t="s">
        <v>7</v>
      </c>
      <c r="D524" s="1">
        <v>37</v>
      </c>
      <c r="E524" t="s">
        <v>22</v>
      </c>
      <c r="F524" t="s">
        <v>22</v>
      </c>
      <c r="G524" s="1">
        <v>464.5</v>
      </c>
      <c r="H524">
        <v>0.01</v>
      </c>
      <c r="I524">
        <f>Sales_Data[[#This Row],[Sales]]*Sales_Data[[#This Row],[Discount]]</f>
        <v>4.6450000000000005</v>
      </c>
      <c r="J524">
        <v>459.85500000000002</v>
      </c>
      <c r="K524" s="1">
        <v>6</v>
      </c>
      <c r="L524" s="1">
        <v>458.5</v>
      </c>
      <c r="M524" s="1" t="s">
        <v>10</v>
      </c>
      <c r="N524" s="1">
        <f>IF(Sales_Data[[#This Row],[Sales with Discount]]&lt;Sales_Data[[#This Row],[Sales with Free Shipping]],Sales_Data[[#This Row],[Sales with Discount]],Sales_Data[[#This Row],[Sales with Free Shipping]])</f>
        <v>458.5</v>
      </c>
      <c r="O524" s="1" t="str">
        <f>TEXT(Sales_Data[[#This Row],[Order Date]], "MM-YYYY")</f>
        <v>02-2019</v>
      </c>
    </row>
    <row r="525" spans="1:15" x14ac:dyDescent="0.3">
      <c r="A525" s="1">
        <v>28582</v>
      </c>
      <c r="B525" s="2">
        <v>43486</v>
      </c>
      <c r="C525" s="1" t="s">
        <v>11</v>
      </c>
      <c r="D525" s="1">
        <v>40</v>
      </c>
      <c r="E525" t="s">
        <v>22</v>
      </c>
      <c r="F525" t="s">
        <v>22</v>
      </c>
      <c r="G525" s="1">
        <v>1605.18</v>
      </c>
      <c r="H525">
        <v>0.01</v>
      </c>
      <c r="I525">
        <f>Sales_Data[[#This Row],[Sales]]*Sales_Data[[#This Row],[Discount]]</f>
        <v>16.0518</v>
      </c>
      <c r="J525">
        <v>1589.1282000000001</v>
      </c>
      <c r="K525" s="1">
        <v>2.1</v>
      </c>
      <c r="L525" s="1">
        <v>1603.0800000000002</v>
      </c>
      <c r="M525" s="1" t="s">
        <v>8</v>
      </c>
      <c r="N525" s="1">
        <f>IF(Sales_Data[[#This Row],[Sales with Discount]]&lt;Sales_Data[[#This Row],[Sales with Free Shipping]],Sales_Data[[#This Row],[Sales with Discount]],Sales_Data[[#This Row],[Sales with Free Shipping]])</f>
        <v>1589.1282000000001</v>
      </c>
      <c r="O525" s="1" t="str">
        <f>TEXT(Sales_Data[[#This Row],[Order Date]], "MM-YYYY")</f>
        <v>01-2019</v>
      </c>
    </row>
    <row r="526" spans="1:15" x14ac:dyDescent="0.3">
      <c r="A526" s="1">
        <v>27616</v>
      </c>
      <c r="B526" s="2">
        <v>43676</v>
      </c>
      <c r="C526" s="1" t="s">
        <v>7</v>
      </c>
      <c r="D526" s="1">
        <v>3</v>
      </c>
      <c r="E526" t="s">
        <v>16</v>
      </c>
      <c r="F526" t="s">
        <v>16</v>
      </c>
      <c r="G526" s="1">
        <v>657.13</v>
      </c>
      <c r="H526">
        <v>0</v>
      </c>
      <c r="I526">
        <f>Sales_Data[[#This Row],[Sales]]*Sales_Data[[#This Row],[Discount]]</f>
        <v>0</v>
      </c>
      <c r="J526">
        <v>657.13</v>
      </c>
      <c r="K526" s="1">
        <v>26.2</v>
      </c>
      <c r="L526" s="1">
        <v>657.13</v>
      </c>
      <c r="M526" s="1" t="s">
        <v>10</v>
      </c>
      <c r="N526" s="1">
        <f>IF(Sales_Data[[#This Row],[Sales with Discount]]&lt;Sales_Data[[#This Row],[Sales with Free Shipping]],Sales_Data[[#This Row],[Sales with Discount]],Sales_Data[[#This Row],[Sales with Free Shipping]])</f>
        <v>657.13</v>
      </c>
      <c r="O526" s="1" t="str">
        <f>TEXT(Sales_Data[[#This Row],[Order Date]], "MM-YYYY")</f>
        <v>07-2019</v>
      </c>
    </row>
    <row r="527" spans="1:15" x14ac:dyDescent="0.3">
      <c r="A527" s="1">
        <v>47777</v>
      </c>
      <c r="B527" s="2">
        <v>43794</v>
      </c>
      <c r="C527" s="1" t="s">
        <v>7</v>
      </c>
      <c r="D527" s="1">
        <v>13</v>
      </c>
      <c r="E527" t="s">
        <v>18</v>
      </c>
      <c r="F527" t="s">
        <v>18</v>
      </c>
      <c r="G527" s="1">
        <v>94.06</v>
      </c>
      <c r="H527">
        <v>0</v>
      </c>
      <c r="I527">
        <f>Sales_Data[[#This Row],[Sales]]*Sales_Data[[#This Row],[Discount]]</f>
        <v>0</v>
      </c>
      <c r="J527">
        <v>94.06</v>
      </c>
      <c r="K527" s="1">
        <v>5.8</v>
      </c>
      <c r="L527" s="1">
        <v>94.06</v>
      </c>
      <c r="M527" s="1" t="s">
        <v>10</v>
      </c>
      <c r="N527" s="1">
        <f>IF(Sales_Data[[#This Row],[Sales with Discount]]&lt;Sales_Data[[#This Row],[Sales with Free Shipping]],Sales_Data[[#This Row],[Sales with Discount]],Sales_Data[[#This Row],[Sales with Free Shipping]])</f>
        <v>94.06</v>
      </c>
      <c r="O527" s="1" t="str">
        <f>TEXT(Sales_Data[[#This Row],[Order Date]], "MM-YYYY")</f>
        <v>11-2019</v>
      </c>
    </row>
    <row r="528" spans="1:15" x14ac:dyDescent="0.3">
      <c r="A528" s="1">
        <v>18849</v>
      </c>
      <c r="B528" s="2">
        <v>43682</v>
      </c>
      <c r="C528" s="1" t="s">
        <v>9</v>
      </c>
      <c r="D528" s="1">
        <v>6</v>
      </c>
      <c r="E528" t="s">
        <v>17</v>
      </c>
      <c r="F528" t="s">
        <v>17</v>
      </c>
      <c r="G528" s="1">
        <v>804.33</v>
      </c>
      <c r="H528">
        <v>0</v>
      </c>
      <c r="I528">
        <f>Sales_Data[[#This Row],[Sales]]*Sales_Data[[#This Row],[Discount]]</f>
        <v>0</v>
      </c>
      <c r="J528">
        <v>804.33</v>
      </c>
      <c r="K528" s="1">
        <v>1.1000000000000001</v>
      </c>
      <c r="L528" s="1">
        <v>804.33</v>
      </c>
      <c r="M528" s="1" t="s">
        <v>10</v>
      </c>
      <c r="N528" s="1">
        <f>IF(Sales_Data[[#This Row],[Sales with Discount]]&lt;Sales_Data[[#This Row],[Sales with Free Shipping]],Sales_Data[[#This Row],[Sales with Discount]],Sales_Data[[#This Row],[Sales with Free Shipping]])</f>
        <v>804.33</v>
      </c>
      <c r="O528" s="1" t="str">
        <f>TEXT(Sales_Data[[#This Row],[Order Date]], "MM-YYYY")</f>
        <v>08-2019</v>
      </c>
    </row>
    <row r="529" spans="1:15" x14ac:dyDescent="0.3">
      <c r="A529" s="1">
        <v>54020</v>
      </c>
      <c r="B529" s="2">
        <v>43495</v>
      </c>
      <c r="C529" s="1" t="s">
        <v>7</v>
      </c>
      <c r="D529" s="1">
        <v>35</v>
      </c>
      <c r="E529" t="s">
        <v>21</v>
      </c>
      <c r="F529" t="s">
        <v>21</v>
      </c>
      <c r="G529" s="1">
        <v>693.98</v>
      </c>
      <c r="H529">
        <v>0</v>
      </c>
      <c r="I529">
        <f>Sales_Data[[#This Row],[Sales]]*Sales_Data[[#This Row],[Discount]]</f>
        <v>0</v>
      </c>
      <c r="J529">
        <v>693.98</v>
      </c>
      <c r="K529" s="1">
        <v>5.6</v>
      </c>
      <c r="L529" s="1">
        <v>693.98</v>
      </c>
      <c r="M529" s="1" t="s">
        <v>10</v>
      </c>
      <c r="N529" s="1">
        <f>IF(Sales_Data[[#This Row],[Sales with Discount]]&lt;Sales_Data[[#This Row],[Sales with Free Shipping]],Sales_Data[[#This Row],[Sales with Discount]],Sales_Data[[#This Row],[Sales with Free Shipping]])</f>
        <v>693.98</v>
      </c>
      <c r="O529" s="1" t="str">
        <f>TEXT(Sales_Data[[#This Row],[Order Date]], "MM-YYYY")</f>
        <v>01-2019</v>
      </c>
    </row>
    <row r="530" spans="1:15" x14ac:dyDescent="0.3">
      <c r="A530" s="1">
        <v>42115</v>
      </c>
      <c r="B530" s="2">
        <v>43513</v>
      </c>
      <c r="C530" s="1" t="s">
        <v>12</v>
      </c>
      <c r="D530" s="1">
        <v>21</v>
      </c>
      <c r="E530" t="s">
        <v>14</v>
      </c>
      <c r="F530" t="s">
        <v>14</v>
      </c>
      <c r="G530" s="1">
        <v>721.09439999999995</v>
      </c>
      <c r="H530">
        <v>0</v>
      </c>
      <c r="I530">
        <f>Sales_Data[[#This Row],[Sales]]*Sales_Data[[#This Row],[Discount]]</f>
        <v>0</v>
      </c>
      <c r="J530">
        <v>721.09439999999995</v>
      </c>
      <c r="K530" s="1">
        <v>2.1</v>
      </c>
      <c r="L530" s="1">
        <v>721.09439999999995</v>
      </c>
      <c r="M530" s="1" t="s">
        <v>10</v>
      </c>
      <c r="N530" s="1">
        <f>IF(Sales_Data[[#This Row],[Sales with Discount]]&lt;Sales_Data[[#This Row],[Sales with Free Shipping]],Sales_Data[[#This Row],[Sales with Discount]],Sales_Data[[#This Row],[Sales with Free Shipping]])</f>
        <v>721.09439999999995</v>
      </c>
      <c r="O530" s="1" t="str">
        <f>TEXT(Sales_Data[[#This Row],[Order Date]], "MM-YYYY")</f>
        <v>02-2019</v>
      </c>
    </row>
    <row r="531" spans="1:15" x14ac:dyDescent="0.3">
      <c r="A531" s="1">
        <v>18500</v>
      </c>
      <c r="B531" s="2">
        <v>43506</v>
      </c>
      <c r="C531" s="1" t="s">
        <v>14</v>
      </c>
      <c r="D531" s="1">
        <v>30</v>
      </c>
      <c r="E531" t="s">
        <v>20</v>
      </c>
      <c r="F531" t="s">
        <v>20</v>
      </c>
      <c r="G531" s="1">
        <v>2713.85</v>
      </c>
      <c r="H531">
        <v>0</v>
      </c>
      <c r="I531">
        <f>Sales_Data[[#This Row],[Sales]]*Sales_Data[[#This Row],[Discount]]</f>
        <v>0</v>
      </c>
      <c r="J531">
        <v>2713.85</v>
      </c>
      <c r="K531" s="1">
        <v>37.5</v>
      </c>
      <c r="L531" s="1">
        <v>2713.85</v>
      </c>
      <c r="M531" s="1" t="s">
        <v>10</v>
      </c>
      <c r="N531" s="1">
        <f>IF(Sales_Data[[#This Row],[Sales with Discount]]&lt;Sales_Data[[#This Row],[Sales with Free Shipping]],Sales_Data[[#This Row],[Sales with Discount]],Sales_Data[[#This Row],[Sales with Free Shipping]])</f>
        <v>2713.85</v>
      </c>
      <c r="O531" s="1" t="str">
        <f>TEXT(Sales_Data[[#This Row],[Order Date]], "MM-YYYY")</f>
        <v>02-2019</v>
      </c>
    </row>
    <row r="532" spans="1:15" x14ac:dyDescent="0.3">
      <c r="A532" s="1">
        <v>14695</v>
      </c>
      <c r="B532" s="2">
        <v>43713</v>
      </c>
      <c r="C532" s="1" t="s">
        <v>9</v>
      </c>
      <c r="D532" s="1">
        <v>40</v>
      </c>
      <c r="E532" t="s">
        <v>22</v>
      </c>
      <c r="F532" t="s">
        <v>22</v>
      </c>
      <c r="G532" s="1">
        <v>2131.92</v>
      </c>
      <c r="H532">
        <v>0.01</v>
      </c>
      <c r="I532">
        <f>Sales_Data[[#This Row],[Sales]]*Sales_Data[[#This Row],[Discount]]</f>
        <v>21.319200000000002</v>
      </c>
      <c r="J532">
        <v>2110.6008000000002</v>
      </c>
      <c r="K532" s="1">
        <v>57.9</v>
      </c>
      <c r="L532" s="1">
        <v>2074.02</v>
      </c>
      <c r="M532" s="1" t="s">
        <v>13</v>
      </c>
      <c r="N532" s="1">
        <f>IF(Sales_Data[[#This Row],[Sales with Discount]]&lt;Sales_Data[[#This Row],[Sales with Free Shipping]],Sales_Data[[#This Row],[Sales with Discount]],Sales_Data[[#This Row],[Sales with Free Shipping]])</f>
        <v>2074.02</v>
      </c>
      <c r="O532" s="1" t="str">
        <f>TEXT(Sales_Data[[#This Row],[Order Date]], "MM-YYYY")</f>
        <v>09-2019</v>
      </c>
    </row>
    <row r="533" spans="1:15" x14ac:dyDescent="0.3">
      <c r="A533" s="1">
        <v>38279</v>
      </c>
      <c r="B533" s="2">
        <v>43584</v>
      </c>
      <c r="C533" s="1" t="s">
        <v>14</v>
      </c>
      <c r="D533" s="1">
        <v>1</v>
      </c>
      <c r="E533" t="s">
        <v>16</v>
      </c>
      <c r="F533" t="s">
        <v>16</v>
      </c>
      <c r="G533" s="1">
        <v>12.45</v>
      </c>
      <c r="H533">
        <v>0</v>
      </c>
      <c r="I533">
        <f>Sales_Data[[#This Row],[Sales]]*Sales_Data[[#This Row],[Discount]]</f>
        <v>0</v>
      </c>
      <c r="J533">
        <v>12.45</v>
      </c>
      <c r="K533" s="1">
        <v>4.3</v>
      </c>
      <c r="L533" s="1">
        <v>12.45</v>
      </c>
      <c r="M533" s="1" t="s">
        <v>10</v>
      </c>
      <c r="N533" s="1">
        <f>IF(Sales_Data[[#This Row],[Sales with Discount]]&lt;Sales_Data[[#This Row],[Sales with Free Shipping]],Sales_Data[[#This Row],[Sales with Discount]],Sales_Data[[#This Row],[Sales with Free Shipping]])</f>
        <v>12.45</v>
      </c>
      <c r="O533" s="1" t="str">
        <f>TEXT(Sales_Data[[#This Row],[Order Date]], "MM-YYYY")</f>
        <v>04-2019</v>
      </c>
    </row>
    <row r="534" spans="1:15" x14ac:dyDescent="0.3">
      <c r="A534" s="1">
        <v>14215</v>
      </c>
      <c r="B534" s="2">
        <v>43659</v>
      </c>
      <c r="C534" s="1" t="s">
        <v>14</v>
      </c>
      <c r="D534" s="1">
        <v>44</v>
      </c>
      <c r="E534" t="s">
        <v>23</v>
      </c>
      <c r="F534" t="s">
        <v>23</v>
      </c>
      <c r="G534" s="1">
        <v>2436.42</v>
      </c>
      <c r="H534">
        <v>0.01</v>
      </c>
      <c r="I534">
        <f>Sales_Data[[#This Row],[Sales]]*Sales_Data[[#This Row],[Discount]]</f>
        <v>24.3642</v>
      </c>
      <c r="J534">
        <v>2412.0558000000001</v>
      </c>
      <c r="K534" s="1">
        <v>7.3</v>
      </c>
      <c r="L534" s="1">
        <v>2429.12</v>
      </c>
      <c r="M534" s="1" t="s">
        <v>10</v>
      </c>
      <c r="N534" s="1">
        <f>IF(Sales_Data[[#This Row],[Sales with Discount]]&lt;Sales_Data[[#This Row],[Sales with Free Shipping]],Sales_Data[[#This Row],[Sales with Discount]],Sales_Data[[#This Row],[Sales with Free Shipping]])</f>
        <v>2412.0558000000001</v>
      </c>
      <c r="O534" s="1" t="str">
        <f>TEXT(Sales_Data[[#This Row],[Order Date]], "MM-YYYY")</f>
        <v>07-2019</v>
      </c>
    </row>
    <row r="535" spans="1:15" x14ac:dyDescent="0.3">
      <c r="A535" s="1">
        <v>15872</v>
      </c>
      <c r="B535" s="2">
        <v>43768</v>
      </c>
      <c r="C535" s="1" t="s">
        <v>11</v>
      </c>
      <c r="D535" s="1">
        <v>23</v>
      </c>
      <c r="E535" t="s">
        <v>14</v>
      </c>
      <c r="F535" t="s">
        <v>14</v>
      </c>
      <c r="G535" s="1">
        <v>201.73</v>
      </c>
      <c r="H535">
        <v>0</v>
      </c>
      <c r="I535">
        <f>Sales_Data[[#This Row],[Sales]]*Sales_Data[[#This Row],[Discount]]</f>
        <v>0</v>
      </c>
      <c r="J535">
        <v>201.73</v>
      </c>
      <c r="K535" s="1">
        <v>6.4</v>
      </c>
      <c r="L535" s="1">
        <v>201.73</v>
      </c>
      <c r="M535" s="1" t="s">
        <v>10</v>
      </c>
      <c r="N535" s="1">
        <f>IF(Sales_Data[[#This Row],[Sales with Discount]]&lt;Sales_Data[[#This Row],[Sales with Free Shipping]],Sales_Data[[#This Row],[Sales with Discount]],Sales_Data[[#This Row],[Sales with Free Shipping]])</f>
        <v>201.73</v>
      </c>
      <c r="O535" s="1" t="str">
        <f>TEXT(Sales_Data[[#This Row],[Order Date]], "MM-YYYY")</f>
        <v>10-2019</v>
      </c>
    </row>
    <row r="536" spans="1:15" x14ac:dyDescent="0.3">
      <c r="A536" s="1">
        <v>51269</v>
      </c>
      <c r="B536" s="2">
        <v>43476</v>
      </c>
      <c r="C536" s="1" t="s">
        <v>12</v>
      </c>
      <c r="D536" s="1">
        <v>20</v>
      </c>
      <c r="E536" t="s">
        <v>19</v>
      </c>
      <c r="F536" t="s">
        <v>19</v>
      </c>
      <c r="G536" s="1">
        <v>460.54</v>
      </c>
      <c r="H536">
        <v>0</v>
      </c>
      <c r="I536">
        <f>Sales_Data[[#This Row],[Sales]]*Sales_Data[[#This Row],[Discount]]</f>
        <v>0</v>
      </c>
      <c r="J536">
        <v>460.54</v>
      </c>
      <c r="K536" s="1">
        <v>8.1</v>
      </c>
      <c r="L536" s="1">
        <v>460.54</v>
      </c>
      <c r="M536" s="1" t="s">
        <v>10</v>
      </c>
      <c r="N536" s="1">
        <f>IF(Sales_Data[[#This Row],[Sales with Discount]]&lt;Sales_Data[[#This Row],[Sales with Free Shipping]],Sales_Data[[#This Row],[Sales with Discount]],Sales_Data[[#This Row],[Sales with Free Shipping]])</f>
        <v>460.54</v>
      </c>
      <c r="O536" s="1" t="str">
        <f>TEXT(Sales_Data[[#This Row],[Order Date]], "MM-YYYY")</f>
        <v>01-2019</v>
      </c>
    </row>
    <row r="537" spans="1:15" x14ac:dyDescent="0.3">
      <c r="A537" s="1">
        <v>39783</v>
      </c>
      <c r="B537" s="2">
        <v>43728</v>
      </c>
      <c r="C537" s="1" t="s">
        <v>11</v>
      </c>
      <c r="D537" s="1">
        <v>19</v>
      </c>
      <c r="E537" t="s">
        <v>19</v>
      </c>
      <c r="F537" t="s">
        <v>19</v>
      </c>
      <c r="G537" s="1">
        <v>88.2</v>
      </c>
      <c r="H537">
        <v>0</v>
      </c>
      <c r="I537">
        <f>Sales_Data[[#This Row],[Sales]]*Sales_Data[[#This Row],[Discount]]</f>
        <v>0</v>
      </c>
      <c r="J537">
        <v>88.2</v>
      </c>
      <c r="K537" s="1">
        <v>7.4</v>
      </c>
      <c r="L537" s="1">
        <v>88.2</v>
      </c>
      <c r="M537" s="1" t="s">
        <v>10</v>
      </c>
      <c r="N537" s="1">
        <f>IF(Sales_Data[[#This Row],[Sales with Discount]]&lt;Sales_Data[[#This Row],[Sales with Free Shipping]],Sales_Data[[#This Row],[Sales with Discount]],Sales_Data[[#This Row],[Sales with Free Shipping]])</f>
        <v>88.2</v>
      </c>
      <c r="O537" s="1" t="str">
        <f>TEXT(Sales_Data[[#This Row],[Order Date]], "MM-YYYY")</f>
        <v>09-2019</v>
      </c>
    </row>
    <row r="538" spans="1:15" x14ac:dyDescent="0.3">
      <c r="A538" s="1">
        <v>50822</v>
      </c>
      <c r="B538" s="2">
        <v>43502</v>
      </c>
      <c r="C538" s="1" t="s">
        <v>14</v>
      </c>
      <c r="D538" s="1">
        <v>6</v>
      </c>
      <c r="E538" t="s">
        <v>17</v>
      </c>
      <c r="F538" t="s">
        <v>17</v>
      </c>
      <c r="G538" s="1">
        <v>1749.76</v>
      </c>
      <c r="H538">
        <v>0</v>
      </c>
      <c r="I538">
        <f>Sales_Data[[#This Row],[Sales]]*Sales_Data[[#This Row],[Discount]]</f>
        <v>0</v>
      </c>
      <c r="J538">
        <v>1749.76</v>
      </c>
      <c r="K538" s="1">
        <v>26.2</v>
      </c>
      <c r="L538" s="1">
        <v>1749.76</v>
      </c>
      <c r="M538" s="1" t="s">
        <v>10</v>
      </c>
      <c r="N538" s="1">
        <f>IF(Sales_Data[[#This Row],[Sales with Discount]]&lt;Sales_Data[[#This Row],[Sales with Free Shipping]],Sales_Data[[#This Row],[Sales with Discount]],Sales_Data[[#This Row],[Sales with Free Shipping]])</f>
        <v>1749.76</v>
      </c>
      <c r="O538" s="1" t="str">
        <f>TEXT(Sales_Data[[#This Row],[Order Date]], "MM-YYYY")</f>
        <v>02-2019</v>
      </c>
    </row>
    <row r="539" spans="1:15" x14ac:dyDescent="0.3">
      <c r="A539" s="1">
        <v>2688</v>
      </c>
      <c r="B539" s="2">
        <v>43487</v>
      </c>
      <c r="C539" s="1" t="s">
        <v>9</v>
      </c>
      <c r="D539" s="1">
        <v>7</v>
      </c>
      <c r="E539" t="s">
        <v>17</v>
      </c>
      <c r="F539" t="s">
        <v>17</v>
      </c>
      <c r="G539" s="1">
        <v>155.6</v>
      </c>
      <c r="H539">
        <v>0</v>
      </c>
      <c r="I539">
        <f>Sales_Data[[#This Row],[Sales]]*Sales_Data[[#This Row],[Discount]]</f>
        <v>0</v>
      </c>
      <c r="J539">
        <v>155.6</v>
      </c>
      <c r="K539" s="1">
        <v>7</v>
      </c>
      <c r="L539" s="1">
        <v>155.6</v>
      </c>
      <c r="M539" s="1" t="s">
        <v>10</v>
      </c>
      <c r="N539" s="1">
        <f>IF(Sales_Data[[#This Row],[Sales with Discount]]&lt;Sales_Data[[#This Row],[Sales with Free Shipping]],Sales_Data[[#This Row],[Sales with Discount]],Sales_Data[[#This Row],[Sales with Free Shipping]])</f>
        <v>155.6</v>
      </c>
      <c r="O539" s="1" t="str">
        <f>TEXT(Sales_Data[[#This Row],[Order Date]], "MM-YYYY")</f>
        <v>01-2019</v>
      </c>
    </row>
    <row r="540" spans="1:15" x14ac:dyDescent="0.3">
      <c r="A540" s="1">
        <v>14727</v>
      </c>
      <c r="B540" s="2">
        <v>43665</v>
      </c>
      <c r="C540" s="1" t="s">
        <v>14</v>
      </c>
      <c r="D540" s="1">
        <v>33</v>
      </c>
      <c r="E540" t="s">
        <v>21</v>
      </c>
      <c r="F540" t="s">
        <v>21</v>
      </c>
      <c r="G540" s="1">
        <v>2428.27</v>
      </c>
      <c r="H540">
        <v>0</v>
      </c>
      <c r="I540">
        <f>Sales_Data[[#This Row],[Sales]]*Sales_Data[[#This Row],[Discount]]</f>
        <v>0</v>
      </c>
      <c r="J540">
        <v>2428.27</v>
      </c>
      <c r="K540" s="1">
        <v>3.7</v>
      </c>
      <c r="L540" s="1">
        <v>2428.27</v>
      </c>
      <c r="M540" s="1" t="s">
        <v>10</v>
      </c>
      <c r="N540" s="1">
        <f>IF(Sales_Data[[#This Row],[Sales with Discount]]&lt;Sales_Data[[#This Row],[Sales with Free Shipping]],Sales_Data[[#This Row],[Sales with Discount]],Sales_Data[[#This Row],[Sales with Free Shipping]])</f>
        <v>2428.27</v>
      </c>
      <c r="O540" s="1" t="str">
        <f>TEXT(Sales_Data[[#This Row],[Order Date]], "MM-YYYY")</f>
        <v>07-2019</v>
      </c>
    </row>
    <row r="541" spans="1:15" x14ac:dyDescent="0.3">
      <c r="A541" s="1">
        <v>39365</v>
      </c>
      <c r="B541" s="2">
        <v>43599</v>
      </c>
      <c r="C541" s="1" t="s">
        <v>9</v>
      </c>
      <c r="D541" s="1">
        <v>32</v>
      </c>
      <c r="E541" t="s">
        <v>21</v>
      </c>
      <c r="F541" t="s">
        <v>21</v>
      </c>
      <c r="G541" s="1">
        <v>996.26</v>
      </c>
      <c r="H541">
        <v>0</v>
      </c>
      <c r="I541">
        <f>Sales_Data[[#This Row],[Sales]]*Sales_Data[[#This Row],[Discount]]</f>
        <v>0</v>
      </c>
      <c r="J541">
        <v>996.26</v>
      </c>
      <c r="K541" s="1">
        <v>2.1</v>
      </c>
      <c r="L541" s="1">
        <v>996.26</v>
      </c>
      <c r="M541" s="1" t="s">
        <v>8</v>
      </c>
      <c r="N541" s="1">
        <f>IF(Sales_Data[[#This Row],[Sales with Discount]]&lt;Sales_Data[[#This Row],[Sales with Free Shipping]],Sales_Data[[#This Row],[Sales with Discount]],Sales_Data[[#This Row],[Sales with Free Shipping]])</f>
        <v>996.26</v>
      </c>
      <c r="O541" s="1" t="str">
        <f>TEXT(Sales_Data[[#This Row],[Order Date]], "MM-YYYY")</f>
        <v>05-2019</v>
      </c>
    </row>
    <row r="542" spans="1:15" x14ac:dyDescent="0.3">
      <c r="A542" s="1">
        <v>55239</v>
      </c>
      <c r="B542" s="2">
        <v>43802</v>
      </c>
      <c r="C542" s="1" t="s">
        <v>12</v>
      </c>
      <c r="D542" s="1">
        <v>6</v>
      </c>
      <c r="E542" t="s">
        <v>17</v>
      </c>
      <c r="F542" t="s">
        <v>17</v>
      </c>
      <c r="G542" s="1">
        <v>1079.49</v>
      </c>
      <c r="H542">
        <v>0</v>
      </c>
      <c r="I542">
        <f>Sales_Data[[#This Row],[Sales]]*Sales_Data[[#This Row],[Discount]]</f>
        <v>0</v>
      </c>
      <c r="J542">
        <v>1079.49</v>
      </c>
      <c r="K542" s="1">
        <v>73.8</v>
      </c>
      <c r="L542" s="1">
        <v>1079.49</v>
      </c>
      <c r="M542" s="1" t="s">
        <v>8</v>
      </c>
      <c r="N542" s="1">
        <f>IF(Sales_Data[[#This Row],[Sales with Discount]]&lt;Sales_Data[[#This Row],[Sales with Free Shipping]],Sales_Data[[#This Row],[Sales with Discount]],Sales_Data[[#This Row],[Sales with Free Shipping]])</f>
        <v>1079.49</v>
      </c>
      <c r="O542" s="1" t="str">
        <f>TEXT(Sales_Data[[#This Row],[Order Date]], "MM-YYYY")</f>
        <v>12-2019</v>
      </c>
    </row>
    <row r="543" spans="1:15" x14ac:dyDescent="0.3">
      <c r="A543" s="1">
        <v>48672</v>
      </c>
      <c r="B543" s="2">
        <v>43825</v>
      </c>
      <c r="C543" s="1" t="s">
        <v>9</v>
      </c>
      <c r="D543" s="1">
        <v>43</v>
      </c>
      <c r="E543" t="s">
        <v>23</v>
      </c>
      <c r="F543" t="s">
        <v>23</v>
      </c>
      <c r="G543" s="1">
        <v>273.60000000000002</v>
      </c>
      <c r="H543">
        <v>0.01</v>
      </c>
      <c r="I543">
        <f>Sales_Data[[#This Row],[Sales]]*Sales_Data[[#This Row],[Discount]]</f>
        <v>2.7360000000000002</v>
      </c>
      <c r="J543">
        <v>270.86400000000003</v>
      </c>
      <c r="K543" s="1">
        <v>3.6</v>
      </c>
      <c r="L543" s="1">
        <v>270</v>
      </c>
      <c r="M543" s="1" t="s">
        <v>10</v>
      </c>
      <c r="N543" s="1">
        <f>IF(Sales_Data[[#This Row],[Sales with Discount]]&lt;Sales_Data[[#This Row],[Sales with Free Shipping]],Sales_Data[[#This Row],[Sales with Discount]],Sales_Data[[#This Row],[Sales with Free Shipping]])</f>
        <v>270</v>
      </c>
      <c r="O543" s="1" t="str">
        <f>TEXT(Sales_Data[[#This Row],[Order Date]], "MM-YYYY")</f>
        <v>12-2019</v>
      </c>
    </row>
    <row r="544" spans="1:15" x14ac:dyDescent="0.3">
      <c r="A544" s="1">
        <v>40032</v>
      </c>
      <c r="B544" s="2">
        <v>43799</v>
      </c>
      <c r="C544" s="1" t="s">
        <v>7</v>
      </c>
      <c r="D544" s="1">
        <v>9</v>
      </c>
      <c r="E544" t="s">
        <v>17</v>
      </c>
      <c r="F544" t="s">
        <v>17</v>
      </c>
      <c r="G544" s="1">
        <v>24931.13</v>
      </c>
      <c r="H544">
        <v>0</v>
      </c>
      <c r="I544">
        <f>Sales_Data[[#This Row],[Sales]]*Sales_Data[[#This Row],[Discount]]</f>
        <v>0</v>
      </c>
      <c r="J544">
        <v>24931.13</v>
      </c>
      <c r="K544" s="1">
        <v>31.8</v>
      </c>
      <c r="L544" s="1">
        <v>24931.13</v>
      </c>
      <c r="M544" s="1" t="s">
        <v>13</v>
      </c>
      <c r="N544" s="1">
        <f>IF(Sales_Data[[#This Row],[Sales with Discount]]&lt;Sales_Data[[#This Row],[Sales with Free Shipping]],Sales_Data[[#This Row],[Sales with Discount]],Sales_Data[[#This Row],[Sales with Free Shipping]])</f>
        <v>24931.13</v>
      </c>
      <c r="O544" s="1" t="str">
        <f>TEXT(Sales_Data[[#This Row],[Order Date]], "MM-YYYY")</f>
        <v>11-2019</v>
      </c>
    </row>
    <row r="545" spans="1:15" x14ac:dyDescent="0.3">
      <c r="A545" s="1">
        <v>44549</v>
      </c>
      <c r="B545" s="2">
        <v>43486</v>
      </c>
      <c r="C545" s="1" t="s">
        <v>14</v>
      </c>
      <c r="D545" s="1">
        <v>5</v>
      </c>
      <c r="E545" t="s">
        <v>16</v>
      </c>
      <c r="F545" t="s">
        <v>16</v>
      </c>
      <c r="G545" s="1">
        <v>12.04</v>
      </c>
      <c r="H545">
        <v>0</v>
      </c>
      <c r="I545">
        <f>Sales_Data[[#This Row],[Sales]]*Sales_Data[[#This Row],[Discount]]</f>
        <v>0</v>
      </c>
      <c r="J545">
        <v>12.04</v>
      </c>
      <c r="K545" s="1">
        <v>1.6</v>
      </c>
      <c r="L545" s="1">
        <v>12.04</v>
      </c>
      <c r="M545" s="1" t="s">
        <v>10</v>
      </c>
      <c r="N545" s="1">
        <f>IF(Sales_Data[[#This Row],[Sales with Discount]]&lt;Sales_Data[[#This Row],[Sales with Free Shipping]],Sales_Data[[#This Row],[Sales with Discount]],Sales_Data[[#This Row],[Sales with Free Shipping]])</f>
        <v>12.04</v>
      </c>
      <c r="O545" s="1" t="str">
        <f>TEXT(Sales_Data[[#This Row],[Order Date]], "MM-YYYY")</f>
        <v>01-2019</v>
      </c>
    </row>
    <row r="546" spans="1:15" x14ac:dyDescent="0.3">
      <c r="A546" s="1">
        <v>30403</v>
      </c>
      <c r="B546" s="2">
        <v>43656</v>
      </c>
      <c r="C546" s="1" t="s">
        <v>9</v>
      </c>
      <c r="D546" s="1">
        <v>41</v>
      </c>
      <c r="E546" t="s">
        <v>23</v>
      </c>
      <c r="F546" t="s">
        <v>23</v>
      </c>
      <c r="G546" s="1">
        <v>326.36</v>
      </c>
      <c r="H546">
        <v>0.01</v>
      </c>
      <c r="I546">
        <f>Sales_Data[[#This Row],[Sales]]*Sales_Data[[#This Row],[Discount]]</f>
        <v>3.2636000000000003</v>
      </c>
      <c r="J546">
        <v>323.09640000000002</v>
      </c>
      <c r="K546" s="1">
        <v>8.3000000000000007</v>
      </c>
      <c r="L546" s="1">
        <v>318.06</v>
      </c>
      <c r="M546" s="1" t="s">
        <v>8</v>
      </c>
      <c r="N546" s="1">
        <f>IF(Sales_Data[[#This Row],[Sales with Discount]]&lt;Sales_Data[[#This Row],[Sales with Free Shipping]],Sales_Data[[#This Row],[Sales with Discount]],Sales_Data[[#This Row],[Sales with Free Shipping]])</f>
        <v>318.06</v>
      </c>
      <c r="O546" s="1" t="str">
        <f>TEXT(Sales_Data[[#This Row],[Order Date]], "MM-YYYY")</f>
        <v>07-2019</v>
      </c>
    </row>
    <row r="547" spans="1:15" x14ac:dyDescent="0.3">
      <c r="A547" s="1">
        <v>35040</v>
      </c>
      <c r="B547" s="2">
        <v>43573</v>
      </c>
      <c r="C547" s="1" t="s">
        <v>11</v>
      </c>
      <c r="D547" s="1">
        <v>44</v>
      </c>
      <c r="E547" t="s">
        <v>23</v>
      </c>
      <c r="F547" t="s">
        <v>23</v>
      </c>
      <c r="G547" s="1">
        <v>520.69410000000005</v>
      </c>
      <c r="H547">
        <v>0.01</v>
      </c>
      <c r="I547">
        <f>Sales_Data[[#This Row],[Sales]]*Sales_Data[[#This Row],[Discount]]</f>
        <v>5.2069410000000005</v>
      </c>
      <c r="J547">
        <v>515.48715900000002</v>
      </c>
      <c r="K547" s="1">
        <v>8</v>
      </c>
      <c r="L547" s="1">
        <v>512.69410000000005</v>
      </c>
      <c r="M547" s="1" t="s">
        <v>10</v>
      </c>
      <c r="N547" s="1">
        <f>IF(Sales_Data[[#This Row],[Sales with Discount]]&lt;Sales_Data[[#This Row],[Sales with Free Shipping]],Sales_Data[[#This Row],[Sales with Discount]],Sales_Data[[#This Row],[Sales with Free Shipping]])</f>
        <v>512.69410000000005</v>
      </c>
      <c r="O547" s="1" t="str">
        <f>TEXT(Sales_Data[[#This Row],[Order Date]], "MM-YYYY")</f>
        <v>04-2019</v>
      </c>
    </row>
    <row r="548" spans="1:15" x14ac:dyDescent="0.3">
      <c r="A548" s="1">
        <v>58978</v>
      </c>
      <c r="B548" s="2">
        <v>43501</v>
      </c>
      <c r="C548" s="1" t="s">
        <v>7</v>
      </c>
      <c r="D548" s="1">
        <v>13</v>
      </c>
      <c r="E548" t="s">
        <v>18</v>
      </c>
      <c r="F548" t="s">
        <v>18</v>
      </c>
      <c r="G548" s="1">
        <v>81.2</v>
      </c>
      <c r="H548">
        <v>0</v>
      </c>
      <c r="I548">
        <f>Sales_Data[[#This Row],[Sales]]*Sales_Data[[#This Row],[Discount]]</f>
        <v>0</v>
      </c>
      <c r="J548">
        <v>81.2</v>
      </c>
      <c r="K548" s="1">
        <v>5.5</v>
      </c>
      <c r="L548" s="1">
        <v>81.2</v>
      </c>
      <c r="M548" s="1" t="s">
        <v>10</v>
      </c>
      <c r="N548" s="1">
        <f>IF(Sales_Data[[#This Row],[Sales with Discount]]&lt;Sales_Data[[#This Row],[Sales with Free Shipping]],Sales_Data[[#This Row],[Sales with Discount]],Sales_Data[[#This Row],[Sales with Free Shipping]])</f>
        <v>81.2</v>
      </c>
      <c r="O548" s="1" t="str">
        <f>TEXT(Sales_Data[[#This Row],[Order Date]], "MM-YYYY")</f>
        <v>02-2019</v>
      </c>
    </row>
    <row r="549" spans="1:15" x14ac:dyDescent="0.3">
      <c r="A549" s="1">
        <v>26116</v>
      </c>
      <c r="B549" s="2">
        <v>43767</v>
      </c>
      <c r="C549" s="1" t="s">
        <v>12</v>
      </c>
      <c r="D549" s="1">
        <v>36</v>
      </c>
      <c r="E549" t="s">
        <v>22</v>
      </c>
      <c r="F549" t="s">
        <v>22</v>
      </c>
      <c r="G549" s="1">
        <v>746.23</v>
      </c>
      <c r="H549">
        <v>0.01</v>
      </c>
      <c r="I549">
        <f>Sales_Data[[#This Row],[Sales]]*Sales_Data[[#This Row],[Discount]]</f>
        <v>7.4622999999999999</v>
      </c>
      <c r="J549">
        <v>738.76769999999999</v>
      </c>
      <c r="K549" s="1">
        <v>9.6999999999999993</v>
      </c>
      <c r="L549" s="1">
        <v>736.53</v>
      </c>
      <c r="M549" s="1" t="s">
        <v>10</v>
      </c>
      <c r="N549" s="1">
        <f>IF(Sales_Data[[#This Row],[Sales with Discount]]&lt;Sales_Data[[#This Row],[Sales with Free Shipping]],Sales_Data[[#This Row],[Sales with Discount]],Sales_Data[[#This Row],[Sales with Free Shipping]])</f>
        <v>736.53</v>
      </c>
      <c r="O549" s="1" t="str">
        <f>TEXT(Sales_Data[[#This Row],[Order Date]], "MM-YYYY")</f>
        <v>10-2019</v>
      </c>
    </row>
    <row r="550" spans="1:15" x14ac:dyDescent="0.3">
      <c r="A550" s="1">
        <v>16775</v>
      </c>
      <c r="B550" s="2">
        <v>43791</v>
      </c>
      <c r="C550" s="1" t="s">
        <v>7</v>
      </c>
      <c r="D550" s="1">
        <v>49</v>
      </c>
      <c r="E550" t="s">
        <v>24</v>
      </c>
      <c r="F550" t="s">
        <v>24</v>
      </c>
      <c r="G550" s="1">
        <v>2641.99</v>
      </c>
      <c r="H550">
        <v>0.01</v>
      </c>
      <c r="I550">
        <f>Sales_Data[[#This Row],[Sales]]*Sales_Data[[#This Row],[Discount]]</f>
        <v>26.419899999999998</v>
      </c>
      <c r="J550">
        <v>2615.5700999999999</v>
      </c>
      <c r="K550" s="1">
        <v>6.3</v>
      </c>
      <c r="L550" s="1">
        <v>2635.6899999999996</v>
      </c>
      <c r="M550" s="1" t="s">
        <v>10</v>
      </c>
      <c r="N550" s="1">
        <f>IF(Sales_Data[[#This Row],[Sales with Discount]]&lt;Sales_Data[[#This Row],[Sales with Free Shipping]],Sales_Data[[#This Row],[Sales with Discount]],Sales_Data[[#This Row],[Sales with Free Shipping]])</f>
        <v>2615.5700999999999</v>
      </c>
      <c r="O550" s="1" t="str">
        <f>TEXT(Sales_Data[[#This Row],[Order Date]], "MM-YYYY")</f>
        <v>11-2019</v>
      </c>
    </row>
    <row r="551" spans="1:15" x14ac:dyDescent="0.3">
      <c r="A551" s="1">
        <v>34117</v>
      </c>
      <c r="B551" s="2">
        <v>43502</v>
      </c>
      <c r="C551" s="1" t="s">
        <v>9</v>
      </c>
      <c r="D551" s="1">
        <v>45</v>
      </c>
      <c r="E551" t="s">
        <v>23</v>
      </c>
      <c r="F551" t="s">
        <v>23</v>
      </c>
      <c r="G551" s="1">
        <v>320.94</v>
      </c>
      <c r="H551">
        <v>0.01</v>
      </c>
      <c r="I551">
        <f>Sales_Data[[#This Row],[Sales]]*Sales_Data[[#This Row],[Discount]]</f>
        <v>3.2094</v>
      </c>
      <c r="J551">
        <v>317.73059999999998</v>
      </c>
      <c r="K551" s="1">
        <v>3.2</v>
      </c>
      <c r="L551" s="1">
        <v>317.74</v>
      </c>
      <c r="M551" s="1" t="s">
        <v>10</v>
      </c>
      <c r="N551" s="1">
        <f>IF(Sales_Data[[#This Row],[Sales with Discount]]&lt;Sales_Data[[#This Row],[Sales with Free Shipping]],Sales_Data[[#This Row],[Sales with Discount]],Sales_Data[[#This Row],[Sales with Free Shipping]])</f>
        <v>317.73059999999998</v>
      </c>
      <c r="O551" s="1" t="str">
        <f>TEXT(Sales_Data[[#This Row],[Order Date]], "MM-YYYY")</f>
        <v>02-2019</v>
      </c>
    </row>
    <row r="552" spans="1:15" x14ac:dyDescent="0.3">
      <c r="A552" s="1">
        <v>31106</v>
      </c>
      <c r="B552" s="2">
        <v>43511</v>
      </c>
      <c r="C552" s="1" t="s">
        <v>7</v>
      </c>
      <c r="D552" s="1">
        <v>37</v>
      </c>
      <c r="E552" t="s">
        <v>22</v>
      </c>
      <c r="F552" t="s">
        <v>22</v>
      </c>
      <c r="G552" s="1">
        <v>109.033</v>
      </c>
      <c r="H552">
        <v>0.01</v>
      </c>
      <c r="I552">
        <f>Sales_Data[[#This Row],[Sales]]*Sales_Data[[#This Row],[Discount]]</f>
        <v>1.09033</v>
      </c>
      <c r="J552">
        <v>107.94267000000001</v>
      </c>
      <c r="K552" s="1">
        <v>0.5</v>
      </c>
      <c r="L552" s="1">
        <v>108.533</v>
      </c>
      <c r="M552" s="1" t="s">
        <v>10</v>
      </c>
      <c r="N552" s="1">
        <f>IF(Sales_Data[[#This Row],[Sales with Discount]]&lt;Sales_Data[[#This Row],[Sales with Free Shipping]],Sales_Data[[#This Row],[Sales with Discount]],Sales_Data[[#This Row],[Sales with Free Shipping]])</f>
        <v>107.94267000000001</v>
      </c>
      <c r="O552" s="1" t="str">
        <f>TEXT(Sales_Data[[#This Row],[Order Date]], "MM-YYYY")</f>
        <v>02-2019</v>
      </c>
    </row>
    <row r="553" spans="1:15" x14ac:dyDescent="0.3">
      <c r="A553" s="1">
        <v>28224</v>
      </c>
      <c r="B553" s="2">
        <v>43818</v>
      </c>
      <c r="C553" s="1" t="s">
        <v>12</v>
      </c>
      <c r="D553" s="1">
        <v>25</v>
      </c>
      <c r="E553" t="s">
        <v>14</v>
      </c>
      <c r="F553" t="s">
        <v>14</v>
      </c>
      <c r="G553" s="1">
        <v>174.84870000000001</v>
      </c>
      <c r="H553">
        <v>0</v>
      </c>
      <c r="I553">
        <f>Sales_Data[[#This Row],[Sales]]*Sales_Data[[#This Row],[Discount]]</f>
        <v>0</v>
      </c>
      <c r="J553">
        <v>174.84870000000001</v>
      </c>
      <c r="K553" s="1">
        <v>7.5</v>
      </c>
      <c r="L553" s="1">
        <v>174.84870000000001</v>
      </c>
      <c r="M553" s="1" t="s">
        <v>10</v>
      </c>
      <c r="N553" s="1">
        <f>IF(Sales_Data[[#This Row],[Sales with Discount]]&lt;Sales_Data[[#This Row],[Sales with Free Shipping]],Sales_Data[[#This Row],[Sales with Discount]],Sales_Data[[#This Row],[Sales with Free Shipping]])</f>
        <v>174.84870000000001</v>
      </c>
      <c r="O553" s="1" t="str">
        <f>TEXT(Sales_Data[[#This Row],[Order Date]], "MM-YYYY")</f>
        <v>12-2019</v>
      </c>
    </row>
    <row r="554" spans="1:15" x14ac:dyDescent="0.3">
      <c r="A554" s="1">
        <v>27557</v>
      </c>
      <c r="B554" s="2">
        <v>43503</v>
      </c>
      <c r="C554" s="1" t="s">
        <v>7</v>
      </c>
      <c r="D554" s="1">
        <v>18</v>
      </c>
      <c r="E554" t="s">
        <v>19</v>
      </c>
      <c r="F554" t="s">
        <v>19</v>
      </c>
      <c r="G554" s="1">
        <v>60.06</v>
      </c>
      <c r="H554">
        <v>0</v>
      </c>
      <c r="I554">
        <f>Sales_Data[[#This Row],[Sales]]*Sales_Data[[#This Row],[Discount]]</f>
        <v>0</v>
      </c>
      <c r="J554">
        <v>60.06</v>
      </c>
      <c r="K554" s="1">
        <v>5.7</v>
      </c>
      <c r="L554" s="1">
        <v>60.06</v>
      </c>
      <c r="M554" s="1" t="s">
        <v>10</v>
      </c>
      <c r="N554" s="1">
        <f>IF(Sales_Data[[#This Row],[Sales with Discount]]&lt;Sales_Data[[#This Row],[Sales with Free Shipping]],Sales_Data[[#This Row],[Sales with Discount]],Sales_Data[[#This Row],[Sales with Free Shipping]])</f>
        <v>60.06</v>
      </c>
      <c r="O554" s="1" t="str">
        <f>TEXT(Sales_Data[[#This Row],[Order Date]], "MM-YYYY")</f>
        <v>02-2019</v>
      </c>
    </row>
    <row r="555" spans="1:15" x14ac:dyDescent="0.3">
      <c r="A555" s="1">
        <v>54721</v>
      </c>
      <c r="B555" s="2">
        <v>43756</v>
      </c>
      <c r="C555" s="1" t="s">
        <v>11</v>
      </c>
      <c r="D555" s="1">
        <v>19</v>
      </c>
      <c r="E555" t="s">
        <v>19</v>
      </c>
      <c r="F555" t="s">
        <v>19</v>
      </c>
      <c r="G555" s="1">
        <v>2142.5700000000002</v>
      </c>
      <c r="H555">
        <v>0</v>
      </c>
      <c r="I555">
        <f>Sales_Data[[#This Row],[Sales]]*Sales_Data[[#This Row],[Discount]]</f>
        <v>0</v>
      </c>
      <c r="J555">
        <v>2142.5700000000002</v>
      </c>
      <c r="K555" s="1">
        <v>28.1</v>
      </c>
      <c r="L555" s="1">
        <v>2142.5700000000002</v>
      </c>
      <c r="M555" s="1" t="s">
        <v>13</v>
      </c>
      <c r="N555" s="1">
        <f>IF(Sales_Data[[#This Row],[Sales with Discount]]&lt;Sales_Data[[#This Row],[Sales with Free Shipping]],Sales_Data[[#This Row],[Sales with Discount]],Sales_Data[[#This Row],[Sales with Free Shipping]])</f>
        <v>2142.5700000000002</v>
      </c>
      <c r="O555" s="1" t="str">
        <f>TEXT(Sales_Data[[#This Row],[Order Date]], "MM-YYYY")</f>
        <v>10-2019</v>
      </c>
    </row>
    <row r="556" spans="1:15" x14ac:dyDescent="0.3">
      <c r="A556" s="1">
        <v>11011</v>
      </c>
      <c r="B556" s="2">
        <v>43598</v>
      </c>
      <c r="C556" s="1" t="s">
        <v>9</v>
      </c>
      <c r="D556" s="1">
        <v>36</v>
      </c>
      <c r="E556" t="s">
        <v>22</v>
      </c>
      <c r="F556" t="s">
        <v>22</v>
      </c>
      <c r="G556" s="1">
        <v>327.01</v>
      </c>
      <c r="H556">
        <v>0.01</v>
      </c>
      <c r="I556">
        <f>Sales_Data[[#This Row],[Sales]]*Sales_Data[[#This Row],[Discount]]</f>
        <v>3.2700999999999998</v>
      </c>
      <c r="J556">
        <v>323.73989999999998</v>
      </c>
      <c r="K556" s="1">
        <v>8.9</v>
      </c>
      <c r="L556" s="1">
        <v>318.11</v>
      </c>
      <c r="M556" s="1" t="s">
        <v>10</v>
      </c>
      <c r="N556" s="1">
        <f>IF(Sales_Data[[#This Row],[Sales with Discount]]&lt;Sales_Data[[#This Row],[Sales with Free Shipping]],Sales_Data[[#This Row],[Sales with Discount]],Sales_Data[[#This Row],[Sales with Free Shipping]])</f>
        <v>318.11</v>
      </c>
      <c r="O556" s="1" t="str">
        <f>TEXT(Sales_Data[[#This Row],[Order Date]], "MM-YYYY")</f>
        <v>05-2019</v>
      </c>
    </row>
    <row r="557" spans="1:15" x14ac:dyDescent="0.3">
      <c r="A557" s="1">
        <v>16866</v>
      </c>
      <c r="B557" s="2">
        <v>43501</v>
      </c>
      <c r="C557" s="1" t="s">
        <v>11</v>
      </c>
      <c r="D557" s="1">
        <v>43</v>
      </c>
      <c r="E557" t="s">
        <v>23</v>
      </c>
      <c r="F557" t="s">
        <v>23</v>
      </c>
      <c r="G557" s="1">
        <v>2522.9621000000002</v>
      </c>
      <c r="H557">
        <v>0.01</v>
      </c>
      <c r="I557">
        <f>Sales_Data[[#This Row],[Sales]]*Sales_Data[[#This Row],[Discount]]</f>
        <v>25.229621000000002</v>
      </c>
      <c r="J557">
        <v>2497.7324790000002</v>
      </c>
      <c r="K557" s="1">
        <v>4.3</v>
      </c>
      <c r="L557" s="1">
        <v>2518.6621</v>
      </c>
      <c r="M557" s="1" t="s">
        <v>10</v>
      </c>
      <c r="N557" s="1">
        <f>IF(Sales_Data[[#This Row],[Sales with Discount]]&lt;Sales_Data[[#This Row],[Sales with Free Shipping]],Sales_Data[[#This Row],[Sales with Discount]],Sales_Data[[#This Row],[Sales with Free Shipping]])</f>
        <v>2497.7324790000002</v>
      </c>
      <c r="O557" s="1" t="str">
        <f>TEXT(Sales_Data[[#This Row],[Order Date]], "MM-YYYY")</f>
        <v>02-2019</v>
      </c>
    </row>
    <row r="558" spans="1:15" x14ac:dyDescent="0.3">
      <c r="A558" s="1">
        <v>1088</v>
      </c>
      <c r="B558" s="2">
        <v>43605</v>
      </c>
      <c r="C558" s="1" t="s">
        <v>7</v>
      </c>
      <c r="D558" s="1">
        <v>13</v>
      </c>
      <c r="E558" t="s">
        <v>18</v>
      </c>
      <c r="F558" t="s">
        <v>18</v>
      </c>
      <c r="G558" s="1">
        <v>287.85000000000002</v>
      </c>
      <c r="H558">
        <v>0</v>
      </c>
      <c r="I558">
        <f>Sales_Data[[#This Row],[Sales]]*Sales_Data[[#This Row],[Discount]]</f>
        <v>0</v>
      </c>
      <c r="J558">
        <v>287.85000000000002</v>
      </c>
      <c r="K558" s="1">
        <v>7</v>
      </c>
      <c r="L558" s="1">
        <v>287.85000000000002</v>
      </c>
      <c r="M558" s="1" t="s">
        <v>10</v>
      </c>
      <c r="N558" s="1">
        <f>IF(Sales_Data[[#This Row],[Sales with Discount]]&lt;Sales_Data[[#This Row],[Sales with Free Shipping]],Sales_Data[[#This Row],[Sales with Discount]],Sales_Data[[#This Row],[Sales with Free Shipping]])</f>
        <v>287.85000000000002</v>
      </c>
      <c r="O558" s="1" t="str">
        <f>TEXT(Sales_Data[[#This Row],[Order Date]], "MM-YYYY")</f>
        <v>05-2019</v>
      </c>
    </row>
    <row r="559" spans="1:15" x14ac:dyDescent="0.3">
      <c r="A559" s="1">
        <v>44071</v>
      </c>
      <c r="B559" s="2">
        <v>43570</v>
      </c>
      <c r="C559" s="1" t="s">
        <v>11</v>
      </c>
      <c r="D559" s="1">
        <v>19</v>
      </c>
      <c r="E559" t="s">
        <v>19</v>
      </c>
      <c r="F559" t="s">
        <v>19</v>
      </c>
      <c r="G559" s="1">
        <v>118.42</v>
      </c>
      <c r="H559">
        <v>0</v>
      </c>
      <c r="I559">
        <f>Sales_Data[[#This Row],[Sales]]*Sales_Data[[#This Row],[Discount]]</f>
        <v>0</v>
      </c>
      <c r="J559">
        <v>118.42</v>
      </c>
      <c r="K559" s="1">
        <v>5.3</v>
      </c>
      <c r="L559" s="1">
        <v>118.42</v>
      </c>
      <c r="M559" s="1" t="s">
        <v>10</v>
      </c>
      <c r="N559" s="1">
        <f>IF(Sales_Data[[#This Row],[Sales with Discount]]&lt;Sales_Data[[#This Row],[Sales with Free Shipping]],Sales_Data[[#This Row],[Sales with Discount]],Sales_Data[[#This Row],[Sales with Free Shipping]])</f>
        <v>118.42</v>
      </c>
      <c r="O559" s="1" t="str">
        <f>TEXT(Sales_Data[[#This Row],[Order Date]], "MM-YYYY")</f>
        <v>04-2019</v>
      </c>
    </row>
    <row r="560" spans="1:15" x14ac:dyDescent="0.3">
      <c r="A560" s="1">
        <v>18849</v>
      </c>
      <c r="B560" s="2">
        <v>43682</v>
      </c>
      <c r="C560" s="1" t="s">
        <v>9</v>
      </c>
      <c r="D560" s="1">
        <v>39</v>
      </c>
      <c r="E560" t="s">
        <v>22</v>
      </c>
      <c r="F560" t="s">
        <v>22</v>
      </c>
      <c r="G560" s="1">
        <v>577.37</v>
      </c>
      <c r="H560">
        <v>0.01</v>
      </c>
      <c r="I560">
        <f>Sales_Data[[#This Row],[Sales]]*Sales_Data[[#This Row],[Discount]]</f>
        <v>5.7736999999999998</v>
      </c>
      <c r="J560">
        <v>571.59630000000004</v>
      </c>
      <c r="K560" s="1">
        <v>9.4</v>
      </c>
      <c r="L560" s="1">
        <v>567.97</v>
      </c>
      <c r="M560" s="1" t="s">
        <v>10</v>
      </c>
      <c r="N560" s="1">
        <f>IF(Sales_Data[[#This Row],[Sales with Discount]]&lt;Sales_Data[[#This Row],[Sales with Free Shipping]],Sales_Data[[#This Row],[Sales with Discount]],Sales_Data[[#This Row],[Sales with Free Shipping]])</f>
        <v>567.97</v>
      </c>
      <c r="O560" s="1" t="str">
        <f>TEXT(Sales_Data[[#This Row],[Order Date]], "MM-YYYY")</f>
        <v>08-2019</v>
      </c>
    </row>
    <row r="561" spans="1:15" x14ac:dyDescent="0.3">
      <c r="A561" s="1">
        <v>13027</v>
      </c>
      <c r="B561" s="2">
        <v>43479</v>
      </c>
      <c r="C561" s="1" t="s">
        <v>12</v>
      </c>
      <c r="D561" s="1">
        <v>42</v>
      </c>
      <c r="E561" t="s">
        <v>23</v>
      </c>
      <c r="F561" t="s">
        <v>23</v>
      </c>
      <c r="G561" s="1">
        <v>311.02999999999997</v>
      </c>
      <c r="H561">
        <v>0.01</v>
      </c>
      <c r="I561">
        <f>Sales_Data[[#This Row],[Sales]]*Sales_Data[[#This Row],[Discount]]</f>
        <v>3.1102999999999996</v>
      </c>
      <c r="J561">
        <v>307.91969999999998</v>
      </c>
      <c r="K561" s="1">
        <v>6.6</v>
      </c>
      <c r="L561" s="1">
        <v>304.42999999999995</v>
      </c>
      <c r="M561" s="1" t="s">
        <v>10</v>
      </c>
      <c r="N561" s="1">
        <f>IF(Sales_Data[[#This Row],[Sales with Discount]]&lt;Sales_Data[[#This Row],[Sales with Free Shipping]],Sales_Data[[#This Row],[Sales with Discount]],Sales_Data[[#This Row],[Sales with Free Shipping]])</f>
        <v>304.42999999999995</v>
      </c>
      <c r="O561" s="1" t="str">
        <f>TEXT(Sales_Data[[#This Row],[Order Date]], "MM-YYYY")</f>
        <v>01-2019</v>
      </c>
    </row>
    <row r="562" spans="1:15" x14ac:dyDescent="0.3">
      <c r="A562" s="1">
        <v>23585</v>
      </c>
      <c r="B562" s="2">
        <v>43769</v>
      </c>
      <c r="C562" s="1" t="s">
        <v>12</v>
      </c>
      <c r="D562" s="1">
        <v>44</v>
      </c>
      <c r="E562" t="s">
        <v>23</v>
      </c>
      <c r="F562" t="s">
        <v>23</v>
      </c>
      <c r="G562" s="1">
        <v>206.27</v>
      </c>
      <c r="H562">
        <v>0.01</v>
      </c>
      <c r="I562">
        <f>Sales_Data[[#This Row],[Sales]]*Sales_Data[[#This Row],[Discount]]</f>
        <v>2.0627</v>
      </c>
      <c r="J562">
        <v>204.2073</v>
      </c>
      <c r="K562" s="1">
        <v>1.7</v>
      </c>
      <c r="L562" s="1">
        <v>204.57000000000002</v>
      </c>
      <c r="M562" s="1" t="s">
        <v>10</v>
      </c>
      <c r="N562" s="1">
        <f>IF(Sales_Data[[#This Row],[Sales with Discount]]&lt;Sales_Data[[#This Row],[Sales with Free Shipping]],Sales_Data[[#This Row],[Sales with Discount]],Sales_Data[[#This Row],[Sales with Free Shipping]])</f>
        <v>204.2073</v>
      </c>
      <c r="O562" s="1" t="str">
        <f>TEXT(Sales_Data[[#This Row],[Order Date]], "MM-YYYY")</f>
        <v>10-2019</v>
      </c>
    </row>
    <row r="563" spans="1:15" x14ac:dyDescent="0.3">
      <c r="A563" s="1">
        <v>4103</v>
      </c>
      <c r="B563" s="2">
        <v>43648</v>
      </c>
      <c r="C563" s="1" t="s">
        <v>7</v>
      </c>
      <c r="D563" s="1">
        <v>3</v>
      </c>
      <c r="E563" t="s">
        <v>16</v>
      </c>
      <c r="F563" t="s">
        <v>16</v>
      </c>
      <c r="G563" s="1">
        <v>45.48</v>
      </c>
      <c r="H563">
        <v>0</v>
      </c>
      <c r="I563">
        <f>Sales_Data[[#This Row],[Sales]]*Sales_Data[[#This Row],[Discount]]</f>
        <v>0</v>
      </c>
      <c r="J563">
        <v>45.48</v>
      </c>
      <c r="K563" s="1">
        <v>9.6</v>
      </c>
      <c r="L563" s="1">
        <v>45.48</v>
      </c>
      <c r="M563" s="1" t="s">
        <v>10</v>
      </c>
      <c r="N563" s="1">
        <f>IF(Sales_Data[[#This Row],[Sales with Discount]]&lt;Sales_Data[[#This Row],[Sales with Free Shipping]],Sales_Data[[#This Row],[Sales with Discount]],Sales_Data[[#This Row],[Sales with Free Shipping]])</f>
        <v>45.48</v>
      </c>
      <c r="O563" s="1" t="str">
        <f>TEXT(Sales_Data[[#This Row],[Order Date]], "MM-YYYY")</f>
        <v>07-2019</v>
      </c>
    </row>
    <row r="564" spans="1:15" x14ac:dyDescent="0.3">
      <c r="A564" s="1">
        <v>27780</v>
      </c>
      <c r="B564" s="2">
        <v>43758</v>
      </c>
      <c r="C564" s="1" t="s">
        <v>12</v>
      </c>
      <c r="D564" s="1">
        <v>39</v>
      </c>
      <c r="E564" t="s">
        <v>22</v>
      </c>
      <c r="F564" t="s">
        <v>22</v>
      </c>
      <c r="G564" s="1">
        <v>158.05000000000001</v>
      </c>
      <c r="H564">
        <v>0.01</v>
      </c>
      <c r="I564">
        <f>Sales_Data[[#This Row],[Sales]]*Sales_Data[[#This Row],[Discount]]</f>
        <v>1.5805000000000002</v>
      </c>
      <c r="J564">
        <v>156.46950000000001</v>
      </c>
      <c r="K564" s="1">
        <v>1.4</v>
      </c>
      <c r="L564" s="1">
        <v>156.65</v>
      </c>
      <c r="M564" s="1" t="s">
        <v>10</v>
      </c>
      <c r="N564" s="1">
        <f>IF(Sales_Data[[#This Row],[Sales with Discount]]&lt;Sales_Data[[#This Row],[Sales with Free Shipping]],Sales_Data[[#This Row],[Sales with Discount]],Sales_Data[[#This Row],[Sales with Free Shipping]])</f>
        <v>156.46950000000001</v>
      </c>
      <c r="O564" s="1" t="str">
        <f>TEXT(Sales_Data[[#This Row],[Order Date]], "MM-YYYY")</f>
        <v>10-2019</v>
      </c>
    </row>
    <row r="565" spans="1:15" x14ac:dyDescent="0.3">
      <c r="A565" s="1">
        <v>24098</v>
      </c>
      <c r="B565" s="2">
        <v>43572</v>
      </c>
      <c r="C565" s="1" t="s">
        <v>12</v>
      </c>
      <c r="D565" s="1">
        <v>32</v>
      </c>
      <c r="E565" t="s">
        <v>21</v>
      </c>
      <c r="F565" t="s">
        <v>21</v>
      </c>
      <c r="G565" s="1">
        <v>4449.1400000000003</v>
      </c>
      <c r="H565">
        <v>0</v>
      </c>
      <c r="I565">
        <f>Sales_Data[[#This Row],[Sales]]*Sales_Data[[#This Row],[Discount]]</f>
        <v>0</v>
      </c>
      <c r="J565">
        <v>4449.1400000000003</v>
      </c>
      <c r="K565" s="1">
        <v>9.6</v>
      </c>
      <c r="L565" s="1">
        <v>4449.1400000000003</v>
      </c>
      <c r="M565" s="1" t="s">
        <v>10</v>
      </c>
      <c r="N565" s="1">
        <f>IF(Sales_Data[[#This Row],[Sales with Discount]]&lt;Sales_Data[[#This Row],[Sales with Free Shipping]],Sales_Data[[#This Row],[Sales with Discount]],Sales_Data[[#This Row],[Sales with Free Shipping]])</f>
        <v>4449.1400000000003</v>
      </c>
      <c r="O565" s="1" t="str">
        <f>TEXT(Sales_Data[[#This Row],[Order Date]], "MM-YYYY")</f>
        <v>04-2019</v>
      </c>
    </row>
    <row r="566" spans="1:15" x14ac:dyDescent="0.3">
      <c r="A566" s="1">
        <v>39168</v>
      </c>
      <c r="B566" s="2">
        <v>43602</v>
      </c>
      <c r="C566" s="1" t="s">
        <v>9</v>
      </c>
      <c r="D566" s="1">
        <v>50</v>
      </c>
      <c r="E566" t="s">
        <v>24</v>
      </c>
      <c r="F566" t="s">
        <v>24</v>
      </c>
      <c r="G566" s="1">
        <v>1099.5999999999999</v>
      </c>
      <c r="H566">
        <v>0.01</v>
      </c>
      <c r="I566">
        <f>Sales_Data[[#This Row],[Sales]]*Sales_Data[[#This Row],[Discount]]</f>
        <v>10.995999999999999</v>
      </c>
      <c r="J566">
        <v>1088.6039999999998</v>
      </c>
      <c r="K566" s="1">
        <v>9.3000000000000007</v>
      </c>
      <c r="L566" s="1">
        <v>1090.3</v>
      </c>
      <c r="M566" s="1" t="s">
        <v>10</v>
      </c>
      <c r="N566" s="1">
        <f>IF(Sales_Data[[#This Row],[Sales with Discount]]&lt;Sales_Data[[#This Row],[Sales with Free Shipping]],Sales_Data[[#This Row],[Sales with Discount]],Sales_Data[[#This Row],[Sales with Free Shipping]])</f>
        <v>1088.6039999999998</v>
      </c>
      <c r="O566" s="1" t="str">
        <f>TEXT(Sales_Data[[#This Row],[Order Date]], "MM-YYYY")</f>
        <v>05-2019</v>
      </c>
    </row>
    <row r="567" spans="1:15" x14ac:dyDescent="0.3">
      <c r="A567" s="1">
        <v>55683</v>
      </c>
      <c r="B567" s="2">
        <v>43661</v>
      </c>
      <c r="C567" s="1" t="s">
        <v>9</v>
      </c>
      <c r="D567" s="1">
        <v>23</v>
      </c>
      <c r="E567" t="s">
        <v>14</v>
      </c>
      <c r="F567" t="s">
        <v>14</v>
      </c>
      <c r="G567" s="1">
        <v>1281.97</v>
      </c>
      <c r="H567">
        <v>0</v>
      </c>
      <c r="I567">
        <f>Sales_Data[[#This Row],[Sales]]*Sales_Data[[#This Row],[Discount]]</f>
        <v>0</v>
      </c>
      <c r="J567">
        <v>1281.97</v>
      </c>
      <c r="K567" s="1">
        <v>21.4</v>
      </c>
      <c r="L567" s="1">
        <v>1281.97</v>
      </c>
      <c r="M567" s="1" t="s">
        <v>10</v>
      </c>
      <c r="N567" s="1">
        <f>IF(Sales_Data[[#This Row],[Sales with Discount]]&lt;Sales_Data[[#This Row],[Sales with Free Shipping]],Sales_Data[[#This Row],[Sales with Discount]],Sales_Data[[#This Row],[Sales with Free Shipping]])</f>
        <v>1281.97</v>
      </c>
      <c r="O567" s="1" t="str">
        <f>TEXT(Sales_Data[[#This Row],[Order Date]], "MM-YYYY")</f>
        <v>07-2019</v>
      </c>
    </row>
    <row r="568" spans="1:15" x14ac:dyDescent="0.3">
      <c r="A568" s="1">
        <v>35392</v>
      </c>
      <c r="B568" s="2">
        <v>43518</v>
      </c>
      <c r="C568" s="1" t="s">
        <v>9</v>
      </c>
      <c r="D568" s="1">
        <v>9</v>
      </c>
      <c r="E568" t="s">
        <v>17</v>
      </c>
      <c r="F568" t="s">
        <v>17</v>
      </c>
      <c r="G568" s="1">
        <v>75.8416</v>
      </c>
      <c r="H568">
        <v>0</v>
      </c>
      <c r="I568">
        <f>Sales_Data[[#This Row],[Sales]]*Sales_Data[[#This Row],[Discount]]</f>
        <v>0</v>
      </c>
      <c r="J568">
        <v>75.8416</v>
      </c>
      <c r="K568" s="1">
        <v>10.4</v>
      </c>
      <c r="L568" s="1">
        <v>75.8416</v>
      </c>
      <c r="M568" s="1" t="s">
        <v>10</v>
      </c>
      <c r="N568" s="1">
        <f>IF(Sales_Data[[#This Row],[Sales with Discount]]&lt;Sales_Data[[#This Row],[Sales with Free Shipping]],Sales_Data[[#This Row],[Sales with Discount]],Sales_Data[[#This Row],[Sales with Free Shipping]])</f>
        <v>75.8416</v>
      </c>
      <c r="O568" s="1" t="str">
        <f>TEXT(Sales_Data[[#This Row],[Order Date]], "MM-YYYY")</f>
        <v>02-2019</v>
      </c>
    </row>
    <row r="569" spans="1:15" x14ac:dyDescent="0.3">
      <c r="A569" s="1">
        <v>4800</v>
      </c>
      <c r="B569" s="2">
        <v>43469</v>
      </c>
      <c r="C569" s="1" t="s">
        <v>7</v>
      </c>
      <c r="D569" s="1">
        <v>4</v>
      </c>
      <c r="E569" t="s">
        <v>16</v>
      </c>
      <c r="F569" t="s">
        <v>16</v>
      </c>
      <c r="G569" s="1">
        <v>44.88</v>
      </c>
      <c r="H569">
        <v>0</v>
      </c>
      <c r="I569">
        <f>Sales_Data[[#This Row],[Sales]]*Sales_Data[[#This Row],[Discount]]</f>
        <v>0</v>
      </c>
      <c r="J569">
        <v>44.88</v>
      </c>
      <c r="K569" s="1">
        <v>9.6</v>
      </c>
      <c r="L569" s="1">
        <v>44.88</v>
      </c>
      <c r="M569" s="1" t="s">
        <v>10</v>
      </c>
      <c r="N569" s="1">
        <f>IF(Sales_Data[[#This Row],[Sales with Discount]]&lt;Sales_Data[[#This Row],[Sales with Free Shipping]],Sales_Data[[#This Row],[Sales with Discount]],Sales_Data[[#This Row],[Sales with Free Shipping]])</f>
        <v>44.88</v>
      </c>
      <c r="O569" s="1" t="str">
        <f>TEXT(Sales_Data[[#This Row],[Order Date]], "MM-YYYY")</f>
        <v>01-2019</v>
      </c>
    </row>
    <row r="570" spans="1:15" x14ac:dyDescent="0.3">
      <c r="A570" s="1">
        <v>52197</v>
      </c>
      <c r="B570" s="2">
        <v>43681</v>
      </c>
      <c r="C570" s="1" t="s">
        <v>12</v>
      </c>
      <c r="D570" s="1">
        <v>6</v>
      </c>
      <c r="E570" t="s">
        <v>17</v>
      </c>
      <c r="F570" t="s">
        <v>17</v>
      </c>
      <c r="G570" s="1">
        <v>403.42</v>
      </c>
      <c r="H570">
        <v>0</v>
      </c>
      <c r="I570">
        <f>Sales_Data[[#This Row],[Sales]]*Sales_Data[[#This Row],[Discount]]</f>
        <v>0</v>
      </c>
      <c r="J570">
        <v>403.42</v>
      </c>
      <c r="K570" s="1">
        <v>7.4</v>
      </c>
      <c r="L570" s="1">
        <v>403.42</v>
      </c>
      <c r="M570" s="1" t="s">
        <v>10</v>
      </c>
      <c r="N570" s="1">
        <f>IF(Sales_Data[[#This Row],[Sales with Discount]]&lt;Sales_Data[[#This Row],[Sales with Free Shipping]],Sales_Data[[#This Row],[Sales with Discount]],Sales_Data[[#This Row],[Sales with Free Shipping]])</f>
        <v>403.42</v>
      </c>
      <c r="O570" s="1" t="str">
        <f>TEXT(Sales_Data[[#This Row],[Order Date]], "MM-YYYY")</f>
        <v>08-2019</v>
      </c>
    </row>
    <row r="571" spans="1:15" x14ac:dyDescent="0.3">
      <c r="A571" s="1">
        <v>32165</v>
      </c>
      <c r="B571" s="2">
        <v>43752</v>
      </c>
      <c r="C571" s="1" t="s">
        <v>11</v>
      </c>
      <c r="D571" s="1">
        <v>38</v>
      </c>
      <c r="E571" t="s">
        <v>22</v>
      </c>
      <c r="F571" t="s">
        <v>22</v>
      </c>
      <c r="G571" s="1">
        <v>3145.46</v>
      </c>
      <c r="H571">
        <v>0.01</v>
      </c>
      <c r="I571">
        <f>Sales_Data[[#This Row],[Sales]]*Sales_Data[[#This Row],[Discount]]</f>
        <v>31.454600000000003</v>
      </c>
      <c r="J571">
        <v>3114.0054</v>
      </c>
      <c r="K571" s="1">
        <v>1.1000000000000001</v>
      </c>
      <c r="L571" s="1">
        <v>3144.36</v>
      </c>
      <c r="M571" s="1" t="s">
        <v>10</v>
      </c>
      <c r="N571" s="1">
        <f>IF(Sales_Data[[#This Row],[Sales with Discount]]&lt;Sales_Data[[#This Row],[Sales with Free Shipping]],Sales_Data[[#This Row],[Sales with Discount]],Sales_Data[[#This Row],[Sales with Free Shipping]])</f>
        <v>3114.0054</v>
      </c>
      <c r="O571" s="1" t="str">
        <f>TEXT(Sales_Data[[#This Row],[Order Date]], "MM-YYYY")</f>
        <v>10-2019</v>
      </c>
    </row>
    <row r="572" spans="1:15" x14ac:dyDescent="0.3">
      <c r="A572" s="1">
        <v>52995</v>
      </c>
      <c r="B572" s="2">
        <v>43539</v>
      </c>
      <c r="C572" s="1" t="s">
        <v>11</v>
      </c>
      <c r="D572" s="1">
        <v>8</v>
      </c>
      <c r="E572" t="s">
        <v>17</v>
      </c>
      <c r="F572" t="s">
        <v>17</v>
      </c>
      <c r="G572" s="1">
        <v>35.729999999999997</v>
      </c>
      <c r="H572">
        <v>0</v>
      </c>
      <c r="I572">
        <f>Sales_Data[[#This Row],[Sales]]*Sales_Data[[#This Row],[Discount]]</f>
        <v>0</v>
      </c>
      <c r="J572">
        <v>35.729999999999997</v>
      </c>
      <c r="K572" s="1">
        <v>6.7</v>
      </c>
      <c r="L572" s="1">
        <v>35.729999999999997</v>
      </c>
      <c r="M572" s="1" t="s">
        <v>10</v>
      </c>
      <c r="N572" s="1">
        <f>IF(Sales_Data[[#This Row],[Sales with Discount]]&lt;Sales_Data[[#This Row],[Sales with Free Shipping]],Sales_Data[[#This Row],[Sales with Discount]],Sales_Data[[#This Row],[Sales with Free Shipping]])</f>
        <v>35.729999999999997</v>
      </c>
      <c r="O572" s="1" t="str">
        <f>TEXT(Sales_Data[[#This Row],[Order Date]], "MM-YYYY")</f>
        <v>03-2019</v>
      </c>
    </row>
    <row r="573" spans="1:15" x14ac:dyDescent="0.3">
      <c r="A573" s="1">
        <v>2848</v>
      </c>
      <c r="B573" s="2">
        <v>43533</v>
      </c>
      <c r="C573" s="1" t="s">
        <v>12</v>
      </c>
      <c r="D573" s="1">
        <v>35</v>
      </c>
      <c r="E573" t="s">
        <v>21</v>
      </c>
      <c r="F573" t="s">
        <v>21</v>
      </c>
      <c r="G573" s="1">
        <v>1579.74</v>
      </c>
      <c r="H573">
        <v>0</v>
      </c>
      <c r="I573">
        <f>Sales_Data[[#This Row],[Sales]]*Sales_Data[[#This Row],[Discount]]</f>
        <v>0</v>
      </c>
      <c r="J573">
        <v>1579.74</v>
      </c>
      <c r="K573" s="1">
        <v>17</v>
      </c>
      <c r="L573" s="1">
        <v>1579.74</v>
      </c>
      <c r="M573" s="1" t="s">
        <v>8</v>
      </c>
      <c r="N573" s="1">
        <f>IF(Sales_Data[[#This Row],[Sales with Discount]]&lt;Sales_Data[[#This Row],[Sales with Free Shipping]],Sales_Data[[#This Row],[Sales with Discount]],Sales_Data[[#This Row],[Sales with Free Shipping]])</f>
        <v>1579.74</v>
      </c>
      <c r="O573" s="1" t="str">
        <f>TEXT(Sales_Data[[#This Row],[Order Date]], "MM-YYYY")</f>
        <v>03-2019</v>
      </c>
    </row>
    <row r="574" spans="1:15" x14ac:dyDescent="0.3">
      <c r="A574" s="1">
        <v>17216</v>
      </c>
      <c r="B574" s="2">
        <v>43612</v>
      </c>
      <c r="C574" s="1" t="s">
        <v>14</v>
      </c>
      <c r="D574" s="1">
        <v>7</v>
      </c>
      <c r="E574" t="s">
        <v>17</v>
      </c>
      <c r="F574" t="s">
        <v>17</v>
      </c>
      <c r="G574" s="1">
        <v>2392.69</v>
      </c>
      <c r="H574">
        <v>0</v>
      </c>
      <c r="I574">
        <f>Sales_Data[[#This Row],[Sales]]*Sales_Data[[#This Row],[Discount]]</f>
        <v>0</v>
      </c>
      <c r="J574">
        <v>2392.69</v>
      </c>
      <c r="K574" s="1">
        <v>63.1</v>
      </c>
      <c r="L574" s="1">
        <v>2392.69</v>
      </c>
      <c r="M574" s="1" t="s">
        <v>13</v>
      </c>
      <c r="N574" s="1">
        <f>IF(Sales_Data[[#This Row],[Sales with Discount]]&lt;Sales_Data[[#This Row],[Sales with Free Shipping]],Sales_Data[[#This Row],[Sales with Discount]],Sales_Data[[#This Row],[Sales with Free Shipping]])</f>
        <v>2392.69</v>
      </c>
      <c r="O574" s="1" t="str">
        <f>TEXT(Sales_Data[[#This Row],[Order Date]], "MM-YYYY")</f>
        <v>05-2019</v>
      </c>
    </row>
    <row r="575" spans="1:15" x14ac:dyDescent="0.3">
      <c r="A575" s="1">
        <v>42177</v>
      </c>
      <c r="B575" s="2">
        <v>43615</v>
      </c>
      <c r="C575" s="1" t="s">
        <v>11</v>
      </c>
      <c r="D575" s="1">
        <v>38</v>
      </c>
      <c r="E575" t="s">
        <v>22</v>
      </c>
      <c r="F575" t="s">
        <v>22</v>
      </c>
      <c r="G575" s="1">
        <v>423.55</v>
      </c>
      <c r="H575">
        <v>0.01</v>
      </c>
      <c r="I575">
        <f>Sales_Data[[#This Row],[Sales]]*Sales_Data[[#This Row],[Discount]]</f>
        <v>4.2355</v>
      </c>
      <c r="J575">
        <v>419.31450000000001</v>
      </c>
      <c r="K575" s="1">
        <v>6.4</v>
      </c>
      <c r="L575" s="1">
        <v>417.15000000000003</v>
      </c>
      <c r="M575" s="1" t="s">
        <v>10</v>
      </c>
      <c r="N575" s="1">
        <f>IF(Sales_Data[[#This Row],[Sales with Discount]]&lt;Sales_Data[[#This Row],[Sales with Free Shipping]],Sales_Data[[#This Row],[Sales with Discount]],Sales_Data[[#This Row],[Sales with Free Shipping]])</f>
        <v>417.15000000000003</v>
      </c>
      <c r="O575" s="1" t="str">
        <f>TEXT(Sales_Data[[#This Row],[Order Date]], "MM-YYYY")</f>
        <v>05-2019</v>
      </c>
    </row>
    <row r="576" spans="1:15" x14ac:dyDescent="0.3">
      <c r="A576" s="1">
        <v>32871</v>
      </c>
      <c r="B576" s="2">
        <v>43764</v>
      </c>
      <c r="C576" s="1" t="s">
        <v>9</v>
      </c>
      <c r="D576" s="1">
        <v>9</v>
      </c>
      <c r="E576" t="s">
        <v>17</v>
      </c>
      <c r="F576" t="s">
        <v>17</v>
      </c>
      <c r="G576" s="1">
        <v>115.47</v>
      </c>
      <c r="H576">
        <v>0</v>
      </c>
      <c r="I576">
        <f>Sales_Data[[#This Row],[Sales]]*Sales_Data[[#This Row],[Discount]]</f>
        <v>0</v>
      </c>
      <c r="J576">
        <v>115.47</v>
      </c>
      <c r="K576" s="1">
        <v>7</v>
      </c>
      <c r="L576" s="1">
        <v>115.47</v>
      </c>
      <c r="M576" s="1" t="s">
        <v>10</v>
      </c>
      <c r="N576" s="1">
        <f>IF(Sales_Data[[#This Row],[Sales with Discount]]&lt;Sales_Data[[#This Row],[Sales with Free Shipping]],Sales_Data[[#This Row],[Sales with Discount]],Sales_Data[[#This Row],[Sales with Free Shipping]])</f>
        <v>115.47</v>
      </c>
      <c r="O576" s="1" t="str">
        <f>TEXT(Sales_Data[[#This Row],[Order Date]], "MM-YYYY")</f>
        <v>10-2019</v>
      </c>
    </row>
    <row r="577" spans="1:15" x14ac:dyDescent="0.3">
      <c r="A577" s="1">
        <v>46023</v>
      </c>
      <c r="B577" s="2">
        <v>43548</v>
      </c>
      <c r="C577" s="1" t="s">
        <v>11</v>
      </c>
      <c r="D577" s="1">
        <v>50</v>
      </c>
      <c r="E577" t="s">
        <v>24</v>
      </c>
      <c r="F577" t="s">
        <v>24</v>
      </c>
      <c r="G577" s="1">
        <v>1178.8832</v>
      </c>
      <c r="H577">
        <v>0.01</v>
      </c>
      <c r="I577">
        <f>Sales_Data[[#This Row],[Sales]]*Sales_Data[[#This Row],[Discount]]</f>
        <v>11.788831999999999</v>
      </c>
      <c r="J577">
        <v>1167.094368</v>
      </c>
      <c r="K577" s="1">
        <v>15</v>
      </c>
      <c r="L577" s="1">
        <v>1163.8832</v>
      </c>
      <c r="M577" s="1" t="s">
        <v>10</v>
      </c>
      <c r="N577" s="1">
        <f>IF(Sales_Data[[#This Row],[Sales with Discount]]&lt;Sales_Data[[#This Row],[Sales with Free Shipping]],Sales_Data[[#This Row],[Sales with Discount]],Sales_Data[[#This Row],[Sales with Free Shipping]])</f>
        <v>1163.8832</v>
      </c>
      <c r="O577" s="1" t="str">
        <f>TEXT(Sales_Data[[#This Row],[Order Date]], "MM-YYYY")</f>
        <v>03-2019</v>
      </c>
    </row>
    <row r="578" spans="1:15" x14ac:dyDescent="0.3">
      <c r="A578" s="1">
        <v>17698</v>
      </c>
      <c r="B578" s="2">
        <v>43598</v>
      </c>
      <c r="C578" s="1" t="s">
        <v>9</v>
      </c>
      <c r="D578" s="1">
        <v>22</v>
      </c>
      <c r="E578" t="s">
        <v>14</v>
      </c>
      <c r="F578" t="s">
        <v>14</v>
      </c>
      <c r="G578" s="1">
        <v>1196.53</v>
      </c>
      <c r="H578">
        <v>0</v>
      </c>
      <c r="I578">
        <f>Sales_Data[[#This Row],[Sales]]*Sales_Data[[#This Row],[Discount]]</f>
        <v>0</v>
      </c>
      <c r="J578">
        <v>1196.53</v>
      </c>
      <c r="K578" s="1">
        <v>9.6</v>
      </c>
      <c r="L578" s="1">
        <v>1196.53</v>
      </c>
      <c r="M578" s="1" t="s">
        <v>10</v>
      </c>
      <c r="N578" s="1">
        <f>IF(Sales_Data[[#This Row],[Sales with Discount]]&lt;Sales_Data[[#This Row],[Sales with Free Shipping]],Sales_Data[[#This Row],[Sales with Discount]],Sales_Data[[#This Row],[Sales with Free Shipping]])</f>
        <v>1196.53</v>
      </c>
      <c r="O578" s="1" t="str">
        <f>TEXT(Sales_Data[[#This Row],[Order Date]], "MM-YYYY")</f>
        <v>05-2019</v>
      </c>
    </row>
    <row r="579" spans="1:15" x14ac:dyDescent="0.3">
      <c r="A579" s="1">
        <v>40772</v>
      </c>
      <c r="B579" s="2">
        <v>43508</v>
      </c>
      <c r="C579" s="1" t="s">
        <v>12</v>
      </c>
      <c r="D579" s="1">
        <v>15</v>
      </c>
      <c r="E579" t="s">
        <v>18</v>
      </c>
      <c r="F579" t="s">
        <v>18</v>
      </c>
      <c r="G579" s="1">
        <v>137.25</v>
      </c>
      <c r="H579">
        <v>0</v>
      </c>
      <c r="I579">
        <f>Sales_Data[[#This Row],[Sales]]*Sales_Data[[#This Row],[Discount]]</f>
        <v>0</v>
      </c>
      <c r="J579">
        <v>137.25</v>
      </c>
      <c r="K579" s="1">
        <v>3</v>
      </c>
      <c r="L579" s="1">
        <v>137.25</v>
      </c>
      <c r="M579" s="1" t="s">
        <v>10</v>
      </c>
      <c r="N579" s="1">
        <f>IF(Sales_Data[[#This Row],[Sales with Discount]]&lt;Sales_Data[[#This Row],[Sales with Free Shipping]],Sales_Data[[#This Row],[Sales with Discount]],Sales_Data[[#This Row],[Sales with Free Shipping]])</f>
        <v>137.25</v>
      </c>
      <c r="O579" s="1" t="str">
        <f>TEXT(Sales_Data[[#This Row],[Order Date]], "MM-YYYY")</f>
        <v>02-2019</v>
      </c>
    </row>
    <row r="580" spans="1:15" x14ac:dyDescent="0.3">
      <c r="A580" s="1">
        <v>36709</v>
      </c>
      <c r="B580" s="2">
        <v>43700</v>
      </c>
      <c r="C580" s="1" t="s">
        <v>12</v>
      </c>
      <c r="D580" s="1">
        <v>42</v>
      </c>
      <c r="E580" t="s">
        <v>23</v>
      </c>
      <c r="F580" t="s">
        <v>23</v>
      </c>
      <c r="G580" s="1">
        <v>2402.89</v>
      </c>
      <c r="H580">
        <v>0.01</v>
      </c>
      <c r="I580">
        <f>Sales_Data[[#This Row],[Sales]]*Sales_Data[[#This Row],[Discount]]</f>
        <v>24.0289</v>
      </c>
      <c r="J580">
        <v>2378.8611000000001</v>
      </c>
      <c r="K580" s="1">
        <v>9.6</v>
      </c>
      <c r="L580" s="1">
        <v>2393.29</v>
      </c>
      <c r="M580" s="1" t="s">
        <v>10</v>
      </c>
      <c r="N580" s="1">
        <f>IF(Sales_Data[[#This Row],[Sales with Discount]]&lt;Sales_Data[[#This Row],[Sales with Free Shipping]],Sales_Data[[#This Row],[Sales with Discount]],Sales_Data[[#This Row],[Sales with Free Shipping]])</f>
        <v>2378.8611000000001</v>
      </c>
      <c r="O580" s="1" t="str">
        <f>TEXT(Sales_Data[[#This Row],[Order Date]], "MM-YYYY")</f>
        <v>08-2019</v>
      </c>
    </row>
    <row r="581" spans="1:15" x14ac:dyDescent="0.3">
      <c r="A581" s="1">
        <v>13984</v>
      </c>
      <c r="B581" s="2">
        <v>43732</v>
      </c>
      <c r="C581" s="1" t="s">
        <v>12</v>
      </c>
      <c r="D581" s="1">
        <v>30</v>
      </c>
      <c r="E581" t="s">
        <v>20</v>
      </c>
      <c r="F581" t="s">
        <v>20</v>
      </c>
      <c r="G581" s="1">
        <v>2196.52</v>
      </c>
      <c r="H581">
        <v>0</v>
      </c>
      <c r="I581">
        <f>Sales_Data[[#This Row],[Sales]]*Sales_Data[[#This Row],[Discount]]</f>
        <v>0</v>
      </c>
      <c r="J581">
        <v>2196.52</v>
      </c>
      <c r="K581" s="1">
        <v>40.200000000000003</v>
      </c>
      <c r="L581" s="1">
        <v>2196.52</v>
      </c>
      <c r="M581" s="1" t="s">
        <v>10</v>
      </c>
      <c r="N581" s="1">
        <f>IF(Sales_Data[[#This Row],[Sales with Discount]]&lt;Sales_Data[[#This Row],[Sales with Free Shipping]],Sales_Data[[#This Row],[Sales with Discount]],Sales_Data[[#This Row],[Sales with Free Shipping]])</f>
        <v>2196.52</v>
      </c>
      <c r="O581" s="1" t="str">
        <f>TEXT(Sales_Data[[#This Row],[Order Date]], "MM-YYYY")</f>
        <v>09-2019</v>
      </c>
    </row>
    <row r="582" spans="1:15" x14ac:dyDescent="0.3">
      <c r="A582" s="1">
        <v>51205</v>
      </c>
      <c r="B582" s="2">
        <v>43809</v>
      </c>
      <c r="C582" s="1" t="s">
        <v>9</v>
      </c>
      <c r="D582" s="1">
        <v>17</v>
      </c>
      <c r="E582" t="s">
        <v>19</v>
      </c>
      <c r="F582" t="s">
        <v>19</v>
      </c>
      <c r="G582" s="1">
        <v>249.32</v>
      </c>
      <c r="H582">
        <v>0</v>
      </c>
      <c r="I582">
        <f>Sales_Data[[#This Row],[Sales]]*Sales_Data[[#This Row],[Discount]]</f>
        <v>0</v>
      </c>
      <c r="J582">
        <v>249.32</v>
      </c>
      <c r="K582" s="1">
        <v>1.6</v>
      </c>
      <c r="L582" s="1">
        <v>249.32</v>
      </c>
      <c r="M582" s="1" t="s">
        <v>8</v>
      </c>
      <c r="N582" s="1">
        <f>IF(Sales_Data[[#This Row],[Sales with Discount]]&lt;Sales_Data[[#This Row],[Sales with Free Shipping]],Sales_Data[[#This Row],[Sales with Discount]],Sales_Data[[#This Row],[Sales with Free Shipping]])</f>
        <v>249.32</v>
      </c>
      <c r="O582" s="1" t="str">
        <f>TEXT(Sales_Data[[#This Row],[Order Date]], "MM-YYYY")</f>
        <v>12-2019</v>
      </c>
    </row>
    <row r="583" spans="1:15" x14ac:dyDescent="0.3">
      <c r="A583" s="1">
        <v>50849</v>
      </c>
      <c r="B583" s="2">
        <v>43742</v>
      </c>
      <c r="C583" s="1" t="s">
        <v>7</v>
      </c>
      <c r="D583" s="1">
        <v>47</v>
      </c>
      <c r="E583" t="s">
        <v>24</v>
      </c>
      <c r="F583" t="s">
        <v>24</v>
      </c>
      <c r="G583" s="1">
        <v>328.89</v>
      </c>
      <c r="H583">
        <v>0.01</v>
      </c>
      <c r="I583">
        <f>Sales_Data[[#This Row],[Sales]]*Sales_Data[[#This Row],[Discount]]</f>
        <v>3.2888999999999999</v>
      </c>
      <c r="J583">
        <v>325.60109999999997</v>
      </c>
      <c r="K583" s="1">
        <v>9.8000000000000007</v>
      </c>
      <c r="L583" s="1">
        <v>319.08999999999997</v>
      </c>
      <c r="M583" s="1" t="s">
        <v>8</v>
      </c>
      <c r="N583" s="1">
        <f>IF(Sales_Data[[#This Row],[Sales with Discount]]&lt;Sales_Data[[#This Row],[Sales with Free Shipping]],Sales_Data[[#This Row],[Sales with Discount]],Sales_Data[[#This Row],[Sales with Free Shipping]])</f>
        <v>319.08999999999997</v>
      </c>
      <c r="O583" s="1" t="str">
        <f>TEXT(Sales_Data[[#This Row],[Order Date]], "MM-YYYY")</f>
        <v>10-2019</v>
      </c>
    </row>
    <row r="584" spans="1:15" x14ac:dyDescent="0.3">
      <c r="A584" s="1">
        <v>5601</v>
      </c>
      <c r="B584" s="2">
        <v>43469</v>
      </c>
      <c r="C584" s="1" t="s">
        <v>9</v>
      </c>
      <c r="D584" s="1">
        <v>10</v>
      </c>
      <c r="E584" t="s">
        <v>17</v>
      </c>
      <c r="F584" t="s">
        <v>17</v>
      </c>
      <c r="G584" s="1">
        <v>128.97</v>
      </c>
      <c r="H584">
        <v>0</v>
      </c>
      <c r="I584">
        <f>Sales_Data[[#This Row],[Sales]]*Sales_Data[[#This Row],[Discount]]</f>
        <v>0</v>
      </c>
      <c r="J584">
        <v>128.97</v>
      </c>
      <c r="K584" s="1">
        <v>3</v>
      </c>
      <c r="L584" s="1">
        <v>128.97</v>
      </c>
      <c r="M584" s="1" t="s">
        <v>10</v>
      </c>
      <c r="N584" s="1">
        <f>IF(Sales_Data[[#This Row],[Sales with Discount]]&lt;Sales_Data[[#This Row],[Sales with Free Shipping]],Sales_Data[[#This Row],[Sales with Discount]],Sales_Data[[#This Row],[Sales with Free Shipping]])</f>
        <v>128.97</v>
      </c>
      <c r="O584" s="1" t="str">
        <f>TEXT(Sales_Data[[#This Row],[Order Date]], "MM-YYYY")</f>
        <v>01-2019</v>
      </c>
    </row>
    <row r="585" spans="1:15" x14ac:dyDescent="0.3">
      <c r="A585" s="1">
        <v>37798</v>
      </c>
      <c r="B585" s="2">
        <v>43773</v>
      </c>
      <c r="C585" s="1" t="s">
        <v>9</v>
      </c>
      <c r="D585" s="1">
        <v>23</v>
      </c>
      <c r="E585" t="s">
        <v>14</v>
      </c>
      <c r="F585" t="s">
        <v>14</v>
      </c>
      <c r="G585" s="1">
        <v>6716.21</v>
      </c>
      <c r="H585">
        <v>0</v>
      </c>
      <c r="I585">
        <f>Sales_Data[[#This Row],[Sales]]*Sales_Data[[#This Row],[Discount]]</f>
        <v>0</v>
      </c>
      <c r="J585">
        <v>6716.21</v>
      </c>
      <c r="K585" s="1">
        <v>52.2</v>
      </c>
      <c r="L585" s="1">
        <v>6716.21</v>
      </c>
      <c r="M585" s="1" t="s">
        <v>13</v>
      </c>
      <c r="N585" s="1">
        <f>IF(Sales_Data[[#This Row],[Sales with Discount]]&lt;Sales_Data[[#This Row],[Sales with Free Shipping]],Sales_Data[[#This Row],[Sales with Discount]],Sales_Data[[#This Row],[Sales with Free Shipping]])</f>
        <v>6716.21</v>
      </c>
      <c r="O585" s="1" t="str">
        <f>TEXT(Sales_Data[[#This Row],[Order Date]], "MM-YYYY")</f>
        <v>11-2019</v>
      </c>
    </row>
    <row r="586" spans="1:15" x14ac:dyDescent="0.3">
      <c r="A586" s="1">
        <v>9602</v>
      </c>
      <c r="B586" s="2">
        <v>43779</v>
      </c>
      <c r="C586" s="1" t="s">
        <v>12</v>
      </c>
      <c r="D586" s="1">
        <v>27</v>
      </c>
      <c r="E586" t="s">
        <v>20</v>
      </c>
      <c r="F586" t="s">
        <v>20</v>
      </c>
      <c r="G586" s="1">
        <v>2839.95</v>
      </c>
      <c r="H586">
        <v>0</v>
      </c>
      <c r="I586">
        <f>Sales_Data[[#This Row],[Sales]]*Sales_Data[[#This Row],[Discount]]</f>
        <v>0</v>
      </c>
      <c r="J586">
        <v>2839.95</v>
      </c>
      <c r="K586" s="1">
        <v>30</v>
      </c>
      <c r="L586" s="1">
        <v>2839.95</v>
      </c>
      <c r="M586" s="1" t="s">
        <v>13</v>
      </c>
      <c r="N586" s="1">
        <f>IF(Sales_Data[[#This Row],[Sales with Discount]]&lt;Sales_Data[[#This Row],[Sales with Free Shipping]],Sales_Data[[#This Row],[Sales with Discount]],Sales_Data[[#This Row],[Sales with Free Shipping]])</f>
        <v>2839.95</v>
      </c>
      <c r="O586" s="1" t="str">
        <f>TEXT(Sales_Data[[#This Row],[Order Date]], "MM-YYYY")</f>
        <v>11-2019</v>
      </c>
    </row>
    <row r="587" spans="1:15" x14ac:dyDescent="0.3">
      <c r="A587" s="1">
        <v>39813</v>
      </c>
      <c r="B587" s="2">
        <v>43497</v>
      </c>
      <c r="C587" s="1" t="s">
        <v>12</v>
      </c>
      <c r="D587" s="1">
        <v>48</v>
      </c>
      <c r="E587" t="s">
        <v>24</v>
      </c>
      <c r="F587" t="s">
        <v>24</v>
      </c>
      <c r="G587" s="1">
        <v>336.34</v>
      </c>
      <c r="H587">
        <v>0.01</v>
      </c>
      <c r="I587">
        <f>Sales_Data[[#This Row],[Sales]]*Sales_Data[[#This Row],[Discount]]</f>
        <v>3.3633999999999999</v>
      </c>
      <c r="J587">
        <v>332.97659999999996</v>
      </c>
      <c r="K587" s="1">
        <v>7.1</v>
      </c>
      <c r="L587" s="1">
        <v>329.23999999999995</v>
      </c>
      <c r="M587" s="1" t="s">
        <v>10</v>
      </c>
      <c r="N587" s="1">
        <f>IF(Sales_Data[[#This Row],[Sales with Discount]]&lt;Sales_Data[[#This Row],[Sales with Free Shipping]],Sales_Data[[#This Row],[Sales with Discount]],Sales_Data[[#This Row],[Sales with Free Shipping]])</f>
        <v>329.23999999999995</v>
      </c>
      <c r="O587" s="1" t="str">
        <f>TEXT(Sales_Data[[#This Row],[Order Date]], "MM-YYYY")</f>
        <v>02-2019</v>
      </c>
    </row>
    <row r="588" spans="1:15" x14ac:dyDescent="0.3">
      <c r="A588" s="1">
        <v>32327</v>
      </c>
      <c r="B588" s="2">
        <v>43684</v>
      </c>
      <c r="C588" s="1" t="s">
        <v>7</v>
      </c>
      <c r="D588" s="1">
        <v>45</v>
      </c>
      <c r="E588" t="s">
        <v>23</v>
      </c>
      <c r="F588" t="s">
        <v>23</v>
      </c>
      <c r="G588" s="1">
        <v>21757.18</v>
      </c>
      <c r="H588">
        <v>0.01</v>
      </c>
      <c r="I588">
        <f>Sales_Data[[#This Row],[Sales]]*Sales_Data[[#This Row],[Discount]]</f>
        <v>217.5718</v>
      </c>
      <c r="J588">
        <v>21539.608199999999</v>
      </c>
      <c r="K588" s="1">
        <v>157.4</v>
      </c>
      <c r="L588" s="1">
        <v>21599.78</v>
      </c>
      <c r="M588" s="1" t="s">
        <v>13</v>
      </c>
      <c r="N588" s="1">
        <f>IF(Sales_Data[[#This Row],[Sales with Discount]]&lt;Sales_Data[[#This Row],[Sales with Free Shipping]],Sales_Data[[#This Row],[Sales with Discount]],Sales_Data[[#This Row],[Sales with Free Shipping]])</f>
        <v>21539.608199999999</v>
      </c>
      <c r="O588" s="1" t="str">
        <f>TEXT(Sales_Data[[#This Row],[Order Date]], "MM-YYYY")</f>
        <v>08-2019</v>
      </c>
    </row>
    <row r="589" spans="1:15" x14ac:dyDescent="0.3">
      <c r="A589" s="1">
        <v>6500</v>
      </c>
      <c r="B589" s="2">
        <v>43750</v>
      </c>
      <c r="C589" s="1" t="s">
        <v>12</v>
      </c>
      <c r="D589" s="1">
        <v>15</v>
      </c>
      <c r="E589" t="s">
        <v>18</v>
      </c>
      <c r="F589" t="s">
        <v>18</v>
      </c>
      <c r="G589" s="1">
        <v>479.43</v>
      </c>
      <c r="H589">
        <v>0</v>
      </c>
      <c r="I589">
        <f>Sales_Data[[#This Row],[Sales]]*Sales_Data[[#This Row],[Discount]]</f>
        <v>0</v>
      </c>
      <c r="J589">
        <v>479.43</v>
      </c>
      <c r="K589" s="1">
        <v>9.3000000000000007</v>
      </c>
      <c r="L589" s="1">
        <v>479.43</v>
      </c>
      <c r="M589" s="1" t="s">
        <v>10</v>
      </c>
      <c r="N589" s="1">
        <f>IF(Sales_Data[[#This Row],[Sales with Discount]]&lt;Sales_Data[[#This Row],[Sales with Free Shipping]],Sales_Data[[#This Row],[Sales with Discount]],Sales_Data[[#This Row],[Sales with Free Shipping]])</f>
        <v>479.43</v>
      </c>
      <c r="O589" s="1" t="str">
        <f>TEXT(Sales_Data[[#This Row],[Order Date]], "MM-YYYY")</f>
        <v>10-2019</v>
      </c>
    </row>
    <row r="590" spans="1:15" x14ac:dyDescent="0.3">
      <c r="A590" s="1">
        <v>33956</v>
      </c>
      <c r="B590" s="2">
        <v>43483</v>
      </c>
      <c r="C590" s="1" t="s">
        <v>7</v>
      </c>
      <c r="D590" s="1">
        <v>13</v>
      </c>
      <c r="E590" t="s">
        <v>18</v>
      </c>
      <c r="F590" t="s">
        <v>18</v>
      </c>
      <c r="G590" s="1">
        <v>117.25</v>
      </c>
      <c r="H590">
        <v>0</v>
      </c>
      <c r="I590">
        <f>Sales_Data[[#This Row],[Sales]]*Sales_Data[[#This Row],[Discount]]</f>
        <v>0</v>
      </c>
      <c r="J590">
        <v>117.25</v>
      </c>
      <c r="K590" s="1">
        <v>4.3</v>
      </c>
      <c r="L590" s="1">
        <v>117.25</v>
      </c>
      <c r="M590" s="1" t="s">
        <v>10</v>
      </c>
      <c r="N590" s="1">
        <f>IF(Sales_Data[[#This Row],[Sales with Discount]]&lt;Sales_Data[[#This Row],[Sales with Free Shipping]],Sales_Data[[#This Row],[Sales with Discount]],Sales_Data[[#This Row],[Sales with Free Shipping]])</f>
        <v>117.25</v>
      </c>
      <c r="O590" s="1" t="str">
        <f>TEXT(Sales_Data[[#This Row],[Order Date]], "MM-YYYY")</f>
        <v>01-2019</v>
      </c>
    </row>
    <row r="591" spans="1:15" x14ac:dyDescent="0.3">
      <c r="A591" s="1">
        <v>25348</v>
      </c>
      <c r="B591" s="2">
        <v>43594</v>
      </c>
      <c r="C591" s="1" t="s">
        <v>12</v>
      </c>
      <c r="D591" s="1">
        <v>6</v>
      </c>
      <c r="E591" t="s">
        <v>17</v>
      </c>
      <c r="F591" t="s">
        <v>17</v>
      </c>
      <c r="G591" s="1">
        <v>367.4</v>
      </c>
      <c r="H591">
        <v>0</v>
      </c>
      <c r="I591">
        <f>Sales_Data[[#This Row],[Sales]]*Sales_Data[[#This Row],[Discount]]</f>
        <v>0</v>
      </c>
      <c r="J591">
        <v>367.4</v>
      </c>
      <c r="K591" s="1">
        <v>14.1</v>
      </c>
      <c r="L591" s="1">
        <v>367.4</v>
      </c>
      <c r="M591" s="1" t="s">
        <v>10</v>
      </c>
      <c r="N591" s="1">
        <f>IF(Sales_Data[[#This Row],[Sales with Discount]]&lt;Sales_Data[[#This Row],[Sales with Free Shipping]],Sales_Data[[#This Row],[Sales with Discount]],Sales_Data[[#This Row],[Sales with Free Shipping]])</f>
        <v>367.4</v>
      </c>
      <c r="O591" s="1" t="str">
        <f>TEXT(Sales_Data[[#This Row],[Order Date]], "MM-YYYY")</f>
        <v>05-2019</v>
      </c>
    </row>
    <row r="592" spans="1:15" x14ac:dyDescent="0.3">
      <c r="A592" s="1">
        <v>59781</v>
      </c>
      <c r="B592" s="2">
        <v>43811</v>
      </c>
      <c r="C592" s="1" t="s">
        <v>11</v>
      </c>
      <c r="D592" s="1">
        <v>28</v>
      </c>
      <c r="E592" t="s">
        <v>20</v>
      </c>
      <c r="F592" t="s">
        <v>20</v>
      </c>
      <c r="G592" s="1">
        <v>26098.54</v>
      </c>
      <c r="H592">
        <v>0</v>
      </c>
      <c r="I592">
        <f>Sales_Data[[#This Row],[Sales]]*Sales_Data[[#This Row],[Discount]]</f>
        <v>0</v>
      </c>
      <c r="J592">
        <v>26098.54</v>
      </c>
      <c r="K592" s="1">
        <v>47.7</v>
      </c>
      <c r="L592" s="1">
        <v>26098.54</v>
      </c>
      <c r="M592" s="1" t="s">
        <v>13</v>
      </c>
      <c r="N592" s="1">
        <f>IF(Sales_Data[[#This Row],[Sales with Discount]]&lt;Sales_Data[[#This Row],[Sales with Free Shipping]],Sales_Data[[#This Row],[Sales with Discount]],Sales_Data[[#This Row],[Sales with Free Shipping]])</f>
        <v>26098.54</v>
      </c>
      <c r="O592" s="1" t="str">
        <f>TEXT(Sales_Data[[#This Row],[Order Date]], "MM-YYYY")</f>
        <v>12-2019</v>
      </c>
    </row>
    <row r="593" spans="1:15" x14ac:dyDescent="0.3">
      <c r="A593" s="1">
        <v>28934</v>
      </c>
      <c r="B593" s="2">
        <v>43797</v>
      </c>
      <c r="C593" s="1" t="s">
        <v>14</v>
      </c>
      <c r="D593" s="1">
        <v>26</v>
      </c>
      <c r="E593" t="s">
        <v>20</v>
      </c>
      <c r="F593" t="s">
        <v>20</v>
      </c>
      <c r="G593" s="1">
        <v>4280.37</v>
      </c>
      <c r="H593">
        <v>0</v>
      </c>
      <c r="I593">
        <f>Sales_Data[[#This Row],[Sales]]*Sales_Data[[#This Row],[Discount]]</f>
        <v>0</v>
      </c>
      <c r="J593">
        <v>4280.37</v>
      </c>
      <c r="K593" s="1">
        <v>32.1</v>
      </c>
      <c r="L593" s="1">
        <v>4280.37</v>
      </c>
      <c r="M593" s="1" t="s">
        <v>13</v>
      </c>
      <c r="N593" s="1">
        <f>IF(Sales_Data[[#This Row],[Sales with Discount]]&lt;Sales_Data[[#This Row],[Sales with Free Shipping]],Sales_Data[[#This Row],[Sales with Discount]],Sales_Data[[#This Row],[Sales with Free Shipping]])</f>
        <v>4280.37</v>
      </c>
      <c r="O593" s="1" t="str">
        <f>TEXT(Sales_Data[[#This Row],[Order Date]], "MM-YYYY")</f>
        <v>11-2019</v>
      </c>
    </row>
    <row r="594" spans="1:15" x14ac:dyDescent="0.3">
      <c r="A594" s="1">
        <v>19718</v>
      </c>
      <c r="B594" s="2">
        <v>43640</v>
      </c>
      <c r="C594" s="1" t="s">
        <v>7</v>
      </c>
      <c r="D594" s="1">
        <v>6</v>
      </c>
      <c r="E594" t="s">
        <v>17</v>
      </c>
      <c r="F594" t="s">
        <v>17</v>
      </c>
      <c r="G594" s="1">
        <v>96.03</v>
      </c>
      <c r="H594">
        <v>0</v>
      </c>
      <c r="I594">
        <f>Sales_Data[[#This Row],[Sales]]*Sales_Data[[#This Row],[Discount]]</f>
        <v>0</v>
      </c>
      <c r="J594">
        <v>96.03</v>
      </c>
      <c r="K594" s="1">
        <v>8</v>
      </c>
      <c r="L594" s="1">
        <v>96.03</v>
      </c>
      <c r="M594" s="1" t="s">
        <v>10</v>
      </c>
      <c r="N594" s="1">
        <f>IF(Sales_Data[[#This Row],[Sales with Discount]]&lt;Sales_Data[[#This Row],[Sales with Free Shipping]],Sales_Data[[#This Row],[Sales with Discount]],Sales_Data[[#This Row],[Sales with Free Shipping]])</f>
        <v>96.03</v>
      </c>
      <c r="O594" s="1" t="str">
        <f>TEXT(Sales_Data[[#This Row],[Order Date]], "MM-YYYY")</f>
        <v>06-2019</v>
      </c>
    </row>
    <row r="595" spans="1:15" x14ac:dyDescent="0.3">
      <c r="A595" s="1">
        <v>41056</v>
      </c>
      <c r="B595" s="2">
        <v>43550</v>
      </c>
      <c r="C595" s="1" t="s">
        <v>12</v>
      </c>
      <c r="D595" s="1">
        <v>4</v>
      </c>
      <c r="E595" t="s">
        <v>16</v>
      </c>
      <c r="F595" t="s">
        <v>16</v>
      </c>
      <c r="G595" s="1">
        <v>147.16999999999999</v>
      </c>
      <c r="H595">
        <v>0</v>
      </c>
      <c r="I595">
        <f>Sales_Data[[#This Row],[Sales]]*Sales_Data[[#This Row],[Discount]]</f>
        <v>0</v>
      </c>
      <c r="J595">
        <v>147.16999999999999</v>
      </c>
      <c r="K595" s="1">
        <v>8.1</v>
      </c>
      <c r="L595" s="1">
        <v>147.16999999999999</v>
      </c>
      <c r="M595" s="1" t="s">
        <v>10</v>
      </c>
      <c r="N595" s="1">
        <f>IF(Sales_Data[[#This Row],[Sales with Discount]]&lt;Sales_Data[[#This Row],[Sales with Free Shipping]],Sales_Data[[#This Row],[Sales with Discount]],Sales_Data[[#This Row],[Sales with Free Shipping]])</f>
        <v>147.16999999999999</v>
      </c>
      <c r="O595" s="1" t="str">
        <f>TEXT(Sales_Data[[#This Row],[Order Date]], "MM-YYYY")</f>
        <v>03-2019</v>
      </c>
    </row>
    <row r="596" spans="1:15" x14ac:dyDescent="0.3">
      <c r="A596" s="1">
        <v>32356</v>
      </c>
      <c r="B596" s="2">
        <v>43748</v>
      </c>
      <c r="C596" s="1" t="s">
        <v>11</v>
      </c>
      <c r="D596" s="1">
        <v>47</v>
      </c>
      <c r="E596" t="s">
        <v>24</v>
      </c>
      <c r="F596" t="s">
        <v>24</v>
      </c>
      <c r="G596" s="1">
        <v>5604.87</v>
      </c>
      <c r="H596">
        <v>0.01</v>
      </c>
      <c r="I596">
        <f>Sales_Data[[#This Row],[Sales]]*Sales_Data[[#This Row],[Discount]]</f>
        <v>56.048699999999997</v>
      </c>
      <c r="J596">
        <v>5548.8212999999996</v>
      </c>
      <c r="K596" s="1">
        <v>49.4</v>
      </c>
      <c r="L596" s="1">
        <v>5555.47</v>
      </c>
      <c r="M596" s="1" t="s">
        <v>13</v>
      </c>
      <c r="N596" s="1">
        <f>IF(Sales_Data[[#This Row],[Sales with Discount]]&lt;Sales_Data[[#This Row],[Sales with Free Shipping]],Sales_Data[[#This Row],[Sales with Discount]],Sales_Data[[#This Row],[Sales with Free Shipping]])</f>
        <v>5548.8212999999996</v>
      </c>
      <c r="O596" s="1" t="str">
        <f>TEXT(Sales_Data[[#This Row],[Order Date]], "MM-YYYY")</f>
        <v>10-2019</v>
      </c>
    </row>
    <row r="597" spans="1:15" x14ac:dyDescent="0.3">
      <c r="A597" s="1">
        <v>49602</v>
      </c>
      <c r="B597" s="2">
        <v>43532</v>
      </c>
      <c r="C597" s="1" t="s">
        <v>11</v>
      </c>
      <c r="D597" s="1">
        <v>31</v>
      </c>
      <c r="E597" t="s">
        <v>21</v>
      </c>
      <c r="F597" t="s">
        <v>21</v>
      </c>
      <c r="G597" s="1">
        <v>5220.1400000000003</v>
      </c>
      <c r="H597">
        <v>0</v>
      </c>
      <c r="I597">
        <f>Sales_Data[[#This Row],[Sales]]*Sales_Data[[#This Row],[Discount]]</f>
        <v>0</v>
      </c>
      <c r="J597">
        <v>5220.1400000000003</v>
      </c>
      <c r="K597" s="1">
        <v>70.900000000000006</v>
      </c>
      <c r="L597" s="1">
        <v>5220.1400000000003</v>
      </c>
      <c r="M597" s="1" t="s">
        <v>13</v>
      </c>
      <c r="N597" s="1">
        <f>IF(Sales_Data[[#This Row],[Sales with Discount]]&lt;Sales_Data[[#This Row],[Sales with Free Shipping]],Sales_Data[[#This Row],[Sales with Discount]],Sales_Data[[#This Row],[Sales with Free Shipping]])</f>
        <v>5220.1400000000003</v>
      </c>
      <c r="O597" s="1" t="str">
        <f>TEXT(Sales_Data[[#This Row],[Order Date]], "MM-YYYY")</f>
        <v>03-2019</v>
      </c>
    </row>
    <row r="598" spans="1:15" x14ac:dyDescent="0.3">
      <c r="A598" s="1">
        <v>4162</v>
      </c>
      <c r="B598" s="2">
        <v>43504</v>
      </c>
      <c r="C598" s="1" t="s">
        <v>7</v>
      </c>
      <c r="D598" s="1">
        <v>2</v>
      </c>
      <c r="E598" t="s">
        <v>16</v>
      </c>
      <c r="F598" t="s">
        <v>16</v>
      </c>
      <c r="G598" s="1">
        <v>408.31</v>
      </c>
      <c r="H598">
        <v>0</v>
      </c>
      <c r="I598">
        <f>Sales_Data[[#This Row],[Sales]]*Sales_Data[[#This Row],[Discount]]</f>
        <v>0</v>
      </c>
      <c r="J598">
        <v>408.31</v>
      </c>
      <c r="K598" s="1">
        <v>21.4</v>
      </c>
      <c r="L598" s="1">
        <v>408.31</v>
      </c>
      <c r="M598" s="1" t="s">
        <v>10</v>
      </c>
      <c r="N598" s="1">
        <f>IF(Sales_Data[[#This Row],[Sales with Discount]]&lt;Sales_Data[[#This Row],[Sales with Free Shipping]],Sales_Data[[#This Row],[Sales with Discount]],Sales_Data[[#This Row],[Sales with Free Shipping]])</f>
        <v>408.31</v>
      </c>
      <c r="O598" s="1" t="str">
        <f>TEXT(Sales_Data[[#This Row],[Order Date]], "MM-YYYY")</f>
        <v>02-2019</v>
      </c>
    </row>
    <row r="599" spans="1:15" x14ac:dyDescent="0.3">
      <c r="A599" s="1">
        <v>3205</v>
      </c>
      <c r="B599" s="2">
        <v>43565</v>
      </c>
      <c r="C599" s="1" t="s">
        <v>7</v>
      </c>
      <c r="D599" s="1">
        <v>8</v>
      </c>
      <c r="E599" t="s">
        <v>17</v>
      </c>
      <c r="F599" t="s">
        <v>17</v>
      </c>
      <c r="G599" s="1">
        <v>146.16999999999999</v>
      </c>
      <c r="H599">
        <v>0</v>
      </c>
      <c r="I599">
        <f>Sales_Data[[#This Row],[Sales]]*Sales_Data[[#This Row],[Discount]]</f>
        <v>0</v>
      </c>
      <c r="J599">
        <v>146.16999999999999</v>
      </c>
      <c r="K599" s="1">
        <v>4</v>
      </c>
      <c r="L599" s="1">
        <v>146.16999999999999</v>
      </c>
      <c r="M599" s="1" t="s">
        <v>10</v>
      </c>
      <c r="N599" s="1">
        <f>IF(Sales_Data[[#This Row],[Sales with Discount]]&lt;Sales_Data[[#This Row],[Sales with Free Shipping]],Sales_Data[[#This Row],[Sales with Discount]],Sales_Data[[#This Row],[Sales with Free Shipping]])</f>
        <v>146.16999999999999</v>
      </c>
      <c r="O599" s="1" t="str">
        <f>TEXT(Sales_Data[[#This Row],[Order Date]], "MM-YYYY")</f>
        <v>04-2019</v>
      </c>
    </row>
    <row r="600" spans="1:15" x14ac:dyDescent="0.3">
      <c r="A600" s="1">
        <v>31586</v>
      </c>
      <c r="B600" s="2">
        <v>43545</v>
      </c>
      <c r="C600" s="1" t="s">
        <v>7</v>
      </c>
      <c r="D600" s="1">
        <v>25</v>
      </c>
      <c r="E600" t="s">
        <v>14</v>
      </c>
      <c r="F600" t="s">
        <v>14</v>
      </c>
      <c r="G600" s="1">
        <v>4697.3310000000001</v>
      </c>
      <c r="H600">
        <v>0</v>
      </c>
      <c r="I600">
        <f>Sales_Data[[#This Row],[Sales]]*Sales_Data[[#This Row],[Discount]]</f>
        <v>0</v>
      </c>
      <c r="J600">
        <v>4697.3310000000001</v>
      </c>
      <c r="K600" s="1">
        <v>5.6</v>
      </c>
      <c r="L600" s="1">
        <v>4697.3310000000001</v>
      </c>
      <c r="M600" s="1" t="s">
        <v>8</v>
      </c>
      <c r="N600" s="1">
        <f>IF(Sales_Data[[#This Row],[Sales with Discount]]&lt;Sales_Data[[#This Row],[Sales with Free Shipping]],Sales_Data[[#This Row],[Sales with Discount]],Sales_Data[[#This Row],[Sales with Free Shipping]])</f>
        <v>4697.3310000000001</v>
      </c>
      <c r="O600" s="1" t="str">
        <f>TEXT(Sales_Data[[#This Row],[Order Date]], "MM-YYYY")</f>
        <v>03-2019</v>
      </c>
    </row>
    <row r="601" spans="1:15" x14ac:dyDescent="0.3">
      <c r="A601" s="1">
        <v>7552</v>
      </c>
      <c r="B601" s="2">
        <v>43718</v>
      </c>
      <c r="C601" s="1" t="s">
        <v>12</v>
      </c>
      <c r="D601" s="1">
        <v>49</v>
      </c>
      <c r="E601" t="s">
        <v>24</v>
      </c>
      <c r="F601" t="s">
        <v>24</v>
      </c>
      <c r="G601" s="1">
        <v>628.85</v>
      </c>
      <c r="H601">
        <v>0.01</v>
      </c>
      <c r="I601">
        <f>Sales_Data[[#This Row],[Sales]]*Sales_Data[[#This Row],[Discount]]</f>
        <v>6.2885</v>
      </c>
      <c r="J601">
        <v>622.56150000000002</v>
      </c>
      <c r="K601" s="1">
        <v>3.4</v>
      </c>
      <c r="L601" s="1">
        <v>625.45000000000005</v>
      </c>
      <c r="M601" s="1" t="s">
        <v>10</v>
      </c>
      <c r="N601" s="1">
        <f>IF(Sales_Data[[#This Row],[Sales with Discount]]&lt;Sales_Data[[#This Row],[Sales with Free Shipping]],Sales_Data[[#This Row],[Sales with Discount]],Sales_Data[[#This Row],[Sales with Free Shipping]])</f>
        <v>622.56150000000002</v>
      </c>
      <c r="O601" s="1" t="str">
        <f>TEXT(Sales_Data[[#This Row],[Order Date]], "MM-YYYY")</f>
        <v>09-2019</v>
      </c>
    </row>
    <row r="602" spans="1:15" x14ac:dyDescent="0.3">
      <c r="A602" s="1">
        <v>130</v>
      </c>
      <c r="B602" s="2">
        <v>43592</v>
      </c>
      <c r="C602" s="1" t="s">
        <v>9</v>
      </c>
      <c r="D602" s="1">
        <v>23</v>
      </c>
      <c r="E602" t="s">
        <v>14</v>
      </c>
      <c r="F602" t="s">
        <v>14</v>
      </c>
      <c r="G602" s="1">
        <v>253.01</v>
      </c>
      <c r="H602">
        <v>0</v>
      </c>
      <c r="I602">
        <f>Sales_Data[[#This Row],[Sales]]*Sales_Data[[#This Row],[Discount]]</f>
        <v>0</v>
      </c>
      <c r="J602">
        <v>253.01</v>
      </c>
      <c r="K602" s="1">
        <v>10.1</v>
      </c>
      <c r="L602" s="1">
        <v>253.01</v>
      </c>
      <c r="M602" s="1" t="s">
        <v>10</v>
      </c>
      <c r="N602" s="1">
        <f>IF(Sales_Data[[#This Row],[Sales with Discount]]&lt;Sales_Data[[#This Row],[Sales with Free Shipping]],Sales_Data[[#This Row],[Sales with Discount]],Sales_Data[[#This Row],[Sales with Free Shipping]])</f>
        <v>253.01</v>
      </c>
      <c r="O602" s="1" t="str">
        <f>TEXT(Sales_Data[[#This Row],[Order Date]], "MM-YYYY")</f>
        <v>05-2019</v>
      </c>
    </row>
    <row r="603" spans="1:15" x14ac:dyDescent="0.3">
      <c r="A603" s="1">
        <v>43588</v>
      </c>
      <c r="B603" s="2">
        <v>43709</v>
      </c>
      <c r="C603" s="1" t="s">
        <v>14</v>
      </c>
      <c r="D603" s="1">
        <v>6</v>
      </c>
      <c r="E603" t="s">
        <v>17</v>
      </c>
      <c r="F603" t="s">
        <v>17</v>
      </c>
      <c r="G603" s="1">
        <v>21.9</v>
      </c>
      <c r="H603">
        <v>0</v>
      </c>
      <c r="I603">
        <f>Sales_Data[[#This Row],[Sales]]*Sales_Data[[#This Row],[Discount]]</f>
        <v>0</v>
      </c>
      <c r="J603">
        <v>21.9</v>
      </c>
      <c r="K603" s="1">
        <v>1.2</v>
      </c>
      <c r="L603" s="1">
        <v>21.9</v>
      </c>
      <c r="M603" s="1" t="s">
        <v>10</v>
      </c>
      <c r="N603" s="1">
        <f>IF(Sales_Data[[#This Row],[Sales with Discount]]&lt;Sales_Data[[#This Row],[Sales with Free Shipping]],Sales_Data[[#This Row],[Sales with Discount]],Sales_Data[[#This Row],[Sales with Free Shipping]])</f>
        <v>21.9</v>
      </c>
      <c r="O603" s="1" t="str">
        <f>TEXT(Sales_Data[[#This Row],[Order Date]], "MM-YYYY")</f>
        <v>09-2019</v>
      </c>
    </row>
    <row r="604" spans="1:15" x14ac:dyDescent="0.3">
      <c r="A604" s="1">
        <v>39168</v>
      </c>
      <c r="B604" s="2">
        <v>43602</v>
      </c>
      <c r="C604" s="1" t="s">
        <v>9</v>
      </c>
      <c r="D604" s="1">
        <v>30</v>
      </c>
      <c r="E604" t="s">
        <v>20</v>
      </c>
      <c r="F604" t="s">
        <v>20</v>
      </c>
      <c r="G604" s="1">
        <v>322.47660000000002</v>
      </c>
      <c r="H604">
        <v>0</v>
      </c>
      <c r="I604">
        <f>Sales_Data[[#This Row],[Sales]]*Sales_Data[[#This Row],[Discount]]</f>
        <v>0</v>
      </c>
      <c r="J604">
        <v>322.47660000000002</v>
      </c>
      <c r="K604" s="1">
        <v>3.1</v>
      </c>
      <c r="L604" s="1">
        <v>322.47660000000002</v>
      </c>
      <c r="M604" s="1" t="s">
        <v>10</v>
      </c>
      <c r="N604" s="1">
        <f>IF(Sales_Data[[#This Row],[Sales with Discount]]&lt;Sales_Data[[#This Row],[Sales with Free Shipping]],Sales_Data[[#This Row],[Sales with Discount]],Sales_Data[[#This Row],[Sales with Free Shipping]])</f>
        <v>322.47660000000002</v>
      </c>
      <c r="O604" s="1" t="str">
        <f>TEXT(Sales_Data[[#This Row],[Order Date]], "MM-YYYY")</f>
        <v>05-2019</v>
      </c>
    </row>
    <row r="605" spans="1:15" x14ac:dyDescent="0.3">
      <c r="A605" s="1">
        <v>2247</v>
      </c>
      <c r="B605" s="2">
        <v>43678</v>
      </c>
      <c r="C605" s="1" t="s">
        <v>11</v>
      </c>
      <c r="D605" s="1">
        <v>6</v>
      </c>
      <c r="E605" t="s">
        <v>17</v>
      </c>
      <c r="F605" t="s">
        <v>17</v>
      </c>
      <c r="G605" s="1">
        <v>22614.14</v>
      </c>
      <c r="H605">
        <v>0</v>
      </c>
      <c r="I605">
        <f>Sales_Data[[#This Row],[Sales]]*Sales_Data[[#This Row],[Discount]]</f>
        <v>0</v>
      </c>
      <c r="J605">
        <v>22614.14</v>
      </c>
      <c r="K605" s="1">
        <v>9.3000000000000007</v>
      </c>
      <c r="L605" s="1">
        <v>22614.14</v>
      </c>
      <c r="M605" s="1" t="s">
        <v>13</v>
      </c>
      <c r="N605" s="1">
        <f>IF(Sales_Data[[#This Row],[Sales with Discount]]&lt;Sales_Data[[#This Row],[Sales with Free Shipping]],Sales_Data[[#This Row],[Sales with Discount]],Sales_Data[[#This Row],[Sales with Free Shipping]])</f>
        <v>22614.14</v>
      </c>
      <c r="O605" s="1" t="str">
        <f>TEXT(Sales_Data[[#This Row],[Order Date]], "MM-YYYY")</f>
        <v>08-2019</v>
      </c>
    </row>
    <row r="606" spans="1:15" x14ac:dyDescent="0.3">
      <c r="A606" s="1">
        <v>36998</v>
      </c>
      <c r="B606" s="2">
        <v>43737</v>
      </c>
      <c r="C606" s="1" t="s">
        <v>7</v>
      </c>
      <c r="D606" s="1">
        <v>8</v>
      </c>
      <c r="E606" t="s">
        <v>17</v>
      </c>
      <c r="F606" t="s">
        <v>17</v>
      </c>
      <c r="G606" s="1">
        <v>60.46</v>
      </c>
      <c r="H606">
        <v>0</v>
      </c>
      <c r="I606">
        <f>Sales_Data[[#This Row],[Sales]]*Sales_Data[[#This Row],[Discount]]</f>
        <v>0</v>
      </c>
      <c r="J606">
        <v>60.46</v>
      </c>
      <c r="K606" s="1">
        <v>5.6</v>
      </c>
      <c r="L606" s="1">
        <v>60.46</v>
      </c>
      <c r="M606" s="1" t="s">
        <v>10</v>
      </c>
      <c r="N606" s="1">
        <f>IF(Sales_Data[[#This Row],[Sales with Discount]]&lt;Sales_Data[[#This Row],[Sales with Free Shipping]],Sales_Data[[#This Row],[Sales with Discount]],Sales_Data[[#This Row],[Sales with Free Shipping]])</f>
        <v>60.46</v>
      </c>
      <c r="O606" s="1" t="str">
        <f>TEXT(Sales_Data[[#This Row],[Order Date]], "MM-YYYY")</f>
        <v>09-2019</v>
      </c>
    </row>
    <row r="607" spans="1:15" x14ac:dyDescent="0.3">
      <c r="A607" s="1">
        <v>43488</v>
      </c>
      <c r="B607" s="2">
        <v>43634</v>
      </c>
      <c r="C607" s="1" t="s">
        <v>12</v>
      </c>
      <c r="D607" s="1">
        <v>46</v>
      </c>
      <c r="E607" t="s">
        <v>24</v>
      </c>
      <c r="F607" t="s">
        <v>24</v>
      </c>
      <c r="G607" s="1">
        <v>820.01</v>
      </c>
      <c r="H607">
        <v>0.01</v>
      </c>
      <c r="I607">
        <f>Sales_Data[[#This Row],[Sales]]*Sales_Data[[#This Row],[Discount]]</f>
        <v>8.2001000000000008</v>
      </c>
      <c r="J607">
        <v>811.80989999999997</v>
      </c>
      <c r="K607" s="1">
        <v>1.5</v>
      </c>
      <c r="L607" s="1">
        <v>818.51</v>
      </c>
      <c r="M607" s="1" t="s">
        <v>10</v>
      </c>
      <c r="N607" s="1">
        <f>IF(Sales_Data[[#This Row],[Sales with Discount]]&lt;Sales_Data[[#This Row],[Sales with Free Shipping]],Sales_Data[[#This Row],[Sales with Discount]],Sales_Data[[#This Row],[Sales with Free Shipping]])</f>
        <v>811.80989999999997</v>
      </c>
      <c r="O607" s="1" t="str">
        <f>TEXT(Sales_Data[[#This Row],[Order Date]], "MM-YYYY")</f>
        <v>06-2019</v>
      </c>
    </row>
    <row r="608" spans="1:15" x14ac:dyDescent="0.3">
      <c r="A608" s="1">
        <v>26306</v>
      </c>
      <c r="B608" s="2">
        <v>43768</v>
      </c>
      <c r="C608" s="1" t="s">
        <v>7</v>
      </c>
      <c r="D608" s="1">
        <v>15</v>
      </c>
      <c r="E608" t="s">
        <v>18</v>
      </c>
      <c r="F608" t="s">
        <v>18</v>
      </c>
      <c r="G608" s="1">
        <v>2747.37</v>
      </c>
      <c r="H608">
        <v>0</v>
      </c>
      <c r="I608">
        <f>Sales_Data[[#This Row],[Sales]]*Sales_Data[[#This Row],[Discount]]</f>
        <v>0</v>
      </c>
      <c r="J608">
        <v>2747.37</v>
      </c>
      <c r="K608" s="1">
        <v>73.8</v>
      </c>
      <c r="L608" s="1">
        <v>2747.37</v>
      </c>
      <c r="M608" s="1" t="s">
        <v>10</v>
      </c>
      <c r="N608" s="1">
        <f>IF(Sales_Data[[#This Row],[Sales with Discount]]&lt;Sales_Data[[#This Row],[Sales with Free Shipping]],Sales_Data[[#This Row],[Sales with Discount]],Sales_Data[[#This Row],[Sales with Free Shipping]])</f>
        <v>2747.37</v>
      </c>
      <c r="O608" s="1" t="str">
        <f>TEXT(Sales_Data[[#This Row],[Order Date]], "MM-YYYY")</f>
        <v>10-2019</v>
      </c>
    </row>
    <row r="609" spans="1:15" x14ac:dyDescent="0.3">
      <c r="A609" s="1">
        <v>1057</v>
      </c>
      <c r="B609" s="2">
        <v>43514</v>
      </c>
      <c r="C609" s="1" t="s">
        <v>12</v>
      </c>
      <c r="D609" s="1">
        <v>41</v>
      </c>
      <c r="E609" t="s">
        <v>23</v>
      </c>
      <c r="F609" t="s">
        <v>23</v>
      </c>
      <c r="G609" s="1">
        <v>365.26</v>
      </c>
      <c r="H609">
        <v>0.01</v>
      </c>
      <c r="I609">
        <f>Sales_Data[[#This Row],[Sales]]*Sales_Data[[#This Row],[Discount]]</f>
        <v>3.6526000000000001</v>
      </c>
      <c r="J609">
        <v>361.60739999999998</v>
      </c>
      <c r="K609" s="1">
        <v>3.9</v>
      </c>
      <c r="L609" s="1">
        <v>361.36</v>
      </c>
      <c r="M609" s="1" t="s">
        <v>10</v>
      </c>
      <c r="N609" s="1">
        <f>IF(Sales_Data[[#This Row],[Sales with Discount]]&lt;Sales_Data[[#This Row],[Sales with Free Shipping]],Sales_Data[[#This Row],[Sales with Discount]],Sales_Data[[#This Row],[Sales with Free Shipping]])</f>
        <v>361.36</v>
      </c>
      <c r="O609" s="1" t="str">
        <f>TEXT(Sales_Data[[#This Row],[Order Date]], "MM-YYYY")</f>
        <v>02-2019</v>
      </c>
    </row>
    <row r="610" spans="1:15" x14ac:dyDescent="0.3">
      <c r="A610" s="1">
        <v>10432</v>
      </c>
      <c r="B610" s="2">
        <v>43469</v>
      </c>
      <c r="C610" s="1" t="s">
        <v>7</v>
      </c>
      <c r="D610" s="1">
        <v>13</v>
      </c>
      <c r="E610" t="s">
        <v>18</v>
      </c>
      <c r="F610" t="s">
        <v>18</v>
      </c>
      <c r="G610" s="1">
        <v>2486</v>
      </c>
      <c r="H610">
        <v>0</v>
      </c>
      <c r="I610">
        <f>Sales_Data[[#This Row],[Sales]]*Sales_Data[[#This Row],[Discount]]</f>
        <v>0</v>
      </c>
      <c r="J610">
        <v>2486</v>
      </c>
      <c r="K610" s="1">
        <v>21.4</v>
      </c>
      <c r="L610" s="1">
        <v>2486</v>
      </c>
      <c r="M610" s="1" t="s">
        <v>10</v>
      </c>
      <c r="N610" s="1">
        <f>IF(Sales_Data[[#This Row],[Sales with Discount]]&lt;Sales_Data[[#This Row],[Sales with Free Shipping]],Sales_Data[[#This Row],[Sales with Discount]],Sales_Data[[#This Row],[Sales with Free Shipping]])</f>
        <v>2486</v>
      </c>
      <c r="O610" s="1" t="str">
        <f>TEXT(Sales_Data[[#This Row],[Order Date]], "MM-YYYY")</f>
        <v>01-2019</v>
      </c>
    </row>
    <row r="611" spans="1:15" x14ac:dyDescent="0.3">
      <c r="A611" s="1">
        <v>15524</v>
      </c>
      <c r="B611" s="2">
        <v>43596</v>
      </c>
      <c r="C611" s="1" t="s">
        <v>14</v>
      </c>
      <c r="D611" s="1">
        <v>27</v>
      </c>
      <c r="E611" t="s">
        <v>20</v>
      </c>
      <c r="F611" t="s">
        <v>20</v>
      </c>
      <c r="G611" s="1">
        <v>167.79740000000001</v>
      </c>
      <c r="H611">
        <v>0</v>
      </c>
      <c r="I611">
        <f>Sales_Data[[#This Row],[Sales]]*Sales_Data[[#This Row],[Discount]]</f>
        <v>0</v>
      </c>
      <c r="J611">
        <v>167.79740000000001</v>
      </c>
      <c r="K611" s="1">
        <v>3.9</v>
      </c>
      <c r="L611" s="1">
        <v>167.79740000000001</v>
      </c>
      <c r="M611" s="1" t="s">
        <v>10</v>
      </c>
      <c r="N611" s="1">
        <f>IF(Sales_Data[[#This Row],[Sales with Discount]]&lt;Sales_Data[[#This Row],[Sales with Free Shipping]],Sales_Data[[#This Row],[Sales with Discount]],Sales_Data[[#This Row],[Sales with Free Shipping]])</f>
        <v>167.79740000000001</v>
      </c>
      <c r="O611" s="1" t="str">
        <f>TEXT(Sales_Data[[#This Row],[Order Date]], "MM-YYYY")</f>
        <v>05-2019</v>
      </c>
    </row>
    <row r="612" spans="1:15" x14ac:dyDescent="0.3">
      <c r="A612" s="1">
        <v>26660</v>
      </c>
      <c r="B612" s="2">
        <v>43542</v>
      </c>
      <c r="C612" s="1" t="s">
        <v>14</v>
      </c>
      <c r="D612" s="1">
        <v>1</v>
      </c>
      <c r="E612" t="s">
        <v>16</v>
      </c>
      <c r="F612" t="s">
        <v>16</v>
      </c>
      <c r="G612" s="1">
        <v>10.946099999999999</v>
      </c>
      <c r="H612">
        <v>0</v>
      </c>
      <c r="I612">
        <f>Sales_Data[[#This Row],[Sales]]*Sales_Data[[#This Row],[Discount]]</f>
        <v>0</v>
      </c>
      <c r="J612">
        <v>10.946099999999999</v>
      </c>
      <c r="K612" s="1">
        <v>2.2000000000000002</v>
      </c>
      <c r="L612" s="1">
        <v>10.946099999999999</v>
      </c>
      <c r="M612" s="1" t="s">
        <v>10</v>
      </c>
      <c r="N612" s="1">
        <f>IF(Sales_Data[[#This Row],[Sales with Discount]]&lt;Sales_Data[[#This Row],[Sales with Free Shipping]],Sales_Data[[#This Row],[Sales with Discount]],Sales_Data[[#This Row],[Sales with Free Shipping]])</f>
        <v>10.946099999999999</v>
      </c>
      <c r="O612" s="1" t="str">
        <f>TEXT(Sales_Data[[#This Row],[Order Date]], "MM-YYYY")</f>
        <v>03-2019</v>
      </c>
    </row>
    <row r="613" spans="1:15" x14ac:dyDescent="0.3">
      <c r="A613" s="1">
        <v>29411</v>
      </c>
      <c r="B613" s="2">
        <v>43561</v>
      </c>
      <c r="C613" s="1" t="s">
        <v>9</v>
      </c>
      <c r="D613" s="1">
        <v>38</v>
      </c>
      <c r="E613" t="s">
        <v>22</v>
      </c>
      <c r="F613" t="s">
        <v>22</v>
      </c>
      <c r="G613" s="1">
        <v>16237.2</v>
      </c>
      <c r="H613">
        <v>0.01</v>
      </c>
      <c r="I613">
        <f>Sales_Data[[#This Row],[Sales]]*Sales_Data[[#This Row],[Discount]]</f>
        <v>162.37200000000001</v>
      </c>
      <c r="J613">
        <v>16074.828000000001</v>
      </c>
      <c r="K613" s="1">
        <v>51.6</v>
      </c>
      <c r="L613" s="1">
        <v>16185.6</v>
      </c>
      <c r="M613" s="1" t="s">
        <v>13</v>
      </c>
      <c r="N613" s="1">
        <f>IF(Sales_Data[[#This Row],[Sales with Discount]]&lt;Sales_Data[[#This Row],[Sales with Free Shipping]],Sales_Data[[#This Row],[Sales with Discount]],Sales_Data[[#This Row],[Sales with Free Shipping]])</f>
        <v>16074.828000000001</v>
      </c>
      <c r="O613" s="1" t="str">
        <f>TEXT(Sales_Data[[#This Row],[Order Date]], "MM-YYYY")</f>
        <v>04-2019</v>
      </c>
    </row>
    <row r="614" spans="1:15" x14ac:dyDescent="0.3">
      <c r="A614" s="1">
        <v>8450</v>
      </c>
      <c r="B614" s="2">
        <v>43568</v>
      </c>
      <c r="C614" s="1" t="s">
        <v>11</v>
      </c>
      <c r="D614" s="1">
        <v>24</v>
      </c>
      <c r="E614" t="s">
        <v>14</v>
      </c>
      <c r="F614" t="s">
        <v>14</v>
      </c>
      <c r="G614" s="1">
        <v>1398.49</v>
      </c>
      <c r="H614">
        <v>0</v>
      </c>
      <c r="I614">
        <f>Sales_Data[[#This Row],[Sales]]*Sales_Data[[#This Row],[Discount]]</f>
        <v>0</v>
      </c>
      <c r="J614">
        <v>1398.49</v>
      </c>
      <c r="K614" s="1">
        <v>1.1000000000000001</v>
      </c>
      <c r="L614" s="1">
        <v>1398.49</v>
      </c>
      <c r="M614" s="1" t="s">
        <v>10</v>
      </c>
      <c r="N614" s="1">
        <f>IF(Sales_Data[[#This Row],[Sales with Discount]]&lt;Sales_Data[[#This Row],[Sales with Free Shipping]],Sales_Data[[#This Row],[Sales with Discount]],Sales_Data[[#This Row],[Sales with Free Shipping]])</f>
        <v>1398.49</v>
      </c>
      <c r="O614" s="1" t="str">
        <f>TEXT(Sales_Data[[#This Row],[Order Date]], "MM-YYYY")</f>
        <v>04-2019</v>
      </c>
    </row>
    <row r="615" spans="1:15" x14ac:dyDescent="0.3">
      <c r="A615" s="1">
        <v>35173</v>
      </c>
      <c r="B615" s="2">
        <v>43537</v>
      </c>
      <c r="C615" s="1" t="s">
        <v>11</v>
      </c>
      <c r="D615" s="1">
        <v>13</v>
      </c>
      <c r="E615" t="s">
        <v>18</v>
      </c>
      <c r="F615" t="s">
        <v>18</v>
      </c>
      <c r="G615" s="1">
        <v>1547.44</v>
      </c>
      <c r="H615">
        <v>0</v>
      </c>
      <c r="I615">
        <f>Sales_Data[[#This Row],[Sales]]*Sales_Data[[#This Row],[Discount]]</f>
        <v>0</v>
      </c>
      <c r="J615">
        <v>1547.44</v>
      </c>
      <c r="K615" s="1">
        <v>8.6</v>
      </c>
      <c r="L615" s="1">
        <v>1547.44</v>
      </c>
      <c r="M615" s="1" t="s">
        <v>10</v>
      </c>
      <c r="N615" s="1">
        <f>IF(Sales_Data[[#This Row],[Sales with Discount]]&lt;Sales_Data[[#This Row],[Sales with Free Shipping]],Sales_Data[[#This Row],[Sales with Discount]],Sales_Data[[#This Row],[Sales with Free Shipping]])</f>
        <v>1547.44</v>
      </c>
      <c r="O615" s="1" t="str">
        <f>TEXT(Sales_Data[[#This Row],[Order Date]], "MM-YYYY")</f>
        <v>03-2019</v>
      </c>
    </row>
    <row r="616" spans="1:15" x14ac:dyDescent="0.3">
      <c r="A616" s="1">
        <v>39364</v>
      </c>
      <c r="B616" s="2">
        <v>43778</v>
      </c>
      <c r="C616" s="1" t="s">
        <v>9</v>
      </c>
      <c r="D616" s="1">
        <v>15</v>
      </c>
      <c r="E616" t="s">
        <v>18</v>
      </c>
      <c r="F616" t="s">
        <v>18</v>
      </c>
      <c r="G616" s="1">
        <v>20776.78</v>
      </c>
      <c r="H616">
        <v>0</v>
      </c>
      <c r="I616">
        <f>Sales_Data[[#This Row],[Sales]]*Sales_Data[[#This Row],[Discount]]</f>
        <v>0</v>
      </c>
      <c r="J616">
        <v>20776.78</v>
      </c>
      <c r="K616" s="1">
        <v>21.4</v>
      </c>
      <c r="L616" s="1">
        <v>20776.78</v>
      </c>
      <c r="M616" s="1" t="s">
        <v>10</v>
      </c>
      <c r="N616" s="1">
        <f>IF(Sales_Data[[#This Row],[Sales with Discount]]&lt;Sales_Data[[#This Row],[Sales with Free Shipping]],Sales_Data[[#This Row],[Sales with Discount]],Sales_Data[[#This Row],[Sales with Free Shipping]])</f>
        <v>20776.78</v>
      </c>
      <c r="O616" s="1" t="str">
        <f>TEXT(Sales_Data[[#This Row],[Order Date]], "MM-YYYY")</f>
        <v>11-2019</v>
      </c>
    </row>
    <row r="617" spans="1:15" x14ac:dyDescent="0.3">
      <c r="A617" s="1">
        <v>53574</v>
      </c>
      <c r="B617" s="2">
        <v>43564</v>
      </c>
      <c r="C617" s="1" t="s">
        <v>14</v>
      </c>
      <c r="D617" s="1">
        <v>8</v>
      </c>
      <c r="E617" t="s">
        <v>17</v>
      </c>
      <c r="F617" t="s">
        <v>17</v>
      </c>
      <c r="G617" s="1">
        <v>716.56830000000002</v>
      </c>
      <c r="H617">
        <v>0</v>
      </c>
      <c r="I617">
        <f>Sales_Data[[#This Row],[Sales]]*Sales_Data[[#This Row],[Discount]]</f>
        <v>0</v>
      </c>
      <c r="J617">
        <v>716.56830000000002</v>
      </c>
      <c r="K617" s="1">
        <v>37.5</v>
      </c>
      <c r="L617" s="1">
        <v>716.56830000000002</v>
      </c>
      <c r="M617" s="1" t="s">
        <v>10</v>
      </c>
      <c r="N617" s="1">
        <f>IF(Sales_Data[[#This Row],[Sales with Discount]]&lt;Sales_Data[[#This Row],[Sales with Free Shipping]],Sales_Data[[#This Row],[Sales with Discount]],Sales_Data[[#This Row],[Sales with Free Shipping]])</f>
        <v>716.56830000000002</v>
      </c>
      <c r="O617" s="1" t="str">
        <f>TEXT(Sales_Data[[#This Row],[Order Date]], "MM-YYYY")</f>
        <v>04-2019</v>
      </c>
    </row>
    <row r="618" spans="1:15" x14ac:dyDescent="0.3">
      <c r="A618" s="1">
        <v>26756</v>
      </c>
      <c r="B618" s="2">
        <v>43595</v>
      </c>
      <c r="C618" s="1" t="s">
        <v>14</v>
      </c>
      <c r="D618" s="1">
        <v>20</v>
      </c>
      <c r="E618" t="s">
        <v>19</v>
      </c>
      <c r="F618" t="s">
        <v>19</v>
      </c>
      <c r="G618" s="1">
        <v>136.85</v>
      </c>
      <c r="H618">
        <v>0</v>
      </c>
      <c r="I618">
        <f>Sales_Data[[#This Row],[Sales]]*Sales_Data[[#This Row],[Discount]]</f>
        <v>0</v>
      </c>
      <c r="J618">
        <v>136.85</v>
      </c>
      <c r="K618" s="1">
        <v>7.9</v>
      </c>
      <c r="L618" s="1">
        <v>136.85</v>
      </c>
      <c r="M618" s="1" t="s">
        <v>10</v>
      </c>
      <c r="N618" s="1">
        <f>IF(Sales_Data[[#This Row],[Sales with Discount]]&lt;Sales_Data[[#This Row],[Sales with Free Shipping]],Sales_Data[[#This Row],[Sales with Discount]],Sales_Data[[#This Row],[Sales with Free Shipping]])</f>
        <v>136.85</v>
      </c>
      <c r="O618" s="1" t="str">
        <f>TEXT(Sales_Data[[#This Row],[Order Date]], "MM-YYYY")</f>
        <v>05-2019</v>
      </c>
    </row>
    <row r="619" spans="1:15" x14ac:dyDescent="0.3">
      <c r="A619" s="1">
        <v>20615</v>
      </c>
      <c r="B619" s="2">
        <v>43570</v>
      </c>
      <c r="C619" s="1" t="s">
        <v>14</v>
      </c>
      <c r="D619" s="1">
        <v>29</v>
      </c>
      <c r="E619" t="s">
        <v>20</v>
      </c>
      <c r="F619" t="s">
        <v>20</v>
      </c>
      <c r="G619" s="1">
        <v>161.66999999999999</v>
      </c>
      <c r="H619">
        <v>0</v>
      </c>
      <c r="I619">
        <f>Sales_Data[[#This Row],[Sales]]*Sales_Data[[#This Row],[Discount]]</f>
        <v>0</v>
      </c>
      <c r="J619">
        <v>161.66999999999999</v>
      </c>
      <c r="K619" s="1">
        <v>3.2</v>
      </c>
      <c r="L619" s="1">
        <v>161.66999999999999</v>
      </c>
      <c r="M619" s="1" t="s">
        <v>8</v>
      </c>
      <c r="N619" s="1">
        <f>IF(Sales_Data[[#This Row],[Sales with Discount]]&lt;Sales_Data[[#This Row],[Sales with Free Shipping]],Sales_Data[[#This Row],[Sales with Discount]],Sales_Data[[#This Row],[Sales with Free Shipping]])</f>
        <v>161.66999999999999</v>
      </c>
      <c r="O619" s="1" t="str">
        <f>TEXT(Sales_Data[[#This Row],[Order Date]], "MM-YYYY")</f>
        <v>04-2019</v>
      </c>
    </row>
    <row r="620" spans="1:15" x14ac:dyDescent="0.3">
      <c r="A620" s="1">
        <v>3172</v>
      </c>
      <c r="B620" s="2">
        <v>43618</v>
      </c>
      <c r="C620" s="1" t="s">
        <v>11</v>
      </c>
      <c r="D620" s="1">
        <v>33</v>
      </c>
      <c r="E620" t="s">
        <v>21</v>
      </c>
      <c r="F620" t="s">
        <v>21</v>
      </c>
      <c r="G620" s="1">
        <v>625.42999999999995</v>
      </c>
      <c r="H620">
        <v>0</v>
      </c>
      <c r="I620">
        <f>Sales_Data[[#This Row],[Sales]]*Sales_Data[[#This Row],[Discount]]</f>
        <v>0</v>
      </c>
      <c r="J620">
        <v>625.42999999999995</v>
      </c>
      <c r="K620" s="1">
        <v>3.5</v>
      </c>
      <c r="L620" s="1">
        <v>625.42999999999995</v>
      </c>
      <c r="M620" s="1" t="s">
        <v>10</v>
      </c>
      <c r="N620" s="1">
        <f>IF(Sales_Data[[#This Row],[Sales with Discount]]&lt;Sales_Data[[#This Row],[Sales with Free Shipping]],Sales_Data[[#This Row],[Sales with Discount]],Sales_Data[[#This Row],[Sales with Free Shipping]])</f>
        <v>625.42999999999995</v>
      </c>
      <c r="O620" s="1" t="str">
        <f>TEXT(Sales_Data[[#This Row],[Order Date]], "MM-YYYY")</f>
        <v>06-2019</v>
      </c>
    </row>
    <row r="621" spans="1:15" x14ac:dyDescent="0.3">
      <c r="A621" s="1">
        <v>21344</v>
      </c>
      <c r="B621" s="2">
        <v>43808</v>
      </c>
      <c r="C621" s="1" t="s">
        <v>7</v>
      </c>
      <c r="D621" s="1">
        <v>39</v>
      </c>
      <c r="E621" t="s">
        <v>22</v>
      </c>
      <c r="F621" t="s">
        <v>22</v>
      </c>
      <c r="G621" s="1">
        <v>118.55</v>
      </c>
      <c r="H621">
        <v>0.01</v>
      </c>
      <c r="I621">
        <f>Sales_Data[[#This Row],[Sales]]*Sales_Data[[#This Row],[Discount]]</f>
        <v>1.1855</v>
      </c>
      <c r="J621">
        <v>117.36449999999999</v>
      </c>
      <c r="K621" s="1">
        <v>0.5</v>
      </c>
      <c r="L621" s="1">
        <v>118.05</v>
      </c>
      <c r="M621" s="1" t="s">
        <v>10</v>
      </c>
      <c r="N621" s="1">
        <f>IF(Sales_Data[[#This Row],[Sales with Discount]]&lt;Sales_Data[[#This Row],[Sales with Free Shipping]],Sales_Data[[#This Row],[Sales with Discount]],Sales_Data[[#This Row],[Sales with Free Shipping]])</f>
        <v>117.36449999999999</v>
      </c>
      <c r="O621" s="1" t="str">
        <f>TEXT(Sales_Data[[#This Row],[Order Date]], "MM-YYYY")</f>
        <v>12-2019</v>
      </c>
    </row>
    <row r="622" spans="1:15" x14ac:dyDescent="0.3">
      <c r="A622" s="1">
        <v>4515</v>
      </c>
      <c r="B622" s="2">
        <v>43540</v>
      </c>
      <c r="C622" s="1" t="s">
        <v>12</v>
      </c>
      <c r="D622" s="1">
        <v>7</v>
      </c>
      <c r="E622" t="s">
        <v>17</v>
      </c>
      <c r="F622" t="s">
        <v>17</v>
      </c>
      <c r="G622" s="1">
        <v>950.1</v>
      </c>
      <c r="H622">
        <v>0</v>
      </c>
      <c r="I622">
        <f>Sales_Data[[#This Row],[Sales]]*Sales_Data[[#This Row],[Discount]]</f>
        <v>0</v>
      </c>
      <c r="J622">
        <v>950.1</v>
      </c>
      <c r="K622" s="1">
        <v>7.6</v>
      </c>
      <c r="L622" s="1">
        <v>950.1</v>
      </c>
      <c r="M622" s="1" t="s">
        <v>10</v>
      </c>
      <c r="N622" s="1">
        <f>IF(Sales_Data[[#This Row],[Sales with Discount]]&lt;Sales_Data[[#This Row],[Sales with Free Shipping]],Sales_Data[[#This Row],[Sales with Discount]],Sales_Data[[#This Row],[Sales with Free Shipping]])</f>
        <v>950.1</v>
      </c>
      <c r="O622" s="1" t="str">
        <f>TEXT(Sales_Data[[#This Row],[Order Date]], "MM-YYYY")</f>
        <v>03-2019</v>
      </c>
    </row>
    <row r="623" spans="1:15" x14ac:dyDescent="0.3">
      <c r="A623" s="1">
        <v>7552</v>
      </c>
      <c r="B623" s="2">
        <v>43718</v>
      </c>
      <c r="C623" s="1" t="s">
        <v>12</v>
      </c>
      <c r="D623" s="1">
        <v>47</v>
      </c>
      <c r="E623" t="s">
        <v>24</v>
      </c>
      <c r="F623" t="s">
        <v>24</v>
      </c>
      <c r="G623" s="1">
        <v>1504.94</v>
      </c>
      <c r="H623">
        <v>0.01</v>
      </c>
      <c r="I623">
        <f>Sales_Data[[#This Row],[Sales]]*Sales_Data[[#This Row],[Discount]]</f>
        <v>15.0494</v>
      </c>
      <c r="J623">
        <v>1489.8905999999999</v>
      </c>
      <c r="K623" s="1">
        <v>6.6</v>
      </c>
      <c r="L623" s="1">
        <v>1498.3400000000001</v>
      </c>
      <c r="M623" s="1" t="s">
        <v>10</v>
      </c>
      <c r="N623" s="1">
        <f>IF(Sales_Data[[#This Row],[Sales with Discount]]&lt;Sales_Data[[#This Row],[Sales with Free Shipping]],Sales_Data[[#This Row],[Sales with Discount]],Sales_Data[[#This Row],[Sales with Free Shipping]])</f>
        <v>1489.8905999999999</v>
      </c>
      <c r="O623" s="1" t="str">
        <f>TEXT(Sales_Data[[#This Row],[Order Date]], "MM-YYYY")</f>
        <v>09-2019</v>
      </c>
    </row>
    <row r="624" spans="1:15" x14ac:dyDescent="0.3">
      <c r="A624" s="1">
        <v>549</v>
      </c>
      <c r="B624" s="2">
        <v>43658</v>
      </c>
      <c r="C624" s="1" t="s">
        <v>12</v>
      </c>
      <c r="D624" s="1">
        <v>30</v>
      </c>
      <c r="E624" t="s">
        <v>20</v>
      </c>
      <c r="F624" t="s">
        <v>20</v>
      </c>
      <c r="G624" s="1">
        <v>1231.44</v>
      </c>
      <c r="H624">
        <v>0</v>
      </c>
      <c r="I624">
        <f>Sales_Data[[#This Row],[Sales]]*Sales_Data[[#This Row],[Discount]]</f>
        <v>0</v>
      </c>
      <c r="J624">
        <v>1231.44</v>
      </c>
      <c r="K624" s="1">
        <v>37.5</v>
      </c>
      <c r="L624" s="1">
        <v>1231.44</v>
      </c>
      <c r="M624" s="1" t="s">
        <v>8</v>
      </c>
      <c r="N624" s="1">
        <f>IF(Sales_Data[[#This Row],[Sales with Discount]]&lt;Sales_Data[[#This Row],[Sales with Free Shipping]],Sales_Data[[#This Row],[Sales with Discount]],Sales_Data[[#This Row],[Sales with Free Shipping]])</f>
        <v>1231.44</v>
      </c>
      <c r="O624" s="1" t="str">
        <f>TEXT(Sales_Data[[#This Row],[Order Date]], "MM-YYYY")</f>
        <v>07-2019</v>
      </c>
    </row>
    <row r="625" spans="1:15" x14ac:dyDescent="0.3">
      <c r="A625" s="1">
        <v>24801</v>
      </c>
      <c r="B625" s="2">
        <v>43784</v>
      </c>
      <c r="C625" s="1" t="s">
        <v>9</v>
      </c>
      <c r="D625" s="1">
        <v>10</v>
      </c>
      <c r="E625" t="s">
        <v>17</v>
      </c>
      <c r="F625" t="s">
        <v>17</v>
      </c>
      <c r="G625" s="1">
        <v>1095.8599999999999</v>
      </c>
      <c r="H625">
        <v>0</v>
      </c>
      <c r="I625">
        <f>Sales_Data[[#This Row],[Sales]]*Sales_Data[[#This Row],[Discount]]</f>
        <v>0</v>
      </c>
      <c r="J625">
        <v>1095.8599999999999</v>
      </c>
      <c r="K625" s="1">
        <v>6.4</v>
      </c>
      <c r="L625" s="1">
        <v>1095.8599999999999</v>
      </c>
      <c r="M625" s="1" t="s">
        <v>10</v>
      </c>
      <c r="N625" s="1">
        <f>IF(Sales_Data[[#This Row],[Sales with Discount]]&lt;Sales_Data[[#This Row],[Sales with Free Shipping]],Sales_Data[[#This Row],[Sales with Discount]],Sales_Data[[#This Row],[Sales with Free Shipping]])</f>
        <v>1095.8599999999999</v>
      </c>
      <c r="O625" s="1" t="str">
        <f>TEXT(Sales_Data[[#This Row],[Order Date]], "MM-YYYY")</f>
        <v>11-2019</v>
      </c>
    </row>
    <row r="626" spans="1:15" x14ac:dyDescent="0.3">
      <c r="A626" s="1">
        <v>44647</v>
      </c>
      <c r="B626" s="2">
        <v>43488</v>
      </c>
      <c r="C626" s="1" t="s">
        <v>7</v>
      </c>
      <c r="D626" s="1">
        <v>47</v>
      </c>
      <c r="E626" t="s">
        <v>24</v>
      </c>
      <c r="F626" t="s">
        <v>24</v>
      </c>
      <c r="G626" s="1">
        <v>24866.76</v>
      </c>
      <c r="H626">
        <v>0.01</v>
      </c>
      <c r="I626">
        <f>Sales_Data[[#This Row],[Sales]]*Sales_Data[[#This Row],[Discount]]</f>
        <v>248.66759999999999</v>
      </c>
      <c r="J626">
        <v>24618.092399999998</v>
      </c>
      <c r="K626" s="1">
        <v>27.8</v>
      </c>
      <c r="L626" s="1">
        <v>24838.959999999999</v>
      </c>
      <c r="M626" s="1" t="s">
        <v>13</v>
      </c>
      <c r="N626" s="1">
        <f>IF(Sales_Data[[#This Row],[Sales with Discount]]&lt;Sales_Data[[#This Row],[Sales with Free Shipping]],Sales_Data[[#This Row],[Sales with Discount]],Sales_Data[[#This Row],[Sales with Free Shipping]])</f>
        <v>24618.092399999998</v>
      </c>
      <c r="O626" s="1" t="str">
        <f>TEXT(Sales_Data[[#This Row],[Order Date]], "MM-YYYY")</f>
        <v>01-2019</v>
      </c>
    </row>
    <row r="627" spans="1:15" x14ac:dyDescent="0.3">
      <c r="A627" s="1">
        <v>44261</v>
      </c>
      <c r="B627" s="2">
        <v>43547</v>
      </c>
      <c r="C627" s="1" t="s">
        <v>9</v>
      </c>
      <c r="D627" s="1">
        <v>10</v>
      </c>
      <c r="E627" t="s">
        <v>17</v>
      </c>
      <c r="F627" t="s">
        <v>17</v>
      </c>
      <c r="G627" s="1">
        <v>328.13</v>
      </c>
      <c r="H627">
        <v>0</v>
      </c>
      <c r="I627">
        <f>Sales_Data[[#This Row],[Sales]]*Sales_Data[[#This Row],[Discount]]</f>
        <v>0</v>
      </c>
      <c r="J627">
        <v>328.13</v>
      </c>
      <c r="K627" s="1">
        <v>6.4</v>
      </c>
      <c r="L627" s="1">
        <v>328.13</v>
      </c>
      <c r="M627" s="1" t="s">
        <v>10</v>
      </c>
      <c r="N627" s="1">
        <f>IF(Sales_Data[[#This Row],[Sales with Discount]]&lt;Sales_Data[[#This Row],[Sales with Free Shipping]],Sales_Data[[#This Row],[Sales with Discount]],Sales_Data[[#This Row],[Sales with Free Shipping]])</f>
        <v>328.13</v>
      </c>
      <c r="O627" s="1" t="str">
        <f>TEXT(Sales_Data[[#This Row],[Order Date]], "MM-YYYY")</f>
        <v>03-2019</v>
      </c>
    </row>
    <row r="628" spans="1:15" x14ac:dyDescent="0.3">
      <c r="A628" s="1">
        <v>21573</v>
      </c>
      <c r="B628" s="2">
        <v>43580</v>
      </c>
      <c r="C628" s="1" t="s">
        <v>12</v>
      </c>
      <c r="D628" s="1">
        <v>31</v>
      </c>
      <c r="E628" t="s">
        <v>21</v>
      </c>
      <c r="F628" t="s">
        <v>21</v>
      </c>
      <c r="G628" s="1">
        <v>102.97</v>
      </c>
      <c r="H628">
        <v>0</v>
      </c>
      <c r="I628">
        <f>Sales_Data[[#This Row],[Sales]]*Sales_Data[[#This Row],[Discount]]</f>
        <v>0</v>
      </c>
      <c r="J628">
        <v>102.97</v>
      </c>
      <c r="K628" s="1">
        <v>1.1000000000000001</v>
      </c>
      <c r="L628" s="1">
        <v>102.97</v>
      </c>
      <c r="M628" s="1" t="s">
        <v>10</v>
      </c>
      <c r="N628" s="1">
        <f>IF(Sales_Data[[#This Row],[Sales with Discount]]&lt;Sales_Data[[#This Row],[Sales with Free Shipping]],Sales_Data[[#This Row],[Sales with Discount]],Sales_Data[[#This Row],[Sales with Free Shipping]])</f>
        <v>102.97</v>
      </c>
      <c r="O628" s="1" t="str">
        <f>TEXT(Sales_Data[[#This Row],[Order Date]], "MM-YYYY")</f>
        <v>04-2019</v>
      </c>
    </row>
    <row r="629" spans="1:15" x14ac:dyDescent="0.3">
      <c r="A629" s="1">
        <v>55462</v>
      </c>
      <c r="B629" s="2">
        <v>43551</v>
      </c>
      <c r="C629" s="1" t="s">
        <v>14</v>
      </c>
      <c r="D629" s="1">
        <v>35</v>
      </c>
      <c r="E629" t="s">
        <v>21</v>
      </c>
      <c r="F629" t="s">
        <v>21</v>
      </c>
      <c r="G629" s="1">
        <v>3941.5911000000001</v>
      </c>
      <c r="H629">
        <v>0</v>
      </c>
      <c r="I629">
        <f>Sales_Data[[#This Row],[Sales]]*Sales_Data[[#This Row],[Discount]]</f>
        <v>0</v>
      </c>
      <c r="J629">
        <v>3941.5911000000001</v>
      </c>
      <c r="K629" s="1">
        <v>9.6</v>
      </c>
      <c r="L629" s="1">
        <v>3941.5911000000001</v>
      </c>
      <c r="M629" s="1" t="s">
        <v>10</v>
      </c>
      <c r="N629" s="1">
        <f>IF(Sales_Data[[#This Row],[Sales with Discount]]&lt;Sales_Data[[#This Row],[Sales with Free Shipping]],Sales_Data[[#This Row],[Sales with Discount]],Sales_Data[[#This Row],[Sales with Free Shipping]])</f>
        <v>3941.5911000000001</v>
      </c>
      <c r="O629" s="1" t="str">
        <f>TEXT(Sales_Data[[#This Row],[Order Date]], "MM-YYYY")</f>
        <v>03-2019</v>
      </c>
    </row>
    <row r="630" spans="1:15" x14ac:dyDescent="0.3">
      <c r="A630" s="1">
        <v>17735</v>
      </c>
      <c r="B630" s="2">
        <v>43658</v>
      </c>
      <c r="C630" s="1" t="s">
        <v>7</v>
      </c>
      <c r="D630" s="1">
        <v>28</v>
      </c>
      <c r="E630" t="s">
        <v>20</v>
      </c>
      <c r="F630" t="s">
        <v>20</v>
      </c>
      <c r="G630" s="1">
        <v>108.27</v>
      </c>
      <c r="H630">
        <v>0</v>
      </c>
      <c r="I630">
        <f>Sales_Data[[#This Row],[Sales]]*Sales_Data[[#This Row],[Discount]]</f>
        <v>0</v>
      </c>
      <c r="J630">
        <v>108.27</v>
      </c>
      <c r="K630" s="1">
        <v>0.8</v>
      </c>
      <c r="L630" s="1">
        <v>108.27</v>
      </c>
      <c r="M630" s="1" t="s">
        <v>10</v>
      </c>
      <c r="N630" s="1">
        <f>IF(Sales_Data[[#This Row],[Sales with Discount]]&lt;Sales_Data[[#This Row],[Sales with Free Shipping]],Sales_Data[[#This Row],[Sales with Discount]],Sales_Data[[#This Row],[Sales with Free Shipping]])</f>
        <v>108.27</v>
      </c>
      <c r="O630" s="1" t="str">
        <f>TEXT(Sales_Data[[#This Row],[Order Date]], "MM-YYYY")</f>
        <v>07-2019</v>
      </c>
    </row>
    <row r="631" spans="1:15" x14ac:dyDescent="0.3">
      <c r="A631" s="1">
        <v>7653</v>
      </c>
      <c r="B631" s="2">
        <v>43522</v>
      </c>
      <c r="C631" s="1" t="s">
        <v>14</v>
      </c>
      <c r="D631" s="1">
        <v>32</v>
      </c>
      <c r="E631" t="s">
        <v>21</v>
      </c>
      <c r="F631" t="s">
        <v>21</v>
      </c>
      <c r="G631" s="1">
        <v>1524.81</v>
      </c>
      <c r="H631">
        <v>0</v>
      </c>
      <c r="I631">
        <f>Sales_Data[[#This Row],[Sales]]*Sales_Data[[#This Row],[Discount]]</f>
        <v>0</v>
      </c>
      <c r="J631">
        <v>1524.81</v>
      </c>
      <c r="K631" s="1">
        <v>5.4</v>
      </c>
      <c r="L631" s="1">
        <v>1524.81</v>
      </c>
      <c r="M631" s="1" t="s">
        <v>10</v>
      </c>
      <c r="N631" s="1">
        <f>IF(Sales_Data[[#This Row],[Sales with Discount]]&lt;Sales_Data[[#This Row],[Sales with Free Shipping]],Sales_Data[[#This Row],[Sales with Discount]],Sales_Data[[#This Row],[Sales with Free Shipping]])</f>
        <v>1524.81</v>
      </c>
      <c r="O631" s="1" t="str">
        <f>TEXT(Sales_Data[[#This Row],[Order Date]], "MM-YYYY")</f>
        <v>02-2019</v>
      </c>
    </row>
    <row r="632" spans="1:15" x14ac:dyDescent="0.3">
      <c r="A632" s="1">
        <v>55747</v>
      </c>
      <c r="B632" s="2">
        <v>43801</v>
      </c>
      <c r="C632" s="1" t="s">
        <v>9</v>
      </c>
      <c r="D632" s="1">
        <v>36</v>
      </c>
      <c r="E632" t="s">
        <v>22</v>
      </c>
      <c r="F632" t="s">
        <v>22</v>
      </c>
      <c r="G632" s="1">
        <v>18790.22</v>
      </c>
      <c r="H632">
        <v>0.01</v>
      </c>
      <c r="I632">
        <f>Sales_Data[[#This Row],[Sales]]*Sales_Data[[#This Row],[Discount]]</f>
        <v>187.90220000000002</v>
      </c>
      <c r="J632">
        <v>18602.317800000001</v>
      </c>
      <c r="K632" s="1">
        <v>27.8</v>
      </c>
      <c r="L632" s="1">
        <v>18762.420000000002</v>
      </c>
      <c r="M632" s="1" t="s">
        <v>13</v>
      </c>
      <c r="N632" s="1">
        <f>IF(Sales_Data[[#This Row],[Sales with Discount]]&lt;Sales_Data[[#This Row],[Sales with Free Shipping]],Sales_Data[[#This Row],[Sales with Discount]],Sales_Data[[#This Row],[Sales with Free Shipping]])</f>
        <v>18602.317800000001</v>
      </c>
      <c r="O632" s="1" t="str">
        <f>TEXT(Sales_Data[[#This Row],[Order Date]], "MM-YYYY")</f>
        <v>12-2019</v>
      </c>
    </row>
    <row r="633" spans="1:15" x14ac:dyDescent="0.3">
      <c r="A633" s="1">
        <v>43682</v>
      </c>
      <c r="B633" s="2">
        <v>43704</v>
      </c>
      <c r="C633" s="1" t="s">
        <v>14</v>
      </c>
      <c r="D633" s="1">
        <v>14</v>
      </c>
      <c r="E633" t="s">
        <v>18</v>
      </c>
      <c r="F633" t="s">
        <v>18</v>
      </c>
      <c r="G633" s="1">
        <v>1979.07</v>
      </c>
      <c r="H633">
        <v>0</v>
      </c>
      <c r="I633">
        <f>Sales_Data[[#This Row],[Sales]]*Sales_Data[[#This Row],[Discount]]</f>
        <v>0</v>
      </c>
      <c r="J633">
        <v>1979.07</v>
      </c>
      <c r="K633" s="1">
        <v>9.6</v>
      </c>
      <c r="L633" s="1">
        <v>1979.07</v>
      </c>
      <c r="M633" s="1" t="s">
        <v>10</v>
      </c>
      <c r="N633" s="1">
        <f>IF(Sales_Data[[#This Row],[Sales with Discount]]&lt;Sales_Data[[#This Row],[Sales with Free Shipping]],Sales_Data[[#This Row],[Sales with Discount]],Sales_Data[[#This Row],[Sales with Free Shipping]])</f>
        <v>1979.07</v>
      </c>
      <c r="O633" s="1" t="str">
        <f>TEXT(Sales_Data[[#This Row],[Order Date]], "MM-YYYY")</f>
        <v>08-2019</v>
      </c>
    </row>
    <row r="634" spans="1:15" x14ac:dyDescent="0.3">
      <c r="A634" s="1">
        <v>24067</v>
      </c>
      <c r="B634" s="2">
        <v>43699</v>
      </c>
      <c r="C634" s="1" t="s">
        <v>9</v>
      </c>
      <c r="D634" s="1">
        <v>19</v>
      </c>
      <c r="E634" t="s">
        <v>19</v>
      </c>
      <c r="F634" t="s">
        <v>19</v>
      </c>
      <c r="G634" s="1">
        <v>129</v>
      </c>
      <c r="H634">
        <v>0</v>
      </c>
      <c r="I634">
        <f>Sales_Data[[#This Row],[Sales]]*Sales_Data[[#This Row],[Discount]]</f>
        <v>0</v>
      </c>
      <c r="J634">
        <v>129</v>
      </c>
      <c r="K634" s="1">
        <v>8</v>
      </c>
      <c r="L634" s="1">
        <v>129</v>
      </c>
      <c r="M634" s="1" t="s">
        <v>10</v>
      </c>
      <c r="N634" s="1">
        <f>IF(Sales_Data[[#This Row],[Sales with Discount]]&lt;Sales_Data[[#This Row],[Sales with Free Shipping]],Sales_Data[[#This Row],[Sales with Discount]],Sales_Data[[#This Row],[Sales with Free Shipping]])</f>
        <v>129</v>
      </c>
      <c r="O634" s="1" t="str">
        <f>TEXT(Sales_Data[[#This Row],[Order Date]], "MM-YYYY")</f>
        <v>08-2019</v>
      </c>
    </row>
    <row r="635" spans="1:15" x14ac:dyDescent="0.3">
      <c r="A635" s="1">
        <v>16897</v>
      </c>
      <c r="B635" s="2">
        <v>43631</v>
      </c>
      <c r="C635" s="1" t="s">
        <v>11</v>
      </c>
      <c r="D635" s="1">
        <v>1</v>
      </c>
      <c r="E635" t="s">
        <v>16</v>
      </c>
      <c r="F635" t="s">
        <v>16</v>
      </c>
      <c r="G635" s="1">
        <v>406.39</v>
      </c>
      <c r="H635">
        <v>0</v>
      </c>
      <c r="I635">
        <f>Sales_Data[[#This Row],[Sales]]*Sales_Data[[#This Row],[Discount]]</f>
        <v>0</v>
      </c>
      <c r="J635">
        <v>406.39</v>
      </c>
      <c r="K635" s="1">
        <v>63.1</v>
      </c>
      <c r="L635" s="1">
        <v>406.39</v>
      </c>
      <c r="M635" s="1" t="s">
        <v>13</v>
      </c>
      <c r="N635" s="1">
        <f>IF(Sales_Data[[#This Row],[Sales with Discount]]&lt;Sales_Data[[#This Row],[Sales with Free Shipping]],Sales_Data[[#This Row],[Sales with Discount]],Sales_Data[[#This Row],[Sales with Free Shipping]])</f>
        <v>406.39</v>
      </c>
      <c r="O635" s="1" t="str">
        <f>TEXT(Sales_Data[[#This Row],[Order Date]], "MM-YYYY")</f>
        <v>06-2019</v>
      </c>
    </row>
    <row r="636" spans="1:15" x14ac:dyDescent="0.3">
      <c r="A636" s="1">
        <v>34211</v>
      </c>
      <c r="B636" s="2">
        <v>43508</v>
      </c>
      <c r="C636" s="1" t="s">
        <v>11</v>
      </c>
      <c r="D636" s="1">
        <v>15</v>
      </c>
      <c r="E636" t="s">
        <v>18</v>
      </c>
      <c r="F636" t="s">
        <v>18</v>
      </c>
      <c r="G636" s="1">
        <v>146.04</v>
      </c>
      <c r="H636">
        <v>0</v>
      </c>
      <c r="I636">
        <f>Sales_Data[[#This Row],[Sales]]*Sales_Data[[#This Row],[Discount]]</f>
        <v>0</v>
      </c>
      <c r="J636">
        <v>146.04</v>
      </c>
      <c r="K636" s="1">
        <v>1.2</v>
      </c>
      <c r="L636" s="1">
        <v>146.04</v>
      </c>
      <c r="M636" s="1" t="s">
        <v>10</v>
      </c>
      <c r="N636" s="1">
        <f>IF(Sales_Data[[#This Row],[Sales with Discount]]&lt;Sales_Data[[#This Row],[Sales with Free Shipping]],Sales_Data[[#This Row],[Sales with Discount]],Sales_Data[[#This Row],[Sales with Free Shipping]])</f>
        <v>146.04</v>
      </c>
      <c r="O636" s="1" t="str">
        <f>TEXT(Sales_Data[[#This Row],[Order Date]], "MM-YYYY")</f>
        <v>02-2019</v>
      </c>
    </row>
    <row r="637" spans="1:15" x14ac:dyDescent="0.3">
      <c r="A637" s="1">
        <v>43488</v>
      </c>
      <c r="B637" s="2">
        <v>43634</v>
      </c>
      <c r="C637" s="1" t="s">
        <v>12</v>
      </c>
      <c r="D637" s="1">
        <v>3</v>
      </c>
      <c r="E637" t="s">
        <v>16</v>
      </c>
      <c r="F637" t="s">
        <v>16</v>
      </c>
      <c r="G637" s="1">
        <v>1384.95</v>
      </c>
      <c r="H637">
        <v>0</v>
      </c>
      <c r="I637">
        <f>Sales_Data[[#This Row],[Sales]]*Sales_Data[[#This Row],[Discount]]</f>
        <v>0</v>
      </c>
      <c r="J637">
        <v>1384.95</v>
      </c>
      <c r="K637" s="1">
        <v>26.2</v>
      </c>
      <c r="L637" s="1">
        <v>1384.95</v>
      </c>
      <c r="M637" s="1" t="s">
        <v>10</v>
      </c>
      <c r="N637" s="1">
        <f>IF(Sales_Data[[#This Row],[Sales with Discount]]&lt;Sales_Data[[#This Row],[Sales with Free Shipping]],Sales_Data[[#This Row],[Sales with Discount]],Sales_Data[[#This Row],[Sales with Free Shipping]])</f>
        <v>1384.95</v>
      </c>
      <c r="O637" s="1" t="str">
        <f>TEXT(Sales_Data[[#This Row],[Order Date]], "MM-YYYY")</f>
        <v>06-2019</v>
      </c>
    </row>
    <row r="638" spans="1:15" x14ac:dyDescent="0.3">
      <c r="A638" s="1">
        <v>1764</v>
      </c>
      <c r="B638" s="2">
        <v>43548</v>
      </c>
      <c r="C638" s="1" t="s">
        <v>12</v>
      </c>
      <c r="D638" s="1">
        <v>7</v>
      </c>
      <c r="E638" t="s">
        <v>17</v>
      </c>
      <c r="F638" t="s">
        <v>17</v>
      </c>
      <c r="G638" s="1">
        <v>64.19</v>
      </c>
      <c r="H638">
        <v>0</v>
      </c>
      <c r="I638">
        <f>Sales_Data[[#This Row],[Sales]]*Sales_Data[[#This Row],[Discount]]</f>
        <v>0</v>
      </c>
      <c r="J638">
        <v>64.19</v>
      </c>
      <c r="K638" s="1">
        <v>5.2</v>
      </c>
      <c r="L638" s="1">
        <v>64.19</v>
      </c>
      <c r="M638" s="1" t="s">
        <v>10</v>
      </c>
      <c r="N638" s="1">
        <f>IF(Sales_Data[[#This Row],[Sales with Discount]]&lt;Sales_Data[[#This Row],[Sales with Free Shipping]],Sales_Data[[#This Row],[Sales with Discount]],Sales_Data[[#This Row],[Sales with Free Shipping]])</f>
        <v>64.19</v>
      </c>
      <c r="O638" s="1" t="str">
        <f>TEXT(Sales_Data[[#This Row],[Order Date]], "MM-YYYY")</f>
        <v>03-2019</v>
      </c>
    </row>
    <row r="639" spans="1:15" x14ac:dyDescent="0.3">
      <c r="A639" s="1">
        <v>24386</v>
      </c>
      <c r="B639" s="2">
        <v>43642</v>
      </c>
      <c r="C639" s="1" t="s">
        <v>9</v>
      </c>
      <c r="D639" s="1">
        <v>15</v>
      </c>
      <c r="E639" t="s">
        <v>18</v>
      </c>
      <c r="F639" t="s">
        <v>18</v>
      </c>
      <c r="G639" s="1">
        <v>82.33</v>
      </c>
      <c r="H639">
        <v>0</v>
      </c>
      <c r="I639">
        <f>Sales_Data[[#This Row],[Sales]]*Sales_Data[[#This Row],[Discount]]</f>
        <v>0</v>
      </c>
      <c r="J639">
        <v>82.33</v>
      </c>
      <c r="K639" s="1">
        <v>1.1000000000000001</v>
      </c>
      <c r="L639" s="1">
        <v>82.33</v>
      </c>
      <c r="M639" s="1" t="s">
        <v>8</v>
      </c>
      <c r="N639" s="1">
        <f>IF(Sales_Data[[#This Row],[Sales with Discount]]&lt;Sales_Data[[#This Row],[Sales with Free Shipping]],Sales_Data[[#This Row],[Sales with Discount]],Sales_Data[[#This Row],[Sales with Free Shipping]])</f>
        <v>82.33</v>
      </c>
      <c r="O639" s="1" t="str">
        <f>TEXT(Sales_Data[[#This Row],[Order Date]], "MM-YYYY")</f>
        <v>06-2019</v>
      </c>
    </row>
    <row r="640" spans="1:15" x14ac:dyDescent="0.3">
      <c r="A640" s="1">
        <v>36038</v>
      </c>
      <c r="B640" s="2">
        <v>43693</v>
      </c>
      <c r="C640" s="1" t="s">
        <v>9</v>
      </c>
      <c r="D640" s="1">
        <v>26</v>
      </c>
      <c r="E640" t="s">
        <v>20</v>
      </c>
      <c r="F640" t="s">
        <v>20</v>
      </c>
      <c r="G640" s="1">
        <v>101.93</v>
      </c>
      <c r="H640">
        <v>0</v>
      </c>
      <c r="I640">
        <f>Sales_Data[[#This Row],[Sales]]*Sales_Data[[#This Row],[Discount]]</f>
        <v>0</v>
      </c>
      <c r="J640">
        <v>101.93</v>
      </c>
      <c r="K640" s="1">
        <v>5.4</v>
      </c>
      <c r="L640" s="1">
        <v>101.93</v>
      </c>
      <c r="M640" s="1" t="s">
        <v>10</v>
      </c>
      <c r="N640" s="1">
        <f>IF(Sales_Data[[#This Row],[Sales with Discount]]&lt;Sales_Data[[#This Row],[Sales with Free Shipping]],Sales_Data[[#This Row],[Sales with Discount]],Sales_Data[[#This Row],[Sales with Free Shipping]])</f>
        <v>101.93</v>
      </c>
      <c r="O640" s="1" t="str">
        <f>TEXT(Sales_Data[[#This Row],[Order Date]], "MM-YYYY")</f>
        <v>08-2019</v>
      </c>
    </row>
    <row r="641" spans="1:15" x14ac:dyDescent="0.3">
      <c r="A641" s="1">
        <v>51044</v>
      </c>
      <c r="B641" s="2">
        <v>43482</v>
      </c>
      <c r="C641" s="1" t="s">
        <v>7</v>
      </c>
      <c r="D641" s="1">
        <v>17</v>
      </c>
      <c r="E641" t="s">
        <v>19</v>
      </c>
      <c r="F641" t="s">
        <v>19</v>
      </c>
      <c r="G641" s="1">
        <v>166.8</v>
      </c>
      <c r="H641">
        <v>0</v>
      </c>
      <c r="I641">
        <f>Sales_Data[[#This Row],[Sales]]*Sales_Data[[#This Row],[Discount]]</f>
        <v>0</v>
      </c>
      <c r="J641">
        <v>166.8</v>
      </c>
      <c r="K641" s="1">
        <v>1.5</v>
      </c>
      <c r="L641" s="1">
        <v>166.8</v>
      </c>
      <c r="M641" s="1" t="s">
        <v>10</v>
      </c>
      <c r="N641" s="1">
        <f>IF(Sales_Data[[#This Row],[Sales with Discount]]&lt;Sales_Data[[#This Row],[Sales with Free Shipping]],Sales_Data[[#This Row],[Sales with Discount]],Sales_Data[[#This Row],[Sales with Free Shipping]])</f>
        <v>166.8</v>
      </c>
      <c r="O641" s="1" t="str">
        <f>TEXT(Sales_Data[[#This Row],[Order Date]], "MM-YYYY")</f>
        <v>01-2019</v>
      </c>
    </row>
    <row r="642" spans="1:15" x14ac:dyDescent="0.3">
      <c r="A642" s="1">
        <v>29090</v>
      </c>
      <c r="B642" s="2">
        <v>43480</v>
      </c>
      <c r="C642" s="1" t="s">
        <v>14</v>
      </c>
      <c r="D642" s="1">
        <v>36</v>
      </c>
      <c r="E642" t="s">
        <v>22</v>
      </c>
      <c r="F642" t="s">
        <v>22</v>
      </c>
      <c r="G642" s="1">
        <v>406.96</v>
      </c>
      <c r="H642">
        <v>0.01</v>
      </c>
      <c r="I642">
        <f>Sales_Data[[#This Row],[Sales]]*Sales_Data[[#This Row],[Discount]]</f>
        <v>4.0695999999999994</v>
      </c>
      <c r="J642">
        <v>402.8904</v>
      </c>
      <c r="K642" s="1">
        <v>7.4</v>
      </c>
      <c r="L642" s="1">
        <v>399.56</v>
      </c>
      <c r="M642" s="1" t="s">
        <v>10</v>
      </c>
      <c r="N642" s="1">
        <f>IF(Sales_Data[[#This Row],[Sales with Discount]]&lt;Sales_Data[[#This Row],[Sales with Free Shipping]],Sales_Data[[#This Row],[Sales with Discount]],Sales_Data[[#This Row],[Sales with Free Shipping]])</f>
        <v>399.56</v>
      </c>
      <c r="O642" s="1" t="str">
        <f>TEXT(Sales_Data[[#This Row],[Order Date]], "MM-YYYY")</f>
        <v>01-2019</v>
      </c>
    </row>
    <row r="643" spans="1:15" x14ac:dyDescent="0.3">
      <c r="A643" s="1">
        <v>29927</v>
      </c>
      <c r="B643" s="2">
        <v>43776</v>
      </c>
      <c r="C643" s="1" t="s">
        <v>9</v>
      </c>
      <c r="D643" s="1">
        <v>19</v>
      </c>
      <c r="E643" t="s">
        <v>19</v>
      </c>
      <c r="F643" t="s">
        <v>19</v>
      </c>
      <c r="G643" s="1">
        <v>276.02999999999997</v>
      </c>
      <c r="H643">
        <v>0</v>
      </c>
      <c r="I643">
        <f>Sales_Data[[#This Row],[Sales]]*Sales_Data[[#This Row],[Discount]]</f>
        <v>0</v>
      </c>
      <c r="J643">
        <v>276.02999999999997</v>
      </c>
      <c r="K643" s="1">
        <v>5.3</v>
      </c>
      <c r="L643" s="1">
        <v>276.02999999999997</v>
      </c>
      <c r="M643" s="1" t="s">
        <v>10</v>
      </c>
      <c r="N643" s="1">
        <f>IF(Sales_Data[[#This Row],[Sales with Discount]]&lt;Sales_Data[[#This Row],[Sales with Free Shipping]],Sales_Data[[#This Row],[Sales with Discount]],Sales_Data[[#This Row],[Sales with Free Shipping]])</f>
        <v>276.02999999999997</v>
      </c>
      <c r="O643" s="1" t="str">
        <f>TEXT(Sales_Data[[#This Row],[Order Date]], "MM-YYYY")</f>
        <v>11-2019</v>
      </c>
    </row>
    <row r="644" spans="1:15" x14ac:dyDescent="0.3">
      <c r="A644" s="1">
        <v>33479</v>
      </c>
      <c r="B644" s="2">
        <v>43726</v>
      </c>
      <c r="C644" s="1" t="s">
        <v>12</v>
      </c>
      <c r="D644" s="1">
        <v>24</v>
      </c>
      <c r="E644" t="s">
        <v>14</v>
      </c>
      <c r="F644" t="s">
        <v>14</v>
      </c>
      <c r="G644" s="1">
        <v>173.2</v>
      </c>
      <c r="H644">
        <v>0</v>
      </c>
      <c r="I644">
        <f>Sales_Data[[#This Row],[Sales]]*Sales_Data[[#This Row],[Discount]]</f>
        <v>0</v>
      </c>
      <c r="J644">
        <v>173.2</v>
      </c>
      <c r="K644" s="1">
        <v>5.5</v>
      </c>
      <c r="L644" s="1">
        <v>173.2</v>
      </c>
      <c r="M644" s="1" t="s">
        <v>10</v>
      </c>
      <c r="N644" s="1">
        <f>IF(Sales_Data[[#This Row],[Sales with Discount]]&lt;Sales_Data[[#This Row],[Sales with Free Shipping]],Sales_Data[[#This Row],[Sales with Discount]],Sales_Data[[#This Row],[Sales with Free Shipping]])</f>
        <v>173.2</v>
      </c>
      <c r="O644" s="1" t="str">
        <f>TEXT(Sales_Data[[#This Row],[Order Date]], "MM-YYYY")</f>
        <v>09-2019</v>
      </c>
    </row>
    <row r="645" spans="1:15" x14ac:dyDescent="0.3">
      <c r="A645" s="1">
        <v>12096</v>
      </c>
      <c r="B645" s="2">
        <v>43727</v>
      </c>
      <c r="C645" s="1" t="s">
        <v>14</v>
      </c>
      <c r="D645" s="1">
        <v>46</v>
      </c>
      <c r="E645" t="s">
        <v>24</v>
      </c>
      <c r="F645" t="s">
        <v>24</v>
      </c>
      <c r="G645" s="1">
        <v>8570.2639999999992</v>
      </c>
      <c r="H645">
        <v>0.01</v>
      </c>
      <c r="I645">
        <f>Sales_Data[[#This Row],[Sales]]*Sales_Data[[#This Row],[Discount]]</f>
        <v>85.702639999999988</v>
      </c>
      <c r="J645">
        <v>8484.5613599999997</v>
      </c>
      <c r="K645" s="1">
        <v>8.6</v>
      </c>
      <c r="L645" s="1">
        <v>8561.6639999999989</v>
      </c>
      <c r="M645" s="1" t="s">
        <v>10</v>
      </c>
      <c r="N645" s="1">
        <f>IF(Sales_Data[[#This Row],[Sales with Discount]]&lt;Sales_Data[[#This Row],[Sales with Free Shipping]],Sales_Data[[#This Row],[Sales with Discount]],Sales_Data[[#This Row],[Sales with Free Shipping]])</f>
        <v>8484.5613599999997</v>
      </c>
      <c r="O645" s="1" t="str">
        <f>TEXT(Sales_Data[[#This Row],[Order Date]], "MM-YYYY")</f>
        <v>09-2019</v>
      </c>
    </row>
    <row r="646" spans="1:15" x14ac:dyDescent="0.3">
      <c r="A646" s="1">
        <v>30403</v>
      </c>
      <c r="B646" s="2">
        <v>43656</v>
      </c>
      <c r="C646" s="1" t="s">
        <v>9</v>
      </c>
      <c r="D646" s="1">
        <v>24</v>
      </c>
      <c r="E646" t="s">
        <v>14</v>
      </c>
      <c r="F646" t="s">
        <v>14</v>
      </c>
      <c r="G646" s="1">
        <v>3834.3663999999999</v>
      </c>
      <c r="H646">
        <v>0</v>
      </c>
      <c r="I646">
        <f>Sales_Data[[#This Row],[Sales]]*Sales_Data[[#This Row],[Discount]]</f>
        <v>0</v>
      </c>
      <c r="J646">
        <v>3834.3663999999999</v>
      </c>
      <c r="K646" s="1">
        <v>21.4</v>
      </c>
      <c r="L646" s="1">
        <v>3834.3663999999999</v>
      </c>
      <c r="M646" s="1" t="s">
        <v>10</v>
      </c>
      <c r="N646" s="1">
        <f>IF(Sales_Data[[#This Row],[Sales with Discount]]&lt;Sales_Data[[#This Row],[Sales with Free Shipping]],Sales_Data[[#This Row],[Sales with Discount]],Sales_Data[[#This Row],[Sales with Free Shipping]])</f>
        <v>3834.3663999999999</v>
      </c>
      <c r="O646" s="1" t="str">
        <f>TEXT(Sales_Data[[#This Row],[Order Date]], "MM-YYYY")</f>
        <v>07-2019</v>
      </c>
    </row>
    <row r="647" spans="1:15" x14ac:dyDescent="0.3">
      <c r="A647" s="1">
        <v>33761</v>
      </c>
      <c r="B647" s="2">
        <v>43681</v>
      </c>
      <c r="C647" s="1" t="s">
        <v>9</v>
      </c>
      <c r="D647" s="1">
        <v>45</v>
      </c>
      <c r="E647" t="s">
        <v>23</v>
      </c>
      <c r="F647" t="s">
        <v>23</v>
      </c>
      <c r="G647" s="1">
        <v>496.41</v>
      </c>
      <c r="H647">
        <v>0.01</v>
      </c>
      <c r="I647">
        <f>Sales_Data[[#This Row],[Sales]]*Sales_Data[[#This Row],[Discount]]</f>
        <v>4.9641000000000002</v>
      </c>
      <c r="J647">
        <v>491.44589999999999</v>
      </c>
      <c r="K647" s="1">
        <v>3.1</v>
      </c>
      <c r="L647" s="1">
        <v>493.31</v>
      </c>
      <c r="M647" s="1" t="s">
        <v>10</v>
      </c>
      <c r="N647" s="1">
        <f>IF(Sales_Data[[#This Row],[Sales with Discount]]&lt;Sales_Data[[#This Row],[Sales with Free Shipping]],Sales_Data[[#This Row],[Sales with Discount]],Sales_Data[[#This Row],[Sales with Free Shipping]])</f>
        <v>491.44589999999999</v>
      </c>
      <c r="O647" s="1" t="str">
        <f>TEXT(Sales_Data[[#This Row],[Order Date]], "MM-YYYY")</f>
        <v>08-2019</v>
      </c>
    </row>
    <row r="648" spans="1:15" x14ac:dyDescent="0.3">
      <c r="A648" s="1">
        <v>44261</v>
      </c>
      <c r="B648" s="2">
        <v>43547</v>
      </c>
      <c r="C648" s="1" t="s">
        <v>9</v>
      </c>
      <c r="D648" s="1">
        <v>1</v>
      </c>
      <c r="E648" t="s">
        <v>16</v>
      </c>
      <c r="F648" t="s">
        <v>16</v>
      </c>
      <c r="G648" s="1">
        <v>3595.52</v>
      </c>
      <c r="H648">
        <v>0</v>
      </c>
      <c r="I648">
        <f>Sales_Data[[#This Row],[Sales]]*Sales_Data[[#This Row],[Discount]]</f>
        <v>0</v>
      </c>
      <c r="J648">
        <v>3595.52</v>
      </c>
      <c r="K648" s="1">
        <v>9.3000000000000007</v>
      </c>
      <c r="L648" s="1">
        <v>3595.52</v>
      </c>
      <c r="M648" s="1" t="s">
        <v>13</v>
      </c>
      <c r="N648" s="1">
        <f>IF(Sales_Data[[#This Row],[Sales with Discount]]&lt;Sales_Data[[#This Row],[Sales with Free Shipping]],Sales_Data[[#This Row],[Sales with Discount]],Sales_Data[[#This Row],[Sales with Free Shipping]])</f>
        <v>3595.52</v>
      </c>
      <c r="O648" s="1" t="str">
        <f>TEXT(Sales_Data[[#This Row],[Order Date]], "MM-YYYY")</f>
        <v>03-2019</v>
      </c>
    </row>
    <row r="649" spans="1:15" x14ac:dyDescent="0.3">
      <c r="A649" s="1">
        <v>52068</v>
      </c>
      <c r="B649" s="2">
        <v>43477</v>
      </c>
      <c r="C649" s="1" t="s">
        <v>11</v>
      </c>
      <c r="D649" s="1">
        <v>31</v>
      </c>
      <c r="E649" t="s">
        <v>21</v>
      </c>
      <c r="F649" t="s">
        <v>21</v>
      </c>
      <c r="G649" s="1">
        <v>174.7</v>
      </c>
      <c r="H649">
        <v>0</v>
      </c>
      <c r="I649">
        <f>Sales_Data[[#This Row],[Sales]]*Sales_Data[[#This Row],[Discount]]</f>
        <v>0</v>
      </c>
      <c r="J649">
        <v>174.7</v>
      </c>
      <c r="K649" s="1">
        <v>3.2</v>
      </c>
      <c r="L649" s="1">
        <v>174.7</v>
      </c>
      <c r="M649" s="1" t="s">
        <v>10</v>
      </c>
      <c r="N649" s="1">
        <f>IF(Sales_Data[[#This Row],[Sales with Discount]]&lt;Sales_Data[[#This Row],[Sales with Free Shipping]],Sales_Data[[#This Row],[Sales with Discount]],Sales_Data[[#This Row],[Sales with Free Shipping]])</f>
        <v>174.7</v>
      </c>
      <c r="O649" s="1" t="str">
        <f>TEXT(Sales_Data[[#This Row],[Order Date]], "MM-YYYY")</f>
        <v>01-2019</v>
      </c>
    </row>
    <row r="650" spans="1:15" x14ac:dyDescent="0.3">
      <c r="A650" s="1">
        <v>37765</v>
      </c>
      <c r="B650" s="2">
        <v>43793</v>
      </c>
      <c r="C650" s="1" t="s">
        <v>7</v>
      </c>
      <c r="D650" s="1">
        <v>18</v>
      </c>
      <c r="E650" t="s">
        <v>19</v>
      </c>
      <c r="F650" t="s">
        <v>19</v>
      </c>
      <c r="G650" s="1">
        <v>701.47</v>
      </c>
      <c r="H650">
        <v>0</v>
      </c>
      <c r="I650">
        <f>Sales_Data[[#This Row],[Sales]]*Sales_Data[[#This Row],[Discount]]</f>
        <v>0</v>
      </c>
      <c r="J650">
        <v>701.47</v>
      </c>
      <c r="K650" s="1">
        <v>5.4</v>
      </c>
      <c r="L650" s="1">
        <v>701.47</v>
      </c>
      <c r="M650" s="1" t="s">
        <v>10</v>
      </c>
      <c r="N650" s="1">
        <f>IF(Sales_Data[[#This Row],[Sales with Discount]]&lt;Sales_Data[[#This Row],[Sales with Free Shipping]],Sales_Data[[#This Row],[Sales with Discount]],Sales_Data[[#This Row],[Sales with Free Shipping]])</f>
        <v>701.47</v>
      </c>
      <c r="O650" s="1" t="str">
        <f>TEXT(Sales_Data[[#This Row],[Order Date]], "MM-YYYY")</f>
        <v>11-2019</v>
      </c>
    </row>
    <row r="651" spans="1:15" x14ac:dyDescent="0.3">
      <c r="A651" s="1">
        <v>1285</v>
      </c>
      <c r="B651" s="2">
        <v>43616</v>
      </c>
      <c r="C651" s="1" t="s">
        <v>12</v>
      </c>
      <c r="D651" s="1">
        <v>27</v>
      </c>
      <c r="E651" t="s">
        <v>20</v>
      </c>
      <c r="F651" t="s">
        <v>20</v>
      </c>
      <c r="G651" s="1">
        <v>4145.3100000000004</v>
      </c>
      <c r="H651">
        <v>0</v>
      </c>
      <c r="I651">
        <f>Sales_Data[[#This Row],[Sales]]*Sales_Data[[#This Row],[Discount]]</f>
        <v>0</v>
      </c>
      <c r="J651">
        <v>4145.3100000000004</v>
      </c>
      <c r="K651" s="1">
        <v>58.6</v>
      </c>
      <c r="L651" s="1">
        <v>4145.3100000000004</v>
      </c>
      <c r="M651" s="1" t="s">
        <v>13</v>
      </c>
      <c r="N651" s="1">
        <f>IF(Sales_Data[[#This Row],[Sales with Discount]]&lt;Sales_Data[[#This Row],[Sales with Free Shipping]],Sales_Data[[#This Row],[Sales with Discount]],Sales_Data[[#This Row],[Sales with Free Shipping]])</f>
        <v>4145.3100000000004</v>
      </c>
      <c r="O651" s="1" t="str">
        <f>TEXT(Sales_Data[[#This Row],[Order Date]], "MM-YYYY")</f>
        <v>05-2019</v>
      </c>
    </row>
    <row r="652" spans="1:15" x14ac:dyDescent="0.3">
      <c r="A652" s="1">
        <v>45635</v>
      </c>
      <c r="B652" s="2">
        <v>43562</v>
      </c>
      <c r="C652" s="1" t="s">
        <v>7</v>
      </c>
      <c r="D652" s="1">
        <v>50</v>
      </c>
      <c r="E652" t="s">
        <v>24</v>
      </c>
      <c r="F652" t="s">
        <v>24</v>
      </c>
      <c r="G652" s="1">
        <v>2159.9899999999998</v>
      </c>
      <c r="H652">
        <v>0.01</v>
      </c>
      <c r="I652">
        <f>Sales_Data[[#This Row],[Sales]]*Sales_Data[[#This Row],[Discount]]</f>
        <v>21.599899999999998</v>
      </c>
      <c r="J652">
        <v>2138.3900999999996</v>
      </c>
      <c r="K652" s="1">
        <v>2.1</v>
      </c>
      <c r="L652" s="1">
        <v>2157.89</v>
      </c>
      <c r="M652" s="1" t="s">
        <v>10</v>
      </c>
      <c r="N652" s="1">
        <f>IF(Sales_Data[[#This Row],[Sales with Discount]]&lt;Sales_Data[[#This Row],[Sales with Free Shipping]],Sales_Data[[#This Row],[Sales with Discount]],Sales_Data[[#This Row],[Sales with Free Shipping]])</f>
        <v>2138.3900999999996</v>
      </c>
      <c r="O652" s="1" t="str">
        <f>TEXT(Sales_Data[[#This Row],[Order Date]], "MM-YYYY")</f>
        <v>04-2019</v>
      </c>
    </row>
    <row r="653" spans="1:15" x14ac:dyDescent="0.3">
      <c r="A653" s="1">
        <v>10945</v>
      </c>
      <c r="B653" s="2">
        <v>43467</v>
      </c>
      <c r="C653" s="1" t="s">
        <v>14</v>
      </c>
      <c r="D653" s="1">
        <v>14</v>
      </c>
      <c r="E653" t="s">
        <v>18</v>
      </c>
      <c r="F653" t="s">
        <v>18</v>
      </c>
      <c r="G653" s="1">
        <v>1251.93</v>
      </c>
      <c r="H653">
        <v>0</v>
      </c>
      <c r="I653">
        <f>Sales_Data[[#This Row],[Sales]]*Sales_Data[[#This Row],[Discount]]</f>
        <v>0</v>
      </c>
      <c r="J653">
        <v>1251.93</v>
      </c>
      <c r="K653" s="1">
        <v>9.6</v>
      </c>
      <c r="L653" s="1">
        <v>1251.93</v>
      </c>
      <c r="M653" s="1" t="s">
        <v>10</v>
      </c>
      <c r="N653" s="1">
        <f>IF(Sales_Data[[#This Row],[Sales with Discount]]&lt;Sales_Data[[#This Row],[Sales with Free Shipping]],Sales_Data[[#This Row],[Sales with Discount]],Sales_Data[[#This Row],[Sales with Free Shipping]])</f>
        <v>1251.93</v>
      </c>
      <c r="O653" s="1" t="str">
        <f>TEXT(Sales_Data[[#This Row],[Order Date]], "MM-YYYY")</f>
        <v>01-2019</v>
      </c>
    </row>
    <row r="654" spans="1:15" x14ac:dyDescent="0.3">
      <c r="A654" s="1">
        <v>19425</v>
      </c>
      <c r="B654" s="2">
        <v>43732</v>
      </c>
      <c r="C654" s="1" t="s">
        <v>11</v>
      </c>
      <c r="D654" s="1">
        <v>34</v>
      </c>
      <c r="E654" t="s">
        <v>21</v>
      </c>
      <c r="F654" t="s">
        <v>21</v>
      </c>
      <c r="G654" s="1">
        <v>224.96</v>
      </c>
      <c r="H654">
        <v>0</v>
      </c>
      <c r="I654">
        <f>Sales_Data[[#This Row],[Sales]]*Sales_Data[[#This Row],[Discount]]</f>
        <v>0</v>
      </c>
      <c r="J654">
        <v>224.96</v>
      </c>
      <c r="K654" s="1">
        <v>3.9</v>
      </c>
      <c r="L654" s="1">
        <v>224.96</v>
      </c>
      <c r="M654" s="1" t="s">
        <v>10</v>
      </c>
      <c r="N654" s="1">
        <f>IF(Sales_Data[[#This Row],[Sales with Discount]]&lt;Sales_Data[[#This Row],[Sales with Free Shipping]],Sales_Data[[#This Row],[Sales with Discount]],Sales_Data[[#This Row],[Sales with Free Shipping]])</f>
        <v>224.96</v>
      </c>
      <c r="O654" s="1" t="str">
        <f>TEXT(Sales_Data[[#This Row],[Order Date]], "MM-YYYY")</f>
        <v>09-2019</v>
      </c>
    </row>
    <row r="655" spans="1:15" x14ac:dyDescent="0.3">
      <c r="A655" s="1">
        <v>20451</v>
      </c>
      <c r="B655" s="2">
        <v>43610</v>
      </c>
      <c r="C655" s="1" t="s">
        <v>12</v>
      </c>
      <c r="D655" s="1">
        <v>17</v>
      </c>
      <c r="E655" t="s">
        <v>19</v>
      </c>
      <c r="F655" t="s">
        <v>19</v>
      </c>
      <c r="G655" s="1">
        <v>9790.6</v>
      </c>
      <c r="H655">
        <v>0</v>
      </c>
      <c r="I655">
        <f>Sales_Data[[#This Row],[Sales]]*Sales_Data[[#This Row],[Discount]]</f>
        <v>0</v>
      </c>
      <c r="J655">
        <v>9790.6</v>
      </c>
      <c r="K655" s="1">
        <v>48.9</v>
      </c>
      <c r="L655" s="1">
        <v>9790.6</v>
      </c>
      <c r="M655" s="1" t="s">
        <v>13</v>
      </c>
      <c r="N655" s="1">
        <f>IF(Sales_Data[[#This Row],[Sales with Discount]]&lt;Sales_Data[[#This Row],[Sales with Free Shipping]],Sales_Data[[#This Row],[Sales with Discount]],Sales_Data[[#This Row],[Sales with Free Shipping]])</f>
        <v>9790.6</v>
      </c>
      <c r="O655" s="1" t="str">
        <f>TEXT(Sales_Data[[#This Row],[Order Date]], "MM-YYYY")</f>
        <v>05-2019</v>
      </c>
    </row>
    <row r="656" spans="1:15" x14ac:dyDescent="0.3">
      <c r="A656" s="1">
        <v>19777</v>
      </c>
      <c r="B656" s="2">
        <v>43757</v>
      </c>
      <c r="C656" s="1" t="s">
        <v>11</v>
      </c>
      <c r="D656" s="1">
        <v>22</v>
      </c>
      <c r="E656" t="s">
        <v>14</v>
      </c>
      <c r="F656" t="s">
        <v>14</v>
      </c>
      <c r="G656" s="1">
        <v>344.44</v>
      </c>
      <c r="H656">
        <v>0</v>
      </c>
      <c r="I656">
        <f>Sales_Data[[#This Row],[Sales]]*Sales_Data[[#This Row],[Discount]]</f>
        <v>0</v>
      </c>
      <c r="J656">
        <v>344.44</v>
      </c>
      <c r="K656" s="1">
        <v>9</v>
      </c>
      <c r="L656" s="1">
        <v>344.44</v>
      </c>
      <c r="M656" s="1" t="s">
        <v>10</v>
      </c>
      <c r="N656" s="1">
        <f>IF(Sales_Data[[#This Row],[Sales with Discount]]&lt;Sales_Data[[#This Row],[Sales with Free Shipping]],Sales_Data[[#This Row],[Sales with Discount]],Sales_Data[[#This Row],[Sales with Free Shipping]])</f>
        <v>344.44</v>
      </c>
      <c r="O656" s="1" t="str">
        <f>TEXT(Sales_Data[[#This Row],[Order Date]], "MM-YYYY")</f>
        <v>10-2019</v>
      </c>
    </row>
    <row r="657" spans="1:15" x14ac:dyDescent="0.3">
      <c r="A657" s="1">
        <v>5635</v>
      </c>
      <c r="B657" s="2">
        <v>43692</v>
      </c>
      <c r="C657" s="1" t="s">
        <v>14</v>
      </c>
      <c r="D657" s="1">
        <v>17</v>
      </c>
      <c r="E657" t="s">
        <v>19</v>
      </c>
      <c r="F657" t="s">
        <v>19</v>
      </c>
      <c r="G657" s="1">
        <v>212.69</v>
      </c>
      <c r="H657">
        <v>0</v>
      </c>
      <c r="I657">
        <f>Sales_Data[[#This Row],[Sales]]*Sales_Data[[#This Row],[Discount]]</f>
        <v>0</v>
      </c>
      <c r="J657">
        <v>212.69</v>
      </c>
      <c r="K657" s="1">
        <v>7.7</v>
      </c>
      <c r="L657" s="1">
        <v>212.69</v>
      </c>
      <c r="M657" s="1" t="s">
        <v>10</v>
      </c>
      <c r="N657" s="1">
        <f>IF(Sales_Data[[#This Row],[Sales with Discount]]&lt;Sales_Data[[#This Row],[Sales with Free Shipping]],Sales_Data[[#This Row],[Sales with Discount]],Sales_Data[[#This Row],[Sales with Free Shipping]])</f>
        <v>212.69</v>
      </c>
      <c r="O657" s="1" t="str">
        <f>TEXT(Sales_Data[[#This Row],[Order Date]], "MM-YYYY")</f>
        <v>08-2019</v>
      </c>
    </row>
    <row r="658" spans="1:15" x14ac:dyDescent="0.3">
      <c r="A658" s="1">
        <v>56291</v>
      </c>
      <c r="B658" s="2">
        <v>43725</v>
      </c>
      <c r="C658" s="1" t="s">
        <v>11</v>
      </c>
      <c r="D658" s="1">
        <v>47</v>
      </c>
      <c r="E658" t="s">
        <v>24</v>
      </c>
      <c r="F658" t="s">
        <v>24</v>
      </c>
      <c r="G658" s="1">
        <v>1284.749</v>
      </c>
      <c r="H658">
        <v>0.01</v>
      </c>
      <c r="I658">
        <f>Sales_Data[[#This Row],[Sales]]*Sales_Data[[#This Row],[Discount]]</f>
        <v>12.847490000000001</v>
      </c>
      <c r="J658">
        <v>1271.9015099999999</v>
      </c>
      <c r="K658" s="1">
        <v>9.4</v>
      </c>
      <c r="L658" s="1">
        <v>1275.3489999999999</v>
      </c>
      <c r="M658" s="1" t="s">
        <v>10</v>
      </c>
      <c r="N658" s="1">
        <f>IF(Sales_Data[[#This Row],[Sales with Discount]]&lt;Sales_Data[[#This Row],[Sales with Free Shipping]],Sales_Data[[#This Row],[Sales with Discount]],Sales_Data[[#This Row],[Sales with Free Shipping]])</f>
        <v>1271.9015099999999</v>
      </c>
      <c r="O658" s="1" t="str">
        <f>TEXT(Sales_Data[[#This Row],[Order Date]], "MM-YYYY")</f>
        <v>09-2019</v>
      </c>
    </row>
    <row r="659" spans="1:15" x14ac:dyDescent="0.3">
      <c r="A659" s="1">
        <v>59781</v>
      </c>
      <c r="B659" s="2">
        <v>43811</v>
      </c>
      <c r="C659" s="1" t="s">
        <v>11</v>
      </c>
      <c r="D659" s="1">
        <v>43</v>
      </c>
      <c r="E659" t="s">
        <v>23</v>
      </c>
      <c r="F659" t="s">
        <v>23</v>
      </c>
      <c r="G659" s="1">
        <v>280.48</v>
      </c>
      <c r="H659">
        <v>0.01</v>
      </c>
      <c r="I659">
        <f>Sales_Data[[#This Row],[Sales]]*Sales_Data[[#This Row],[Discount]]</f>
        <v>2.8048000000000002</v>
      </c>
      <c r="J659">
        <v>277.67520000000002</v>
      </c>
      <c r="K659" s="1">
        <v>5.7</v>
      </c>
      <c r="L659" s="1">
        <v>274.78000000000003</v>
      </c>
      <c r="M659" s="1" t="s">
        <v>8</v>
      </c>
      <c r="N659" s="1">
        <f>IF(Sales_Data[[#This Row],[Sales with Discount]]&lt;Sales_Data[[#This Row],[Sales with Free Shipping]],Sales_Data[[#This Row],[Sales with Discount]],Sales_Data[[#This Row],[Sales with Free Shipping]])</f>
        <v>274.78000000000003</v>
      </c>
      <c r="O659" s="1" t="str">
        <f>TEXT(Sales_Data[[#This Row],[Order Date]], "MM-YYYY")</f>
        <v>12-2019</v>
      </c>
    </row>
    <row r="660" spans="1:15" x14ac:dyDescent="0.3">
      <c r="A660" s="1">
        <v>35842</v>
      </c>
      <c r="B660" s="2">
        <v>43609</v>
      </c>
      <c r="C660" s="1" t="s">
        <v>9</v>
      </c>
      <c r="D660" s="1">
        <v>18</v>
      </c>
      <c r="E660" t="s">
        <v>19</v>
      </c>
      <c r="F660" t="s">
        <v>19</v>
      </c>
      <c r="G660" s="1">
        <v>57.56</v>
      </c>
      <c r="H660">
        <v>0</v>
      </c>
      <c r="I660">
        <f>Sales_Data[[#This Row],[Sales]]*Sales_Data[[#This Row],[Discount]]</f>
        <v>0</v>
      </c>
      <c r="J660">
        <v>57.56</v>
      </c>
      <c r="K660" s="1">
        <v>1.1000000000000001</v>
      </c>
      <c r="L660" s="1">
        <v>57.56</v>
      </c>
      <c r="M660" s="1" t="s">
        <v>10</v>
      </c>
      <c r="N660" s="1">
        <f>IF(Sales_Data[[#This Row],[Sales with Discount]]&lt;Sales_Data[[#This Row],[Sales with Free Shipping]],Sales_Data[[#This Row],[Sales with Discount]],Sales_Data[[#This Row],[Sales with Free Shipping]])</f>
        <v>57.56</v>
      </c>
      <c r="O660" s="1" t="str">
        <f>TEXT(Sales_Data[[#This Row],[Order Date]], "MM-YYYY")</f>
        <v>05-2019</v>
      </c>
    </row>
    <row r="661" spans="1:15" x14ac:dyDescent="0.3">
      <c r="A661" s="1">
        <v>45700</v>
      </c>
      <c r="B661" s="2">
        <v>43782</v>
      </c>
      <c r="C661" s="1" t="s">
        <v>9</v>
      </c>
      <c r="D661" s="1">
        <v>43</v>
      </c>
      <c r="E661" t="s">
        <v>23</v>
      </c>
      <c r="F661" t="s">
        <v>23</v>
      </c>
      <c r="G661" s="1">
        <v>1823.9</v>
      </c>
      <c r="H661">
        <v>0.01</v>
      </c>
      <c r="I661">
        <f>Sales_Data[[#This Row],[Sales]]*Sales_Data[[#This Row],[Discount]]</f>
        <v>18.239000000000001</v>
      </c>
      <c r="J661">
        <v>1805.6610000000001</v>
      </c>
      <c r="K661" s="1">
        <v>4.8</v>
      </c>
      <c r="L661" s="1">
        <v>1819.1000000000001</v>
      </c>
      <c r="M661" s="1" t="s">
        <v>10</v>
      </c>
      <c r="N661" s="1">
        <f>IF(Sales_Data[[#This Row],[Sales with Discount]]&lt;Sales_Data[[#This Row],[Sales with Free Shipping]],Sales_Data[[#This Row],[Sales with Discount]],Sales_Data[[#This Row],[Sales with Free Shipping]])</f>
        <v>1805.6610000000001</v>
      </c>
      <c r="O661" s="1" t="str">
        <f>TEXT(Sales_Data[[#This Row],[Order Date]], "MM-YYYY")</f>
        <v>11-2019</v>
      </c>
    </row>
    <row r="662" spans="1:15" x14ac:dyDescent="0.3">
      <c r="A662" s="1">
        <v>42982</v>
      </c>
      <c r="B662" s="2">
        <v>43673</v>
      </c>
      <c r="C662" s="1" t="s">
        <v>7</v>
      </c>
      <c r="D662" s="1">
        <v>12</v>
      </c>
      <c r="E662" t="s">
        <v>18</v>
      </c>
      <c r="F662" t="s">
        <v>18</v>
      </c>
      <c r="G662" s="1">
        <v>1410.62</v>
      </c>
      <c r="H662">
        <v>0</v>
      </c>
      <c r="I662">
        <f>Sales_Data[[#This Row],[Sales]]*Sales_Data[[#This Row],[Discount]]</f>
        <v>0</v>
      </c>
      <c r="J662">
        <v>1410.62</v>
      </c>
      <c r="K662" s="1">
        <v>26.2</v>
      </c>
      <c r="L662" s="1">
        <v>1410.62</v>
      </c>
      <c r="M662" s="1" t="s">
        <v>8</v>
      </c>
      <c r="N662" s="1">
        <f>IF(Sales_Data[[#This Row],[Sales with Discount]]&lt;Sales_Data[[#This Row],[Sales with Free Shipping]],Sales_Data[[#This Row],[Sales with Discount]],Sales_Data[[#This Row],[Sales with Free Shipping]])</f>
        <v>1410.62</v>
      </c>
      <c r="O662" s="1" t="str">
        <f>TEXT(Sales_Data[[#This Row],[Order Date]], "MM-YYYY")</f>
        <v>07-2019</v>
      </c>
    </row>
    <row r="663" spans="1:15" x14ac:dyDescent="0.3">
      <c r="A663" s="1">
        <v>15687</v>
      </c>
      <c r="B663" s="2">
        <v>43564</v>
      </c>
      <c r="C663" s="1" t="s">
        <v>12</v>
      </c>
      <c r="D663" s="1">
        <v>48</v>
      </c>
      <c r="E663" t="s">
        <v>24</v>
      </c>
      <c r="F663" t="s">
        <v>24</v>
      </c>
      <c r="G663" s="1">
        <v>3638.67</v>
      </c>
      <c r="H663">
        <v>0.01</v>
      </c>
      <c r="I663">
        <f>Sales_Data[[#This Row],[Sales]]*Sales_Data[[#This Row],[Discount]]</f>
        <v>36.386700000000005</v>
      </c>
      <c r="J663">
        <v>3602.2833000000001</v>
      </c>
      <c r="K663" s="1">
        <v>50</v>
      </c>
      <c r="L663" s="1">
        <v>3588.67</v>
      </c>
      <c r="M663" s="1" t="s">
        <v>13</v>
      </c>
      <c r="N663" s="1">
        <f>IF(Sales_Data[[#This Row],[Sales with Discount]]&lt;Sales_Data[[#This Row],[Sales with Free Shipping]],Sales_Data[[#This Row],[Sales with Discount]],Sales_Data[[#This Row],[Sales with Free Shipping]])</f>
        <v>3588.67</v>
      </c>
      <c r="O663" s="1" t="str">
        <f>TEXT(Sales_Data[[#This Row],[Order Date]], "MM-YYYY")</f>
        <v>04-2019</v>
      </c>
    </row>
    <row r="664" spans="1:15" x14ac:dyDescent="0.3">
      <c r="A664" s="1">
        <v>11431</v>
      </c>
      <c r="B664" s="2">
        <v>43678</v>
      </c>
      <c r="C664" s="1" t="s">
        <v>9</v>
      </c>
      <c r="D664" s="1">
        <v>5</v>
      </c>
      <c r="E664" t="s">
        <v>16</v>
      </c>
      <c r="F664" t="s">
        <v>16</v>
      </c>
      <c r="G664" s="1">
        <v>42.46</v>
      </c>
      <c r="H664">
        <v>0</v>
      </c>
      <c r="I664">
        <f>Sales_Data[[#This Row],[Sales]]*Sales_Data[[#This Row],[Discount]]</f>
        <v>0</v>
      </c>
      <c r="J664">
        <v>42.46</v>
      </c>
      <c r="K664" s="1">
        <v>3.1</v>
      </c>
      <c r="L664" s="1">
        <v>42.46</v>
      </c>
      <c r="M664" s="1" t="s">
        <v>10</v>
      </c>
      <c r="N664" s="1">
        <f>IF(Sales_Data[[#This Row],[Sales with Discount]]&lt;Sales_Data[[#This Row],[Sales with Free Shipping]],Sales_Data[[#This Row],[Sales with Discount]],Sales_Data[[#This Row],[Sales with Free Shipping]])</f>
        <v>42.46</v>
      </c>
      <c r="O664" s="1" t="str">
        <f>TEXT(Sales_Data[[#This Row],[Order Date]], "MM-YYYY")</f>
        <v>08-2019</v>
      </c>
    </row>
    <row r="665" spans="1:15" x14ac:dyDescent="0.3">
      <c r="A665" s="1">
        <v>21573</v>
      </c>
      <c r="B665" s="2">
        <v>43580</v>
      </c>
      <c r="C665" s="1" t="s">
        <v>12</v>
      </c>
      <c r="D665" s="1">
        <v>3</v>
      </c>
      <c r="E665" t="s">
        <v>16</v>
      </c>
      <c r="F665" t="s">
        <v>16</v>
      </c>
      <c r="G665" s="1">
        <v>251.2</v>
      </c>
      <c r="H665">
        <v>0</v>
      </c>
      <c r="I665">
        <f>Sales_Data[[#This Row],[Sales]]*Sales_Data[[#This Row],[Discount]]</f>
        <v>0</v>
      </c>
      <c r="J665">
        <v>251.2</v>
      </c>
      <c r="K665" s="1">
        <v>95.6</v>
      </c>
      <c r="L665" s="1">
        <v>251.2</v>
      </c>
      <c r="M665" s="1" t="s">
        <v>13</v>
      </c>
      <c r="N665" s="1">
        <f>IF(Sales_Data[[#This Row],[Sales with Discount]]&lt;Sales_Data[[#This Row],[Sales with Free Shipping]],Sales_Data[[#This Row],[Sales with Discount]],Sales_Data[[#This Row],[Sales with Free Shipping]])</f>
        <v>251.2</v>
      </c>
      <c r="O665" s="1" t="str">
        <f>TEXT(Sales_Data[[#This Row],[Order Date]], "MM-YYYY")</f>
        <v>04-2019</v>
      </c>
    </row>
    <row r="666" spans="1:15" x14ac:dyDescent="0.3">
      <c r="A666" s="1">
        <v>25569</v>
      </c>
      <c r="B666" s="2">
        <v>43655</v>
      </c>
      <c r="C666" s="1" t="s">
        <v>9</v>
      </c>
      <c r="D666" s="1">
        <v>27</v>
      </c>
      <c r="E666" t="s">
        <v>20</v>
      </c>
      <c r="F666" t="s">
        <v>20</v>
      </c>
      <c r="G666" s="1">
        <v>332.99</v>
      </c>
      <c r="H666">
        <v>0</v>
      </c>
      <c r="I666">
        <f>Sales_Data[[#This Row],[Sales]]*Sales_Data[[#This Row],[Discount]]</f>
        <v>0</v>
      </c>
      <c r="J666">
        <v>332.99</v>
      </c>
      <c r="K666" s="1">
        <v>6.9</v>
      </c>
      <c r="L666" s="1">
        <v>332.99</v>
      </c>
      <c r="M666" s="1" t="s">
        <v>10</v>
      </c>
      <c r="N666" s="1">
        <f>IF(Sales_Data[[#This Row],[Sales with Discount]]&lt;Sales_Data[[#This Row],[Sales with Free Shipping]],Sales_Data[[#This Row],[Sales with Discount]],Sales_Data[[#This Row],[Sales with Free Shipping]])</f>
        <v>332.99</v>
      </c>
      <c r="O666" s="1" t="str">
        <f>TEXT(Sales_Data[[#This Row],[Order Date]], "MM-YYYY")</f>
        <v>07-2019</v>
      </c>
    </row>
    <row r="667" spans="1:15" x14ac:dyDescent="0.3">
      <c r="A667" s="1">
        <v>59491</v>
      </c>
      <c r="B667" s="2">
        <v>43548</v>
      </c>
      <c r="C667" s="1" t="s">
        <v>9</v>
      </c>
      <c r="D667" s="1">
        <v>8</v>
      </c>
      <c r="E667" t="s">
        <v>17</v>
      </c>
      <c r="F667" t="s">
        <v>17</v>
      </c>
      <c r="G667" s="1">
        <v>34.57</v>
      </c>
      <c r="H667">
        <v>0</v>
      </c>
      <c r="I667">
        <f>Sales_Data[[#This Row],[Sales]]*Sales_Data[[#This Row],[Discount]]</f>
        <v>0</v>
      </c>
      <c r="J667">
        <v>34.57</v>
      </c>
      <c r="K667" s="1">
        <v>5.9</v>
      </c>
      <c r="L667" s="1">
        <v>34.57</v>
      </c>
      <c r="M667" s="1" t="s">
        <v>10</v>
      </c>
      <c r="N667" s="1">
        <f>IF(Sales_Data[[#This Row],[Sales with Discount]]&lt;Sales_Data[[#This Row],[Sales with Free Shipping]],Sales_Data[[#This Row],[Sales with Discount]],Sales_Data[[#This Row],[Sales with Free Shipping]])</f>
        <v>34.57</v>
      </c>
      <c r="O667" s="1" t="str">
        <f>TEXT(Sales_Data[[#This Row],[Order Date]], "MM-YYYY")</f>
        <v>03-2019</v>
      </c>
    </row>
    <row r="668" spans="1:15" x14ac:dyDescent="0.3">
      <c r="A668" s="1">
        <v>11045</v>
      </c>
      <c r="B668" s="2">
        <v>43549</v>
      </c>
      <c r="C668" s="1" t="s">
        <v>14</v>
      </c>
      <c r="D668" s="1">
        <v>35</v>
      </c>
      <c r="E668" t="s">
        <v>21</v>
      </c>
      <c r="F668" t="s">
        <v>21</v>
      </c>
      <c r="G668" s="1">
        <v>760.62</v>
      </c>
      <c r="H668">
        <v>0</v>
      </c>
      <c r="I668">
        <f>Sales_Data[[#This Row],[Sales]]*Sales_Data[[#This Row],[Discount]]</f>
        <v>0</v>
      </c>
      <c r="J668">
        <v>760.62</v>
      </c>
      <c r="K668" s="1">
        <v>6.4</v>
      </c>
      <c r="L668" s="1">
        <v>760.62</v>
      </c>
      <c r="M668" s="1" t="s">
        <v>10</v>
      </c>
      <c r="N668" s="1">
        <f>IF(Sales_Data[[#This Row],[Sales with Discount]]&lt;Sales_Data[[#This Row],[Sales with Free Shipping]],Sales_Data[[#This Row],[Sales with Discount]],Sales_Data[[#This Row],[Sales with Free Shipping]])</f>
        <v>760.62</v>
      </c>
      <c r="O668" s="1" t="str">
        <f>TEXT(Sales_Data[[#This Row],[Order Date]], "MM-YYYY")</f>
        <v>03-2019</v>
      </c>
    </row>
    <row r="669" spans="1:15" x14ac:dyDescent="0.3">
      <c r="A669" s="1">
        <v>487</v>
      </c>
      <c r="B669" s="2">
        <v>43694</v>
      </c>
      <c r="C669" s="1" t="s">
        <v>12</v>
      </c>
      <c r="D669" s="1">
        <v>19</v>
      </c>
      <c r="E669" t="s">
        <v>19</v>
      </c>
      <c r="F669" t="s">
        <v>19</v>
      </c>
      <c r="G669" s="1">
        <v>225.13</v>
      </c>
      <c r="H669">
        <v>0</v>
      </c>
      <c r="I669">
        <f>Sales_Data[[#This Row],[Sales]]*Sales_Data[[#This Row],[Discount]]</f>
        <v>0</v>
      </c>
      <c r="J669">
        <v>225.13</v>
      </c>
      <c r="K669" s="1">
        <v>4.8</v>
      </c>
      <c r="L669" s="1">
        <v>225.13</v>
      </c>
      <c r="M669" s="1" t="s">
        <v>10</v>
      </c>
      <c r="N669" s="1">
        <f>IF(Sales_Data[[#This Row],[Sales with Discount]]&lt;Sales_Data[[#This Row],[Sales with Free Shipping]],Sales_Data[[#This Row],[Sales with Discount]],Sales_Data[[#This Row],[Sales with Free Shipping]])</f>
        <v>225.13</v>
      </c>
      <c r="O669" s="1" t="str">
        <f>TEXT(Sales_Data[[#This Row],[Order Date]], "MM-YYYY")</f>
        <v>08-2019</v>
      </c>
    </row>
    <row r="670" spans="1:15" x14ac:dyDescent="0.3">
      <c r="A670" s="1">
        <v>9509</v>
      </c>
      <c r="B670" s="2">
        <v>43745</v>
      </c>
      <c r="C670" s="1" t="s">
        <v>11</v>
      </c>
      <c r="D670" s="1">
        <v>36</v>
      </c>
      <c r="E670" t="s">
        <v>22</v>
      </c>
      <c r="F670" t="s">
        <v>22</v>
      </c>
      <c r="G670" s="1">
        <v>13028.13</v>
      </c>
      <c r="H670">
        <v>0.01</v>
      </c>
      <c r="I670">
        <f>Sales_Data[[#This Row],[Sales]]*Sales_Data[[#This Row],[Discount]]</f>
        <v>130.28129999999999</v>
      </c>
      <c r="J670">
        <v>12897.848699999999</v>
      </c>
      <c r="K670" s="1">
        <v>63.1</v>
      </c>
      <c r="L670" s="1">
        <v>12965.029999999999</v>
      </c>
      <c r="M670" s="1" t="s">
        <v>13</v>
      </c>
      <c r="N670" s="1">
        <f>IF(Sales_Data[[#This Row],[Sales with Discount]]&lt;Sales_Data[[#This Row],[Sales with Free Shipping]],Sales_Data[[#This Row],[Sales with Discount]],Sales_Data[[#This Row],[Sales with Free Shipping]])</f>
        <v>12897.848699999999</v>
      </c>
      <c r="O670" s="1" t="str">
        <f>TEXT(Sales_Data[[#This Row],[Order Date]], "MM-YYYY")</f>
        <v>10-2019</v>
      </c>
    </row>
    <row r="671" spans="1:15" x14ac:dyDescent="0.3">
      <c r="A671" s="1">
        <v>37765</v>
      </c>
      <c r="B671" s="2">
        <v>43793</v>
      </c>
      <c r="C671" s="1" t="s">
        <v>7</v>
      </c>
      <c r="D671" s="1">
        <v>12</v>
      </c>
      <c r="E671" t="s">
        <v>18</v>
      </c>
      <c r="F671" t="s">
        <v>18</v>
      </c>
      <c r="G671" s="1">
        <v>1567.9</v>
      </c>
      <c r="H671">
        <v>0</v>
      </c>
      <c r="I671">
        <f>Sales_Data[[#This Row],[Sales]]*Sales_Data[[#This Row],[Discount]]</f>
        <v>0</v>
      </c>
      <c r="J671">
        <v>1567.9</v>
      </c>
      <c r="K671" s="1">
        <v>32.1</v>
      </c>
      <c r="L671" s="1">
        <v>1567.9</v>
      </c>
      <c r="M671" s="1" t="s">
        <v>13</v>
      </c>
      <c r="N671" s="1">
        <f>IF(Sales_Data[[#This Row],[Sales with Discount]]&lt;Sales_Data[[#This Row],[Sales with Free Shipping]],Sales_Data[[#This Row],[Sales with Discount]],Sales_Data[[#This Row],[Sales with Free Shipping]])</f>
        <v>1567.9</v>
      </c>
      <c r="O671" s="1" t="str">
        <f>TEXT(Sales_Data[[#This Row],[Order Date]], "MM-YYYY")</f>
        <v>11-2019</v>
      </c>
    </row>
    <row r="672" spans="1:15" x14ac:dyDescent="0.3">
      <c r="A672" s="1">
        <v>59234</v>
      </c>
      <c r="B672" s="2">
        <v>43675</v>
      </c>
      <c r="C672" s="1" t="s">
        <v>7</v>
      </c>
      <c r="D672" s="1">
        <v>32</v>
      </c>
      <c r="E672" t="s">
        <v>21</v>
      </c>
      <c r="F672" t="s">
        <v>21</v>
      </c>
      <c r="G672" s="1">
        <v>6084.29</v>
      </c>
      <c r="H672">
        <v>0</v>
      </c>
      <c r="I672">
        <f>Sales_Data[[#This Row],[Sales]]*Sales_Data[[#This Row],[Discount]]</f>
        <v>0</v>
      </c>
      <c r="J672">
        <v>6084.29</v>
      </c>
      <c r="K672" s="1">
        <v>1.1000000000000001</v>
      </c>
      <c r="L672" s="1">
        <v>6084.29</v>
      </c>
      <c r="M672" s="1" t="s">
        <v>10</v>
      </c>
      <c r="N672" s="1">
        <f>IF(Sales_Data[[#This Row],[Sales with Discount]]&lt;Sales_Data[[#This Row],[Sales with Free Shipping]],Sales_Data[[#This Row],[Sales with Discount]],Sales_Data[[#This Row],[Sales with Free Shipping]])</f>
        <v>6084.29</v>
      </c>
      <c r="O672" s="1" t="str">
        <f>TEXT(Sales_Data[[#This Row],[Order Date]], "MM-YYYY")</f>
        <v>07-2019</v>
      </c>
    </row>
    <row r="673" spans="1:15" x14ac:dyDescent="0.3">
      <c r="A673" s="1">
        <v>48067</v>
      </c>
      <c r="B673" s="2">
        <v>43645</v>
      </c>
      <c r="C673" s="1" t="s">
        <v>7</v>
      </c>
      <c r="D673" s="1">
        <v>31</v>
      </c>
      <c r="E673" t="s">
        <v>21</v>
      </c>
      <c r="F673" t="s">
        <v>21</v>
      </c>
      <c r="G673" s="1">
        <v>3455.74</v>
      </c>
      <c r="H673">
        <v>0</v>
      </c>
      <c r="I673">
        <f>Sales_Data[[#This Row],[Sales]]*Sales_Data[[#This Row],[Discount]]</f>
        <v>0</v>
      </c>
      <c r="J673">
        <v>3455.74</v>
      </c>
      <c r="K673" s="1">
        <v>3.2</v>
      </c>
      <c r="L673" s="1">
        <v>3455.74</v>
      </c>
      <c r="M673" s="1" t="s">
        <v>8</v>
      </c>
      <c r="N673" s="1">
        <f>IF(Sales_Data[[#This Row],[Sales with Discount]]&lt;Sales_Data[[#This Row],[Sales with Free Shipping]],Sales_Data[[#This Row],[Sales with Discount]],Sales_Data[[#This Row],[Sales with Free Shipping]])</f>
        <v>3455.74</v>
      </c>
      <c r="O673" s="1" t="str">
        <f>TEXT(Sales_Data[[#This Row],[Order Date]], "MM-YYYY")</f>
        <v>06-2019</v>
      </c>
    </row>
    <row r="674" spans="1:15" x14ac:dyDescent="0.3">
      <c r="A674" s="1">
        <v>20451</v>
      </c>
      <c r="B674" s="2">
        <v>43610</v>
      </c>
      <c r="C674" s="1" t="s">
        <v>12</v>
      </c>
      <c r="D674" s="1">
        <v>33</v>
      </c>
      <c r="E674" t="s">
        <v>21</v>
      </c>
      <c r="F674" t="s">
        <v>21</v>
      </c>
      <c r="G674" s="1">
        <v>1935.85</v>
      </c>
      <c r="H674">
        <v>0</v>
      </c>
      <c r="I674">
        <f>Sales_Data[[#This Row],[Sales]]*Sales_Data[[#This Row],[Discount]]</f>
        <v>0</v>
      </c>
      <c r="J674">
        <v>1935.85</v>
      </c>
      <c r="K674" s="1">
        <v>5.4</v>
      </c>
      <c r="L674" s="1">
        <v>1935.85</v>
      </c>
      <c r="M674" s="1" t="s">
        <v>10</v>
      </c>
      <c r="N674" s="1">
        <f>IF(Sales_Data[[#This Row],[Sales with Discount]]&lt;Sales_Data[[#This Row],[Sales with Free Shipping]],Sales_Data[[#This Row],[Sales with Discount]],Sales_Data[[#This Row],[Sales with Free Shipping]])</f>
        <v>1935.85</v>
      </c>
      <c r="O674" s="1" t="str">
        <f>TEXT(Sales_Data[[#This Row],[Order Date]], "MM-YYYY")</f>
        <v>05-2019</v>
      </c>
    </row>
    <row r="675" spans="1:15" x14ac:dyDescent="0.3">
      <c r="A675" s="1">
        <v>14726</v>
      </c>
      <c r="B675" s="2">
        <v>43472</v>
      </c>
      <c r="C675" s="1" t="s">
        <v>7</v>
      </c>
      <c r="D675" s="1">
        <v>15</v>
      </c>
      <c r="E675" t="s">
        <v>18</v>
      </c>
      <c r="F675" t="s">
        <v>18</v>
      </c>
      <c r="G675" s="1">
        <v>332.63</v>
      </c>
      <c r="H675">
        <v>0</v>
      </c>
      <c r="I675">
        <f>Sales_Data[[#This Row],[Sales]]*Sales_Data[[#This Row],[Discount]]</f>
        <v>0</v>
      </c>
      <c r="J675">
        <v>332.63</v>
      </c>
      <c r="K675" s="1">
        <v>4.3</v>
      </c>
      <c r="L675" s="1">
        <v>332.63</v>
      </c>
      <c r="M675" s="1" t="s">
        <v>10</v>
      </c>
      <c r="N675" s="1">
        <f>IF(Sales_Data[[#This Row],[Sales with Discount]]&lt;Sales_Data[[#This Row],[Sales with Free Shipping]],Sales_Data[[#This Row],[Sales with Discount]],Sales_Data[[#This Row],[Sales with Free Shipping]])</f>
        <v>332.63</v>
      </c>
      <c r="O675" s="1" t="str">
        <f>TEXT(Sales_Data[[#This Row],[Order Date]], "MM-YYYY")</f>
        <v>01-2019</v>
      </c>
    </row>
    <row r="676" spans="1:15" x14ac:dyDescent="0.3">
      <c r="A676" s="1">
        <v>35173</v>
      </c>
      <c r="B676" s="2">
        <v>43537</v>
      </c>
      <c r="C676" s="1" t="s">
        <v>11</v>
      </c>
      <c r="D676" s="1">
        <v>29</v>
      </c>
      <c r="E676" t="s">
        <v>20</v>
      </c>
      <c r="F676" t="s">
        <v>20</v>
      </c>
      <c r="G676" s="1">
        <v>6937.09</v>
      </c>
      <c r="H676">
        <v>0</v>
      </c>
      <c r="I676">
        <f>Sales_Data[[#This Row],[Sales]]*Sales_Data[[#This Row],[Discount]]</f>
        <v>0</v>
      </c>
      <c r="J676">
        <v>6937.09</v>
      </c>
      <c r="K676" s="1">
        <v>64.400000000000006</v>
      </c>
      <c r="L676" s="1">
        <v>6937.09</v>
      </c>
      <c r="M676" s="1" t="s">
        <v>13</v>
      </c>
      <c r="N676" s="1">
        <f>IF(Sales_Data[[#This Row],[Sales with Discount]]&lt;Sales_Data[[#This Row],[Sales with Free Shipping]],Sales_Data[[#This Row],[Sales with Discount]],Sales_Data[[#This Row],[Sales with Free Shipping]])</f>
        <v>6937.09</v>
      </c>
      <c r="O676" s="1" t="str">
        <f>TEXT(Sales_Data[[#This Row],[Order Date]], "MM-YYYY")</f>
        <v>03-2019</v>
      </c>
    </row>
    <row r="677" spans="1:15" x14ac:dyDescent="0.3">
      <c r="A677" s="1">
        <v>25825</v>
      </c>
      <c r="B677" s="2">
        <v>43665</v>
      </c>
      <c r="C677" s="1" t="s">
        <v>11</v>
      </c>
      <c r="D677" s="1">
        <v>45</v>
      </c>
      <c r="E677" t="s">
        <v>23</v>
      </c>
      <c r="F677" t="s">
        <v>23</v>
      </c>
      <c r="G677" s="1">
        <v>517.60180000000003</v>
      </c>
      <c r="H677">
        <v>0.01</v>
      </c>
      <c r="I677">
        <f>Sales_Data[[#This Row],[Sales]]*Sales_Data[[#This Row],[Discount]]</f>
        <v>5.176018</v>
      </c>
      <c r="J677">
        <v>512.42578200000003</v>
      </c>
      <c r="K677" s="1">
        <v>1.9</v>
      </c>
      <c r="L677" s="1">
        <v>515.70180000000005</v>
      </c>
      <c r="M677" s="1" t="s">
        <v>10</v>
      </c>
      <c r="N677" s="1">
        <f>IF(Sales_Data[[#This Row],[Sales with Discount]]&lt;Sales_Data[[#This Row],[Sales with Free Shipping]],Sales_Data[[#This Row],[Sales with Discount]],Sales_Data[[#This Row],[Sales with Free Shipping]])</f>
        <v>512.42578200000003</v>
      </c>
      <c r="O677" s="1" t="str">
        <f>TEXT(Sales_Data[[#This Row],[Order Date]], "MM-YYYY")</f>
        <v>07-2019</v>
      </c>
    </row>
    <row r="678" spans="1:15" x14ac:dyDescent="0.3">
      <c r="A678" s="1">
        <v>20354</v>
      </c>
      <c r="B678" s="2">
        <v>43727</v>
      </c>
      <c r="C678" s="1" t="s">
        <v>12</v>
      </c>
      <c r="D678" s="1">
        <v>24</v>
      </c>
      <c r="E678" t="s">
        <v>14</v>
      </c>
      <c r="F678" t="s">
        <v>14</v>
      </c>
      <c r="G678" s="1">
        <v>81.38</v>
      </c>
      <c r="H678">
        <v>0</v>
      </c>
      <c r="I678">
        <f>Sales_Data[[#This Row],[Sales]]*Sales_Data[[#This Row],[Discount]]</f>
        <v>0</v>
      </c>
      <c r="J678">
        <v>81.38</v>
      </c>
      <c r="K678" s="1">
        <v>0.5</v>
      </c>
      <c r="L678" s="1">
        <v>81.38</v>
      </c>
      <c r="M678" s="1" t="s">
        <v>10</v>
      </c>
      <c r="N678" s="1">
        <f>IF(Sales_Data[[#This Row],[Sales with Discount]]&lt;Sales_Data[[#This Row],[Sales with Free Shipping]],Sales_Data[[#This Row],[Sales with Discount]],Sales_Data[[#This Row],[Sales with Free Shipping]])</f>
        <v>81.38</v>
      </c>
      <c r="O678" s="1" t="str">
        <f>TEXT(Sales_Data[[#This Row],[Order Date]], "MM-YYYY")</f>
        <v>09-2019</v>
      </c>
    </row>
    <row r="679" spans="1:15" x14ac:dyDescent="0.3">
      <c r="A679" s="1">
        <v>52290</v>
      </c>
      <c r="B679" s="2">
        <v>43606</v>
      </c>
      <c r="C679" s="1" t="s">
        <v>7</v>
      </c>
      <c r="D679" s="1">
        <v>7</v>
      </c>
      <c r="E679" t="s">
        <v>17</v>
      </c>
      <c r="F679" t="s">
        <v>17</v>
      </c>
      <c r="G679" s="1">
        <v>1213.43</v>
      </c>
      <c r="H679">
        <v>0</v>
      </c>
      <c r="I679">
        <f>Sales_Data[[#This Row],[Sales]]*Sales_Data[[#This Row],[Discount]]</f>
        <v>0</v>
      </c>
      <c r="J679">
        <v>1213.43</v>
      </c>
      <c r="K679" s="1">
        <v>21.4</v>
      </c>
      <c r="L679" s="1">
        <v>1213.43</v>
      </c>
      <c r="M679" s="1" t="s">
        <v>10</v>
      </c>
      <c r="N679" s="1">
        <f>IF(Sales_Data[[#This Row],[Sales with Discount]]&lt;Sales_Data[[#This Row],[Sales with Free Shipping]],Sales_Data[[#This Row],[Sales with Discount]],Sales_Data[[#This Row],[Sales with Free Shipping]])</f>
        <v>1213.43</v>
      </c>
      <c r="O679" s="1" t="str">
        <f>TEXT(Sales_Data[[#This Row],[Order Date]], "MM-YYYY")</f>
        <v>05-2019</v>
      </c>
    </row>
    <row r="680" spans="1:15" x14ac:dyDescent="0.3">
      <c r="A680" s="1">
        <v>43138</v>
      </c>
      <c r="B680" s="2">
        <v>43538</v>
      </c>
      <c r="C680" s="1" t="s">
        <v>7</v>
      </c>
      <c r="D680" s="1">
        <v>50</v>
      </c>
      <c r="E680" t="s">
        <v>24</v>
      </c>
      <c r="F680" t="s">
        <v>24</v>
      </c>
      <c r="G680" s="1">
        <v>7011.56</v>
      </c>
      <c r="H680">
        <v>0.01</v>
      </c>
      <c r="I680">
        <f>Sales_Data[[#This Row],[Sales]]*Sales_Data[[#This Row],[Discount]]</f>
        <v>70.115600000000001</v>
      </c>
      <c r="J680">
        <v>6941.4444000000003</v>
      </c>
      <c r="K680" s="1">
        <v>34.4</v>
      </c>
      <c r="L680" s="1">
        <v>6977.1600000000008</v>
      </c>
      <c r="M680" s="1" t="s">
        <v>13</v>
      </c>
      <c r="N680" s="1">
        <f>IF(Sales_Data[[#This Row],[Sales with Discount]]&lt;Sales_Data[[#This Row],[Sales with Free Shipping]],Sales_Data[[#This Row],[Sales with Discount]],Sales_Data[[#This Row],[Sales with Free Shipping]])</f>
        <v>6941.4444000000003</v>
      </c>
      <c r="O680" s="1" t="str">
        <f>TEXT(Sales_Data[[#This Row],[Order Date]], "MM-YYYY")</f>
        <v>03-2019</v>
      </c>
    </row>
    <row r="681" spans="1:15" x14ac:dyDescent="0.3">
      <c r="A681" s="1">
        <v>34241</v>
      </c>
      <c r="B681" s="2">
        <v>43746</v>
      </c>
      <c r="C681" s="1" t="s">
        <v>7</v>
      </c>
      <c r="D681" s="1">
        <v>4</v>
      </c>
      <c r="E681" t="s">
        <v>16</v>
      </c>
      <c r="F681" t="s">
        <v>16</v>
      </c>
      <c r="G681" s="1">
        <v>222.07849999999999</v>
      </c>
      <c r="H681">
        <v>0</v>
      </c>
      <c r="I681">
        <f>Sales_Data[[#This Row],[Sales]]*Sales_Data[[#This Row],[Discount]]</f>
        <v>0</v>
      </c>
      <c r="J681">
        <v>222.07849999999999</v>
      </c>
      <c r="K681" s="1">
        <v>2.7</v>
      </c>
      <c r="L681" s="1">
        <v>222.07849999999999</v>
      </c>
      <c r="M681" s="1" t="s">
        <v>10</v>
      </c>
      <c r="N681" s="1">
        <f>IF(Sales_Data[[#This Row],[Sales with Discount]]&lt;Sales_Data[[#This Row],[Sales with Free Shipping]],Sales_Data[[#This Row],[Sales with Discount]],Sales_Data[[#This Row],[Sales with Free Shipping]])</f>
        <v>222.07849999999999</v>
      </c>
      <c r="O681" s="1" t="str">
        <f>TEXT(Sales_Data[[#This Row],[Order Date]], "MM-YYYY")</f>
        <v>10-2019</v>
      </c>
    </row>
    <row r="682" spans="1:15" x14ac:dyDescent="0.3">
      <c r="A682" s="1">
        <v>29507</v>
      </c>
      <c r="B682" s="2">
        <v>43504</v>
      </c>
      <c r="C682" s="1" t="s">
        <v>7</v>
      </c>
      <c r="D682" s="1">
        <v>41</v>
      </c>
      <c r="E682" t="s">
        <v>23</v>
      </c>
      <c r="F682" t="s">
        <v>23</v>
      </c>
      <c r="G682" s="1">
        <v>1364.2</v>
      </c>
      <c r="H682">
        <v>0.01</v>
      </c>
      <c r="I682">
        <f>Sales_Data[[#This Row],[Sales]]*Sales_Data[[#This Row],[Discount]]</f>
        <v>13.642000000000001</v>
      </c>
      <c r="J682">
        <v>1350.558</v>
      </c>
      <c r="K682" s="1">
        <v>1.2</v>
      </c>
      <c r="L682" s="1">
        <v>1363</v>
      </c>
      <c r="M682" s="1" t="s">
        <v>10</v>
      </c>
      <c r="N682" s="1">
        <f>IF(Sales_Data[[#This Row],[Sales with Discount]]&lt;Sales_Data[[#This Row],[Sales with Free Shipping]],Sales_Data[[#This Row],[Sales with Discount]],Sales_Data[[#This Row],[Sales with Free Shipping]])</f>
        <v>1350.558</v>
      </c>
      <c r="O682" s="1" t="str">
        <f>TEXT(Sales_Data[[#This Row],[Order Date]], "MM-YYYY")</f>
        <v>02-2019</v>
      </c>
    </row>
    <row r="683" spans="1:15" x14ac:dyDescent="0.3">
      <c r="A683" s="1">
        <v>36803</v>
      </c>
      <c r="B683" s="2">
        <v>43681</v>
      </c>
      <c r="C683" s="1" t="s">
        <v>11</v>
      </c>
      <c r="D683" s="1">
        <v>2</v>
      </c>
      <c r="E683" t="s">
        <v>16</v>
      </c>
      <c r="F683" t="s">
        <v>16</v>
      </c>
      <c r="G683" s="1">
        <v>110.32</v>
      </c>
      <c r="H683">
        <v>0</v>
      </c>
      <c r="I683">
        <f>Sales_Data[[#This Row],[Sales]]*Sales_Data[[#This Row],[Discount]]</f>
        <v>0</v>
      </c>
      <c r="J683">
        <v>110.32</v>
      </c>
      <c r="K683" s="1">
        <v>2.7</v>
      </c>
      <c r="L683" s="1">
        <v>110.32</v>
      </c>
      <c r="M683" s="1" t="s">
        <v>10</v>
      </c>
      <c r="N683" s="1">
        <f>IF(Sales_Data[[#This Row],[Sales with Discount]]&lt;Sales_Data[[#This Row],[Sales with Free Shipping]],Sales_Data[[#This Row],[Sales with Discount]],Sales_Data[[#This Row],[Sales with Free Shipping]])</f>
        <v>110.32</v>
      </c>
      <c r="O683" s="1" t="str">
        <f>TEXT(Sales_Data[[#This Row],[Order Date]], "MM-YYYY")</f>
        <v>08-2019</v>
      </c>
    </row>
    <row r="684" spans="1:15" x14ac:dyDescent="0.3">
      <c r="A684" s="1">
        <v>59204</v>
      </c>
      <c r="B684" s="2">
        <v>43524</v>
      </c>
      <c r="C684" s="1" t="s">
        <v>14</v>
      </c>
      <c r="D684" s="1">
        <v>8</v>
      </c>
      <c r="E684" t="s">
        <v>17</v>
      </c>
      <c r="F684" t="s">
        <v>17</v>
      </c>
      <c r="G684" s="1">
        <v>267.81</v>
      </c>
      <c r="H684">
        <v>0</v>
      </c>
      <c r="I684">
        <f>Sales_Data[[#This Row],[Sales]]*Sales_Data[[#This Row],[Discount]]</f>
        <v>0</v>
      </c>
      <c r="J684">
        <v>267.81</v>
      </c>
      <c r="K684" s="1">
        <v>13.5</v>
      </c>
      <c r="L684" s="1">
        <v>267.81</v>
      </c>
      <c r="M684" s="1" t="s">
        <v>10</v>
      </c>
      <c r="N684" s="1">
        <f>IF(Sales_Data[[#This Row],[Sales with Discount]]&lt;Sales_Data[[#This Row],[Sales with Free Shipping]],Sales_Data[[#This Row],[Sales with Discount]],Sales_Data[[#This Row],[Sales with Free Shipping]])</f>
        <v>267.81</v>
      </c>
      <c r="O684" s="1" t="str">
        <f>TEXT(Sales_Data[[#This Row],[Order Date]], "MM-YYYY")</f>
        <v>02-2019</v>
      </c>
    </row>
    <row r="685" spans="1:15" x14ac:dyDescent="0.3">
      <c r="A685" s="1">
        <v>40132</v>
      </c>
      <c r="B685" s="2">
        <v>43518</v>
      </c>
      <c r="C685" s="1" t="s">
        <v>7</v>
      </c>
      <c r="D685" s="1">
        <v>26</v>
      </c>
      <c r="E685" t="s">
        <v>20</v>
      </c>
      <c r="F685" t="s">
        <v>20</v>
      </c>
      <c r="G685" s="1">
        <v>1458.41</v>
      </c>
      <c r="H685">
        <v>0</v>
      </c>
      <c r="I685">
        <f>Sales_Data[[#This Row],[Sales]]*Sales_Data[[#This Row],[Discount]]</f>
        <v>0</v>
      </c>
      <c r="J685">
        <v>1458.41</v>
      </c>
      <c r="K685" s="1">
        <v>15.2</v>
      </c>
      <c r="L685" s="1">
        <v>1458.41</v>
      </c>
      <c r="M685" s="1" t="s">
        <v>13</v>
      </c>
      <c r="N685" s="1">
        <f>IF(Sales_Data[[#This Row],[Sales with Discount]]&lt;Sales_Data[[#This Row],[Sales with Free Shipping]],Sales_Data[[#This Row],[Sales with Discount]],Sales_Data[[#This Row],[Sales with Free Shipping]])</f>
        <v>1458.41</v>
      </c>
      <c r="O685" s="1" t="str">
        <f>TEXT(Sales_Data[[#This Row],[Order Date]], "MM-YYYY")</f>
        <v>02-2019</v>
      </c>
    </row>
    <row r="686" spans="1:15" x14ac:dyDescent="0.3">
      <c r="A686" s="1">
        <v>45575</v>
      </c>
      <c r="B686" s="2">
        <v>43567</v>
      </c>
      <c r="C686" s="1" t="s">
        <v>12</v>
      </c>
      <c r="D686" s="1">
        <v>46</v>
      </c>
      <c r="E686" t="s">
        <v>24</v>
      </c>
      <c r="F686" t="s">
        <v>24</v>
      </c>
      <c r="G686" s="1">
        <v>4118.6099999999997</v>
      </c>
      <c r="H686">
        <v>0.01</v>
      </c>
      <c r="I686">
        <f>Sales_Data[[#This Row],[Sales]]*Sales_Data[[#This Row],[Discount]]</f>
        <v>41.186099999999996</v>
      </c>
      <c r="J686">
        <v>4077.4238999999998</v>
      </c>
      <c r="K686" s="1">
        <v>5.4</v>
      </c>
      <c r="L686" s="1">
        <v>4113.21</v>
      </c>
      <c r="M686" s="1" t="s">
        <v>10</v>
      </c>
      <c r="N686" s="1">
        <f>IF(Sales_Data[[#This Row],[Sales with Discount]]&lt;Sales_Data[[#This Row],[Sales with Free Shipping]],Sales_Data[[#This Row],[Sales with Discount]],Sales_Data[[#This Row],[Sales with Free Shipping]])</f>
        <v>4077.4238999999998</v>
      </c>
      <c r="O686" s="1" t="str">
        <f>TEXT(Sales_Data[[#This Row],[Order Date]], "MM-YYYY")</f>
        <v>04-2019</v>
      </c>
    </row>
    <row r="687" spans="1:15" x14ac:dyDescent="0.3">
      <c r="A687" s="1">
        <v>41667</v>
      </c>
      <c r="B687" s="2">
        <v>43636</v>
      </c>
      <c r="C687" s="1" t="s">
        <v>9</v>
      </c>
      <c r="D687" s="1">
        <v>18</v>
      </c>
      <c r="E687" t="s">
        <v>19</v>
      </c>
      <c r="F687" t="s">
        <v>19</v>
      </c>
      <c r="G687" s="1">
        <v>1136.57</v>
      </c>
      <c r="H687">
        <v>0</v>
      </c>
      <c r="I687">
        <f>Sales_Data[[#This Row],[Sales]]*Sales_Data[[#This Row],[Discount]]</f>
        <v>0</v>
      </c>
      <c r="J687">
        <v>1136.57</v>
      </c>
      <c r="K687" s="1">
        <v>5.7</v>
      </c>
      <c r="L687" s="1">
        <v>1136.57</v>
      </c>
      <c r="M687" s="1" t="s">
        <v>10</v>
      </c>
      <c r="N687" s="1">
        <f>IF(Sales_Data[[#This Row],[Sales with Discount]]&lt;Sales_Data[[#This Row],[Sales with Free Shipping]],Sales_Data[[#This Row],[Sales with Discount]],Sales_Data[[#This Row],[Sales with Free Shipping]])</f>
        <v>1136.57</v>
      </c>
      <c r="O687" s="1" t="str">
        <f>TEXT(Sales_Data[[#This Row],[Order Date]], "MM-YYYY")</f>
        <v>06-2019</v>
      </c>
    </row>
    <row r="688" spans="1:15" x14ac:dyDescent="0.3">
      <c r="A688" s="1">
        <v>14439</v>
      </c>
      <c r="B688" s="2">
        <v>43707</v>
      </c>
      <c r="C688" s="1" t="s">
        <v>9</v>
      </c>
      <c r="D688" s="1">
        <v>27</v>
      </c>
      <c r="E688" t="s">
        <v>20</v>
      </c>
      <c r="F688" t="s">
        <v>20</v>
      </c>
      <c r="G688" s="1">
        <v>1528.64</v>
      </c>
      <c r="H688">
        <v>0</v>
      </c>
      <c r="I688">
        <f>Sales_Data[[#This Row],[Sales]]*Sales_Data[[#This Row],[Discount]]</f>
        <v>0</v>
      </c>
      <c r="J688">
        <v>1528.64</v>
      </c>
      <c r="K688" s="1">
        <v>11.5</v>
      </c>
      <c r="L688" s="1">
        <v>1528.64</v>
      </c>
      <c r="M688" s="1" t="s">
        <v>10</v>
      </c>
      <c r="N688" s="1">
        <f>IF(Sales_Data[[#This Row],[Sales with Discount]]&lt;Sales_Data[[#This Row],[Sales with Free Shipping]],Sales_Data[[#This Row],[Sales with Discount]],Sales_Data[[#This Row],[Sales with Free Shipping]])</f>
        <v>1528.64</v>
      </c>
      <c r="O688" s="1" t="str">
        <f>TEXT(Sales_Data[[#This Row],[Order Date]], "MM-YYYY")</f>
        <v>08-2019</v>
      </c>
    </row>
    <row r="689" spans="1:15" x14ac:dyDescent="0.3">
      <c r="A689" s="1">
        <v>34400</v>
      </c>
      <c r="B689" s="2">
        <v>43823</v>
      </c>
      <c r="C689" s="1" t="s">
        <v>7</v>
      </c>
      <c r="D689" s="1">
        <v>17</v>
      </c>
      <c r="E689" t="s">
        <v>19</v>
      </c>
      <c r="F689" t="s">
        <v>19</v>
      </c>
      <c r="G689" s="1">
        <v>1057.8499999999999</v>
      </c>
      <c r="H689">
        <v>0</v>
      </c>
      <c r="I689">
        <f>Sales_Data[[#This Row],[Sales]]*Sales_Data[[#This Row],[Discount]]</f>
        <v>0</v>
      </c>
      <c r="J689">
        <v>1057.8499999999999</v>
      </c>
      <c r="K689" s="1">
        <v>4.5</v>
      </c>
      <c r="L689" s="1">
        <v>1057.8499999999999</v>
      </c>
      <c r="M689" s="1" t="s">
        <v>10</v>
      </c>
      <c r="N689" s="1">
        <f>IF(Sales_Data[[#This Row],[Sales with Discount]]&lt;Sales_Data[[#This Row],[Sales with Free Shipping]],Sales_Data[[#This Row],[Sales with Discount]],Sales_Data[[#This Row],[Sales with Free Shipping]])</f>
        <v>1057.8499999999999</v>
      </c>
      <c r="O689" s="1" t="str">
        <f>TEXT(Sales_Data[[#This Row],[Order Date]], "MM-YYYY")</f>
        <v>12-2019</v>
      </c>
    </row>
    <row r="690" spans="1:15" x14ac:dyDescent="0.3">
      <c r="A690" s="1">
        <v>8803</v>
      </c>
      <c r="B690" s="2">
        <v>43819</v>
      </c>
      <c r="C690" s="1" t="s">
        <v>11</v>
      </c>
      <c r="D690" s="1">
        <v>6</v>
      </c>
      <c r="E690" t="s">
        <v>17</v>
      </c>
      <c r="F690" t="s">
        <v>17</v>
      </c>
      <c r="G690" s="1">
        <v>1267</v>
      </c>
      <c r="H690">
        <v>0</v>
      </c>
      <c r="I690">
        <f>Sales_Data[[#This Row],[Sales]]*Sales_Data[[#This Row],[Discount]]</f>
        <v>0</v>
      </c>
      <c r="J690">
        <v>1267</v>
      </c>
      <c r="K690" s="1">
        <v>21.4</v>
      </c>
      <c r="L690" s="1">
        <v>1267</v>
      </c>
      <c r="M690" s="1" t="s">
        <v>10</v>
      </c>
      <c r="N690" s="1">
        <f>IF(Sales_Data[[#This Row],[Sales with Discount]]&lt;Sales_Data[[#This Row],[Sales with Free Shipping]],Sales_Data[[#This Row],[Sales with Discount]],Sales_Data[[#This Row],[Sales with Free Shipping]])</f>
        <v>1267</v>
      </c>
      <c r="O690" s="1" t="str">
        <f>TEXT(Sales_Data[[#This Row],[Order Date]], "MM-YYYY")</f>
        <v>12-2019</v>
      </c>
    </row>
    <row r="691" spans="1:15" x14ac:dyDescent="0.3">
      <c r="A691" s="1">
        <v>16103</v>
      </c>
      <c r="B691" s="2">
        <v>43661</v>
      </c>
      <c r="C691" s="1" t="s">
        <v>11</v>
      </c>
      <c r="D691" s="1">
        <v>31</v>
      </c>
      <c r="E691" t="s">
        <v>21</v>
      </c>
      <c r="F691" t="s">
        <v>21</v>
      </c>
      <c r="G691" s="1">
        <v>232.34</v>
      </c>
      <c r="H691">
        <v>0</v>
      </c>
      <c r="I691">
        <f>Sales_Data[[#This Row],[Sales]]*Sales_Data[[#This Row],[Discount]]</f>
        <v>0</v>
      </c>
      <c r="J691">
        <v>232.34</v>
      </c>
      <c r="K691" s="1">
        <v>6.7</v>
      </c>
      <c r="L691" s="1">
        <v>232.34</v>
      </c>
      <c r="M691" s="1" t="s">
        <v>10</v>
      </c>
      <c r="N691" s="1">
        <f>IF(Sales_Data[[#This Row],[Sales with Discount]]&lt;Sales_Data[[#This Row],[Sales with Free Shipping]],Sales_Data[[#This Row],[Sales with Discount]],Sales_Data[[#This Row],[Sales with Free Shipping]])</f>
        <v>232.34</v>
      </c>
      <c r="O691" s="1" t="str">
        <f>TEXT(Sales_Data[[#This Row],[Order Date]], "MM-YYYY")</f>
        <v>07-2019</v>
      </c>
    </row>
    <row r="692" spans="1:15" x14ac:dyDescent="0.3">
      <c r="A692" s="1">
        <v>24450</v>
      </c>
      <c r="B692" s="2">
        <v>43655</v>
      </c>
      <c r="C692" s="1" t="s">
        <v>12</v>
      </c>
      <c r="D692" s="1">
        <v>4</v>
      </c>
      <c r="E692" t="s">
        <v>16</v>
      </c>
      <c r="F692" t="s">
        <v>16</v>
      </c>
      <c r="G692" s="1">
        <v>33.01</v>
      </c>
      <c r="H692">
        <v>0</v>
      </c>
      <c r="I692">
        <f>Sales_Data[[#This Row],[Sales]]*Sales_Data[[#This Row],[Discount]]</f>
        <v>0</v>
      </c>
      <c r="J692">
        <v>33.01</v>
      </c>
      <c r="K692" s="1">
        <v>6.2</v>
      </c>
      <c r="L692" s="1">
        <v>33.01</v>
      </c>
      <c r="M692" s="1" t="s">
        <v>10</v>
      </c>
      <c r="N692" s="1">
        <f>IF(Sales_Data[[#This Row],[Sales with Discount]]&lt;Sales_Data[[#This Row],[Sales with Free Shipping]],Sales_Data[[#This Row],[Sales with Discount]],Sales_Data[[#This Row],[Sales with Free Shipping]])</f>
        <v>33.01</v>
      </c>
      <c r="O692" s="1" t="str">
        <f>TEXT(Sales_Data[[#This Row],[Order Date]], "MM-YYYY")</f>
        <v>07-2019</v>
      </c>
    </row>
    <row r="693" spans="1:15" x14ac:dyDescent="0.3">
      <c r="A693" s="1">
        <v>2755</v>
      </c>
      <c r="B693" s="2">
        <v>43501</v>
      </c>
      <c r="C693" s="1" t="s">
        <v>11</v>
      </c>
      <c r="D693" s="1">
        <v>50</v>
      </c>
      <c r="E693" t="s">
        <v>24</v>
      </c>
      <c r="F693" t="s">
        <v>24</v>
      </c>
      <c r="G693" s="1">
        <v>370.28</v>
      </c>
      <c r="H693">
        <v>0.01</v>
      </c>
      <c r="I693">
        <f>Sales_Data[[#This Row],[Sales]]*Sales_Data[[#This Row],[Discount]]</f>
        <v>3.7027999999999999</v>
      </c>
      <c r="J693">
        <v>366.57719999999995</v>
      </c>
      <c r="K693" s="1">
        <v>6.3</v>
      </c>
      <c r="L693" s="1">
        <v>363.97999999999996</v>
      </c>
      <c r="M693" s="1" t="s">
        <v>10</v>
      </c>
      <c r="N693" s="1">
        <f>IF(Sales_Data[[#This Row],[Sales with Discount]]&lt;Sales_Data[[#This Row],[Sales with Free Shipping]],Sales_Data[[#This Row],[Sales with Discount]],Sales_Data[[#This Row],[Sales with Free Shipping]])</f>
        <v>363.97999999999996</v>
      </c>
      <c r="O693" s="1" t="str">
        <f>TEXT(Sales_Data[[#This Row],[Order Date]], "MM-YYYY")</f>
        <v>02-2019</v>
      </c>
    </row>
    <row r="694" spans="1:15" x14ac:dyDescent="0.3">
      <c r="A694" s="1">
        <v>6695</v>
      </c>
      <c r="B694" s="2">
        <v>43643</v>
      </c>
      <c r="C694" s="1" t="s">
        <v>7</v>
      </c>
      <c r="D694" s="1">
        <v>49</v>
      </c>
      <c r="E694" t="s">
        <v>24</v>
      </c>
      <c r="F694" t="s">
        <v>24</v>
      </c>
      <c r="G694" s="1">
        <v>315.91000000000003</v>
      </c>
      <c r="H694">
        <v>0.01</v>
      </c>
      <c r="I694">
        <f>Sales_Data[[#This Row],[Sales]]*Sales_Data[[#This Row],[Discount]]</f>
        <v>3.1591000000000005</v>
      </c>
      <c r="J694">
        <v>312.7509</v>
      </c>
      <c r="K694" s="1">
        <v>9.1</v>
      </c>
      <c r="L694" s="1">
        <v>306.81</v>
      </c>
      <c r="M694" s="1" t="s">
        <v>8</v>
      </c>
      <c r="N694" s="1">
        <f>IF(Sales_Data[[#This Row],[Sales with Discount]]&lt;Sales_Data[[#This Row],[Sales with Free Shipping]],Sales_Data[[#This Row],[Sales with Discount]],Sales_Data[[#This Row],[Sales with Free Shipping]])</f>
        <v>306.81</v>
      </c>
      <c r="O694" s="1" t="str">
        <f>TEXT(Sales_Data[[#This Row],[Order Date]], "MM-YYYY")</f>
        <v>06-2019</v>
      </c>
    </row>
    <row r="695" spans="1:15" x14ac:dyDescent="0.3">
      <c r="A695" s="1">
        <v>17157</v>
      </c>
      <c r="B695" s="2">
        <v>43727</v>
      </c>
      <c r="C695" s="1" t="s">
        <v>7</v>
      </c>
      <c r="D695" s="1">
        <v>31</v>
      </c>
      <c r="E695" t="s">
        <v>21</v>
      </c>
      <c r="F695" t="s">
        <v>21</v>
      </c>
      <c r="G695" s="1">
        <v>3297.17</v>
      </c>
      <c r="H695">
        <v>0</v>
      </c>
      <c r="I695">
        <f>Sales_Data[[#This Row],[Sales]]*Sales_Data[[#This Row],[Discount]]</f>
        <v>0</v>
      </c>
      <c r="J695">
        <v>3297.17</v>
      </c>
      <c r="K695" s="1">
        <v>4.5</v>
      </c>
      <c r="L695" s="1">
        <v>3297.17</v>
      </c>
      <c r="M695" s="1" t="s">
        <v>10</v>
      </c>
      <c r="N695" s="1">
        <f>IF(Sales_Data[[#This Row],[Sales with Discount]]&lt;Sales_Data[[#This Row],[Sales with Free Shipping]],Sales_Data[[#This Row],[Sales with Discount]],Sales_Data[[#This Row],[Sales with Free Shipping]])</f>
        <v>3297.17</v>
      </c>
      <c r="O695" s="1" t="str">
        <f>TEXT(Sales_Data[[#This Row],[Order Date]], "MM-YYYY")</f>
        <v>09-2019</v>
      </c>
    </row>
    <row r="696" spans="1:15" x14ac:dyDescent="0.3">
      <c r="A696" s="1">
        <v>32165</v>
      </c>
      <c r="B696" s="2">
        <v>43752</v>
      </c>
      <c r="C696" s="1" t="s">
        <v>11</v>
      </c>
      <c r="D696" s="1">
        <v>47</v>
      </c>
      <c r="E696" t="s">
        <v>24</v>
      </c>
      <c r="F696" t="s">
        <v>24</v>
      </c>
      <c r="G696" s="1">
        <v>3652.6482999999998</v>
      </c>
      <c r="H696">
        <v>0.01</v>
      </c>
      <c r="I696">
        <f>Sales_Data[[#This Row],[Sales]]*Sales_Data[[#This Row],[Discount]]</f>
        <v>36.526482999999999</v>
      </c>
      <c r="J696">
        <v>3616.1218169999997</v>
      </c>
      <c r="K696" s="1">
        <v>15.5</v>
      </c>
      <c r="L696" s="1">
        <v>3637.1482999999998</v>
      </c>
      <c r="M696" s="1" t="s">
        <v>10</v>
      </c>
      <c r="N696" s="1">
        <f>IF(Sales_Data[[#This Row],[Sales with Discount]]&lt;Sales_Data[[#This Row],[Sales with Free Shipping]],Sales_Data[[#This Row],[Sales with Discount]],Sales_Data[[#This Row],[Sales with Free Shipping]])</f>
        <v>3616.1218169999997</v>
      </c>
      <c r="O696" s="1" t="str">
        <f>TEXT(Sales_Data[[#This Row],[Order Date]], "MM-YYYY")</f>
        <v>10-2019</v>
      </c>
    </row>
    <row r="697" spans="1:15" x14ac:dyDescent="0.3">
      <c r="A697" s="1">
        <v>54370</v>
      </c>
      <c r="B697" s="2">
        <v>43563</v>
      </c>
      <c r="C697" s="1" t="s">
        <v>11</v>
      </c>
      <c r="D697" s="1">
        <v>49</v>
      </c>
      <c r="E697" t="s">
        <v>24</v>
      </c>
      <c r="F697" t="s">
        <v>24</v>
      </c>
      <c r="G697" s="1">
        <v>5316.3</v>
      </c>
      <c r="H697">
        <v>0.01</v>
      </c>
      <c r="I697">
        <f>Sales_Data[[#This Row],[Sales]]*Sales_Data[[#This Row],[Discount]]</f>
        <v>53.163000000000004</v>
      </c>
      <c r="J697">
        <v>5263.1369999999997</v>
      </c>
      <c r="K697" s="1">
        <v>21.4</v>
      </c>
      <c r="L697" s="1">
        <v>5294.9000000000005</v>
      </c>
      <c r="M697" s="1" t="s">
        <v>10</v>
      </c>
      <c r="N697" s="1">
        <f>IF(Sales_Data[[#This Row],[Sales with Discount]]&lt;Sales_Data[[#This Row],[Sales with Free Shipping]],Sales_Data[[#This Row],[Sales with Discount]],Sales_Data[[#This Row],[Sales with Free Shipping]])</f>
        <v>5263.1369999999997</v>
      </c>
      <c r="O697" s="1" t="str">
        <f>TEXT(Sales_Data[[#This Row],[Order Date]], "MM-YYYY")</f>
        <v>04-2019</v>
      </c>
    </row>
    <row r="698" spans="1:15" x14ac:dyDescent="0.3">
      <c r="A698" s="1">
        <v>21796</v>
      </c>
      <c r="B698" s="2">
        <v>43591</v>
      </c>
      <c r="C698" s="1" t="s">
        <v>7</v>
      </c>
      <c r="D698" s="1">
        <v>2</v>
      </c>
      <c r="E698" t="s">
        <v>16</v>
      </c>
      <c r="F698" t="s">
        <v>16</v>
      </c>
      <c r="G698" s="1">
        <v>43.68</v>
      </c>
      <c r="H698">
        <v>0</v>
      </c>
      <c r="I698">
        <f>Sales_Data[[#This Row],[Sales]]*Sales_Data[[#This Row],[Discount]]</f>
        <v>0</v>
      </c>
      <c r="J698">
        <v>43.68</v>
      </c>
      <c r="K698" s="1">
        <v>5.0999999999999996</v>
      </c>
      <c r="L698" s="1">
        <v>43.68</v>
      </c>
      <c r="M698" s="1" t="s">
        <v>10</v>
      </c>
      <c r="N698" s="1">
        <f>IF(Sales_Data[[#This Row],[Sales with Discount]]&lt;Sales_Data[[#This Row],[Sales with Free Shipping]],Sales_Data[[#This Row],[Sales with Discount]],Sales_Data[[#This Row],[Sales with Free Shipping]])</f>
        <v>43.68</v>
      </c>
      <c r="O698" s="1" t="str">
        <f>TEXT(Sales_Data[[#This Row],[Order Date]], "MM-YYYY")</f>
        <v>05-2019</v>
      </c>
    </row>
    <row r="699" spans="1:15" x14ac:dyDescent="0.3">
      <c r="A699" s="1">
        <v>11269</v>
      </c>
      <c r="B699" s="2">
        <v>43611</v>
      </c>
      <c r="C699" s="1" t="s">
        <v>7</v>
      </c>
      <c r="D699" s="1">
        <v>49</v>
      </c>
      <c r="E699" t="s">
        <v>24</v>
      </c>
      <c r="F699" t="s">
        <v>24</v>
      </c>
      <c r="G699" s="1">
        <v>249.61</v>
      </c>
      <c r="H699">
        <v>0.01</v>
      </c>
      <c r="I699">
        <f>Sales_Data[[#This Row],[Sales]]*Sales_Data[[#This Row],[Discount]]</f>
        <v>2.4961000000000002</v>
      </c>
      <c r="J699">
        <v>247.1139</v>
      </c>
      <c r="K699" s="1">
        <v>0.5</v>
      </c>
      <c r="L699" s="1">
        <v>249.11</v>
      </c>
      <c r="M699" s="1" t="s">
        <v>10</v>
      </c>
      <c r="N699" s="1">
        <f>IF(Sales_Data[[#This Row],[Sales with Discount]]&lt;Sales_Data[[#This Row],[Sales with Free Shipping]],Sales_Data[[#This Row],[Sales with Discount]],Sales_Data[[#This Row],[Sales with Free Shipping]])</f>
        <v>247.1139</v>
      </c>
      <c r="O699" s="1" t="str">
        <f>TEXT(Sales_Data[[#This Row],[Order Date]], "MM-YYYY")</f>
        <v>05-2019</v>
      </c>
    </row>
    <row r="700" spans="1:15" x14ac:dyDescent="0.3">
      <c r="A700" s="1">
        <v>49862</v>
      </c>
      <c r="B700" s="2">
        <v>43720</v>
      </c>
      <c r="C700" s="1" t="s">
        <v>11</v>
      </c>
      <c r="D700" s="1">
        <v>24</v>
      </c>
      <c r="E700" t="s">
        <v>14</v>
      </c>
      <c r="F700" t="s">
        <v>14</v>
      </c>
      <c r="G700" s="1">
        <v>81.03</v>
      </c>
      <c r="H700">
        <v>0</v>
      </c>
      <c r="I700">
        <f>Sales_Data[[#This Row],[Sales]]*Sales_Data[[#This Row],[Discount]]</f>
        <v>0</v>
      </c>
      <c r="J700">
        <v>81.03</v>
      </c>
      <c r="K700" s="1">
        <v>0.5</v>
      </c>
      <c r="L700" s="1">
        <v>81.03</v>
      </c>
      <c r="M700" s="1" t="s">
        <v>10</v>
      </c>
      <c r="N700" s="1">
        <f>IF(Sales_Data[[#This Row],[Sales with Discount]]&lt;Sales_Data[[#This Row],[Sales with Free Shipping]],Sales_Data[[#This Row],[Sales with Discount]],Sales_Data[[#This Row],[Sales with Free Shipping]])</f>
        <v>81.03</v>
      </c>
      <c r="O700" s="1" t="str">
        <f>TEXT(Sales_Data[[#This Row],[Order Date]], "MM-YYYY")</f>
        <v>09-2019</v>
      </c>
    </row>
    <row r="701" spans="1:15" x14ac:dyDescent="0.3">
      <c r="A701" s="1">
        <v>31460</v>
      </c>
      <c r="B701" s="2">
        <v>43703</v>
      </c>
      <c r="C701" s="1" t="s">
        <v>9</v>
      </c>
      <c r="D701" s="1">
        <v>9</v>
      </c>
      <c r="E701" t="s">
        <v>17</v>
      </c>
      <c r="F701" t="s">
        <v>17</v>
      </c>
      <c r="G701" s="1">
        <v>1060.0169000000001</v>
      </c>
      <c r="H701">
        <v>0</v>
      </c>
      <c r="I701">
        <f>Sales_Data[[#This Row],[Sales]]*Sales_Data[[#This Row],[Discount]]</f>
        <v>0</v>
      </c>
      <c r="J701">
        <v>1060.0169000000001</v>
      </c>
      <c r="K701" s="1">
        <v>37.5</v>
      </c>
      <c r="L701" s="1">
        <v>1060.0169000000001</v>
      </c>
      <c r="M701" s="1" t="s">
        <v>10</v>
      </c>
      <c r="N701" s="1">
        <f>IF(Sales_Data[[#This Row],[Sales with Discount]]&lt;Sales_Data[[#This Row],[Sales with Free Shipping]],Sales_Data[[#This Row],[Sales with Discount]],Sales_Data[[#This Row],[Sales with Free Shipping]])</f>
        <v>1060.0169000000001</v>
      </c>
      <c r="O701" s="1" t="str">
        <f>TEXT(Sales_Data[[#This Row],[Order Date]], "MM-YYYY")</f>
        <v>08-2019</v>
      </c>
    </row>
    <row r="702" spans="1:15" x14ac:dyDescent="0.3">
      <c r="A702" s="1">
        <v>54501</v>
      </c>
      <c r="B702" s="2">
        <v>43798</v>
      </c>
      <c r="C702" s="1" t="s">
        <v>12</v>
      </c>
      <c r="D702" s="1">
        <v>16</v>
      </c>
      <c r="E702" t="s">
        <v>19</v>
      </c>
      <c r="F702" t="s">
        <v>19</v>
      </c>
      <c r="G702" s="1">
        <v>241.24</v>
      </c>
      <c r="H702">
        <v>0</v>
      </c>
      <c r="I702">
        <f>Sales_Data[[#This Row],[Sales]]*Sales_Data[[#This Row],[Discount]]</f>
        <v>0</v>
      </c>
      <c r="J702">
        <v>241.24</v>
      </c>
      <c r="K702" s="1">
        <v>8</v>
      </c>
      <c r="L702" s="1">
        <v>241.24</v>
      </c>
      <c r="M702" s="1" t="s">
        <v>10</v>
      </c>
      <c r="N702" s="1">
        <f>IF(Sales_Data[[#This Row],[Sales with Discount]]&lt;Sales_Data[[#This Row],[Sales with Free Shipping]],Sales_Data[[#This Row],[Sales with Discount]],Sales_Data[[#This Row],[Sales with Free Shipping]])</f>
        <v>241.24</v>
      </c>
      <c r="O702" s="1" t="str">
        <f>TEXT(Sales_Data[[#This Row],[Order Date]], "MM-YYYY")</f>
        <v>11-2019</v>
      </c>
    </row>
    <row r="703" spans="1:15" x14ac:dyDescent="0.3">
      <c r="A703" s="1">
        <v>54307</v>
      </c>
      <c r="B703" s="2">
        <v>43472</v>
      </c>
      <c r="C703" s="1" t="s">
        <v>9</v>
      </c>
      <c r="D703" s="1">
        <v>41</v>
      </c>
      <c r="E703" t="s">
        <v>23</v>
      </c>
      <c r="F703" t="s">
        <v>23</v>
      </c>
      <c r="G703" s="1">
        <v>212.1703</v>
      </c>
      <c r="H703">
        <v>0.01</v>
      </c>
      <c r="I703">
        <f>Sales_Data[[#This Row],[Sales]]*Sales_Data[[#This Row],[Discount]]</f>
        <v>2.1217030000000001</v>
      </c>
      <c r="J703">
        <v>210.048597</v>
      </c>
      <c r="K703" s="1">
        <v>6.1</v>
      </c>
      <c r="L703" s="1">
        <v>206.0703</v>
      </c>
      <c r="M703" s="1" t="s">
        <v>10</v>
      </c>
      <c r="N703" s="1">
        <f>IF(Sales_Data[[#This Row],[Sales with Discount]]&lt;Sales_Data[[#This Row],[Sales with Free Shipping]],Sales_Data[[#This Row],[Sales with Discount]],Sales_Data[[#This Row],[Sales with Free Shipping]])</f>
        <v>206.0703</v>
      </c>
      <c r="O703" s="1" t="str">
        <f>TEXT(Sales_Data[[#This Row],[Order Date]], "MM-YYYY")</f>
        <v>01-2019</v>
      </c>
    </row>
    <row r="704" spans="1:15" x14ac:dyDescent="0.3">
      <c r="A704" s="1">
        <v>48704</v>
      </c>
      <c r="B704" s="2">
        <v>43473</v>
      </c>
      <c r="C704" s="1" t="s">
        <v>9</v>
      </c>
      <c r="D704" s="1">
        <v>11</v>
      </c>
      <c r="E704" t="s">
        <v>18</v>
      </c>
      <c r="F704" t="s">
        <v>18</v>
      </c>
      <c r="G704" s="1">
        <v>1335.21</v>
      </c>
      <c r="H704">
        <v>0</v>
      </c>
      <c r="I704">
        <f>Sales_Data[[#This Row],[Sales]]*Sales_Data[[#This Row],[Discount]]</f>
        <v>0</v>
      </c>
      <c r="J704">
        <v>1335.21</v>
      </c>
      <c r="K704" s="1">
        <v>9.6</v>
      </c>
      <c r="L704" s="1">
        <v>1335.21</v>
      </c>
      <c r="M704" s="1" t="s">
        <v>10</v>
      </c>
      <c r="N704" s="1">
        <f>IF(Sales_Data[[#This Row],[Sales with Discount]]&lt;Sales_Data[[#This Row],[Sales with Free Shipping]],Sales_Data[[#This Row],[Sales with Discount]],Sales_Data[[#This Row],[Sales with Free Shipping]])</f>
        <v>1335.21</v>
      </c>
      <c r="O704" s="1" t="str">
        <f>TEXT(Sales_Data[[#This Row],[Order Date]], "MM-YYYY")</f>
        <v>01-2019</v>
      </c>
    </row>
    <row r="705" spans="1:15" x14ac:dyDescent="0.3">
      <c r="A705" s="1">
        <v>57638</v>
      </c>
      <c r="B705" s="2">
        <v>43577</v>
      </c>
      <c r="C705" s="1" t="s">
        <v>7</v>
      </c>
      <c r="D705" s="1">
        <v>49</v>
      </c>
      <c r="E705" t="s">
        <v>24</v>
      </c>
      <c r="F705" t="s">
        <v>24</v>
      </c>
      <c r="G705" s="1">
        <v>610.36</v>
      </c>
      <c r="H705">
        <v>0.01</v>
      </c>
      <c r="I705">
        <f>Sales_Data[[#This Row],[Sales]]*Sales_Data[[#This Row],[Discount]]</f>
        <v>6.1036000000000001</v>
      </c>
      <c r="J705">
        <v>604.25639999999999</v>
      </c>
      <c r="K705" s="1">
        <v>5.8</v>
      </c>
      <c r="L705" s="1">
        <v>604.56000000000006</v>
      </c>
      <c r="M705" s="1" t="s">
        <v>10</v>
      </c>
      <c r="N705" s="1">
        <f>IF(Sales_Data[[#This Row],[Sales with Discount]]&lt;Sales_Data[[#This Row],[Sales with Free Shipping]],Sales_Data[[#This Row],[Sales with Discount]],Sales_Data[[#This Row],[Sales with Free Shipping]])</f>
        <v>604.25639999999999</v>
      </c>
      <c r="O705" s="1" t="str">
        <f>TEXT(Sales_Data[[#This Row],[Order Date]], "MM-YYYY")</f>
        <v>04-2019</v>
      </c>
    </row>
    <row r="706" spans="1:15" x14ac:dyDescent="0.3">
      <c r="A706" s="1">
        <v>14435</v>
      </c>
      <c r="B706" s="2">
        <v>43800</v>
      </c>
      <c r="C706" s="1" t="s">
        <v>11</v>
      </c>
      <c r="D706" s="1">
        <v>9</v>
      </c>
      <c r="E706" t="s">
        <v>17</v>
      </c>
      <c r="F706" t="s">
        <v>17</v>
      </c>
      <c r="G706" s="1">
        <v>35703.599999999999</v>
      </c>
      <c r="H706">
        <v>0</v>
      </c>
      <c r="I706">
        <f>Sales_Data[[#This Row],[Sales]]*Sales_Data[[#This Row],[Discount]]</f>
        <v>0</v>
      </c>
      <c r="J706">
        <v>35703.599999999999</v>
      </c>
      <c r="K706" s="1">
        <v>26.2</v>
      </c>
      <c r="L706" s="1">
        <v>35703.599999999999</v>
      </c>
      <c r="M706" s="1" t="s">
        <v>10</v>
      </c>
      <c r="N706" s="1">
        <f>IF(Sales_Data[[#This Row],[Sales with Discount]]&lt;Sales_Data[[#This Row],[Sales with Free Shipping]],Sales_Data[[#This Row],[Sales with Discount]],Sales_Data[[#This Row],[Sales with Free Shipping]])</f>
        <v>35703.599999999999</v>
      </c>
      <c r="O706" s="1" t="str">
        <f>TEXT(Sales_Data[[#This Row],[Order Date]], "MM-YYYY")</f>
        <v>12-2019</v>
      </c>
    </row>
    <row r="707" spans="1:15" x14ac:dyDescent="0.3">
      <c r="A707" s="1">
        <v>35814</v>
      </c>
      <c r="B707" s="2">
        <v>43551</v>
      </c>
      <c r="C707" s="1" t="s">
        <v>9</v>
      </c>
      <c r="D707" s="1">
        <v>11</v>
      </c>
      <c r="E707" t="s">
        <v>18</v>
      </c>
      <c r="F707" t="s">
        <v>18</v>
      </c>
      <c r="G707" s="1">
        <v>347.24</v>
      </c>
      <c r="H707">
        <v>0</v>
      </c>
      <c r="I707">
        <f>Sales_Data[[#This Row],[Sales]]*Sales_Data[[#This Row],[Discount]]</f>
        <v>0</v>
      </c>
      <c r="J707">
        <v>347.24</v>
      </c>
      <c r="K707" s="1">
        <v>9.1</v>
      </c>
      <c r="L707" s="1">
        <v>347.24</v>
      </c>
      <c r="M707" s="1" t="s">
        <v>10</v>
      </c>
      <c r="N707" s="1">
        <f>IF(Sales_Data[[#This Row],[Sales with Discount]]&lt;Sales_Data[[#This Row],[Sales with Free Shipping]],Sales_Data[[#This Row],[Sales with Discount]],Sales_Data[[#This Row],[Sales with Free Shipping]])</f>
        <v>347.24</v>
      </c>
      <c r="O707" s="1" t="str">
        <f>TEXT(Sales_Data[[#This Row],[Order Date]], "MM-YYYY")</f>
        <v>03-2019</v>
      </c>
    </row>
    <row r="708" spans="1:15" x14ac:dyDescent="0.3">
      <c r="A708" s="1">
        <v>51872</v>
      </c>
      <c r="B708" s="2">
        <v>43578</v>
      </c>
      <c r="C708" s="1" t="s">
        <v>14</v>
      </c>
      <c r="D708" s="1">
        <v>11</v>
      </c>
      <c r="E708" t="s">
        <v>18</v>
      </c>
      <c r="F708" t="s">
        <v>18</v>
      </c>
      <c r="G708" s="1">
        <v>869.37</v>
      </c>
      <c r="H708">
        <v>0</v>
      </c>
      <c r="I708">
        <f>Sales_Data[[#This Row],[Sales]]*Sales_Data[[#This Row],[Discount]]</f>
        <v>0</v>
      </c>
      <c r="J708">
        <v>869.37</v>
      </c>
      <c r="K708" s="1">
        <v>1.3</v>
      </c>
      <c r="L708" s="1">
        <v>869.37</v>
      </c>
      <c r="M708" s="1" t="s">
        <v>8</v>
      </c>
      <c r="N708" s="1">
        <f>IF(Sales_Data[[#This Row],[Sales with Discount]]&lt;Sales_Data[[#This Row],[Sales with Free Shipping]],Sales_Data[[#This Row],[Sales with Discount]],Sales_Data[[#This Row],[Sales with Free Shipping]])</f>
        <v>869.37</v>
      </c>
      <c r="O708" s="1" t="str">
        <f>TEXT(Sales_Data[[#This Row],[Order Date]], "MM-YYYY")</f>
        <v>04-2019</v>
      </c>
    </row>
    <row r="709" spans="1:15" x14ac:dyDescent="0.3">
      <c r="A709" s="1">
        <v>55747</v>
      </c>
      <c r="B709" s="2">
        <v>43801</v>
      </c>
      <c r="C709" s="1" t="s">
        <v>9</v>
      </c>
      <c r="D709" s="1">
        <v>42</v>
      </c>
      <c r="E709" t="s">
        <v>23</v>
      </c>
      <c r="F709" t="s">
        <v>23</v>
      </c>
      <c r="G709" s="1">
        <v>21234.89</v>
      </c>
      <c r="H709">
        <v>0.01</v>
      </c>
      <c r="I709">
        <f>Sales_Data[[#This Row],[Sales]]*Sales_Data[[#This Row],[Discount]]</f>
        <v>212.34889999999999</v>
      </c>
      <c r="J709">
        <v>21022.541099999999</v>
      </c>
      <c r="K709" s="1">
        <v>69.099999999999994</v>
      </c>
      <c r="L709" s="1">
        <v>21165.79</v>
      </c>
      <c r="M709" s="1" t="s">
        <v>13</v>
      </c>
      <c r="N709" s="1">
        <f>IF(Sales_Data[[#This Row],[Sales with Discount]]&lt;Sales_Data[[#This Row],[Sales with Free Shipping]],Sales_Data[[#This Row],[Sales with Discount]],Sales_Data[[#This Row],[Sales with Free Shipping]])</f>
        <v>21022.541099999999</v>
      </c>
      <c r="O709" s="1" t="str">
        <f>TEXT(Sales_Data[[#This Row],[Order Date]], "MM-YYYY")</f>
        <v>12-2019</v>
      </c>
    </row>
    <row r="710" spans="1:15" x14ac:dyDescent="0.3">
      <c r="A710" s="1">
        <v>3970</v>
      </c>
      <c r="B710" s="2">
        <v>43550</v>
      </c>
      <c r="C710" s="1" t="s">
        <v>14</v>
      </c>
      <c r="D710" s="1">
        <v>13</v>
      </c>
      <c r="E710" t="s">
        <v>18</v>
      </c>
      <c r="F710" t="s">
        <v>18</v>
      </c>
      <c r="G710" s="1">
        <v>347.57</v>
      </c>
      <c r="H710">
        <v>0</v>
      </c>
      <c r="I710">
        <f>Sales_Data[[#This Row],[Sales]]*Sales_Data[[#This Row],[Discount]]</f>
        <v>0</v>
      </c>
      <c r="J710">
        <v>347.57</v>
      </c>
      <c r="K710" s="1">
        <v>48.2</v>
      </c>
      <c r="L710" s="1">
        <v>347.57</v>
      </c>
      <c r="M710" s="1" t="s">
        <v>13</v>
      </c>
      <c r="N710" s="1">
        <f>IF(Sales_Data[[#This Row],[Sales with Discount]]&lt;Sales_Data[[#This Row],[Sales with Free Shipping]],Sales_Data[[#This Row],[Sales with Discount]],Sales_Data[[#This Row],[Sales with Free Shipping]])</f>
        <v>347.57</v>
      </c>
      <c r="O710" s="1" t="str">
        <f>TEXT(Sales_Data[[#This Row],[Order Date]], "MM-YYYY")</f>
        <v>03-2019</v>
      </c>
    </row>
    <row r="711" spans="1:15" x14ac:dyDescent="0.3">
      <c r="A711" s="1">
        <v>32804</v>
      </c>
      <c r="B711" s="2">
        <v>43717</v>
      </c>
      <c r="C711" s="1" t="s">
        <v>14</v>
      </c>
      <c r="D711" s="1">
        <v>49</v>
      </c>
      <c r="E711" t="s">
        <v>24</v>
      </c>
      <c r="F711" t="s">
        <v>24</v>
      </c>
      <c r="G711" s="1">
        <v>187.05</v>
      </c>
      <c r="H711">
        <v>0.01</v>
      </c>
      <c r="I711">
        <f>Sales_Data[[#This Row],[Sales]]*Sales_Data[[#This Row],[Discount]]</f>
        <v>1.8705000000000001</v>
      </c>
      <c r="J711">
        <v>185.17950000000002</v>
      </c>
      <c r="K711" s="1">
        <v>0.5</v>
      </c>
      <c r="L711" s="1">
        <v>186.55</v>
      </c>
      <c r="M711" s="1" t="s">
        <v>10</v>
      </c>
      <c r="N711" s="1">
        <f>IF(Sales_Data[[#This Row],[Sales with Discount]]&lt;Sales_Data[[#This Row],[Sales with Free Shipping]],Sales_Data[[#This Row],[Sales with Discount]],Sales_Data[[#This Row],[Sales with Free Shipping]])</f>
        <v>185.17950000000002</v>
      </c>
      <c r="O711" s="1" t="str">
        <f>TEXT(Sales_Data[[#This Row],[Order Date]], "MM-YYYY")</f>
        <v>09-2019</v>
      </c>
    </row>
    <row r="712" spans="1:15" x14ac:dyDescent="0.3">
      <c r="A712" s="1">
        <v>4069</v>
      </c>
      <c r="B712" s="2">
        <v>43597</v>
      </c>
      <c r="C712" s="1" t="s">
        <v>14</v>
      </c>
      <c r="D712" s="1">
        <v>8</v>
      </c>
      <c r="E712" t="s">
        <v>17</v>
      </c>
      <c r="F712" t="s">
        <v>17</v>
      </c>
      <c r="G712" s="1">
        <v>58.24</v>
      </c>
      <c r="H712">
        <v>0</v>
      </c>
      <c r="I712">
        <f>Sales_Data[[#This Row],[Sales]]*Sales_Data[[#This Row],[Discount]]</f>
        <v>0</v>
      </c>
      <c r="J712">
        <v>58.24</v>
      </c>
      <c r="K712" s="1">
        <v>7.2</v>
      </c>
      <c r="L712" s="1">
        <v>58.24</v>
      </c>
      <c r="M712" s="1" t="s">
        <v>10</v>
      </c>
      <c r="N712" s="1">
        <f>IF(Sales_Data[[#This Row],[Sales with Discount]]&lt;Sales_Data[[#This Row],[Sales with Free Shipping]],Sales_Data[[#This Row],[Sales with Discount]],Sales_Data[[#This Row],[Sales with Free Shipping]])</f>
        <v>58.24</v>
      </c>
      <c r="O712" s="1" t="str">
        <f>TEXT(Sales_Data[[#This Row],[Order Date]], "MM-YYYY")</f>
        <v>05-2019</v>
      </c>
    </row>
    <row r="713" spans="1:15" x14ac:dyDescent="0.3">
      <c r="A713" s="1">
        <v>55011</v>
      </c>
      <c r="B713" s="2">
        <v>43468</v>
      </c>
      <c r="C713" s="1" t="s">
        <v>12</v>
      </c>
      <c r="D713" s="1">
        <v>48</v>
      </c>
      <c r="E713" t="s">
        <v>24</v>
      </c>
      <c r="F713" t="s">
        <v>24</v>
      </c>
      <c r="G713" s="1">
        <v>483.94</v>
      </c>
      <c r="H713">
        <v>0.01</v>
      </c>
      <c r="I713">
        <f>Sales_Data[[#This Row],[Sales]]*Sales_Data[[#This Row],[Discount]]</f>
        <v>4.8394000000000004</v>
      </c>
      <c r="J713">
        <v>479.10059999999999</v>
      </c>
      <c r="K713" s="1">
        <v>5.2</v>
      </c>
      <c r="L713" s="1">
        <v>478.74</v>
      </c>
      <c r="M713" s="1" t="s">
        <v>10</v>
      </c>
      <c r="N713" s="1">
        <f>IF(Sales_Data[[#This Row],[Sales with Discount]]&lt;Sales_Data[[#This Row],[Sales with Free Shipping]],Sales_Data[[#This Row],[Sales with Discount]],Sales_Data[[#This Row],[Sales with Free Shipping]])</f>
        <v>478.74</v>
      </c>
      <c r="O713" s="1" t="str">
        <f>TEXT(Sales_Data[[#This Row],[Order Date]], "MM-YYYY")</f>
        <v>01-2019</v>
      </c>
    </row>
    <row r="714" spans="1:15" x14ac:dyDescent="0.3">
      <c r="A714" s="1">
        <v>20066</v>
      </c>
      <c r="B714" s="2">
        <v>43710</v>
      </c>
      <c r="C714" s="1" t="s">
        <v>12</v>
      </c>
      <c r="D714" s="1">
        <v>3</v>
      </c>
      <c r="E714" t="s">
        <v>16</v>
      </c>
      <c r="F714" t="s">
        <v>16</v>
      </c>
      <c r="G714" s="1">
        <v>43.65</v>
      </c>
      <c r="H714">
        <v>0</v>
      </c>
      <c r="I714">
        <f>Sales_Data[[#This Row],[Sales]]*Sales_Data[[#This Row],[Discount]]</f>
        <v>0</v>
      </c>
      <c r="J714">
        <v>43.65</v>
      </c>
      <c r="K714" s="1">
        <v>6.1</v>
      </c>
      <c r="L714" s="1">
        <v>43.65</v>
      </c>
      <c r="M714" s="1" t="s">
        <v>10</v>
      </c>
      <c r="N714" s="1">
        <f>IF(Sales_Data[[#This Row],[Sales with Discount]]&lt;Sales_Data[[#This Row],[Sales with Free Shipping]],Sales_Data[[#This Row],[Sales with Discount]],Sales_Data[[#This Row],[Sales with Free Shipping]])</f>
        <v>43.65</v>
      </c>
      <c r="O714" s="1" t="str">
        <f>TEXT(Sales_Data[[#This Row],[Order Date]], "MM-YYYY")</f>
        <v>09-2019</v>
      </c>
    </row>
    <row r="715" spans="1:15" x14ac:dyDescent="0.3">
      <c r="A715" s="1">
        <v>292</v>
      </c>
      <c r="B715" s="2">
        <v>43476</v>
      </c>
      <c r="C715" s="1" t="s">
        <v>9</v>
      </c>
      <c r="D715" s="1">
        <v>43</v>
      </c>
      <c r="E715" t="s">
        <v>23</v>
      </c>
      <c r="F715" t="s">
        <v>23</v>
      </c>
      <c r="G715" s="1">
        <v>441.5</v>
      </c>
      <c r="H715">
        <v>0.01</v>
      </c>
      <c r="I715">
        <f>Sales_Data[[#This Row],[Sales]]*Sales_Data[[#This Row],[Discount]]</f>
        <v>4.415</v>
      </c>
      <c r="J715">
        <v>437.08499999999998</v>
      </c>
      <c r="K715" s="1">
        <v>1.5</v>
      </c>
      <c r="L715" s="1">
        <v>440</v>
      </c>
      <c r="M715" s="1" t="s">
        <v>10</v>
      </c>
      <c r="N715" s="1">
        <f>IF(Sales_Data[[#This Row],[Sales with Discount]]&lt;Sales_Data[[#This Row],[Sales with Free Shipping]],Sales_Data[[#This Row],[Sales with Discount]],Sales_Data[[#This Row],[Sales with Free Shipping]])</f>
        <v>437.08499999999998</v>
      </c>
      <c r="O715" s="1" t="str">
        <f>TEXT(Sales_Data[[#This Row],[Order Date]], "MM-YYYY")</f>
        <v>01-2019</v>
      </c>
    </row>
    <row r="716" spans="1:15" x14ac:dyDescent="0.3">
      <c r="A716" s="1">
        <v>33568</v>
      </c>
      <c r="B716" s="2">
        <v>43667</v>
      </c>
      <c r="C716" s="1" t="s">
        <v>14</v>
      </c>
      <c r="D716" s="1">
        <v>10</v>
      </c>
      <c r="E716" t="s">
        <v>17</v>
      </c>
      <c r="F716" t="s">
        <v>17</v>
      </c>
      <c r="G716" s="1">
        <v>672.74109999999996</v>
      </c>
      <c r="H716">
        <v>0</v>
      </c>
      <c r="I716">
        <f>Sales_Data[[#This Row],[Sales]]*Sales_Data[[#This Row],[Discount]]</f>
        <v>0</v>
      </c>
      <c r="J716">
        <v>672.74109999999996</v>
      </c>
      <c r="K716" s="1">
        <v>55.9</v>
      </c>
      <c r="L716" s="1">
        <v>672.74109999999996</v>
      </c>
      <c r="M716" s="1" t="s">
        <v>10</v>
      </c>
      <c r="N716" s="1">
        <f>IF(Sales_Data[[#This Row],[Sales with Discount]]&lt;Sales_Data[[#This Row],[Sales with Free Shipping]],Sales_Data[[#This Row],[Sales with Discount]],Sales_Data[[#This Row],[Sales with Free Shipping]])</f>
        <v>672.74109999999996</v>
      </c>
      <c r="O716" s="1" t="str">
        <f>TEXT(Sales_Data[[#This Row],[Order Date]], "MM-YYYY")</f>
        <v>07-2019</v>
      </c>
    </row>
    <row r="717" spans="1:15" x14ac:dyDescent="0.3">
      <c r="A717" s="1">
        <v>39619</v>
      </c>
      <c r="B717" s="2">
        <v>43468</v>
      </c>
      <c r="C717" s="1" t="s">
        <v>7</v>
      </c>
      <c r="D717" s="1">
        <v>15</v>
      </c>
      <c r="E717" t="s">
        <v>18</v>
      </c>
      <c r="F717" t="s">
        <v>18</v>
      </c>
      <c r="G717" s="1">
        <v>794.79600000000005</v>
      </c>
      <c r="H717">
        <v>0</v>
      </c>
      <c r="I717">
        <f>Sales_Data[[#This Row],[Sales]]*Sales_Data[[#This Row],[Discount]]</f>
        <v>0</v>
      </c>
      <c r="J717">
        <v>794.79600000000005</v>
      </c>
      <c r="K717" s="1">
        <v>11</v>
      </c>
      <c r="L717" s="1">
        <v>794.79600000000005</v>
      </c>
      <c r="M717" s="1" t="s">
        <v>10</v>
      </c>
      <c r="N717" s="1">
        <f>IF(Sales_Data[[#This Row],[Sales with Discount]]&lt;Sales_Data[[#This Row],[Sales with Free Shipping]],Sales_Data[[#This Row],[Sales with Discount]],Sales_Data[[#This Row],[Sales with Free Shipping]])</f>
        <v>794.79600000000005</v>
      </c>
      <c r="O717" s="1" t="str">
        <f>TEXT(Sales_Data[[#This Row],[Order Date]], "MM-YYYY")</f>
        <v>01-2019</v>
      </c>
    </row>
    <row r="718" spans="1:15" x14ac:dyDescent="0.3">
      <c r="A718" s="1">
        <v>37188</v>
      </c>
      <c r="B718" s="2">
        <v>43528</v>
      </c>
      <c r="C718" s="1" t="s">
        <v>12</v>
      </c>
      <c r="D718" s="1">
        <v>24</v>
      </c>
      <c r="E718" t="s">
        <v>14</v>
      </c>
      <c r="F718" t="s">
        <v>14</v>
      </c>
      <c r="G718" s="1">
        <v>141.26</v>
      </c>
      <c r="H718">
        <v>0</v>
      </c>
      <c r="I718">
        <f>Sales_Data[[#This Row],[Sales]]*Sales_Data[[#This Row],[Discount]]</f>
        <v>0</v>
      </c>
      <c r="J718">
        <v>141.26</v>
      </c>
      <c r="K718" s="1">
        <v>8.9</v>
      </c>
      <c r="L718" s="1">
        <v>141.26</v>
      </c>
      <c r="M718" s="1" t="s">
        <v>8</v>
      </c>
      <c r="N718" s="1">
        <f>IF(Sales_Data[[#This Row],[Sales with Discount]]&lt;Sales_Data[[#This Row],[Sales with Free Shipping]],Sales_Data[[#This Row],[Sales with Discount]],Sales_Data[[#This Row],[Sales with Free Shipping]])</f>
        <v>141.26</v>
      </c>
      <c r="O718" s="1" t="str">
        <f>TEXT(Sales_Data[[#This Row],[Order Date]], "MM-YYYY")</f>
        <v>03-2019</v>
      </c>
    </row>
    <row r="719" spans="1:15" x14ac:dyDescent="0.3">
      <c r="A719" s="1">
        <v>2691</v>
      </c>
      <c r="B719" s="2">
        <v>43584</v>
      </c>
      <c r="C719" s="1" t="s">
        <v>7</v>
      </c>
      <c r="D719" s="1">
        <v>14</v>
      </c>
      <c r="E719" t="s">
        <v>18</v>
      </c>
      <c r="F719" t="s">
        <v>18</v>
      </c>
      <c r="G719" s="1">
        <v>3598.56</v>
      </c>
      <c r="H719">
        <v>0</v>
      </c>
      <c r="I719">
        <f>Sales_Data[[#This Row],[Sales]]*Sales_Data[[#This Row],[Discount]]</f>
        <v>0</v>
      </c>
      <c r="J719">
        <v>3598.56</v>
      </c>
      <c r="K719" s="1">
        <v>44.8</v>
      </c>
      <c r="L719" s="1">
        <v>3598.56</v>
      </c>
      <c r="M719" s="1" t="s">
        <v>13</v>
      </c>
      <c r="N719" s="1">
        <f>IF(Sales_Data[[#This Row],[Sales with Discount]]&lt;Sales_Data[[#This Row],[Sales with Free Shipping]],Sales_Data[[#This Row],[Sales with Discount]],Sales_Data[[#This Row],[Sales with Free Shipping]])</f>
        <v>3598.56</v>
      </c>
      <c r="O719" s="1" t="str">
        <f>TEXT(Sales_Data[[#This Row],[Order Date]], "MM-YYYY")</f>
        <v>04-2019</v>
      </c>
    </row>
    <row r="720" spans="1:15" x14ac:dyDescent="0.3">
      <c r="A720" s="1">
        <v>35456</v>
      </c>
      <c r="B720" s="2">
        <v>43770</v>
      </c>
      <c r="C720" s="1" t="s">
        <v>12</v>
      </c>
      <c r="D720" s="1">
        <v>37</v>
      </c>
      <c r="E720" t="s">
        <v>22</v>
      </c>
      <c r="F720" t="s">
        <v>22</v>
      </c>
      <c r="G720" s="1">
        <v>49.62</v>
      </c>
      <c r="H720">
        <v>0.01</v>
      </c>
      <c r="I720">
        <f>Sales_Data[[#This Row],[Sales]]*Sales_Data[[#This Row],[Discount]]</f>
        <v>0.49619999999999997</v>
      </c>
      <c r="J720">
        <v>49.123799999999996</v>
      </c>
      <c r="K720" s="1">
        <v>0.7</v>
      </c>
      <c r="L720" s="1">
        <v>48.919999999999995</v>
      </c>
      <c r="M720" s="1" t="s">
        <v>10</v>
      </c>
      <c r="N720" s="1">
        <f>IF(Sales_Data[[#This Row],[Sales with Discount]]&lt;Sales_Data[[#This Row],[Sales with Free Shipping]],Sales_Data[[#This Row],[Sales with Discount]],Sales_Data[[#This Row],[Sales with Free Shipping]])</f>
        <v>48.919999999999995</v>
      </c>
      <c r="O720" s="1" t="str">
        <f>TEXT(Sales_Data[[#This Row],[Order Date]], "MM-YYYY")</f>
        <v>11-2019</v>
      </c>
    </row>
    <row r="721" spans="1:15" x14ac:dyDescent="0.3">
      <c r="A721" s="1">
        <v>52068</v>
      </c>
      <c r="B721" s="2">
        <v>43477</v>
      </c>
      <c r="C721" s="1" t="s">
        <v>11</v>
      </c>
      <c r="D721" s="1">
        <v>17</v>
      </c>
      <c r="E721" t="s">
        <v>19</v>
      </c>
      <c r="F721" t="s">
        <v>19</v>
      </c>
      <c r="G721" s="1">
        <v>472.43709999999999</v>
      </c>
      <c r="H721">
        <v>0</v>
      </c>
      <c r="I721">
        <f>Sales_Data[[#This Row],[Sales]]*Sales_Data[[#This Row],[Discount]]</f>
        <v>0</v>
      </c>
      <c r="J721">
        <v>472.43709999999999</v>
      </c>
      <c r="K721" s="1">
        <v>15.4</v>
      </c>
      <c r="L721" s="1">
        <v>472.43709999999999</v>
      </c>
      <c r="M721" s="1" t="s">
        <v>13</v>
      </c>
      <c r="N721" s="1">
        <f>IF(Sales_Data[[#This Row],[Sales with Discount]]&lt;Sales_Data[[#This Row],[Sales with Free Shipping]],Sales_Data[[#This Row],[Sales with Discount]],Sales_Data[[#This Row],[Sales with Free Shipping]])</f>
        <v>472.43709999999999</v>
      </c>
      <c r="O721" s="1" t="str">
        <f>TEXT(Sales_Data[[#This Row],[Order Date]], "MM-YYYY")</f>
        <v>01-2019</v>
      </c>
    </row>
    <row r="722" spans="1:15" x14ac:dyDescent="0.3">
      <c r="A722" s="1">
        <v>21573</v>
      </c>
      <c r="B722" s="2">
        <v>43580</v>
      </c>
      <c r="C722" s="1" t="s">
        <v>12</v>
      </c>
      <c r="D722" s="1">
        <v>7</v>
      </c>
      <c r="E722" t="s">
        <v>17</v>
      </c>
      <c r="F722" t="s">
        <v>17</v>
      </c>
      <c r="G722" s="1">
        <v>74.985600000000005</v>
      </c>
      <c r="H722">
        <v>0</v>
      </c>
      <c r="I722">
        <f>Sales_Data[[#This Row],[Sales]]*Sales_Data[[#This Row],[Discount]]</f>
        <v>0</v>
      </c>
      <c r="J722">
        <v>74.985600000000005</v>
      </c>
      <c r="K722" s="1">
        <v>4</v>
      </c>
      <c r="L722" s="1">
        <v>74.985600000000005</v>
      </c>
      <c r="M722" s="1" t="s">
        <v>10</v>
      </c>
      <c r="N722" s="1">
        <f>IF(Sales_Data[[#This Row],[Sales with Discount]]&lt;Sales_Data[[#This Row],[Sales with Free Shipping]],Sales_Data[[#This Row],[Sales with Discount]],Sales_Data[[#This Row],[Sales with Free Shipping]])</f>
        <v>74.985600000000005</v>
      </c>
      <c r="O722" s="1" t="str">
        <f>TEXT(Sales_Data[[#This Row],[Order Date]], "MM-YYYY")</f>
        <v>04-2019</v>
      </c>
    </row>
    <row r="723" spans="1:15" x14ac:dyDescent="0.3">
      <c r="A723" s="1">
        <v>4805</v>
      </c>
      <c r="B723" s="2">
        <v>43579</v>
      </c>
      <c r="C723" s="1" t="s">
        <v>11</v>
      </c>
      <c r="D723" s="1">
        <v>7</v>
      </c>
      <c r="E723" t="s">
        <v>17</v>
      </c>
      <c r="F723" t="s">
        <v>17</v>
      </c>
      <c r="G723" s="1">
        <v>59.26</v>
      </c>
      <c r="H723">
        <v>0</v>
      </c>
      <c r="I723">
        <f>Sales_Data[[#This Row],[Sales]]*Sales_Data[[#This Row],[Discount]]</f>
        <v>0</v>
      </c>
      <c r="J723">
        <v>59.26</v>
      </c>
      <c r="K723" s="1">
        <v>7.9</v>
      </c>
      <c r="L723" s="1">
        <v>59.26</v>
      </c>
      <c r="M723" s="1" t="s">
        <v>10</v>
      </c>
      <c r="N723" s="1">
        <f>IF(Sales_Data[[#This Row],[Sales with Discount]]&lt;Sales_Data[[#This Row],[Sales with Free Shipping]],Sales_Data[[#This Row],[Sales with Discount]],Sales_Data[[#This Row],[Sales with Free Shipping]])</f>
        <v>59.26</v>
      </c>
      <c r="O723" s="1" t="str">
        <f>TEXT(Sales_Data[[#This Row],[Order Date]], "MM-YYYY")</f>
        <v>04-2019</v>
      </c>
    </row>
    <row r="724" spans="1:15" x14ac:dyDescent="0.3">
      <c r="A724" s="1">
        <v>29861</v>
      </c>
      <c r="B724" s="2">
        <v>43580</v>
      </c>
      <c r="C724" s="1" t="s">
        <v>12</v>
      </c>
      <c r="D724" s="1">
        <v>11</v>
      </c>
      <c r="E724" t="s">
        <v>18</v>
      </c>
      <c r="F724" t="s">
        <v>18</v>
      </c>
      <c r="G724" s="1">
        <v>37.630000000000003</v>
      </c>
      <c r="H724">
        <v>0</v>
      </c>
      <c r="I724">
        <f>Sales_Data[[#This Row],[Sales]]*Sales_Data[[#This Row],[Discount]]</f>
        <v>0</v>
      </c>
      <c r="J724">
        <v>37.630000000000003</v>
      </c>
      <c r="K724" s="1">
        <v>1.1000000000000001</v>
      </c>
      <c r="L724" s="1">
        <v>37.630000000000003</v>
      </c>
      <c r="M724" s="1" t="s">
        <v>10</v>
      </c>
      <c r="N724" s="1">
        <f>IF(Sales_Data[[#This Row],[Sales with Discount]]&lt;Sales_Data[[#This Row],[Sales with Free Shipping]],Sales_Data[[#This Row],[Sales with Discount]],Sales_Data[[#This Row],[Sales with Free Shipping]])</f>
        <v>37.630000000000003</v>
      </c>
      <c r="O724" s="1" t="str">
        <f>TEXT(Sales_Data[[#This Row],[Order Date]], "MM-YYYY")</f>
        <v>04-2019</v>
      </c>
    </row>
    <row r="725" spans="1:15" x14ac:dyDescent="0.3">
      <c r="A725" s="1">
        <v>51365</v>
      </c>
      <c r="B725" s="2">
        <v>43684</v>
      </c>
      <c r="C725" s="1" t="s">
        <v>9</v>
      </c>
      <c r="D725" s="1">
        <v>35</v>
      </c>
      <c r="E725" t="s">
        <v>21</v>
      </c>
      <c r="F725" t="s">
        <v>21</v>
      </c>
      <c r="G725" s="1">
        <v>208.9</v>
      </c>
      <c r="H725">
        <v>0</v>
      </c>
      <c r="I725">
        <f>Sales_Data[[#This Row],[Sales]]*Sales_Data[[#This Row],[Discount]]</f>
        <v>0</v>
      </c>
      <c r="J725">
        <v>208.9</v>
      </c>
      <c r="K725" s="1">
        <v>6</v>
      </c>
      <c r="L725" s="1">
        <v>208.9</v>
      </c>
      <c r="M725" s="1" t="s">
        <v>10</v>
      </c>
      <c r="N725" s="1">
        <f>IF(Sales_Data[[#This Row],[Sales with Discount]]&lt;Sales_Data[[#This Row],[Sales with Free Shipping]],Sales_Data[[#This Row],[Sales with Discount]],Sales_Data[[#This Row],[Sales with Free Shipping]])</f>
        <v>208.9</v>
      </c>
      <c r="O725" s="1" t="str">
        <f>TEXT(Sales_Data[[#This Row],[Order Date]], "MM-YYYY")</f>
        <v>08-2019</v>
      </c>
    </row>
    <row r="726" spans="1:15" x14ac:dyDescent="0.3">
      <c r="A726" s="1">
        <v>55299</v>
      </c>
      <c r="B726" s="2">
        <v>43554</v>
      </c>
      <c r="C726" s="1" t="s">
        <v>7</v>
      </c>
      <c r="D726" s="1">
        <v>20</v>
      </c>
      <c r="E726" t="s">
        <v>19</v>
      </c>
      <c r="F726" t="s">
        <v>19</v>
      </c>
      <c r="G726" s="1">
        <v>23.84</v>
      </c>
      <c r="H726">
        <v>0</v>
      </c>
      <c r="I726">
        <f>Sales_Data[[#This Row],[Sales]]*Sales_Data[[#This Row],[Discount]]</f>
        <v>0</v>
      </c>
      <c r="J726">
        <v>23.84</v>
      </c>
      <c r="K726" s="1">
        <v>0.7</v>
      </c>
      <c r="L726" s="1">
        <v>23.84</v>
      </c>
      <c r="M726" s="1" t="s">
        <v>10</v>
      </c>
      <c r="N726" s="1">
        <f>IF(Sales_Data[[#This Row],[Sales with Discount]]&lt;Sales_Data[[#This Row],[Sales with Free Shipping]],Sales_Data[[#This Row],[Sales with Discount]],Sales_Data[[#This Row],[Sales with Free Shipping]])</f>
        <v>23.84</v>
      </c>
      <c r="O726" s="1" t="str">
        <f>TEXT(Sales_Data[[#This Row],[Order Date]], "MM-YYYY")</f>
        <v>03-2019</v>
      </c>
    </row>
    <row r="727" spans="1:15" x14ac:dyDescent="0.3">
      <c r="A727" s="1">
        <v>4864</v>
      </c>
      <c r="B727" s="2">
        <v>43779</v>
      </c>
      <c r="C727" s="1" t="s">
        <v>7</v>
      </c>
      <c r="D727" s="1">
        <v>16</v>
      </c>
      <c r="E727" t="s">
        <v>19</v>
      </c>
      <c r="F727" t="s">
        <v>19</v>
      </c>
      <c r="G727" s="1">
        <v>5245.13</v>
      </c>
      <c r="H727">
        <v>0</v>
      </c>
      <c r="I727">
        <f>Sales_Data[[#This Row],[Sales]]*Sales_Data[[#This Row],[Discount]]</f>
        <v>0</v>
      </c>
      <c r="J727">
        <v>5245.13</v>
      </c>
      <c r="K727" s="1">
        <v>21.4</v>
      </c>
      <c r="L727" s="1">
        <v>5245.13</v>
      </c>
      <c r="M727" s="1" t="s">
        <v>10</v>
      </c>
      <c r="N727" s="1">
        <f>IF(Sales_Data[[#This Row],[Sales with Discount]]&lt;Sales_Data[[#This Row],[Sales with Free Shipping]],Sales_Data[[#This Row],[Sales with Discount]],Sales_Data[[#This Row],[Sales with Free Shipping]])</f>
        <v>5245.13</v>
      </c>
      <c r="O727" s="1" t="str">
        <f>TEXT(Sales_Data[[#This Row],[Order Date]], "MM-YYYY")</f>
        <v>11-2019</v>
      </c>
    </row>
    <row r="728" spans="1:15" x14ac:dyDescent="0.3">
      <c r="A728" s="1">
        <v>33285</v>
      </c>
      <c r="B728" s="2">
        <v>43483</v>
      </c>
      <c r="C728" s="1" t="s">
        <v>9</v>
      </c>
      <c r="D728" s="1">
        <v>5</v>
      </c>
      <c r="E728" t="s">
        <v>16</v>
      </c>
      <c r="F728" t="s">
        <v>16</v>
      </c>
      <c r="G728" s="1">
        <v>71.599999999999994</v>
      </c>
      <c r="H728">
        <v>0</v>
      </c>
      <c r="I728">
        <f>Sales_Data[[#This Row],[Sales]]*Sales_Data[[#This Row],[Discount]]</f>
        <v>0</v>
      </c>
      <c r="J728">
        <v>71.599999999999994</v>
      </c>
      <c r="K728" s="1">
        <v>6.6</v>
      </c>
      <c r="L728" s="1">
        <v>71.599999999999994</v>
      </c>
      <c r="M728" s="1" t="s">
        <v>10</v>
      </c>
      <c r="N728" s="1">
        <f>IF(Sales_Data[[#This Row],[Sales with Discount]]&lt;Sales_Data[[#This Row],[Sales with Free Shipping]],Sales_Data[[#This Row],[Sales with Discount]],Sales_Data[[#This Row],[Sales with Free Shipping]])</f>
        <v>71.599999999999994</v>
      </c>
      <c r="O728" s="1" t="str">
        <f>TEXT(Sales_Data[[#This Row],[Order Date]], "MM-YYYY")</f>
        <v>01-2019</v>
      </c>
    </row>
    <row r="729" spans="1:15" x14ac:dyDescent="0.3">
      <c r="A729" s="1">
        <v>49927</v>
      </c>
      <c r="B729" s="2">
        <v>43666</v>
      </c>
      <c r="C729" s="1" t="s">
        <v>11</v>
      </c>
      <c r="D729" s="1">
        <v>39</v>
      </c>
      <c r="E729" t="s">
        <v>22</v>
      </c>
      <c r="F729" t="s">
        <v>22</v>
      </c>
      <c r="G729" s="1">
        <v>91.656199999999998</v>
      </c>
      <c r="H729">
        <v>0.01</v>
      </c>
      <c r="I729">
        <f>Sales_Data[[#This Row],[Sales]]*Sales_Data[[#This Row],[Discount]]</f>
        <v>0.91656199999999999</v>
      </c>
      <c r="J729">
        <v>90.739637999999999</v>
      </c>
      <c r="K729" s="1">
        <v>0.8</v>
      </c>
      <c r="L729" s="1">
        <v>90.856200000000001</v>
      </c>
      <c r="M729" s="1" t="s">
        <v>10</v>
      </c>
      <c r="N729" s="1">
        <f>IF(Sales_Data[[#This Row],[Sales with Discount]]&lt;Sales_Data[[#This Row],[Sales with Free Shipping]],Sales_Data[[#This Row],[Sales with Discount]],Sales_Data[[#This Row],[Sales with Free Shipping]])</f>
        <v>90.739637999999999</v>
      </c>
      <c r="O729" s="1" t="str">
        <f>TEXT(Sales_Data[[#This Row],[Order Date]], "MM-YYYY")</f>
        <v>07-2019</v>
      </c>
    </row>
    <row r="730" spans="1:15" x14ac:dyDescent="0.3">
      <c r="A730" s="1">
        <v>43653</v>
      </c>
      <c r="B730" s="2">
        <v>43768</v>
      </c>
      <c r="C730" s="1" t="s">
        <v>9</v>
      </c>
      <c r="D730" s="1">
        <v>39</v>
      </c>
      <c r="E730" t="s">
        <v>22</v>
      </c>
      <c r="F730" t="s">
        <v>22</v>
      </c>
      <c r="G730" s="1">
        <v>713.05</v>
      </c>
      <c r="H730">
        <v>0.01</v>
      </c>
      <c r="I730">
        <f>Sales_Data[[#This Row],[Sales]]*Sales_Data[[#This Row],[Discount]]</f>
        <v>7.1304999999999996</v>
      </c>
      <c r="J730">
        <v>705.91949999999997</v>
      </c>
      <c r="K730" s="1">
        <v>7.9</v>
      </c>
      <c r="L730" s="1">
        <v>705.15</v>
      </c>
      <c r="M730" s="1" t="s">
        <v>8</v>
      </c>
      <c r="N730" s="1">
        <f>IF(Sales_Data[[#This Row],[Sales with Discount]]&lt;Sales_Data[[#This Row],[Sales with Free Shipping]],Sales_Data[[#This Row],[Sales with Discount]],Sales_Data[[#This Row],[Sales with Free Shipping]])</f>
        <v>705.15</v>
      </c>
      <c r="O730" s="1" t="str">
        <f>TEXT(Sales_Data[[#This Row],[Order Date]], "MM-YYYY")</f>
        <v>10-2019</v>
      </c>
    </row>
    <row r="731" spans="1:15" x14ac:dyDescent="0.3">
      <c r="A731" s="1">
        <v>39490</v>
      </c>
      <c r="B731" s="2">
        <v>43689</v>
      </c>
      <c r="C731" s="1" t="s">
        <v>7</v>
      </c>
      <c r="D731" s="1">
        <v>17</v>
      </c>
      <c r="E731" t="s">
        <v>19</v>
      </c>
      <c r="F731" t="s">
        <v>19</v>
      </c>
      <c r="G731" s="1">
        <v>3043.7647999999999</v>
      </c>
      <c r="H731">
        <v>0</v>
      </c>
      <c r="I731">
        <f>Sales_Data[[#This Row],[Sales]]*Sales_Data[[#This Row],[Discount]]</f>
        <v>0</v>
      </c>
      <c r="J731">
        <v>3043.7647999999999</v>
      </c>
      <c r="K731" s="1">
        <v>64.2</v>
      </c>
      <c r="L731" s="1">
        <v>3043.7647999999999</v>
      </c>
      <c r="M731" s="1" t="s">
        <v>13</v>
      </c>
      <c r="N731" s="1">
        <f>IF(Sales_Data[[#This Row],[Sales with Discount]]&lt;Sales_Data[[#This Row],[Sales with Free Shipping]],Sales_Data[[#This Row],[Sales with Discount]],Sales_Data[[#This Row],[Sales with Free Shipping]])</f>
        <v>3043.7647999999999</v>
      </c>
      <c r="O731" s="1" t="str">
        <f>TEXT(Sales_Data[[#This Row],[Order Date]], "MM-YYYY")</f>
        <v>08-2019</v>
      </c>
    </row>
    <row r="732" spans="1:15" x14ac:dyDescent="0.3">
      <c r="A732" s="1">
        <v>11431</v>
      </c>
      <c r="B732" s="2">
        <v>43678</v>
      </c>
      <c r="C732" s="1" t="s">
        <v>9</v>
      </c>
      <c r="D732" s="1">
        <v>8</v>
      </c>
      <c r="E732" t="s">
        <v>17</v>
      </c>
      <c r="F732" t="s">
        <v>17</v>
      </c>
      <c r="G732" s="1">
        <v>1362.39</v>
      </c>
      <c r="H732">
        <v>0</v>
      </c>
      <c r="I732">
        <f>Sales_Data[[#This Row],[Sales]]*Sales_Data[[#This Row],[Discount]]</f>
        <v>0</v>
      </c>
      <c r="J732">
        <v>1362.39</v>
      </c>
      <c r="K732" s="1">
        <v>9.6</v>
      </c>
      <c r="L732" s="1">
        <v>1362.39</v>
      </c>
      <c r="M732" s="1" t="s">
        <v>10</v>
      </c>
      <c r="N732" s="1">
        <f>IF(Sales_Data[[#This Row],[Sales with Discount]]&lt;Sales_Data[[#This Row],[Sales with Free Shipping]],Sales_Data[[#This Row],[Sales with Discount]],Sales_Data[[#This Row],[Sales with Free Shipping]])</f>
        <v>1362.39</v>
      </c>
      <c r="O732" s="1" t="str">
        <f>TEXT(Sales_Data[[#This Row],[Order Date]], "MM-YYYY")</f>
        <v>08-2019</v>
      </c>
    </row>
    <row r="733" spans="1:15" x14ac:dyDescent="0.3">
      <c r="A733" s="1">
        <v>1793</v>
      </c>
      <c r="B733" s="2">
        <v>43657</v>
      </c>
      <c r="C733" s="1" t="s">
        <v>11</v>
      </c>
      <c r="D733" s="1">
        <v>36</v>
      </c>
      <c r="E733" t="s">
        <v>22</v>
      </c>
      <c r="F733" t="s">
        <v>22</v>
      </c>
      <c r="G733" s="1">
        <v>249.77</v>
      </c>
      <c r="H733">
        <v>0.01</v>
      </c>
      <c r="I733">
        <f>Sales_Data[[#This Row],[Sales]]*Sales_Data[[#This Row],[Discount]]</f>
        <v>2.4977</v>
      </c>
      <c r="J733">
        <v>247.2723</v>
      </c>
      <c r="K733" s="1">
        <v>5.7</v>
      </c>
      <c r="L733" s="1">
        <v>244.07000000000002</v>
      </c>
      <c r="M733" s="1" t="s">
        <v>10</v>
      </c>
      <c r="N733" s="1">
        <f>IF(Sales_Data[[#This Row],[Sales with Discount]]&lt;Sales_Data[[#This Row],[Sales with Free Shipping]],Sales_Data[[#This Row],[Sales with Discount]],Sales_Data[[#This Row],[Sales with Free Shipping]])</f>
        <v>244.07000000000002</v>
      </c>
      <c r="O733" s="1" t="str">
        <f>TEXT(Sales_Data[[#This Row],[Order Date]], "MM-YYYY")</f>
        <v>07-2019</v>
      </c>
    </row>
    <row r="734" spans="1:15" x14ac:dyDescent="0.3">
      <c r="A734" s="1">
        <v>16548</v>
      </c>
      <c r="B734" s="2">
        <v>43500</v>
      </c>
      <c r="C734" s="1" t="s">
        <v>11</v>
      </c>
      <c r="D734" s="1">
        <v>40</v>
      </c>
      <c r="E734" t="s">
        <v>22</v>
      </c>
      <c r="F734" t="s">
        <v>22</v>
      </c>
      <c r="G734" s="1">
        <v>3240.88</v>
      </c>
      <c r="H734">
        <v>0.01</v>
      </c>
      <c r="I734">
        <f>Sales_Data[[#This Row],[Sales]]*Sales_Data[[#This Row],[Discount]]</f>
        <v>32.408799999999999</v>
      </c>
      <c r="J734">
        <v>3208.4712</v>
      </c>
      <c r="K734" s="1">
        <v>73.8</v>
      </c>
      <c r="L734" s="1">
        <v>3167.08</v>
      </c>
      <c r="M734" s="1" t="s">
        <v>10</v>
      </c>
      <c r="N734" s="1">
        <f>IF(Sales_Data[[#This Row],[Sales with Discount]]&lt;Sales_Data[[#This Row],[Sales with Free Shipping]],Sales_Data[[#This Row],[Sales with Discount]],Sales_Data[[#This Row],[Sales with Free Shipping]])</f>
        <v>3167.08</v>
      </c>
      <c r="O734" s="1" t="str">
        <f>TEXT(Sales_Data[[#This Row],[Order Date]], "MM-YYYY")</f>
        <v>02-2019</v>
      </c>
    </row>
    <row r="735" spans="1:15" x14ac:dyDescent="0.3">
      <c r="A735" s="1">
        <v>30913</v>
      </c>
      <c r="B735" s="2">
        <v>43730</v>
      </c>
      <c r="C735" s="1" t="s">
        <v>14</v>
      </c>
      <c r="D735" s="1">
        <v>44</v>
      </c>
      <c r="E735" t="s">
        <v>23</v>
      </c>
      <c r="F735" t="s">
        <v>23</v>
      </c>
      <c r="G735" s="1">
        <v>135.20519999999999</v>
      </c>
      <c r="H735">
        <v>0.01</v>
      </c>
      <c r="I735">
        <f>Sales_Data[[#This Row],[Sales]]*Sales_Data[[#This Row],[Discount]]</f>
        <v>1.352052</v>
      </c>
      <c r="J735">
        <v>133.85314799999998</v>
      </c>
      <c r="K735" s="1">
        <v>0.5</v>
      </c>
      <c r="L735" s="1">
        <v>134.70519999999999</v>
      </c>
      <c r="M735" s="1" t="s">
        <v>10</v>
      </c>
      <c r="N735" s="1">
        <f>IF(Sales_Data[[#This Row],[Sales with Discount]]&lt;Sales_Data[[#This Row],[Sales with Free Shipping]],Sales_Data[[#This Row],[Sales with Discount]],Sales_Data[[#This Row],[Sales with Free Shipping]])</f>
        <v>133.85314799999998</v>
      </c>
      <c r="O735" s="1" t="str">
        <f>TEXT(Sales_Data[[#This Row],[Order Date]], "MM-YYYY")</f>
        <v>09-2019</v>
      </c>
    </row>
    <row r="736" spans="1:15" x14ac:dyDescent="0.3">
      <c r="A736" s="1">
        <v>59969</v>
      </c>
      <c r="B736" s="2">
        <v>43475</v>
      </c>
      <c r="C736" s="1" t="s">
        <v>9</v>
      </c>
      <c r="D736" s="1">
        <v>16</v>
      </c>
      <c r="E736" t="s">
        <v>19</v>
      </c>
      <c r="F736" t="s">
        <v>19</v>
      </c>
      <c r="G736" s="1">
        <v>294.26</v>
      </c>
      <c r="H736">
        <v>0</v>
      </c>
      <c r="I736">
        <f>Sales_Data[[#This Row],[Sales]]*Sales_Data[[#This Row],[Discount]]</f>
        <v>0</v>
      </c>
      <c r="J736">
        <v>294.26</v>
      </c>
      <c r="K736" s="1">
        <v>12</v>
      </c>
      <c r="L736" s="1">
        <v>294.26</v>
      </c>
      <c r="M736" s="1" t="s">
        <v>10</v>
      </c>
      <c r="N736" s="1">
        <f>IF(Sales_Data[[#This Row],[Sales with Discount]]&lt;Sales_Data[[#This Row],[Sales with Free Shipping]],Sales_Data[[#This Row],[Sales with Discount]],Sales_Data[[#This Row],[Sales with Free Shipping]])</f>
        <v>294.26</v>
      </c>
      <c r="O736" s="1" t="str">
        <f>TEXT(Sales_Data[[#This Row],[Order Date]], "MM-YYYY")</f>
        <v>01-2019</v>
      </c>
    </row>
    <row r="737" spans="1:15" x14ac:dyDescent="0.3">
      <c r="A737" s="1">
        <v>39972</v>
      </c>
      <c r="B737" s="2">
        <v>43733</v>
      </c>
      <c r="C737" s="1" t="s">
        <v>11</v>
      </c>
      <c r="D737" s="1">
        <v>19</v>
      </c>
      <c r="E737" t="s">
        <v>19</v>
      </c>
      <c r="F737" t="s">
        <v>19</v>
      </c>
      <c r="G737" s="1">
        <v>103.85</v>
      </c>
      <c r="H737">
        <v>0</v>
      </c>
      <c r="I737">
        <f>Sales_Data[[#This Row],[Sales]]*Sales_Data[[#This Row],[Discount]]</f>
        <v>0</v>
      </c>
      <c r="J737">
        <v>103.85</v>
      </c>
      <c r="K737" s="1">
        <v>3.2</v>
      </c>
      <c r="L737" s="1">
        <v>103.85</v>
      </c>
      <c r="M737" s="1" t="s">
        <v>10</v>
      </c>
      <c r="N737" s="1">
        <f>IF(Sales_Data[[#This Row],[Sales with Discount]]&lt;Sales_Data[[#This Row],[Sales with Free Shipping]],Sales_Data[[#This Row],[Sales with Discount]],Sales_Data[[#This Row],[Sales with Free Shipping]])</f>
        <v>103.85</v>
      </c>
      <c r="O737" s="1" t="str">
        <f>TEXT(Sales_Data[[#This Row],[Order Date]], "MM-YYYY")</f>
        <v>09-2019</v>
      </c>
    </row>
    <row r="738" spans="1:15" x14ac:dyDescent="0.3">
      <c r="A738" s="1">
        <v>28934</v>
      </c>
      <c r="B738" s="2">
        <v>43797</v>
      </c>
      <c r="C738" s="1" t="s">
        <v>14</v>
      </c>
      <c r="D738" s="1">
        <v>26</v>
      </c>
      <c r="E738" t="s">
        <v>20</v>
      </c>
      <c r="F738" t="s">
        <v>20</v>
      </c>
      <c r="G738" s="1">
        <v>3591.9043999999999</v>
      </c>
      <c r="H738">
        <v>0</v>
      </c>
      <c r="I738">
        <f>Sales_Data[[#This Row],[Sales]]*Sales_Data[[#This Row],[Discount]]</f>
        <v>0</v>
      </c>
      <c r="J738">
        <v>3591.9043999999999</v>
      </c>
      <c r="K738" s="1">
        <v>7.6</v>
      </c>
      <c r="L738" s="1">
        <v>3591.9043999999999</v>
      </c>
      <c r="M738" s="1" t="s">
        <v>8</v>
      </c>
      <c r="N738" s="1">
        <f>IF(Sales_Data[[#This Row],[Sales with Discount]]&lt;Sales_Data[[#This Row],[Sales with Free Shipping]],Sales_Data[[#This Row],[Sales with Discount]],Sales_Data[[#This Row],[Sales with Free Shipping]])</f>
        <v>3591.9043999999999</v>
      </c>
      <c r="O738" s="1" t="str">
        <f>TEXT(Sales_Data[[#This Row],[Order Date]], "MM-YYYY")</f>
        <v>11-2019</v>
      </c>
    </row>
    <row r="739" spans="1:15" x14ac:dyDescent="0.3">
      <c r="A739" s="1">
        <v>27939</v>
      </c>
      <c r="B739" s="2">
        <v>43565</v>
      </c>
      <c r="C739" s="1" t="s">
        <v>14</v>
      </c>
      <c r="D739" s="1">
        <v>8</v>
      </c>
      <c r="E739" t="s">
        <v>17</v>
      </c>
      <c r="F739" t="s">
        <v>17</v>
      </c>
      <c r="G739" s="1">
        <v>64.381900000000002</v>
      </c>
      <c r="H739">
        <v>0</v>
      </c>
      <c r="I739">
        <f>Sales_Data[[#This Row],[Sales]]*Sales_Data[[#This Row],[Discount]]</f>
        <v>0</v>
      </c>
      <c r="J739">
        <v>64.381900000000002</v>
      </c>
      <c r="K739" s="1">
        <v>6.1</v>
      </c>
      <c r="L739" s="1">
        <v>64.381900000000002</v>
      </c>
      <c r="M739" s="1" t="s">
        <v>10</v>
      </c>
      <c r="N739" s="1">
        <f>IF(Sales_Data[[#This Row],[Sales with Discount]]&lt;Sales_Data[[#This Row],[Sales with Free Shipping]],Sales_Data[[#This Row],[Sales with Discount]],Sales_Data[[#This Row],[Sales with Free Shipping]])</f>
        <v>64.381900000000002</v>
      </c>
      <c r="O739" s="1" t="str">
        <f>TEXT(Sales_Data[[#This Row],[Order Date]], "MM-YYYY")</f>
        <v>04-2019</v>
      </c>
    </row>
    <row r="740" spans="1:15" x14ac:dyDescent="0.3">
      <c r="A740" s="1">
        <v>52007</v>
      </c>
      <c r="B740" s="2">
        <v>43569</v>
      </c>
      <c r="C740" s="1" t="s">
        <v>14</v>
      </c>
      <c r="D740" s="1">
        <v>25</v>
      </c>
      <c r="E740" t="s">
        <v>14</v>
      </c>
      <c r="F740" t="s">
        <v>14</v>
      </c>
      <c r="G740" s="1">
        <v>73.34</v>
      </c>
      <c r="H740">
        <v>0</v>
      </c>
      <c r="I740">
        <f>Sales_Data[[#This Row],[Sales]]*Sales_Data[[#This Row],[Discount]]</f>
        <v>0</v>
      </c>
      <c r="J740">
        <v>73.34</v>
      </c>
      <c r="K740" s="1">
        <v>0.5</v>
      </c>
      <c r="L740" s="1">
        <v>73.34</v>
      </c>
      <c r="M740" s="1" t="s">
        <v>10</v>
      </c>
      <c r="N740" s="1">
        <f>IF(Sales_Data[[#This Row],[Sales with Discount]]&lt;Sales_Data[[#This Row],[Sales with Free Shipping]],Sales_Data[[#This Row],[Sales with Discount]],Sales_Data[[#This Row],[Sales with Free Shipping]])</f>
        <v>73.34</v>
      </c>
      <c r="O740" s="1" t="str">
        <f>TEXT(Sales_Data[[#This Row],[Order Date]], "MM-YYYY")</f>
        <v>04-2019</v>
      </c>
    </row>
    <row r="741" spans="1:15" x14ac:dyDescent="0.3">
      <c r="A741" s="1">
        <v>2560</v>
      </c>
      <c r="B741" s="2">
        <v>43712</v>
      </c>
      <c r="C741" s="1" t="s">
        <v>12</v>
      </c>
      <c r="D741" s="1">
        <v>32</v>
      </c>
      <c r="E741" t="s">
        <v>21</v>
      </c>
      <c r="F741" t="s">
        <v>21</v>
      </c>
      <c r="G741" s="1">
        <v>782.41</v>
      </c>
      <c r="H741">
        <v>0</v>
      </c>
      <c r="I741">
        <f>Sales_Data[[#This Row],[Sales]]*Sales_Data[[#This Row],[Discount]]</f>
        <v>0</v>
      </c>
      <c r="J741">
        <v>782.41</v>
      </c>
      <c r="K741" s="1">
        <v>7</v>
      </c>
      <c r="L741" s="1">
        <v>782.41</v>
      </c>
      <c r="M741" s="1" t="s">
        <v>10</v>
      </c>
      <c r="N741" s="1">
        <f>IF(Sales_Data[[#This Row],[Sales with Discount]]&lt;Sales_Data[[#This Row],[Sales with Free Shipping]],Sales_Data[[#This Row],[Sales with Discount]],Sales_Data[[#This Row],[Sales with Free Shipping]])</f>
        <v>782.41</v>
      </c>
      <c r="O741" s="1" t="str">
        <f>TEXT(Sales_Data[[#This Row],[Order Date]], "MM-YYYY")</f>
        <v>09-2019</v>
      </c>
    </row>
    <row r="742" spans="1:15" x14ac:dyDescent="0.3">
      <c r="A742" s="1">
        <v>12292</v>
      </c>
      <c r="B742" s="2">
        <v>43618</v>
      </c>
      <c r="C742" s="1" t="s">
        <v>11</v>
      </c>
      <c r="D742" s="1">
        <v>32</v>
      </c>
      <c r="E742" t="s">
        <v>21</v>
      </c>
      <c r="F742" t="s">
        <v>21</v>
      </c>
      <c r="G742" s="1">
        <v>881.94</v>
      </c>
      <c r="H742">
        <v>0</v>
      </c>
      <c r="I742">
        <f>Sales_Data[[#This Row],[Sales]]*Sales_Data[[#This Row],[Discount]]</f>
        <v>0</v>
      </c>
      <c r="J742">
        <v>881.94</v>
      </c>
      <c r="K742" s="1">
        <v>6.3</v>
      </c>
      <c r="L742" s="1">
        <v>881.94</v>
      </c>
      <c r="M742" s="1" t="s">
        <v>10</v>
      </c>
      <c r="N742" s="1">
        <f>IF(Sales_Data[[#This Row],[Sales with Discount]]&lt;Sales_Data[[#This Row],[Sales with Free Shipping]],Sales_Data[[#This Row],[Sales with Discount]],Sales_Data[[#This Row],[Sales with Free Shipping]])</f>
        <v>881.94</v>
      </c>
      <c r="O742" s="1" t="str">
        <f>TEXT(Sales_Data[[#This Row],[Order Date]], "MM-YYYY")</f>
        <v>06-2019</v>
      </c>
    </row>
    <row r="743" spans="1:15" x14ac:dyDescent="0.3">
      <c r="A743" s="1">
        <v>14240</v>
      </c>
      <c r="B743" s="2">
        <v>43512</v>
      </c>
      <c r="C743" s="1" t="s">
        <v>9</v>
      </c>
      <c r="D743" s="1">
        <v>24</v>
      </c>
      <c r="E743" t="s">
        <v>14</v>
      </c>
      <c r="F743" t="s">
        <v>14</v>
      </c>
      <c r="G743" s="1">
        <v>73.7</v>
      </c>
      <c r="H743">
        <v>0</v>
      </c>
      <c r="I743">
        <f>Sales_Data[[#This Row],[Sales]]*Sales_Data[[#This Row],[Discount]]</f>
        <v>0</v>
      </c>
      <c r="J743">
        <v>73.7</v>
      </c>
      <c r="K743" s="1">
        <v>1.6</v>
      </c>
      <c r="L743" s="1">
        <v>73.7</v>
      </c>
      <c r="M743" s="1" t="s">
        <v>10</v>
      </c>
      <c r="N743" s="1">
        <f>IF(Sales_Data[[#This Row],[Sales with Discount]]&lt;Sales_Data[[#This Row],[Sales with Free Shipping]],Sales_Data[[#This Row],[Sales with Discount]],Sales_Data[[#This Row],[Sales with Free Shipping]])</f>
        <v>73.7</v>
      </c>
      <c r="O743" s="1" t="str">
        <f>TEXT(Sales_Data[[#This Row],[Order Date]], "MM-YYYY")</f>
        <v>02-2019</v>
      </c>
    </row>
    <row r="744" spans="1:15" x14ac:dyDescent="0.3">
      <c r="A744" s="1">
        <v>22182</v>
      </c>
      <c r="B744" s="2">
        <v>43713</v>
      </c>
      <c r="C744" s="1" t="s">
        <v>14</v>
      </c>
      <c r="D744" s="1">
        <v>48</v>
      </c>
      <c r="E744" t="s">
        <v>24</v>
      </c>
      <c r="F744" t="s">
        <v>24</v>
      </c>
      <c r="G744" s="1">
        <v>2430.3658999999998</v>
      </c>
      <c r="H744">
        <v>0.01</v>
      </c>
      <c r="I744">
        <f>Sales_Data[[#This Row],[Sales]]*Sales_Data[[#This Row],[Discount]]</f>
        <v>24.303659</v>
      </c>
      <c r="J744">
        <v>2406.0622409999996</v>
      </c>
      <c r="K744" s="1">
        <v>11</v>
      </c>
      <c r="L744" s="1">
        <v>2419.3658999999998</v>
      </c>
      <c r="M744" s="1" t="s">
        <v>8</v>
      </c>
      <c r="N744" s="1">
        <f>IF(Sales_Data[[#This Row],[Sales with Discount]]&lt;Sales_Data[[#This Row],[Sales with Free Shipping]],Sales_Data[[#This Row],[Sales with Discount]],Sales_Data[[#This Row],[Sales with Free Shipping]])</f>
        <v>2406.0622409999996</v>
      </c>
      <c r="O744" s="1" t="str">
        <f>TEXT(Sales_Data[[#This Row],[Order Date]], "MM-YYYY")</f>
        <v>09-2019</v>
      </c>
    </row>
    <row r="745" spans="1:15" x14ac:dyDescent="0.3">
      <c r="A745" s="1">
        <v>34976</v>
      </c>
      <c r="B745" s="2">
        <v>43793</v>
      </c>
      <c r="C745" s="1" t="s">
        <v>14</v>
      </c>
      <c r="D745" s="1">
        <v>45</v>
      </c>
      <c r="E745" t="s">
        <v>23</v>
      </c>
      <c r="F745" t="s">
        <v>23</v>
      </c>
      <c r="G745" s="1">
        <v>4788.25</v>
      </c>
      <c r="H745">
        <v>0.01</v>
      </c>
      <c r="I745">
        <f>Sales_Data[[#This Row],[Sales]]*Sales_Data[[#This Row],[Discount]]</f>
        <v>47.8825</v>
      </c>
      <c r="J745">
        <v>4740.3675000000003</v>
      </c>
      <c r="K745" s="1">
        <v>79.599999999999994</v>
      </c>
      <c r="L745" s="1">
        <v>4708.6499999999996</v>
      </c>
      <c r="M745" s="1" t="s">
        <v>13</v>
      </c>
      <c r="N745" s="1">
        <f>IF(Sales_Data[[#This Row],[Sales with Discount]]&lt;Sales_Data[[#This Row],[Sales with Free Shipping]],Sales_Data[[#This Row],[Sales with Discount]],Sales_Data[[#This Row],[Sales with Free Shipping]])</f>
        <v>4708.6499999999996</v>
      </c>
      <c r="O745" s="1" t="str">
        <f>TEXT(Sales_Data[[#This Row],[Order Date]], "MM-YYYY")</f>
        <v>11-2019</v>
      </c>
    </row>
    <row r="746" spans="1:15" x14ac:dyDescent="0.3">
      <c r="A746" s="1">
        <v>39652</v>
      </c>
      <c r="B746" s="2">
        <v>43589</v>
      </c>
      <c r="C746" s="1" t="s">
        <v>7</v>
      </c>
      <c r="D746" s="1">
        <v>4</v>
      </c>
      <c r="E746" t="s">
        <v>16</v>
      </c>
      <c r="F746" t="s">
        <v>16</v>
      </c>
      <c r="G746" s="1">
        <v>712.37</v>
      </c>
      <c r="H746">
        <v>0</v>
      </c>
      <c r="I746">
        <f>Sales_Data[[#This Row],[Sales]]*Sales_Data[[#This Row],[Discount]]</f>
        <v>0</v>
      </c>
      <c r="J746">
        <v>712.37</v>
      </c>
      <c r="K746" s="1">
        <v>9.6</v>
      </c>
      <c r="L746" s="1">
        <v>712.37</v>
      </c>
      <c r="M746" s="1" t="s">
        <v>10</v>
      </c>
      <c r="N746" s="1">
        <f>IF(Sales_Data[[#This Row],[Sales with Discount]]&lt;Sales_Data[[#This Row],[Sales with Free Shipping]],Sales_Data[[#This Row],[Sales with Discount]],Sales_Data[[#This Row],[Sales with Free Shipping]])</f>
        <v>712.37</v>
      </c>
      <c r="O746" s="1" t="str">
        <f>TEXT(Sales_Data[[#This Row],[Order Date]], "MM-YYYY")</f>
        <v>05-2019</v>
      </c>
    </row>
    <row r="747" spans="1:15" x14ac:dyDescent="0.3">
      <c r="A747" s="1">
        <v>41766</v>
      </c>
      <c r="B747" s="2">
        <v>43719</v>
      </c>
      <c r="C747" s="1" t="s">
        <v>12</v>
      </c>
      <c r="D747" s="1">
        <v>7</v>
      </c>
      <c r="E747" t="s">
        <v>17</v>
      </c>
      <c r="F747" t="s">
        <v>17</v>
      </c>
      <c r="G747" s="1">
        <v>292.56</v>
      </c>
      <c r="H747">
        <v>0</v>
      </c>
      <c r="I747">
        <f>Sales_Data[[#This Row],[Sales]]*Sales_Data[[#This Row],[Discount]]</f>
        <v>0</v>
      </c>
      <c r="J747">
        <v>292.56</v>
      </c>
      <c r="K747" s="1">
        <v>15.8</v>
      </c>
      <c r="L747" s="1">
        <v>292.56</v>
      </c>
      <c r="M747" s="1" t="s">
        <v>10</v>
      </c>
      <c r="N747" s="1">
        <f>IF(Sales_Data[[#This Row],[Sales with Discount]]&lt;Sales_Data[[#This Row],[Sales with Free Shipping]],Sales_Data[[#This Row],[Sales with Discount]],Sales_Data[[#This Row],[Sales with Free Shipping]])</f>
        <v>292.56</v>
      </c>
      <c r="O747" s="1" t="str">
        <f>TEXT(Sales_Data[[#This Row],[Order Date]], "MM-YYYY")</f>
        <v>09-2019</v>
      </c>
    </row>
    <row r="748" spans="1:15" x14ac:dyDescent="0.3">
      <c r="A748" s="1">
        <v>17702</v>
      </c>
      <c r="B748" s="2">
        <v>43568</v>
      </c>
      <c r="C748" s="1" t="s">
        <v>9</v>
      </c>
      <c r="D748" s="1">
        <v>9</v>
      </c>
      <c r="E748" t="s">
        <v>17</v>
      </c>
      <c r="F748" t="s">
        <v>17</v>
      </c>
      <c r="G748" s="1">
        <v>283.14999999999998</v>
      </c>
      <c r="H748">
        <v>0</v>
      </c>
      <c r="I748">
        <f>Sales_Data[[#This Row],[Sales]]*Sales_Data[[#This Row],[Discount]]</f>
        <v>0</v>
      </c>
      <c r="J748">
        <v>283.14999999999998</v>
      </c>
      <c r="K748" s="1">
        <v>4.3</v>
      </c>
      <c r="L748" s="1">
        <v>283.14999999999998</v>
      </c>
      <c r="M748" s="1" t="s">
        <v>8</v>
      </c>
      <c r="N748" s="1">
        <f>IF(Sales_Data[[#This Row],[Sales with Discount]]&lt;Sales_Data[[#This Row],[Sales with Free Shipping]],Sales_Data[[#This Row],[Sales with Discount]],Sales_Data[[#This Row],[Sales with Free Shipping]])</f>
        <v>283.14999999999998</v>
      </c>
      <c r="O748" s="1" t="str">
        <f>TEXT(Sales_Data[[#This Row],[Order Date]], "MM-YYYY")</f>
        <v>04-2019</v>
      </c>
    </row>
    <row r="749" spans="1:15" x14ac:dyDescent="0.3">
      <c r="A749" s="1">
        <v>4416</v>
      </c>
      <c r="B749" s="2">
        <v>43645</v>
      </c>
      <c r="C749" s="1" t="s">
        <v>7</v>
      </c>
      <c r="D749" s="1">
        <v>46</v>
      </c>
      <c r="E749" t="s">
        <v>24</v>
      </c>
      <c r="F749" t="s">
        <v>24</v>
      </c>
      <c r="G749" s="1">
        <v>7962.18</v>
      </c>
      <c r="H749">
        <v>0.01</v>
      </c>
      <c r="I749">
        <f>Sales_Data[[#This Row],[Sales]]*Sales_Data[[#This Row],[Discount]]</f>
        <v>79.621800000000007</v>
      </c>
      <c r="J749">
        <v>7882.5582000000004</v>
      </c>
      <c r="K749" s="1">
        <v>21.4</v>
      </c>
      <c r="L749" s="1">
        <v>7940.7800000000007</v>
      </c>
      <c r="M749" s="1" t="s">
        <v>10</v>
      </c>
      <c r="N749" s="1">
        <f>IF(Sales_Data[[#This Row],[Sales with Discount]]&lt;Sales_Data[[#This Row],[Sales with Free Shipping]],Sales_Data[[#This Row],[Sales with Discount]],Sales_Data[[#This Row],[Sales with Free Shipping]])</f>
        <v>7882.5582000000004</v>
      </c>
      <c r="O749" s="1" t="str">
        <f>TEXT(Sales_Data[[#This Row],[Order Date]], "MM-YYYY")</f>
        <v>06-2019</v>
      </c>
    </row>
    <row r="750" spans="1:15" x14ac:dyDescent="0.3">
      <c r="A750" s="1">
        <v>49062</v>
      </c>
      <c r="B750" s="2">
        <v>43566</v>
      </c>
      <c r="C750" s="1" t="s">
        <v>7</v>
      </c>
      <c r="D750" s="1">
        <v>33</v>
      </c>
      <c r="E750" t="s">
        <v>21</v>
      </c>
      <c r="F750" t="s">
        <v>21</v>
      </c>
      <c r="G750" s="1">
        <v>110.55</v>
      </c>
      <c r="H750">
        <v>0</v>
      </c>
      <c r="I750">
        <f>Sales_Data[[#This Row],[Sales]]*Sales_Data[[#This Row],[Discount]]</f>
        <v>0</v>
      </c>
      <c r="J750">
        <v>110.55</v>
      </c>
      <c r="K750" s="1">
        <v>2.2000000000000002</v>
      </c>
      <c r="L750" s="1">
        <v>110.55</v>
      </c>
      <c r="M750" s="1" t="s">
        <v>10</v>
      </c>
      <c r="N750" s="1">
        <f>IF(Sales_Data[[#This Row],[Sales with Discount]]&lt;Sales_Data[[#This Row],[Sales with Free Shipping]],Sales_Data[[#This Row],[Sales with Discount]],Sales_Data[[#This Row],[Sales with Free Shipping]])</f>
        <v>110.55</v>
      </c>
      <c r="O750" s="1" t="str">
        <f>TEXT(Sales_Data[[#This Row],[Order Date]], "MM-YYYY")</f>
        <v>04-2019</v>
      </c>
    </row>
    <row r="751" spans="1:15" x14ac:dyDescent="0.3">
      <c r="A751" s="1">
        <v>22916</v>
      </c>
      <c r="B751" s="2">
        <v>43497</v>
      </c>
      <c r="C751" s="1" t="s">
        <v>14</v>
      </c>
      <c r="D751" s="1">
        <v>18</v>
      </c>
      <c r="E751" t="s">
        <v>19</v>
      </c>
      <c r="F751" t="s">
        <v>19</v>
      </c>
      <c r="G751" s="1">
        <v>130.56</v>
      </c>
      <c r="H751">
        <v>0</v>
      </c>
      <c r="I751">
        <f>Sales_Data[[#This Row],[Sales]]*Sales_Data[[#This Row],[Discount]]</f>
        <v>0</v>
      </c>
      <c r="J751">
        <v>130.56</v>
      </c>
      <c r="K751" s="1">
        <v>10.8</v>
      </c>
      <c r="L751" s="1">
        <v>130.56</v>
      </c>
      <c r="M751" s="1" t="s">
        <v>10</v>
      </c>
      <c r="N751" s="1">
        <f>IF(Sales_Data[[#This Row],[Sales with Discount]]&lt;Sales_Data[[#This Row],[Sales with Free Shipping]],Sales_Data[[#This Row],[Sales with Discount]],Sales_Data[[#This Row],[Sales with Free Shipping]])</f>
        <v>130.56</v>
      </c>
      <c r="O751" s="1" t="str">
        <f>TEXT(Sales_Data[[#This Row],[Order Date]], "MM-YYYY")</f>
        <v>02-2019</v>
      </c>
    </row>
    <row r="752" spans="1:15" x14ac:dyDescent="0.3">
      <c r="A752" s="1">
        <v>56514</v>
      </c>
      <c r="B752" s="2">
        <v>43506</v>
      </c>
      <c r="C752" s="1" t="s">
        <v>7</v>
      </c>
      <c r="D752" s="1">
        <v>35</v>
      </c>
      <c r="E752" t="s">
        <v>21</v>
      </c>
      <c r="F752" t="s">
        <v>21</v>
      </c>
      <c r="G752" s="1">
        <v>199.97</v>
      </c>
      <c r="H752">
        <v>0</v>
      </c>
      <c r="I752">
        <f>Sales_Data[[#This Row],[Sales]]*Sales_Data[[#This Row],[Discount]]</f>
        <v>0</v>
      </c>
      <c r="J752">
        <v>199.97</v>
      </c>
      <c r="K752" s="1">
        <v>8.1</v>
      </c>
      <c r="L752" s="1">
        <v>199.97</v>
      </c>
      <c r="M752" s="1" t="s">
        <v>10</v>
      </c>
      <c r="N752" s="1">
        <f>IF(Sales_Data[[#This Row],[Sales with Discount]]&lt;Sales_Data[[#This Row],[Sales with Free Shipping]],Sales_Data[[#This Row],[Sales with Discount]],Sales_Data[[#This Row],[Sales with Free Shipping]])</f>
        <v>199.97</v>
      </c>
      <c r="O752" s="1" t="str">
        <f>TEXT(Sales_Data[[#This Row],[Order Date]], "MM-YYYY")</f>
        <v>02-2019</v>
      </c>
    </row>
    <row r="753" spans="1:15" x14ac:dyDescent="0.3">
      <c r="A753" s="1">
        <v>3973</v>
      </c>
      <c r="B753" s="2">
        <v>43547</v>
      </c>
      <c r="C753" s="1" t="s">
        <v>11</v>
      </c>
      <c r="D753" s="1">
        <v>21</v>
      </c>
      <c r="E753" t="s">
        <v>14</v>
      </c>
      <c r="F753" t="s">
        <v>14</v>
      </c>
      <c r="G753" s="1">
        <v>338.49</v>
      </c>
      <c r="H753">
        <v>0</v>
      </c>
      <c r="I753">
        <f>Sales_Data[[#This Row],[Sales]]*Sales_Data[[#This Row],[Discount]]</f>
        <v>0</v>
      </c>
      <c r="J753">
        <v>338.49</v>
      </c>
      <c r="K753" s="1">
        <v>4</v>
      </c>
      <c r="L753" s="1">
        <v>338.49</v>
      </c>
      <c r="M753" s="1" t="s">
        <v>10</v>
      </c>
      <c r="N753" s="1">
        <f>IF(Sales_Data[[#This Row],[Sales with Discount]]&lt;Sales_Data[[#This Row],[Sales with Free Shipping]],Sales_Data[[#This Row],[Sales with Discount]],Sales_Data[[#This Row],[Sales with Free Shipping]])</f>
        <v>338.49</v>
      </c>
      <c r="O753" s="1" t="str">
        <f>TEXT(Sales_Data[[#This Row],[Order Date]], "MM-YYYY")</f>
        <v>03-2019</v>
      </c>
    </row>
    <row r="754" spans="1:15" x14ac:dyDescent="0.3">
      <c r="A754" s="1">
        <v>5891</v>
      </c>
      <c r="B754" s="2">
        <v>43827</v>
      </c>
      <c r="C754" s="1" t="s">
        <v>14</v>
      </c>
      <c r="D754" s="1">
        <v>2</v>
      </c>
      <c r="E754" t="s">
        <v>16</v>
      </c>
      <c r="F754" t="s">
        <v>16</v>
      </c>
      <c r="G754" s="1">
        <v>47.56</v>
      </c>
      <c r="H754">
        <v>0</v>
      </c>
      <c r="I754">
        <f>Sales_Data[[#This Row],[Sales]]*Sales_Data[[#This Row],[Discount]]</f>
        <v>0</v>
      </c>
      <c r="J754">
        <v>47.56</v>
      </c>
      <c r="K754" s="1">
        <v>1.6</v>
      </c>
      <c r="L754" s="1">
        <v>47.56</v>
      </c>
      <c r="M754" s="1" t="s">
        <v>10</v>
      </c>
      <c r="N754" s="1">
        <f>IF(Sales_Data[[#This Row],[Sales with Discount]]&lt;Sales_Data[[#This Row],[Sales with Free Shipping]],Sales_Data[[#This Row],[Sales with Discount]],Sales_Data[[#This Row],[Sales with Free Shipping]])</f>
        <v>47.56</v>
      </c>
      <c r="O754" s="1" t="str">
        <f>TEXT(Sales_Data[[#This Row],[Order Date]], "MM-YYYY")</f>
        <v>12-2019</v>
      </c>
    </row>
    <row r="755" spans="1:15" x14ac:dyDescent="0.3">
      <c r="A755" s="1">
        <v>17959</v>
      </c>
      <c r="B755" s="2">
        <v>43717</v>
      </c>
      <c r="C755" s="1" t="s">
        <v>14</v>
      </c>
      <c r="D755" s="1">
        <v>28</v>
      </c>
      <c r="E755" t="s">
        <v>20</v>
      </c>
      <c r="F755" t="s">
        <v>20</v>
      </c>
      <c r="G755" s="1">
        <v>1285.8</v>
      </c>
      <c r="H755">
        <v>0</v>
      </c>
      <c r="I755">
        <f>Sales_Data[[#This Row],[Sales]]*Sales_Data[[#This Row],[Discount]]</f>
        <v>0</v>
      </c>
      <c r="J755">
        <v>1285.8</v>
      </c>
      <c r="K755" s="1">
        <v>21.4</v>
      </c>
      <c r="L755" s="1">
        <v>1285.8</v>
      </c>
      <c r="M755" s="1" t="s">
        <v>10</v>
      </c>
      <c r="N755" s="1">
        <f>IF(Sales_Data[[#This Row],[Sales with Discount]]&lt;Sales_Data[[#This Row],[Sales with Free Shipping]],Sales_Data[[#This Row],[Sales with Discount]],Sales_Data[[#This Row],[Sales with Free Shipping]])</f>
        <v>1285.8</v>
      </c>
      <c r="O755" s="1" t="str">
        <f>TEXT(Sales_Data[[#This Row],[Order Date]], "MM-YYYY")</f>
        <v>09-2019</v>
      </c>
    </row>
    <row r="756" spans="1:15" x14ac:dyDescent="0.3">
      <c r="A756" s="1">
        <v>30054</v>
      </c>
      <c r="B756" s="2">
        <v>43709</v>
      </c>
      <c r="C756" s="1" t="s">
        <v>11</v>
      </c>
      <c r="D756" s="1">
        <v>33</v>
      </c>
      <c r="E756" t="s">
        <v>21</v>
      </c>
      <c r="F756" t="s">
        <v>21</v>
      </c>
      <c r="G756" s="1">
        <v>332.97</v>
      </c>
      <c r="H756">
        <v>0</v>
      </c>
      <c r="I756">
        <f>Sales_Data[[#This Row],[Sales]]*Sales_Data[[#This Row],[Discount]]</f>
        <v>0</v>
      </c>
      <c r="J756">
        <v>332.97</v>
      </c>
      <c r="K756" s="1">
        <v>5.3</v>
      </c>
      <c r="L756" s="1">
        <v>332.97</v>
      </c>
      <c r="M756" s="1" t="s">
        <v>10</v>
      </c>
      <c r="N756" s="1">
        <f>IF(Sales_Data[[#This Row],[Sales with Discount]]&lt;Sales_Data[[#This Row],[Sales with Free Shipping]],Sales_Data[[#This Row],[Sales with Discount]],Sales_Data[[#This Row],[Sales with Free Shipping]])</f>
        <v>332.97</v>
      </c>
      <c r="O756" s="1" t="str">
        <f>TEXT(Sales_Data[[#This Row],[Order Date]], "MM-YYYY")</f>
        <v>09-2019</v>
      </c>
    </row>
    <row r="757" spans="1:15" x14ac:dyDescent="0.3">
      <c r="A757" s="1">
        <v>58113</v>
      </c>
      <c r="B757" s="2">
        <v>43496</v>
      </c>
      <c r="C757" s="1" t="s">
        <v>9</v>
      </c>
      <c r="D757" s="1">
        <v>48</v>
      </c>
      <c r="E757" t="s">
        <v>24</v>
      </c>
      <c r="F757" t="s">
        <v>24</v>
      </c>
      <c r="G757" s="1">
        <v>388.1</v>
      </c>
      <c r="H757">
        <v>0.01</v>
      </c>
      <c r="I757">
        <f>Sales_Data[[#This Row],[Sales]]*Sales_Data[[#This Row],[Discount]]</f>
        <v>3.8810000000000002</v>
      </c>
      <c r="J757">
        <v>384.21899999999999</v>
      </c>
      <c r="K757" s="1">
        <v>6.6</v>
      </c>
      <c r="L757" s="1">
        <v>381.5</v>
      </c>
      <c r="M757" s="1" t="s">
        <v>10</v>
      </c>
      <c r="N757" s="1">
        <f>IF(Sales_Data[[#This Row],[Sales with Discount]]&lt;Sales_Data[[#This Row],[Sales with Free Shipping]],Sales_Data[[#This Row],[Sales with Discount]],Sales_Data[[#This Row],[Sales with Free Shipping]])</f>
        <v>381.5</v>
      </c>
      <c r="O757" s="1" t="str">
        <f>TEXT(Sales_Data[[#This Row],[Order Date]], "MM-YYYY")</f>
        <v>01-2019</v>
      </c>
    </row>
    <row r="758" spans="1:15" x14ac:dyDescent="0.3">
      <c r="A758" s="1">
        <v>39783</v>
      </c>
      <c r="B758" s="2">
        <v>43728</v>
      </c>
      <c r="C758" s="1" t="s">
        <v>11</v>
      </c>
      <c r="D758" s="1">
        <v>31</v>
      </c>
      <c r="E758" t="s">
        <v>21</v>
      </c>
      <c r="F758" t="s">
        <v>21</v>
      </c>
      <c r="G758" s="1">
        <v>316.69</v>
      </c>
      <c r="H758">
        <v>0</v>
      </c>
      <c r="I758">
        <f>Sales_Data[[#This Row],[Sales]]*Sales_Data[[#This Row],[Discount]]</f>
        <v>0</v>
      </c>
      <c r="J758">
        <v>316.69</v>
      </c>
      <c r="K758" s="1">
        <v>6</v>
      </c>
      <c r="L758" s="1">
        <v>316.69</v>
      </c>
      <c r="M758" s="1" t="s">
        <v>10</v>
      </c>
      <c r="N758" s="1">
        <f>IF(Sales_Data[[#This Row],[Sales with Discount]]&lt;Sales_Data[[#This Row],[Sales with Free Shipping]],Sales_Data[[#This Row],[Sales with Discount]],Sales_Data[[#This Row],[Sales with Free Shipping]])</f>
        <v>316.69</v>
      </c>
      <c r="O758" s="1" t="str">
        <f>TEXT(Sales_Data[[#This Row],[Order Date]], "MM-YYYY")</f>
        <v>09-2019</v>
      </c>
    </row>
    <row r="759" spans="1:15" x14ac:dyDescent="0.3">
      <c r="A759" s="1">
        <v>24067</v>
      </c>
      <c r="B759" s="2">
        <v>43699</v>
      </c>
      <c r="C759" s="1" t="s">
        <v>9</v>
      </c>
      <c r="D759" s="1">
        <v>30</v>
      </c>
      <c r="E759" t="s">
        <v>20</v>
      </c>
      <c r="F759" t="s">
        <v>20</v>
      </c>
      <c r="G759" s="1">
        <v>137.22999999999999</v>
      </c>
      <c r="H759">
        <v>0</v>
      </c>
      <c r="I759">
        <f>Sales_Data[[#This Row],[Sales]]*Sales_Data[[#This Row],[Discount]]</f>
        <v>0</v>
      </c>
      <c r="J759">
        <v>137.22999999999999</v>
      </c>
      <c r="K759" s="1">
        <v>5.6</v>
      </c>
      <c r="L759" s="1">
        <v>137.22999999999999</v>
      </c>
      <c r="M759" s="1" t="s">
        <v>8</v>
      </c>
      <c r="N759" s="1">
        <f>IF(Sales_Data[[#This Row],[Sales with Discount]]&lt;Sales_Data[[#This Row],[Sales with Free Shipping]],Sales_Data[[#This Row],[Sales with Discount]],Sales_Data[[#This Row],[Sales with Free Shipping]])</f>
        <v>137.22999999999999</v>
      </c>
      <c r="O759" s="1" t="str">
        <f>TEXT(Sales_Data[[#This Row],[Order Date]], "MM-YYYY")</f>
        <v>08-2019</v>
      </c>
    </row>
    <row r="760" spans="1:15" x14ac:dyDescent="0.3">
      <c r="A760" s="1">
        <v>42753</v>
      </c>
      <c r="B760" s="2">
        <v>43482</v>
      </c>
      <c r="C760" s="1" t="s">
        <v>14</v>
      </c>
      <c r="D760" s="1">
        <v>45</v>
      </c>
      <c r="E760" t="s">
        <v>23</v>
      </c>
      <c r="F760" t="s">
        <v>23</v>
      </c>
      <c r="G760" s="1">
        <v>4357.91</v>
      </c>
      <c r="H760">
        <v>0.01</v>
      </c>
      <c r="I760">
        <f>Sales_Data[[#This Row],[Sales]]*Sales_Data[[#This Row],[Discount]]</f>
        <v>43.579099999999997</v>
      </c>
      <c r="J760">
        <v>4314.3308999999999</v>
      </c>
      <c r="K760" s="1">
        <v>3.2</v>
      </c>
      <c r="L760" s="1">
        <v>4354.71</v>
      </c>
      <c r="M760" s="1" t="s">
        <v>10</v>
      </c>
      <c r="N760" s="1">
        <f>IF(Sales_Data[[#This Row],[Sales with Discount]]&lt;Sales_Data[[#This Row],[Sales with Free Shipping]],Sales_Data[[#This Row],[Sales with Discount]],Sales_Data[[#This Row],[Sales with Free Shipping]])</f>
        <v>4314.3308999999999</v>
      </c>
      <c r="O760" s="1" t="str">
        <f>TEXT(Sales_Data[[#This Row],[Order Date]], "MM-YYYY")</f>
        <v>01-2019</v>
      </c>
    </row>
    <row r="761" spans="1:15" x14ac:dyDescent="0.3">
      <c r="A761" s="1">
        <v>52225</v>
      </c>
      <c r="B761" s="2">
        <v>43567</v>
      </c>
      <c r="C761" s="1" t="s">
        <v>12</v>
      </c>
      <c r="D761" s="1">
        <v>33</v>
      </c>
      <c r="E761" t="s">
        <v>21</v>
      </c>
      <c r="F761" t="s">
        <v>21</v>
      </c>
      <c r="G761" s="1">
        <v>1945.15</v>
      </c>
      <c r="H761">
        <v>0</v>
      </c>
      <c r="I761">
        <f>Sales_Data[[#This Row],[Sales]]*Sales_Data[[#This Row],[Discount]]</f>
        <v>0</v>
      </c>
      <c r="J761">
        <v>1945.15</v>
      </c>
      <c r="K761" s="1">
        <v>11.5</v>
      </c>
      <c r="L761" s="1">
        <v>1945.15</v>
      </c>
      <c r="M761" s="1" t="s">
        <v>10</v>
      </c>
      <c r="N761" s="1">
        <f>IF(Sales_Data[[#This Row],[Sales with Discount]]&lt;Sales_Data[[#This Row],[Sales with Free Shipping]],Sales_Data[[#This Row],[Sales with Discount]],Sales_Data[[#This Row],[Sales with Free Shipping]])</f>
        <v>1945.15</v>
      </c>
      <c r="O761" s="1" t="str">
        <f>TEXT(Sales_Data[[#This Row],[Order Date]], "MM-YYYY")</f>
        <v>04-2019</v>
      </c>
    </row>
    <row r="762" spans="1:15" x14ac:dyDescent="0.3">
      <c r="A762" s="1">
        <v>17702</v>
      </c>
      <c r="B762" s="2">
        <v>43568</v>
      </c>
      <c r="C762" s="1" t="s">
        <v>9</v>
      </c>
      <c r="D762" s="1">
        <v>48</v>
      </c>
      <c r="E762" t="s">
        <v>24</v>
      </c>
      <c r="F762" t="s">
        <v>24</v>
      </c>
      <c r="G762" s="1">
        <v>394.82</v>
      </c>
      <c r="H762">
        <v>0.01</v>
      </c>
      <c r="I762">
        <f>Sales_Data[[#This Row],[Sales]]*Sales_Data[[#This Row],[Discount]]</f>
        <v>3.9481999999999999</v>
      </c>
      <c r="J762">
        <v>390.87180000000001</v>
      </c>
      <c r="K762" s="1">
        <v>9.9</v>
      </c>
      <c r="L762" s="1">
        <v>384.92</v>
      </c>
      <c r="M762" s="1" t="s">
        <v>10</v>
      </c>
      <c r="N762" s="1">
        <f>IF(Sales_Data[[#This Row],[Sales with Discount]]&lt;Sales_Data[[#This Row],[Sales with Free Shipping]],Sales_Data[[#This Row],[Sales with Discount]],Sales_Data[[#This Row],[Sales with Free Shipping]])</f>
        <v>384.92</v>
      </c>
      <c r="O762" s="1" t="str">
        <f>TEXT(Sales_Data[[#This Row],[Order Date]], "MM-YYYY")</f>
        <v>04-2019</v>
      </c>
    </row>
    <row r="763" spans="1:15" x14ac:dyDescent="0.3">
      <c r="A763" s="1">
        <v>42469</v>
      </c>
      <c r="B763" s="2">
        <v>43777</v>
      </c>
      <c r="C763" s="1" t="s">
        <v>11</v>
      </c>
      <c r="D763" s="1">
        <v>18</v>
      </c>
      <c r="E763" t="s">
        <v>19</v>
      </c>
      <c r="F763" t="s">
        <v>19</v>
      </c>
      <c r="G763" s="1">
        <v>2279.9774000000002</v>
      </c>
      <c r="H763">
        <v>0</v>
      </c>
      <c r="I763">
        <f>Sales_Data[[#This Row],[Sales]]*Sales_Data[[#This Row],[Discount]]</f>
        <v>0</v>
      </c>
      <c r="J763">
        <v>2279.9774000000002</v>
      </c>
      <c r="K763" s="1">
        <v>9.6999999999999993</v>
      </c>
      <c r="L763" s="1">
        <v>2279.9774000000002</v>
      </c>
      <c r="M763" s="1" t="s">
        <v>10</v>
      </c>
      <c r="N763" s="1">
        <f>IF(Sales_Data[[#This Row],[Sales with Discount]]&lt;Sales_Data[[#This Row],[Sales with Free Shipping]],Sales_Data[[#This Row],[Sales with Discount]],Sales_Data[[#This Row],[Sales with Free Shipping]])</f>
        <v>2279.9774000000002</v>
      </c>
      <c r="O763" s="1" t="str">
        <f>TEXT(Sales_Data[[#This Row],[Order Date]], "MM-YYYY")</f>
        <v>11-2019</v>
      </c>
    </row>
    <row r="764" spans="1:15" x14ac:dyDescent="0.3">
      <c r="A764" s="1">
        <v>52645</v>
      </c>
      <c r="B764" s="2">
        <v>43531</v>
      </c>
      <c r="C764" s="1" t="s">
        <v>7</v>
      </c>
      <c r="D764" s="1">
        <v>11</v>
      </c>
      <c r="E764" t="s">
        <v>18</v>
      </c>
      <c r="F764" t="s">
        <v>18</v>
      </c>
      <c r="G764" s="1">
        <v>68.84</v>
      </c>
      <c r="H764">
        <v>0</v>
      </c>
      <c r="I764">
        <f>Sales_Data[[#This Row],[Sales]]*Sales_Data[[#This Row],[Discount]]</f>
        <v>0</v>
      </c>
      <c r="J764">
        <v>68.84</v>
      </c>
      <c r="K764" s="1">
        <v>2.4</v>
      </c>
      <c r="L764" s="1">
        <v>68.84</v>
      </c>
      <c r="M764" s="1" t="s">
        <v>10</v>
      </c>
      <c r="N764" s="1">
        <f>IF(Sales_Data[[#This Row],[Sales with Discount]]&lt;Sales_Data[[#This Row],[Sales with Free Shipping]],Sales_Data[[#This Row],[Sales with Discount]],Sales_Data[[#This Row],[Sales with Free Shipping]])</f>
        <v>68.84</v>
      </c>
      <c r="O764" s="1" t="str">
        <f>TEXT(Sales_Data[[#This Row],[Order Date]], "MM-YYYY")</f>
        <v>03-2019</v>
      </c>
    </row>
    <row r="765" spans="1:15" x14ac:dyDescent="0.3">
      <c r="A765" s="1">
        <v>28742</v>
      </c>
      <c r="B765" s="2">
        <v>43584</v>
      </c>
      <c r="C765" s="1" t="s">
        <v>7</v>
      </c>
      <c r="D765" s="1">
        <v>7</v>
      </c>
      <c r="E765" t="s">
        <v>17</v>
      </c>
      <c r="F765" t="s">
        <v>17</v>
      </c>
      <c r="G765" s="1">
        <v>2323.4699999999998</v>
      </c>
      <c r="H765">
        <v>0</v>
      </c>
      <c r="I765">
        <f>Sales_Data[[#This Row],[Sales]]*Sales_Data[[#This Row],[Discount]]</f>
        <v>0</v>
      </c>
      <c r="J765">
        <v>2323.4699999999998</v>
      </c>
      <c r="K765" s="1">
        <v>91.6</v>
      </c>
      <c r="L765" s="1">
        <v>2323.4699999999998</v>
      </c>
      <c r="M765" s="1" t="s">
        <v>13</v>
      </c>
      <c r="N765" s="1">
        <f>IF(Sales_Data[[#This Row],[Sales with Discount]]&lt;Sales_Data[[#This Row],[Sales with Free Shipping]],Sales_Data[[#This Row],[Sales with Discount]],Sales_Data[[#This Row],[Sales with Free Shipping]])</f>
        <v>2323.4699999999998</v>
      </c>
      <c r="O765" s="1" t="str">
        <f>TEXT(Sales_Data[[#This Row],[Order Date]], "MM-YYYY")</f>
        <v>04-2019</v>
      </c>
    </row>
    <row r="766" spans="1:15" x14ac:dyDescent="0.3">
      <c r="A766" s="1">
        <v>5121</v>
      </c>
      <c r="B766" s="2">
        <v>43595</v>
      </c>
      <c r="C766" s="1" t="s">
        <v>11</v>
      </c>
      <c r="D766" s="1">
        <v>45</v>
      </c>
      <c r="E766" t="s">
        <v>23</v>
      </c>
      <c r="F766" t="s">
        <v>23</v>
      </c>
      <c r="G766" s="1">
        <v>2131.12</v>
      </c>
      <c r="H766">
        <v>0.01</v>
      </c>
      <c r="I766">
        <f>Sales_Data[[#This Row],[Sales]]*Sales_Data[[#This Row],[Discount]]</f>
        <v>21.311199999999999</v>
      </c>
      <c r="J766">
        <v>2109.8087999999998</v>
      </c>
      <c r="K766" s="1">
        <v>1.3</v>
      </c>
      <c r="L766" s="1">
        <v>2129.8199999999997</v>
      </c>
      <c r="M766" s="1" t="s">
        <v>10</v>
      </c>
      <c r="N766" s="1">
        <f>IF(Sales_Data[[#This Row],[Sales with Discount]]&lt;Sales_Data[[#This Row],[Sales with Free Shipping]],Sales_Data[[#This Row],[Sales with Discount]],Sales_Data[[#This Row],[Sales with Free Shipping]])</f>
        <v>2109.8087999999998</v>
      </c>
      <c r="O766" s="1" t="str">
        <f>TEXT(Sales_Data[[#This Row],[Order Date]], "MM-YYYY")</f>
        <v>05-2019</v>
      </c>
    </row>
    <row r="767" spans="1:15" x14ac:dyDescent="0.3">
      <c r="A767" s="1">
        <v>12711</v>
      </c>
      <c r="B767" s="2">
        <v>43514</v>
      </c>
      <c r="C767" s="1" t="s">
        <v>12</v>
      </c>
      <c r="D767" s="1">
        <v>45</v>
      </c>
      <c r="E767" t="s">
        <v>23</v>
      </c>
      <c r="F767" t="s">
        <v>23</v>
      </c>
      <c r="G767" s="1">
        <v>597.1</v>
      </c>
      <c r="H767">
        <v>0.01</v>
      </c>
      <c r="I767">
        <f>Sales_Data[[#This Row],[Sales]]*Sales_Data[[#This Row],[Discount]]</f>
        <v>5.9710000000000001</v>
      </c>
      <c r="J767">
        <v>591.12900000000002</v>
      </c>
      <c r="K767" s="1">
        <v>3.4</v>
      </c>
      <c r="L767" s="1">
        <v>593.70000000000005</v>
      </c>
      <c r="M767" s="1" t="s">
        <v>10</v>
      </c>
      <c r="N767" s="1">
        <f>IF(Sales_Data[[#This Row],[Sales with Discount]]&lt;Sales_Data[[#This Row],[Sales with Free Shipping]],Sales_Data[[#This Row],[Sales with Discount]],Sales_Data[[#This Row],[Sales with Free Shipping]])</f>
        <v>591.12900000000002</v>
      </c>
      <c r="O767" s="1" t="str">
        <f>TEXT(Sales_Data[[#This Row],[Order Date]], "MM-YYYY")</f>
        <v>02-2019</v>
      </c>
    </row>
    <row r="768" spans="1:15" x14ac:dyDescent="0.3">
      <c r="A768" s="1">
        <v>2146</v>
      </c>
      <c r="B768" s="2">
        <v>43721</v>
      </c>
      <c r="C768" s="1" t="s">
        <v>11</v>
      </c>
      <c r="D768" s="1">
        <v>44</v>
      </c>
      <c r="E768" t="s">
        <v>23</v>
      </c>
      <c r="F768" t="s">
        <v>23</v>
      </c>
      <c r="G768" s="1">
        <v>121.67</v>
      </c>
      <c r="H768">
        <v>0.01</v>
      </c>
      <c r="I768">
        <f>Sales_Data[[#This Row],[Sales]]*Sales_Data[[#This Row],[Discount]]</f>
        <v>1.2167000000000001</v>
      </c>
      <c r="J768">
        <v>120.4533</v>
      </c>
      <c r="K768" s="1">
        <v>0.5</v>
      </c>
      <c r="L768" s="1">
        <v>121.17</v>
      </c>
      <c r="M768" s="1" t="s">
        <v>10</v>
      </c>
      <c r="N768" s="1">
        <f>IF(Sales_Data[[#This Row],[Sales with Discount]]&lt;Sales_Data[[#This Row],[Sales with Free Shipping]],Sales_Data[[#This Row],[Sales with Discount]],Sales_Data[[#This Row],[Sales with Free Shipping]])</f>
        <v>120.4533</v>
      </c>
      <c r="O768" s="1" t="str">
        <f>TEXT(Sales_Data[[#This Row],[Order Date]], "MM-YYYY")</f>
        <v>09-2019</v>
      </c>
    </row>
    <row r="769" spans="1:15" x14ac:dyDescent="0.3">
      <c r="A769" s="1">
        <v>21605</v>
      </c>
      <c r="B769" s="2">
        <v>43563</v>
      </c>
      <c r="C769" s="1" t="s">
        <v>9</v>
      </c>
      <c r="D769" s="1">
        <v>32</v>
      </c>
      <c r="E769" t="s">
        <v>21</v>
      </c>
      <c r="F769" t="s">
        <v>21</v>
      </c>
      <c r="G769" s="1">
        <v>2068.2800000000002</v>
      </c>
      <c r="H769">
        <v>0</v>
      </c>
      <c r="I769">
        <f>Sales_Data[[#This Row],[Sales]]*Sales_Data[[#This Row],[Discount]]</f>
        <v>0</v>
      </c>
      <c r="J769">
        <v>2068.2800000000002</v>
      </c>
      <c r="K769" s="1">
        <v>32.1</v>
      </c>
      <c r="L769" s="1">
        <v>2068.2800000000002</v>
      </c>
      <c r="M769" s="1" t="s">
        <v>13</v>
      </c>
      <c r="N769" s="1">
        <f>IF(Sales_Data[[#This Row],[Sales with Discount]]&lt;Sales_Data[[#This Row],[Sales with Free Shipping]],Sales_Data[[#This Row],[Sales with Discount]],Sales_Data[[#This Row],[Sales with Free Shipping]])</f>
        <v>2068.2800000000002</v>
      </c>
      <c r="O769" s="1" t="str">
        <f>TEXT(Sales_Data[[#This Row],[Order Date]], "MM-YYYY")</f>
        <v>04-2019</v>
      </c>
    </row>
    <row r="770" spans="1:15" x14ac:dyDescent="0.3">
      <c r="A770" s="1">
        <v>31270</v>
      </c>
      <c r="B770" s="2">
        <v>43792</v>
      </c>
      <c r="C770" s="1" t="s">
        <v>14</v>
      </c>
      <c r="D770" s="1">
        <v>5</v>
      </c>
      <c r="E770" t="s">
        <v>16</v>
      </c>
      <c r="F770" t="s">
        <v>16</v>
      </c>
      <c r="G770" s="1">
        <v>176.59</v>
      </c>
      <c r="H770">
        <v>0</v>
      </c>
      <c r="I770">
        <f>Sales_Data[[#This Row],[Sales]]*Sales_Data[[#This Row],[Discount]]</f>
        <v>0</v>
      </c>
      <c r="J770">
        <v>176.59</v>
      </c>
      <c r="K770" s="1">
        <v>9.3000000000000007</v>
      </c>
      <c r="L770" s="1">
        <v>176.59</v>
      </c>
      <c r="M770" s="1" t="s">
        <v>10</v>
      </c>
      <c r="N770" s="1">
        <f>IF(Sales_Data[[#This Row],[Sales with Discount]]&lt;Sales_Data[[#This Row],[Sales with Free Shipping]],Sales_Data[[#This Row],[Sales with Discount]],Sales_Data[[#This Row],[Sales with Free Shipping]])</f>
        <v>176.59</v>
      </c>
      <c r="O770" s="1" t="str">
        <f>TEXT(Sales_Data[[#This Row],[Order Date]], "MM-YYYY")</f>
        <v>11-2019</v>
      </c>
    </row>
    <row r="771" spans="1:15" x14ac:dyDescent="0.3">
      <c r="A771" s="1">
        <v>41378</v>
      </c>
      <c r="B771" s="2">
        <v>43767</v>
      </c>
      <c r="C771" s="1" t="s">
        <v>11</v>
      </c>
      <c r="D771" s="1">
        <v>30</v>
      </c>
      <c r="E771" t="s">
        <v>20</v>
      </c>
      <c r="F771" t="s">
        <v>20</v>
      </c>
      <c r="G771" s="1">
        <v>5836.33</v>
      </c>
      <c r="H771">
        <v>0</v>
      </c>
      <c r="I771">
        <f>Sales_Data[[#This Row],[Sales]]*Sales_Data[[#This Row],[Discount]]</f>
        <v>0</v>
      </c>
      <c r="J771">
        <v>5836.33</v>
      </c>
      <c r="K771" s="1">
        <v>32.1</v>
      </c>
      <c r="L771" s="1">
        <v>5836.33</v>
      </c>
      <c r="M771" s="1" t="s">
        <v>13</v>
      </c>
      <c r="N771" s="1">
        <f>IF(Sales_Data[[#This Row],[Sales with Discount]]&lt;Sales_Data[[#This Row],[Sales with Free Shipping]],Sales_Data[[#This Row],[Sales with Discount]],Sales_Data[[#This Row],[Sales with Free Shipping]])</f>
        <v>5836.33</v>
      </c>
      <c r="O771" s="1" t="str">
        <f>TEXT(Sales_Data[[#This Row],[Order Date]], "MM-YYYY")</f>
        <v>10-2019</v>
      </c>
    </row>
    <row r="772" spans="1:15" x14ac:dyDescent="0.3">
      <c r="A772" s="1">
        <v>49954</v>
      </c>
      <c r="B772" s="2">
        <v>43522</v>
      </c>
      <c r="C772" s="1" t="s">
        <v>12</v>
      </c>
      <c r="D772" s="1">
        <v>36</v>
      </c>
      <c r="E772" t="s">
        <v>22</v>
      </c>
      <c r="F772" t="s">
        <v>22</v>
      </c>
      <c r="G772" s="1">
        <v>2055.61</v>
      </c>
      <c r="H772">
        <v>0.01</v>
      </c>
      <c r="I772">
        <f>Sales_Data[[#This Row],[Sales]]*Sales_Data[[#This Row],[Discount]]</f>
        <v>20.556100000000001</v>
      </c>
      <c r="J772">
        <v>2035.0539000000001</v>
      </c>
      <c r="K772" s="1">
        <v>9.6</v>
      </c>
      <c r="L772" s="1">
        <v>2046.0100000000002</v>
      </c>
      <c r="M772" s="1" t="s">
        <v>10</v>
      </c>
      <c r="N772" s="1">
        <f>IF(Sales_Data[[#This Row],[Sales with Discount]]&lt;Sales_Data[[#This Row],[Sales with Free Shipping]],Sales_Data[[#This Row],[Sales with Discount]],Sales_Data[[#This Row],[Sales with Free Shipping]])</f>
        <v>2035.0539000000001</v>
      </c>
      <c r="O772" s="1" t="str">
        <f>TEXT(Sales_Data[[#This Row],[Order Date]], "MM-YYYY")</f>
        <v>02-2019</v>
      </c>
    </row>
    <row r="773" spans="1:15" x14ac:dyDescent="0.3">
      <c r="A773" s="1">
        <v>322</v>
      </c>
      <c r="B773" s="2">
        <v>43542</v>
      </c>
      <c r="C773" s="1" t="s">
        <v>12</v>
      </c>
      <c r="D773" s="1">
        <v>20</v>
      </c>
      <c r="E773" t="s">
        <v>19</v>
      </c>
      <c r="F773" t="s">
        <v>19</v>
      </c>
      <c r="G773" s="1">
        <v>2819.3</v>
      </c>
      <c r="H773">
        <v>0</v>
      </c>
      <c r="I773">
        <f>Sales_Data[[#This Row],[Sales]]*Sales_Data[[#This Row],[Discount]]</f>
        <v>0</v>
      </c>
      <c r="J773">
        <v>2819.3</v>
      </c>
      <c r="K773" s="1">
        <v>8.6</v>
      </c>
      <c r="L773" s="1">
        <v>2819.3</v>
      </c>
      <c r="M773" s="1" t="s">
        <v>10</v>
      </c>
      <c r="N773" s="1">
        <f>IF(Sales_Data[[#This Row],[Sales with Discount]]&lt;Sales_Data[[#This Row],[Sales with Free Shipping]],Sales_Data[[#This Row],[Sales with Discount]],Sales_Data[[#This Row],[Sales with Free Shipping]])</f>
        <v>2819.3</v>
      </c>
      <c r="O773" s="1" t="str">
        <f>TEXT(Sales_Data[[#This Row],[Order Date]], "MM-YYYY")</f>
        <v>03-2019</v>
      </c>
    </row>
    <row r="774" spans="1:15" x14ac:dyDescent="0.3">
      <c r="A774" s="1">
        <v>3655</v>
      </c>
      <c r="B774" s="2">
        <v>43743</v>
      </c>
      <c r="C774" s="1" t="s">
        <v>12</v>
      </c>
      <c r="D774" s="1">
        <v>3</v>
      </c>
      <c r="E774" t="s">
        <v>16</v>
      </c>
      <c r="F774" t="s">
        <v>16</v>
      </c>
      <c r="G774" s="1">
        <v>66.92</v>
      </c>
      <c r="H774">
        <v>0</v>
      </c>
      <c r="I774">
        <f>Sales_Data[[#This Row],[Sales]]*Sales_Data[[#This Row],[Discount]]</f>
        <v>0</v>
      </c>
      <c r="J774">
        <v>66.92</v>
      </c>
      <c r="K774" s="1">
        <v>14.1</v>
      </c>
      <c r="L774" s="1">
        <v>66.92</v>
      </c>
      <c r="M774" s="1" t="s">
        <v>10</v>
      </c>
      <c r="N774" s="1">
        <f>IF(Sales_Data[[#This Row],[Sales with Discount]]&lt;Sales_Data[[#This Row],[Sales with Free Shipping]],Sales_Data[[#This Row],[Sales with Discount]],Sales_Data[[#This Row],[Sales with Free Shipping]])</f>
        <v>66.92</v>
      </c>
      <c r="O774" s="1" t="str">
        <f>TEXT(Sales_Data[[#This Row],[Order Date]], "MM-YYYY")</f>
        <v>10-2019</v>
      </c>
    </row>
    <row r="775" spans="1:15" x14ac:dyDescent="0.3">
      <c r="A775" s="1">
        <v>24098</v>
      </c>
      <c r="B775" s="2">
        <v>43572</v>
      </c>
      <c r="C775" s="1" t="s">
        <v>12</v>
      </c>
      <c r="D775" s="1">
        <v>42</v>
      </c>
      <c r="E775" t="s">
        <v>23</v>
      </c>
      <c r="F775" t="s">
        <v>23</v>
      </c>
      <c r="G775" s="1">
        <v>213.55</v>
      </c>
      <c r="H775">
        <v>0.01</v>
      </c>
      <c r="I775">
        <f>Sales_Data[[#This Row],[Sales]]*Sales_Data[[#This Row],[Discount]]</f>
        <v>2.1355</v>
      </c>
      <c r="J775">
        <v>211.4145</v>
      </c>
      <c r="K775" s="1">
        <v>1.6</v>
      </c>
      <c r="L775" s="1">
        <v>211.95000000000002</v>
      </c>
      <c r="M775" s="1" t="s">
        <v>10</v>
      </c>
      <c r="N775" s="1">
        <f>IF(Sales_Data[[#This Row],[Sales with Discount]]&lt;Sales_Data[[#This Row],[Sales with Free Shipping]],Sales_Data[[#This Row],[Sales with Discount]],Sales_Data[[#This Row],[Sales with Free Shipping]])</f>
        <v>211.4145</v>
      </c>
      <c r="O775" s="1" t="str">
        <f>TEXT(Sales_Data[[#This Row],[Order Date]], "MM-YYYY")</f>
        <v>04-2019</v>
      </c>
    </row>
    <row r="776" spans="1:15" x14ac:dyDescent="0.3">
      <c r="A776" s="1">
        <v>43270</v>
      </c>
      <c r="B776" s="2">
        <v>43709</v>
      </c>
      <c r="C776" s="1" t="s">
        <v>12</v>
      </c>
      <c r="D776" s="1">
        <v>35</v>
      </c>
      <c r="E776" t="s">
        <v>21</v>
      </c>
      <c r="F776" t="s">
        <v>21</v>
      </c>
      <c r="G776" s="1">
        <v>367.99</v>
      </c>
      <c r="H776">
        <v>0</v>
      </c>
      <c r="I776">
        <f>Sales_Data[[#This Row],[Sales]]*Sales_Data[[#This Row],[Discount]]</f>
        <v>0</v>
      </c>
      <c r="J776">
        <v>367.99</v>
      </c>
      <c r="K776" s="1">
        <v>1.1000000000000001</v>
      </c>
      <c r="L776" s="1">
        <v>367.99</v>
      </c>
      <c r="M776" s="1" t="s">
        <v>10</v>
      </c>
      <c r="N776" s="1">
        <f>IF(Sales_Data[[#This Row],[Sales with Discount]]&lt;Sales_Data[[#This Row],[Sales with Free Shipping]],Sales_Data[[#This Row],[Sales with Discount]],Sales_Data[[#This Row],[Sales with Free Shipping]])</f>
        <v>367.99</v>
      </c>
      <c r="O776" s="1" t="str">
        <f>TEXT(Sales_Data[[#This Row],[Order Date]], "MM-YYYY")</f>
        <v>09-2019</v>
      </c>
    </row>
    <row r="777" spans="1:15" x14ac:dyDescent="0.3">
      <c r="A777" s="1">
        <v>9573</v>
      </c>
      <c r="B777" s="2">
        <v>43629</v>
      </c>
      <c r="C777" s="1" t="s">
        <v>14</v>
      </c>
      <c r="D777" s="1">
        <v>41</v>
      </c>
      <c r="E777" t="s">
        <v>23</v>
      </c>
      <c r="F777" t="s">
        <v>23</v>
      </c>
      <c r="G777" s="1">
        <v>142.56</v>
      </c>
      <c r="H777">
        <v>0.01</v>
      </c>
      <c r="I777">
        <f>Sales_Data[[#This Row],[Sales]]*Sales_Data[[#This Row],[Discount]]</f>
        <v>1.4256</v>
      </c>
      <c r="J777">
        <v>141.1344</v>
      </c>
      <c r="K777" s="1">
        <v>2.1</v>
      </c>
      <c r="L777" s="1">
        <v>140.46</v>
      </c>
      <c r="M777" s="1" t="s">
        <v>10</v>
      </c>
      <c r="N777" s="1">
        <f>IF(Sales_Data[[#This Row],[Sales with Discount]]&lt;Sales_Data[[#This Row],[Sales with Free Shipping]],Sales_Data[[#This Row],[Sales with Discount]],Sales_Data[[#This Row],[Sales with Free Shipping]])</f>
        <v>140.46</v>
      </c>
      <c r="O777" s="1" t="str">
        <f>TEXT(Sales_Data[[#This Row],[Order Date]], "MM-YYYY")</f>
        <v>06-2019</v>
      </c>
    </row>
    <row r="778" spans="1:15" x14ac:dyDescent="0.3">
      <c r="A778" s="1">
        <v>49442</v>
      </c>
      <c r="B778" s="2">
        <v>43686</v>
      </c>
      <c r="C778" s="1" t="s">
        <v>9</v>
      </c>
      <c r="D778" s="1">
        <v>11</v>
      </c>
      <c r="E778" t="s">
        <v>18</v>
      </c>
      <c r="F778" t="s">
        <v>18</v>
      </c>
      <c r="G778" s="1">
        <v>140.30000000000001</v>
      </c>
      <c r="H778">
        <v>0</v>
      </c>
      <c r="I778">
        <f>Sales_Data[[#This Row],[Sales]]*Sales_Data[[#This Row],[Discount]]</f>
        <v>0</v>
      </c>
      <c r="J778">
        <v>140.30000000000001</v>
      </c>
      <c r="K778" s="1">
        <v>7.7</v>
      </c>
      <c r="L778" s="1">
        <v>140.30000000000001</v>
      </c>
      <c r="M778" s="1" t="s">
        <v>10</v>
      </c>
      <c r="N778" s="1">
        <f>IF(Sales_Data[[#This Row],[Sales with Discount]]&lt;Sales_Data[[#This Row],[Sales with Free Shipping]],Sales_Data[[#This Row],[Sales with Discount]],Sales_Data[[#This Row],[Sales with Free Shipping]])</f>
        <v>140.30000000000001</v>
      </c>
      <c r="O778" s="1" t="str">
        <f>TEXT(Sales_Data[[#This Row],[Order Date]], "MM-YYYY")</f>
        <v>08-2019</v>
      </c>
    </row>
    <row r="779" spans="1:15" x14ac:dyDescent="0.3">
      <c r="A779" s="1">
        <v>33570</v>
      </c>
      <c r="B779" s="2">
        <v>43815</v>
      </c>
      <c r="C779" s="1" t="s">
        <v>11</v>
      </c>
      <c r="D779" s="1">
        <v>19</v>
      </c>
      <c r="E779" t="s">
        <v>19</v>
      </c>
      <c r="F779" t="s">
        <v>19</v>
      </c>
      <c r="G779" s="1">
        <v>3310.43</v>
      </c>
      <c r="H779">
        <v>0</v>
      </c>
      <c r="I779">
        <f>Sales_Data[[#This Row],[Sales]]*Sales_Data[[#This Row],[Discount]]</f>
        <v>0</v>
      </c>
      <c r="J779">
        <v>3310.43</v>
      </c>
      <c r="K779" s="1">
        <v>5.6</v>
      </c>
      <c r="L779" s="1">
        <v>3310.43</v>
      </c>
      <c r="M779" s="1" t="s">
        <v>10</v>
      </c>
      <c r="N779" s="1">
        <f>IF(Sales_Data[[#This Row],[Sales with Discount]]&lt;Sales_Data[[#This Row],[Sales with Free Shipping]],Sales_Data[[#This Row],[Sales with Discount]],Sales_Data[[#This Row],[Sales with Free Shipping]])</f>
        <v>3310.43</v>
      </c>
      <c r="O779" s="1" t="str">
        <f>TEXT(Sales_Data[[#This Row],[Order Date]], "MM-YYYY")</f>
        <v>12-2019</v>
      </c>
    </row>
    <row r="780" spans="1:15" x14ac:dyDescent="0.3">
      <c r="A780" s="1">
        <v>41760</v>
      </c>
      <c r="B780" s="2">
        <v>43491</v>
      </c>
      <c r="C780" s="1" t="s">
        <v>7</v>
      </c>
      <c r="D780" s="1">
        <v>21</v>
      </c>
      <c r="E780" t="s">
        <v>14</v>
      </c>
      <c r="F780" t="s">
        <v>14</v>
      </c>
      <c r="G780" s="1">
        <v>7156.87</v>
      </c>
      <c r="H780">
        <v>0</v>
      </c>
      <c r="I780">
        <f>Sales_Data[[#This Row],[Sales]]*Sales_Data[[#This Row],[Discount]]</f>
        <v>0</v>
      </c>
      <c r="J780">
        <v>7156.87</v>
      </c>
      <c r="K780" s="1">
        <v>21.4</v>
      </c>
      <c r="L780" s="1">
        <v>7156.87</v>
      </c>
      <c r="M780" s="1" t="s">
        <v>10</v>
      </c>
      <c r="N780" s="1">
        <f>IF(Sales_Data[[#This Row],[Sales with Discount]]&lt;Sales_Data[[#This Row],[Sales with Free Shipping]],Sales_Data[[#This Row],[Sales with Discount]],Sales_Data[[#This Row],[Sales with Free Shipping]])</f>
        <v>7156.87</v>
      </c>
      <c r="O780" s="1" t="str">
        <f>TEXT(Sales_Data[[#This Row],[Order Date]], "MM-YYYY")</f>
        <v>01-2019</v>
      </c>
    </row>
    <row r="781" spans="1:15" x14ac:dyDescent="0.3">
      <c r="A781" s="1">
        <v>9892</v>
      </c>
      <c r="B781" s="2">
        <v>43662</v>
      </c>
      <c r="C781" s="1" t="s">
        <v>14</v>
      </c>
      <c r="D781" s="1">
        <v>50</v>
      </c>
      <c r="E781" t="s">
        <v>24</v>
      </c>
      <c r="F781" t="s">
        <v>24</v>
      </c>
      <c r="G781" s="1">
        <v>1505.1</v>
      </c>
      <c r="H781">
        <v>0.01</v>
      </c>
      <c r="I781">
        <f>Sales_Data[[#This Row],[Sales]]*Sales_Data[[#This Row],[Discount]]</f>
        <v>15.051</v>
      </c>
      <c r="J781">
        <v>1490.049</v>
      </c>
      <c r="K781" s="1">
        <v>8.8000000000000007</v>
      </c>
      <c r="L781" s="1">
        <v>1496.3</v>
      </c>
      <c r="M781" s="1" t="s">
        <v>10</v>
      </c>
      <c r="N781" s="1">
        <f>IF(Sales_Data[[#This Row],[Sales with Discount]]&lt;Sales_Data[[#This Row],[Sales with Free Shipping]],Sales_Data[[#This Row],[Sales with Discount]],Sales_Data[[#This Row],[Sales with Free Shipping]])</f>
        <v>1490.049</v>
      </c>
      <c r="O781" s="1" t="str">
        <f>TEXT(Sales_Data[[#This Row],[Order Date]], "MM-YYYY")</f>
        <v>07-2019</v>
      </c>
    </row>
    <row r="782" spans="1:15" x14ac:dyDescent="0.3">
      <c r="A782" s="1">
        <v>1154</v>
      </c>
      <c r="B782" s="2">
        <v>43509</v>
      </c>
      <c r="C782" s="1" t="s">
        <v>12</v>
      </c>
      <c r="D782" s="1">
        <v>7</v>
      </c>
      <c r="E782" t="s">
        <v>17</v>
      </c>
      <c r="F782" t="s">
        <v>17</v>
      </c>
      <c r="G782" s="1">
        <v>552.82000000000005</v>
      </c>
      <c r="H782">
        <v>0</v>
      </c>
      <c r="I782">
        <f>Sales_Data[[#This Row],[Sales]]*Sales_Data[[#This Row],[Discount]]</f>
        <v>0</v>
      </c>
      <c r="J782">
        <v>552.82000000000005</v>
      </c>
      <c r="K782" s="1">
        <v>3.7</v>
      </c>
      <c r="L782" s="1">
        <v>552.82000000000005</v>
      </c>
      <c r="M782" s="1" t="s">
        <v>8</v>
      </c>
      <c r="N782" s="1">
        <f>IF(Sales_Data[[#This Row],[Sales with Discount]]&lt;Sales_Data[[#This Row],[Sales with Free Shipping]],Sales_Data[[#This Row],[Sales with Discount]],Sales_Data[[#This Row],[Sales with Free Shipping]])</f>
        <v>552.82000000000005</v>
      </c>
      <c r="O782" s="1" t="str">
        <f>TEXT(Sales_Data[[#This Row],[Order Date]], "MM-YYYY")</f>
        <v>02-2019</v>
      </c>
    </row>
    <row r="783" spans="1:15" x14ac:dyDescent="0.3">
      <c r="A783" s="1">
        <v>55968</v>
      </c>
      <c r="B783" s="2">
        <v>43738</v>
      </c>
      <c r="C783" s="1" t="s">
        <v>7</v>
      </c>
      <c r="D783" s="1">
        <v>40</v>
      </c>
      <c r="E783" t="s">
        <v>22</v>
      </c>
      <c r="F783" t="s">
        <v>22</v>
      </c>
      <c r="G783" s="1">
        <v>78.77</v>
      </c>
      <c r="H783">
        <v>0.01</v>
      </c>
      <c r="I783">
        <f>Sales_Data[[#This Row],[Sales]]*Sales_Data[[#This Row],[Discount]]</f>
        <v>0.78769999999999996</v>
      </c>
      <c r="J783">
        <v>77.982299999999995</v>
      </c>
      <c r="K783" s="1">
        <v>1.1000000000000001</v>
      </c>
      <c r="L783" s="1">
        <v>77.67</v>
      </c>
      <c r="M783" s="1" t="s">
        <v>10</v>
      </c>
      <c r="N783" s="1">
        <f>IF(Sales_Data[[#This Row],[Sales with Discount]]&lt;Sales_Data[[#This Row],[Sales with Free Shipping]],Sales_Data[[#This Row],[Sales with Discount]],Sales_Data[[#This Row],[Sales with Free Shipping]])</f>
        <v>77.67</v>
      </c>
      <c r="O783" s="1" t="str">
        <f>TEXT(Sales_Data[[#This Row],[Order Date]], "MM-YYYY")</f>
        <v>09-2019</v>
      </c>
    </row>
    <row r="784" spans="1:15" x14ac:dyDescent="0.3">
      <c r="A784" s="1">
        <v>53445</v>
      </c>
      <c r="B784" s="2">
        <v>43762</v>
      </c>
      <c r="C784" s="1" t="s">
        <v>9</v>
      </c>
      <c r="D784" s="1">
        <v>21</v>
      </c>
      <c r="E784" t="s">
        <v>14</v>
      </c>
      <c r="F784" t="s">
        <v>14</v>
      </c>
      <c r="G784" s="1">
        <v>78.97</v>
      </c>
      <c r="H784">
        <v>0</v>
      </c>
      <c r="I784">
        <f>Sales_Data[[#This Row],[Sales]]*Sales_Data[[#This Row],[Discount]]</f>
        <v>0</v>
      </c>
      <c r="J784">
        <v>78.97</v>
      </c>
      <c r="K784" s="1">
        <v>1.4</v>
      </c>
      <c r="L784" s="1">
        <v>78.97</v>
      </c>
      <c r="M784" s="1" t="s">
        <v>10</v>
      </c>
      <c r="N784" s="1">
        <f>IF(Sales_Data[[#This Row],[Sales with Discount]]&lt;Sales_Data[[#This Row],[Sales with Free Shipping]],Sales_Data[[#This Row],[Sales with Discount]],Sales_Data[[#This Row],[Sales with Free Shipping]])</f>
        <v>78.97</v>
      </c>
      <c r="O784" s="1" t="str">
        <f>TEXT(Sales_Data[[#This Row],[Order Date]], "MM-YYYY")</f>
        <v>10-2019</v>
      </c>
    </row>
    <row r="785" spans="1:15" x14ac:dyDescent="0.3">
      <c r="A785" s="1">
        <v>41312</v>
      </c>
      <c r="B785" s="2">
        <v>43495</v>
      </c>
      <c r="C785" s="1" t="s">
        <v>11</v>
      </c>
      <c r="D785" s="1">
        <v>21</v>
      </c>
      <c r="E785" t="s">
        <v>14</v>
      </c>
      <c r="F785" t="s">
        <v>14</v>
      </c>
      <c r="G785" s="1">
        <v>842.76</v>
      </c>
      <c r="H785">
        <v>0</v>
      </c>
      <c r="I785">
        <f>Sales_Data[[#This Row],[Sales]]*Sales_Data[[#This Row],[Discount]]</f>
        <v>0</v>
      </c>
      <c r="J785">
        <v>842.76</v>
      </c>
      <c r="K785" s="1">
        <v>2.1</v>
      </c>
      <c r="L785" s="1">
        <v>842.76</v>
      </c>
      <c r="M785" s="1" t="s">
        <v>10</v>
      </c>
      <c r="N785" s="1">
        <f>IF(Sales_Data[[#This Row],[Sales with Discount]]&lt;Sales_Data[[#This Row],[Sales with Free Shipping]],Sales_Data[[#This Row],[Sales with Discount]],Sales_Data[[#This Row],[Sales with Free Shipping]])</f>
        <v>842.76</v>
      </c>
      <c r="O785" s="1" t="str">
        <f>TEXT(Sales_Data[[#This Row],[Order Date]], "MM-YYYY")</f>
        <v>01-2019</v>
      </c>
    </row>
    <row r="786" spans="1:15" x14ac:dyDescent="0.3">
      <c r="A786" s="1">
        <v>22434</v>
      </c>
      <c r="B786" s="2">
        <v>43706</v>
      </c>
      <c r="C786" s="1" t="s">
        <v>12</v>
      </c>
      <c r="D786" s="1">
        <v>3</v>
      </c>
      <c r="E786" t="s">
        <v>16</v>
      </c>
      <c r="F786" t="s">
        <v>16</v>
      </c>
      <c r="G786" s="1">
        <v>20.010000000000002</v>
      </c>
      <c r="H786">
        <v>0</v>
      </c>
      <c r="I786">
        <f>Sales_Data[[#This Row],[Sales]]*Sales_Data[[#This Row],[Discount]]</f>
        <v>0</v>
      </c>
      <c r="J786">
        <v>20.010000000000002</v>
      </c>
      <c r="K786" s="1">
        <v>6.2</v>
      </c>
      <c r="L786" s="1">
        <v>20.010000000000002</v>
      </c>
      <c r="M786" s="1" t="s">
        <v>10</v>
      </c>
      <c r="N786" s="1">
        <f>IF(Sales_Data[[#This Row],[Sales with Discount]]&lt;Sales_Data[[#This Row],[Sales with Free Shipping]],Sales_Data[[#This Row],[Sales with Discount]],Sales_Data[[#This Row],[Sales with Free Shipping]])</f>
        <v>20.010000000000002</v>
      </c>
      <c r="O786" s="1" t="str">
        <f>TEXT(Sales_Data[[#This Row],[Order Date]], "MM-YYYY")</f>
        <v>08-2019</v>
      </c>
    </row>
    <row r="787" spans="1:15" x14ac:dyDescent="0.3">
      <c r="A787" s="1">
        <v>43138</v>
      </c>
      <c r="B787" s="2">
        <v>43538</v>
      </c>
      <c r="C787" s="1" t="s">
        <v>7</v>
      </c>
      <c r="D787" s="1">
        <v>43</v>
      </c>
      <c r="E787" t="s">
        <v>23</v>
      </c>
      <c r="F787" t="s">
        <v>23</v>
      </c>
      <c r="G787" s="1">
        <v>1427.43</v>
      </c>
      <c r="H787">
        <v>0.01</v>
      </c>
      <c r="I787">
        <f>Sales_Data[[#This Row],[Sales]]*Sales_Data[[#This Row],[Discount]]</f>
        <v>14.2743</v>
      </c>
      <c r="J787">
        <v>1413.1557</v>
      </c>
      <c r="K787" s="1">
        <v>3.2</v>
      </c>
      <c r="L787" s="1">
        <v>1424.23</v>
      </c>
      <c r="M787" s="1" t="s">
        <v>10</v>
      </c>
      <c r="N787" s="1">
        <f>IF(Sales_Data[[#This Row],[Sales with Discount]]&lt;Sales_Data[[#This Row],[Sales with Free Shipping]],Sales_Data[[#This Row],[Sales with Discount]],Sales_Data[[#This Row],[Sales with Free Shipping]])</f>
        <v>1413.1557</v>
      </c>
      <c r="O787" s="1" t="str">
        <f>TEXT(Sales_Data[[#This Row],[Order Date]], "MM-YYYY")</f>
        <v>03-2019</v>
      </c>
    </row>
    <row r="788" spans="1:15" x14ac:dyDescent="0.3">
      <c r="A788" s="1">
        <v>12804</v>
      </c>
      <c r="B788" s="2">
        <v>43610</v>
      </c>
      <c r="C788" s="1" t="s">
        <v>14</v>
      </c>
      <c r="D788" s="1">
        <v>21</v>
      </c>
      <c r="E788" t="s">
        <v>14</v>
      </c>
      <c r="F788" t="s">
        <v>14</v>
      </c>
      <c r="G788" s="1">
        <v>73.89</v>
      </c>
      <c r="H788">
        <v>0</v>
      </c>
      <c r="I788">
        <f>Sales_Data[[#This Row],[Sales]]*Sales_Data[[#This Row],[Discount]]</f>
        <v>0</v>
      </c>
      <c r="J788">
        <v>73.89</v>
      </c>
      <c r="K788" s="1">
        <v>0.5</v>
      </c>
      <c r="L788" s="1">
        <v>73.89</v>
      </c>
      <c r="M788" s="1" t="s">
        <v>10</v>
      </c>
      <c r="N788" s="1">
        <f>IF(Sales_Data[[#This Row],[Sales with Discount]]&lt;Sales_Data[[#This Row],[Sales with Free Shipping]],Sales_Data[[#This Row],[Sales with Discount]],Sales_Data[[#This Row],[Sales with Free Shipping]])</f>
        <v>73.89</v>
      </c>
      <c r="O788" s="1" t="str">
        <f>TEXT(Sales_Data[[#This Row],[Order Date]], "MM-YYYY")</f>
        <v>05-2019</v>
      </c>
    </row>
    <row r="789" spans="1:15" x14ac:dyDescent="0.3">
      <c r="A789" s="1">
        <v>23809</v>
      </c>
      <c r="B789" s="2">
        <v>43620</v>
      </c>
      <c r="C789" s="1" t="s">
        <v>11</v>
      </c>
      <c r="D789" s="1">
        <v>7</v>
      </c>
      <c r="E789" t="s">
        <v>17</v>
      </c>
      <c r="F789" t="s">
        <v>17</v>
      </c>
      <c r="G789" s="1">
        <v>92.67</v>
      </c>
      <c r="H789">
        <v>0</v>
      </c>
      <c r="I789">
        <f>Sales_Data[[#This Row],[Sales]]*Sales_Data[[#This Row],[Discount]]</f>
        <v>0</v>
      </c>
      <c r="J789">
        <v>92.67</v>
      </c>
      <c r="K789" s="1">
        <v>1.6</v>
      </c>
      <c r="L789" s="1">
        <v>92.67</v>
      </c>
      <c r="M789" s="1" t="s">
        <v>10</v>
      </c>
      <c r="N789" s="1">
        <f>IF(Sales_Data[[#This Row],[Sales with Discount]]&lt;Sales_Data[[#This Row],[Sales with Free Shipping]],Sales_Data[[#This Row],[Sales with Discount]],Sales_Data[[#This Row],[Sales with Free Shipping]])</f>
        <v>92.67</v>
      </c>
      <c r="O789" s="1" t="str">
        <f>TEXT(Sales_Data[[#This Row],[Order Date]], "MM-YYYY")</f>
        <v>06-2019</v>
      </c>
    </row>
    <row r="790" spans="1:15" x14ac:dyDescent="0.3">
      <c r="A790" s="1">
        <v>49889</v>
      </c>
      <c r="B790" s="2">
        <v>43811</v>
      </c>
      <c r="C790" s="1" t="s">
        <v>12</v>
      </c>
      <c r="D790" s="1">
        <v>21</v>
      </c>
      <c r="E790" t="s">
        <v>14</v>
      </c>
      <c r="F790" t="s">
        <v>14</v>
      </c>
      <c r="G790" s="1">
        <v>66.28</v>
      </c>
      <c r="H790">
        <v>0</v>
      </c>
      <c r="I790">
        <f>Sales_Data[[#This Row],[Sales]]*Sales_Data[[#This Row],[Discount]]</f>
        <v>0</v>
      </c>
      <c r="J790">
        <v>66.28</v>
      </c>
      <c r="K790" s="1">
        <v>2.2000000000000002</v>
      </c>
      <c r="L790" s="1">
        <v>66.28</v>
      </c>
      <c r="M790" s="1" t="s">
        <v>8</v>
      </c>
      <c r="N790" s="1">
        <f>IF(Sales_Data[[#This Row],[Sales with Discount]]&lt;Sales_Data[[#This Row],[Sales with Free Shipping]],Sales_Data[[#This Row],[Sales with Discount]],Sales_Data[[#This Row],[Sales with Free Shipping]])</f>
        <v>66.28</v>
      </c>
      <c r="O790" s="1" t="str">
        <f>TEXT(Sales_Data[[#This Row],[Order Date]], "MM-YYYY")</f>
        <v>12-2019</v>
      </c>
    </row>
    <row r="791" spans="1:15" x14ac:dyDescent="0.3">
      <c r="A791" s="1">
        <v>30405</v>
      </c>
      <c r="B791" s="2">
        <v>43583</v>
      </c>
      <c r="C791" s="1" t="s">
        <v>7</v>
      </c>
      <c r="D791" s="1">
        <v>7</v>
      </c>
      <c r="E791" t="s">
        <v>17</v>
      </c>
      <c r="F791" t="s">
        <v>17</v>
      </c>
      <c r="G791" s="1">
        <v>2984.26</v>
      </c>
      <c r="H791">
        <v>0</v>
      </c>
      <c r="I791">
        <f>Sales_Data[[#This Row],[Sales]]*Sales_Data[[#This Row],[Discount]]</f>
        <v>0</v>
      </c>
      <c r="J791">
        <v>2984.26</v>
      </c>
      <c r="K791" s="1">
        <v>45.5</v>
      </c>
      <c r="L791" s="1">
        <v>2984.26</v>
      </c>
      <c r="M791" s="1" t="s">
        <v>13</v>
      </c>
      <c r="N791" s="1">
        <f>IF(Sales_Data[[#This Row],[Sales with Discount]]&lt;Sales_Data[[#This Row],[Sales with Free Shipping]],Sales_Data[[#This Row],[Sales with Discount]],Sales_Data[[#This Row],[Sales with Free Shipping]])</f>
        <v>2984.26</v>
      </c>
      <c r="O791" s="1" t="str">
        <f>TEXT(Sales_Data[[#This Row],[Order Date]], "MM-YYYY")</f>
        <v>04-2019</v>
      </c>
    </row>
    <row r="792" spans="1:15" x14ac:dyDescent="0.3">
      <c r="A792" s="1">
        <v>51140</v>
      </c>
      <c r="B792" s="2">
        <v>43722</v>
      </c>
      <c r="C792" s="1" t="s">
        <v>7</v>
      </c>
      <c r="D792" s="1">
        <v>14</v>
      </c>
      <c r="E792" t="s">
        <v>18</v>
      </c>
      <c r="F792" t="s">
        <v>18</v>
      </c>
      <c r="G792" s="1">
        <v>670.17</v>
      </c>
      <c r="H792">
        <v>0</v>
      </c>
      <c r="I792">
        <f>Sales_Data[[#This Row],[Sales]]*Sales_Data[[#This Row],[Discount]]</f>
        <v>0</v>
      </c>
      <c r="J792">
        <v>670.17</v>
      </c>
      <c r="K792" s="1">
        <v>2.1</v>
      </c>
      <c r="L792" s="1">
        <v>670.17</v>
      </c>
      <c r="M792" s="1" t="s">
        <v>10</v>
      </c>
      <c r="N792" s="1">
        <f>IF(Sales_Data[[#This Row],[Sales with Discount]]&lt;Sales_Data[[#This Row],[Sales with Free Shipping]],Sales_Data[[#This Row],[Sales with Discount]],Sales_Data[[#This Row],[Sales with Free Shipping]])</f>
        <v>670.17</v>
      </c>
      <c r="O792" s="1" t="str">
        <f>TEXT(Sales_Data[[#This Row],[Order Date]], "MM-YYYY")</f>
        <v>09-2019</v>
      </c>
    </row>
    <row r="793" spans="1:15" x14ac:dyDescent="0.3">
      <c r="A793" s="1">
        <v>42758</v>
      </c>
      <c r="B793" s="2">
        <v>43779</v>
      </c>
      <c r="C793" s="1" t="s">
        <v>12</v>
      </c>
      <c r="D793" s="1">
        <v>42</v>
      </c>
      <c r="E793" t="s">
        <v>23</v>
      </c>
      <c r="F793" t="s">
        <v>23</v>
      </c>
      <c r="G793" s="1">
        <v>682.73</v>
      </c>
      <c r="H793">
        <v>0.01</v>
      </c>
      <c r="I793">
        <f>Sales_Data[[#This Row],[Sales]]*Sales_Data[[#This Row],[Discount]]</f>
        <v>6.8273000000000001</v>
      </c>
      <c r="J793">
        <v>675.90269999999998</v>
      </c>
      <c r="K793" s="1">
        <v>2.1</v>
      </c>
      <c r="L793" s="1">
        <v>680.63</v>
      </c>
      <c r="M793" s="1" t="s">
        <v>10</v>
      </c>
      <c r="N793" s="1">
        <f>IF(Sales_Data[[#This Row],[Sales with Discount]]&lt;Sales_Data[[#This Row],[Sales with Free Shipping]],Sales_Data[[#This Row],[Sales with Discount]],Sales_Data[[#This Row],[Sales with Free Shipping]])</f>
        <v>675.90269999999998</v>
      </c>
      <c r="O793" s="1" t="str">
        <f>TEXT(Sales_Data[[#This Row],[Order Date]], "MM-YYYY")</f>
        <v>11-2019</v>
      </c>
    </row>
    <row r="794" spans="1:15" x14ac:dyDescent="0.3">
      <c r="A794" s="1">
        <v>28934</v>
      </c>
      <c r="B794" s="2">
        <v>43797</v>
      </c>
      <c r="C794" s="1" t="s">
        <v>14</v>
      </c>
      <c r="D794" s="1">
        <v>12</v>
      </c>
      <c r="E794" t="s">
        <v>18</v>
      </c>
      <c r="F794" t="s">
        <v>18</v>
      </c>
      <c r="G794" s="1">
        <v>1361.41</v>
      </c>
      <c r="H794">
        <v>0</v>
      </c>
      <c r="I794">
        <f>Sales_Data[[#This Row],[Sales]]*Sales_Data[[#This Row],[Discount]]</f>
        <v>0</v>
      </c>
      <c r="J794">
        <v>1361.41</v>
      </c>
      <c r="K794" s="1">
        <v>7.7</v>
      </c>
      <c r="L794" s="1">
        <v>1361.41</v>
      </c>
      <c r="M794" s="1" t="s">
        <v>10</v>
      </c>
      <c r="N794" s="1">
        <f>IF(Sales_Data[[#This Row],[Sales with Discount]]&lt;Sales_Data[[#This Row],[Sales with Free Shipping]],Sales_Data[[#This Row],[Sales with Discount]],Sales_Data[[#This Row],[Sales with Free Shipping]])</f>
        <v>1361.41</v>
      </c>
      <c r="O794" s="1" t="str">
        <f>TEXT(Sales_Data[[#This Row],[Order Date]], "MM-YYYY")</f>
        <v>11-2019</v>
      </c>
    </row>
    <row r="795" spans="1:15" x14ac:dyDescent="0.3">
      <c r="A795" s="1">
        <v>18368</v>
      </c>
      <c r="B795" s="2">
        <v>43799</v>
      </c>
      <c r="C795" s="1" t="s">
        <v>11</v>
      </c>
      <c r="D795" s="1">
        <v>35</v>
      </c>
      <c r="E795" t="s">
        <v>21</v>
      </c>
      <c r="F795" t="s">
        <v>21</v>
      </c>
      <c r="G795" s="1">
        <v>1364.9</v>
      </c>
      <c r="H795">
        <v>0</v>
      </c>
      <c r="I795">
        <f>Sales_Data[[#This Row],[Sales]]*Sales_Data[[#This Row],[Discount]]</f>
        <v>0</v>
      </c>
      <c r="J795">
        <v>1364.9</v>
      </c>
      <c r="K795" s="1">
        <v>5.4</v>
      </c>
      <c r="L795" s="1">
        <v>1364.9</v>
      </c>
      <c r="M795" s="1" t="s">
        <v>10</v>
      </c>
      <c r="N795" s="1">
        <f>IF(Sales_Data[[#This Row],[Sales with Discount]]&lt;Sales_Data[[#This Row],[Sales with Free Shipping]],Sales_Data[[#This Row],[Sales with Discount]],Sales_Data[[#This Row],[Sales with Free Shipping]])</f>
        <v>1364.9</v>
      </c>
      <c r="O795" s="1" t="str">
        <f>TEXT(Sales_Data[[#This Row],[Order Date]], "MM-YYYY")</f>
        <v>11-2019</v>
      </c>
    </row>
    <row r="796" spans="1:15" x14ac:dyDescent="0.3">
      <c r="A796" s="1">
        <v>49798</v>
      </c>
      <c r="B796" s="2">
        <v>43807</v>
      </c>
      <c r="C796" s="1" t="s">
        <v>12</v>
      </c>
      <c r="D796" s="1">
        <v>5</v>
      </c>
      <c r="E796" t="s">
        <v>16</v>
      </c>
      <c r="F796" t="s">
        <v>16</v>
      </c>
      <c r="G796" s="1">
        <v>1524.7</v>
      </c>
      <c r="H796">
        <v>0</v>
      </c>
      <c r="I796">
        <f>Sales_Data[[#This Row],[Sales]]*Sales_Data[[#This Row],[Discount]]</f>
        <v>0</v>
      </c>
      <c r="J796">
        <v>1524.7</v>
      </c>
      <c r="K796" s="1">
        <v>61</v>
      </c>
      <c r="L796" s="1">
        <v>1524.7</v>
      </c>
      <c r="M796" s="1" t="s">
        <v>13</v>
      </c>
      <c r="N796" s="1">
        <f>IF(Sales_Data[[#This Row],[Sales with Discount]]&lt;Sales_Data[[#This Row],[Sales with Free Shipping]],Sales_Data[[#This Row],[Sales with Discount]],Sales_Data[[#This Row],[Sales with Free Shipping]])</f>
        <v>1524.7</v>
      </c>
      <c r="O796" s="1" t="str">
        <f>TEXT(Sales_Data[[#This Row],[Order Date]], "MM-YYYY")</f>
        <v>12-2019</v>
      </c>
    </row>
    <row r="797" spans="1:15" x14ac:dyDescent="0.3">
      <c r="A797" s="1">
        <v>20807</v>
      </c>
      <c r="B797" s="2">
        <v>43667</v>
      </c>
      <c r="C797" s="1" t="s">
        <v>11</v>
      </c>
      <c r="D797" s="1">
        <v>39</v>
      </c>
      <c r="E797" t="s">
        <v>22</v>
      </c>
      <c r="F797" t="s">
        <v>22</v>
      </c>
      <c r="G797" s="1">
        <v>6583.2</v>
      </c>
      <c r="H797">
        <v>0.01</v>
      </c>
      <c r="I797">
        <f>Sales_Data[[#This Row],[Sales]]*Sales_Data[[#This Row],[Discount]]</f>
        <v>65.831999999999994</v>
      </c>
      <c r="J797">
        <v>6517.3679999999995</v>
      </c>
      <c r="K797" s="1">
        <v>32.1</v>
      </c>
      <c r="L797" s="1">
        <v>6551.0999999999995</v>
      </c>
      <c r="M797" s="1" t="s">
        <v>13</v>
      </c>
      <c r="N797" s="1">
        <f>IF(Sales_Data[[#This Row],[Sales with Discount]]&lt;Sales_Data[[#This Row],[Sales with Free Shipping]],Sales_Data[[#This Row],[Sales with Discount]],Sales_Data[[#This Row],[Sales with Free Shipping]])</f>
        <v>6517.3679999999995</v>
      </c>
      <c r="O797" s="1" t="str">
        <f>TEXT(Sales_Data[[#This Row],[Order Date]], "MM-YYYY")</f>
        <v>07-2019</v>
      </c>
    </row>
    <row r="798" spans="1:15" x14ac:dyDescent="0.3">
      <c r="A798" s="1">
        <v>32902</v>
      </c>
      <c r="B798" s="2">
        <v>43527</v>
      </c>
      <c r="C798" s="1" t="s">
        <v>9</v>
      </c>
      <c r="D798" s="1">
        <v>8</v>
      </c>
      <c r="E798" t="s">
        <v>17</v>
      </c>
      <c r="F798" t="s">
        <v>17</v>
      </c>
      <c r="G798" s="1">
        <v>68.59</v>
      </c>
      <c r="H798">
        <v>0</v>
      </c>
      <c r="I798">
        <f>Sales_Data[[#This Row],[Sales]]*Sales_Data[[#This Row],[Discount]]</f>
        <v>0</v>
      </c>
      <c r="J798">
        <v>68.59</v>
      </c>
      <c r="K798" s="1">
        <v>9</v>
      </c>
      <c r="L798" s="1">
        <v>68.59</v>
      </c>
      <c r="M798" s="1" t="s">
        <v>10</v>
      </c>
      <c r="N798" s="1">
        <f>IF(Sales_Data[[#This Row],[Sales with Discount]]&lt;Sales_Data[[#This Row],[Sales with Free Shipping]],Sales_Data[[#This Row],[Sales with Discount]],Sales_Data[[#This Row],[Sales with Free Shipping]])</f>
        <v>68.59</v>
      </c>
      <c r="O798" s="1" t="str">
        <f>TEXT(Sales_Data[[#This Row],[Order Date]], "MM-YYYY")</f>
        <v>03-2019</v>
      </c>
    </row>
    <row r="799" spans="1:15" x14ac:dyDescent="0.3">
      <c r="A799" s="1">
        <v>52007</v>
      </c>
      <c r="B799" s="2">
        <v>43569</v>
      </c>
      <c r="C799" s="1" t="s">
        <v>14</v>
      </c>
      <c r="D799" s="1">
        <v>19</v>
      </c>
      <c r="E799" t="s">
        <v>19</v>
      </c>
      <c r="F799" t="s">
        <v>19</v>
      </c>
      <c r="G799" s="1">
        <v>11075.58</v>
      </c>
      <c r="H799">
        <v>0</v>
      </c>
      <c r="I799">
        <f>Sales_Data[[#This Row],[Sales]]*Sales_Data[[#This Row],[Discount]]</f>
        <v>0</v>
      </c>
      <c r="J799">
        <v>11075.58</v>
      </c>
      <c r="K799" s="1">
        <v>48.9</v>
      </c>
      <c r="L799" s="1">
        <v>11075.58</v>
      </c>
      <c r="M799" s="1" t="s">
        <v>13</v>
      </c>
      <c r="N799" s="1">
        <f>IF(Sales_Data[[#This Row],[Sales with Discount]]&lt;Sales_Data[[#This Row],[Sales with Free Shipping]],Sales_Data[[#This Row],[Sales with Discount]],Sales_Data[[#This Row],[Sales with Free Shipping]])</f>
        <v>11075.58</v>
      </c>
      <c r="O799" s="1" t="str">
        <f>TEXT(Sales_Data[[#This Row],[Order Date]], "MM-YYYY")</f>
        <v>04-2019</v>
      </c>
    </row>
    <row r="800" spans="1:15" x14ac:dyDescent="0.3">
      <c r="A800" s="1">
        <v>45284</v>
      </c>
      <c r="B800" s="2">
        <v>43471</v>
      </c>
      <c r="C800" s="1" t="s">
        <v>9</v>
      </c>
      <c r="D800" s="1">
        <v>7</v>
      </c>
      <c r="E800" t="s">
        <v>17</v>
      </c>
      <c r="F800" t="s">
        <v>17</v>
      </c>
      <c r="G800" s="1">
        <v>97.830100000000002</v>
      </c>
      <c r="H800">
        <v>0</v>
      </c>
      <c r="I800">
        <f>Sales_Data[[#This Row],[Sales]]*Sales_Data[[#This Row],[Discount]]</f>
        <v>0</v>
      </c>
      <c r="J800">
        <v>97.830100000000002</v>
      </c>
      <c r="K800" s="1">
        <v>9.6</v>
      </c>
      <c r="L800" s="1">
        <v>97.830100000000002</v>
      </c>
      <c r="M800" s="1" t="s">
        <v>10</v>
      </c>
      <c r="N800" s="1">
        <f>IF(Sales_Data[[#This Row],[Sales with Discount]]&lt;Sales_Data[[#This Row],[Sales with Free Shipping]],Sales_Data[[#This Row],[Sales with Discount]],Sales_Data[[#This Row],[Sales with Free Shipping]])</f>
        <v>97.830100000000002</v>
      </c>
      <c r="O800" s="1" t="str">
        <f>TEXT(Sales_Data[[#This Row],[Order Date]], "MM-YYYY")</f>
        <v>01-2019</v>
      </c>
    </row>
    <row r="801" spans="1:15" x14ac:dyDescent="0.3">
      <c r="A801" s="1">
        <v>30913</v>
      </c>
      <c r="B801" s="2">
        <v>43730</v>
      </c>
      <c r="C801" s="1" t="s">
        <v>14</v>
      </c>
      <c r="D801" s="1">
        <v>23</v>
      </c>
      <c r="E801" t="s">
        <v>14</v>
      </c>
      <c r="F801" t="s">
        <v>14</v>
      </c>
      <c r="G801" s="1">
        <v>153.11699999999999</v>
      </c>
      <c r="H801">
        <v>0</v>
      </c>
      <c r="I801">
        <f>Sales_Data[[#This Row],[Sales]]*Sales_Data[[#This Row],[Discount]]</f>
        <v>0</v>
      </c>
      <c r="J801">
        <v>153.11699999999999</v>
      </c>
      <c r="K801" s="1">
        <v>1.6</v>
      </c>
      <c r="L801" s="1">
        <v>153.11699999999999</v>
      </c>
      <c r="M801" s="1" t="s">
        <v>10</v>
      </c>
      <c r="N801" s="1">
        <f>IF(Sales_Data[[#This Row],[Sales with Discount]]&lt;Sales_Data[[#This Row],[Sales with Free Shipping]],Sales_Data[[#This Row],[Sales with Discount]],Sales_Data[[#This Row],[Sales with Free Shipping]])</f>
        <v>153.11699999999999</v>
      </c>
      <c r="O801" s="1" t="str">
        <f>TEXT(Sales_Data[[#This Row],[Order Date]], "MM-YYYY")</f>
        <v>09-2019</v>
      </c>
    </row>
    <row r="802" spans="1:15" x14ac:dyDescent="0.3">
      <c r="A802" s="1">
        <v>59202</v>
      </c>
      <c r="B802" s="2">
        <v>43716</v>
      </c>
      <c r="C802" s="1" t="s">
        <v>14</v>
      </c>
      <c r="D802" s="1">
        <v>7</v>
      </c>
      <c r="E802" t="s">
        <v>17</v>
      </c>
      <c r="F802" t="s">
        <v>17</v>
      </c>
      <c r="G802" s="1">
        <v>89.68</v>
      </c>
      <c r="H802">
        <v>0</v>
      </c>
      <c r="I802">
        <f>Sales_Data[[#This Row],[Sales]]*Sales_Data[[#This Row],[Discount]]</f>
        <v>0</v>
      </c>
      <c r="J802">
        <v>89.68</v>
      </c>
      <c r="K802" s="1">
        <v>0.5</v>
      </c>
      <c r="L802" s="1">
        <v>89.68</v>
      </c>
      <c r="M802" s="1" t="s">
        <v>10</v>
      </c>
      <c r="N802" s="1">
        <f>IF(Sales_Data[[#This Row],[Sales with Discount]]&lt;Sales_Data[[#This Row],[Sales with Free Shipping]],Sales_Data[[#This Row],[Sales with Discount]],Sales_Data[[#This Row],[Sales with Free Shipping]])</f>
        <v>89.68</v>
      </c>
      <c r="O802" s="1" t="str">
        <f>TEXT(Sales_Data[[#This Row],[Order Date]], "MM-YYYY")</f>
        <v>09-2019</v>
      </c>
    </row>
    <row r="803" spans="1:15" x14ac:dyDescent="0.3">
      <c r="A803" s="1">
        <v>16706</v>
      </c>
      <c r="B803" s="2">
        <v>43643</v>
      </c>
      <c r="C803" s="1" t="s">
        <v>9</v>
      </c>
      <c r="D803" s="1">
        <v>49</v>
      </c>
      <c r="E803" t="s">
        <v>24</v>
      </c>
      <c r="F803" t="s">
        <v>24</v>
      </c>
      <c r="G803" s="1">
        <v>6608.08</v>
      </c>
      <c r="H803">
        <v>0.01</v>
      </c>
      <c r="I803">
        <f>Sales_Data[[#This Row],[Sales]]*Sales_Data[[#This Row],[Discount]]</f>
        <v>66.080799999999996</v>
      </c>
      <c r="J803">
        <v>6541.9992000000002</v>
      </c>
      <c r="K803" s="1">
        <v>4.2</v>
      </c>
      <c r="L803" s="1">
        <v>6603.88</v>
      </c>
      <c r="M803" s="1" t="s">
        <v>8</v>
      </c>
      <c r="N803" s="1">
        <f>IF(Sales_Data[[#This Row],[Sales with Discount]]&lt;Sales_Data[[#This Row],[Sales with Free Shipping]],Sales_Data[[#This Row],[Sales with Discount]],Sales_Data[[#This Row],[Sales with Free Shipping]])</f>
        <v>6541.9992000000002</v>
      </c>
      <c r="O803" s="1" t="str">
        <f>TEXT(Sales_Data[[#This Row],[Order Date]], "MM-YYYY")</f>
        <v>06-2019</v>
      </c>
    </row>
    <row r="804" spans="1:15" x14ac:dyDescent="0.3">
      <c r="A804" s="1">
        <v>8007</v>
      </c>
      <c r="B804" s="2">
        <v>43506</v>
      </c>
      <c r="C804" s="1" t="s">
        <v>7</v>
      </c>
      <c r="D804" s="1">
        <v>35</v>
      </c>
      <c r="E804" t="s">
        <v>21</v>
      </c>
      <c r="F804" t="s">
        <v>21</v>
      </c>
      <c r="G804" s="1">
        <v>3565.3</v>
      </c>
      <c r="H804">
        <v>0</v>
      </c>
      <c r="I804">
        <f>Sales_Data[[#This Row],[Sales]]*Sales_Data[[#This Row],[Discount]]</f>
        <v>0</v>
      </c>
      <c r="J804">
        <v>3565.3</v>
      </c>
      <c r="K804" s="1">
        <v>21.4</v>
      </c>
      <c r="L804" s="1">
        <v>3565.3</v>
      </c>
      <c r="M804" s="1" t="s">
        <v>10</v>
      </c>
      <c r="N804" s="1">
        <f>IF(Sales_Data[[#This Row],[Sales with Discount]]&lt;Sales_Data[[#This Row],[Sales with Free Shipping]],Sales_Data[[#This Row],[Sales with Discount]],Sales_Data[[#This Row],[Sales with Free Shipping]])</f>
        <v>3565.3</v>
      </c>
      <c r="O804" s="1" t="str">
        <f>TEXT(Sales_Data[[#This Row],[Order Date]], "MM-YYYY")</f>
        <v>02-2019</v>
      </c>
    </row>
    <row r="805" spans="1:15" x14ac:dyDescent="0.3">
      <c r="A805" s="1">
        <v>24707</v>
      </c>
      <c r="B805" s="2">
        <v>43534</v>
      </c>
      <c r="C805" s="1" t="s">
        <v>14</v>
      </c>
      <c r="D805" s="1">
        <v>3</v>
      </c>
      <c r="E805" t="s">
        <v>16</v>
      </c>
      <c r="F805" t="s">
        <v>16</v>
      </c>
      <c r="G805" s="1">
        <v>5.29</v>
      </c>
      <c r="H805">
        <v>0</v>
      </c>
      <c r="I805">
        <f>Sales_Data[[#This Row],[Sales]]*Sales_Data[[#This Row],[Discount]]</f>
        <v>0</v>
      </c>
      <c r="J805">
        <v>5.29</v>
      </c>
      <c r="K805" s="1">
        <v>0.7</v>
      </c>
      <c r="L805" s="1">
        <v>5.29</v>
      </c>
      <c r="M805" s="1" t="s">
        <v>10</v>
      </c>
      <c r="N805" s="1">
        <f>IF(Sales_Data[[#This Row],[Sales with Discount]]&lt;Sales_Data[[#This Row],[Sales with Free Shipping]],Sales_Data[[#This Row],[Sales with Discount]],Sales_Data[[#This Row],[Sales with Free Shipping]])</f>
        <v>5.29</v>
      </c>
      <c r="O805" s="1" t="str">
        <f>TEXT(Sales_Data[[#This Row],[Order Date]], "MM-YYYY")</f>
        <v>03-2019</v>
      </c>
    </row>
    <row r="806" spans="1:15" x14ac:dyDescent="0.3">
      <c r="A806" s="1">
        <v>4067</v>
      </c>
      <c r="B806" s="2">
        <v>43744</v>
      </c>
      <c r="C806" s="1" t="s">
        <v>9</v>
      </c>
      <c r="D806" s="1">
        <v>16</v>
      </c>
      <c r="E806" t="s">
        <v>19</v>
      </c>
      <c r="F806" t="s">
        <v>19</v>
      </c>
      <c r="G806" s="1">
        <v>126.67</v>
      </c>
      <c r="H806">
        <v>0</v>
      </c>
      <c r="I806">
        <f>Sales_Data[[#This Row],[Sales]]*Sales_Data[[#This Row],[Discount]]</f>
        <v>0</v>
      </c>
      <c r="J806">
        <v>126.67</v>
      </c>
      <c r="K806" s="1">
        <v>6.5</v>
      </c>
      <c r="L806" s="1">
        <v>126.67</v>
      </c>
      <c r="M806" s="1" t="s">
        <v>10</v>
      </c>
      <c r="N806" s="1">
        <f>IF(Sales_Data[[#This Row],[Sales with Discount]]&lt;Sales_Data[[#This Row],[Sales with Free Shipping]],Sales_Data[[#This Row],[Sales with Discount]],Sales_Data[[#This Row],[Sales with Free Shipping]])</f>
        <v>126.67</v>
      </c>
      <c r="O806" s="1" t="str">
        <f>TEXT(Sales_Data[[#This Row],[Order Date]], "MM-YYYY")</f>
        <v>10-2019</v>
      </c>
    </row>
    <row r="807" spans="1:15" x14ac:dyDescent="0.3">
      <c r="A807" s="1">
        <v>16935</v>
      </c>
      <c r="B807" s="2">
        <v>43814</v>
      </c>
      <c r="C807" s="1" t="s">
        <v>11</v>
      </c>
      <c r="D807" s="1">
        <v>43</v>
      </c>
      <c r="E807" t="s">
        <v>23</v>
      </c>
      <c r="F807" t="s">
        <v>23</v>
      </c>
      <c r="G807" s="1">
        <v>125.92</v>
      </c>
      <c r="H807">
        <v>0.01</v>
      </c>
      <c r="I807">
        <f>Sales_Data[[#This Row],[Sales]]*Sales_Data[[#This Row],[Discount]]</f>
        <v>1.2592000000000001</v>
      </c>
      <c r="J807">
        <v>124.66079999999999</v>
      </c>
      <c r="K807" s="1">
        <v>0.7</v>
      </c>
      <c r="L807" s="1">
        <v>125.22</v>
      </c>
      <c r="M807" s="1" t="s">
        <v>8</v>
      </c>
      <c r="N807" s="1">
        <f>IF(Sales_Data[[#This Row],[Sales with Discount]]&lt;Sales_Data[[#This Row],[Sales with Free Shipping]],Sales_Data[[#This Row],[Sales with Discount]],Sales_Data[[#This Row],[Sales with Free Shipping]])</f>
        <v>124.66079999999999</v>
      </c>
      <c r="O807" s="1" t="str">
        <f>TEXT(Sales_Data[[#This Row],[Order Date]], "MM-YYYY")</f>
        <v>12-2019</v>
      </c>
    </row>
    <row r="808" spans="1:15" x14ac:dyDescent="0.3">
      <c r="A808" s="1">
        <v>37315</v>
      </c>
      <c r="B808" s="2">
        <v>43621</v>
      </c>
      <c r="C808" s="1" t="s">
        <v>7</v>
      </c>
      <c r="D808" s="1">
        <v>31</v>
      </c>
      <c r="E808" t="s">
        <v>21</v>
      </c>
      <c r="F808" t="s">
        <v>21</v>
      </c>
      <c r="G808" s="1">
        <v>5057.46</v>
      </c>
      <c r="H808">
        <v>0</v>
      </c>
      <c r="I808">
        <f>Sales_Data[[#This Row],[Sales]]*Sales_Data[[#This Row],[Discount]]</f>
        <v>0</v>
      </c>
      <c r="J808">
        <v>5057.46</v>
      </c>
      <c r="K808" s="1">
        <v>5.3</v>
      </c>
      <c r="L808" s="1">
        <v>5057.46</v>
      </c>
      <c r="M808" s="1" t="s">
        <v>8</v>
      </c>
      <c r="N808" s="1">
        <f>IF(Sales_Data[[#This Row],[Sales with Discount]]&lt;Sales_Data[[#This Row],[Sales with Free Shipping]],Sales_Data[[#This Row],[Sales with Discount]],Sales_Data[[#This Row],[Sales with Free Shipping]])</f>
        <v>5057.46</v>
      </c>
      <c r="O808" s="1" t="str">
        <f>TEXT(Sales_Data[[#This Row],[Order Date]], "MM-YYYY")</f>
        <v>06-2019</v>
      </c>
    </row>
    <row r="809" spans="1:15" x14ac:dyDescent="0.3">
      <c r="A809" s="1">
        <v>4069</v>
      </c>
      <c r="B809" s="2">
        <v>43597</v>
      </c>
      <c r="C809" s="1" t="s">
        <v>14</v>
      </c>
      <c r="D809" s="1">
        <v>30</v>
      </c>
      <c r="E809" t="s">
        <v>20</v>
      </c>
      <c r="F809" t="s">
        <v>20</v>
      </c>
      <c r="G809" s="1">
        <v>83.95</v>
      </c>
      <c r="H809">
        <v>0</v>
      </c>
      <c r="I809">
        <f>Sales_Data[[#This Row],[Sales]]*Sales_Data[[#This Row],[Discount]]</f>
        <v>0</v>
      </c>
      <c r="J809">
        <v>83.95</v>
      </c>
      <c r="K809" s="1">
        <v>0.9</v>
      </c>
      <c r="L809" s="1">
        <v>83.95</v>
      </c>
      <c r="M809" s="1" t="s">
        <v>10</v>
      </c>
      <c r="N809" s="1">
        <f>IF(Sales_Data[[#This Row],[Sales with Discount]]&lt;Sales_Data[[#This Row],[Sales with Free Shipping]],Sales_Data[[#This Row],[Sales with Discount]],Sales_Data[[#This Row],[Sales with Free Shipping]])</f>
        <v>83.95</v>
      </c>
      <c r="O809" s="1" t="str">
        <f>TEXT(Sales_Data[[#This Row],[Order Date]], "MM-YYYY")</f>
        <v>05-2019</v>
      </c>
    </row>
    <row r="810" spans="1:15" x14ac:dyDescent="0.3">
      <c r="A810" s="1">
        <v>3232</v>
      </c>
      <c r="B810" s="2">
        <v>43746</v>
      </c>
      <c r="C810" s="1" t="s">
        <v>12</v>
      </c>
      <c r="D810" s="1">
        <v>5</v>
      </c>
      <c r="E810" t="s">
        <v>16</v>
      </c>
      <c r="F810" t="s">
        <v>16</v>
      </c>
      <c r="G810" s="1">
        <v>45.65</v>
      </c>
      <c r="H810">
        <v>0</v>
      </c>
      <c r="I810">
        <f>Sales_Data[[#This Row],[Sales]]*Sales_Data[[#This Row],[Discount]]</f>
        <v>0</v>
      </c>
      <c r="J810">
        <v>45.65</v>
      </c>
      <c r="K810" s="1">
        <v>5</v>
      </c>
      <c r="L810" s="1">
        <v>45.65</v>
      </c>
      <c r="M810" s="1" t="s">
        <v>10</v>
      </c>
      <c r="N810" s="1">
        <f>IF(Sales_Data[[#This Row],[Sales with Discount]]&lt;Sales_Data[[#This Row],[Sales with Free Shipping]],Sales_Data[[#This Row],[Sales with Discount]],Sales_Data[[#This Row],[Sales with Free Shipping]])</f>
        <v>45.65</v>
      </c>
      <c r="O810" s="1" t="str">
        <f>TEXT(Sales_Data[[#This Row],[Order Date]], "MM-YYYY")</f>
        <v>10-2019</v>
      </c>
    </row>
    <row r="811" spans="1:15" x14ac:dyDescent="0.3">
      <c r="A811" s="1">
        <v>1925</v>
      </c>
      <c r="B811" s="2">
        <v>43528</v>
      </c>
      <c r="C811" s="1" t="s">
        <v>12</v>
      </c>
      <c r="D811" s="1">
        <v>7</v>
      </c>
      <c r="E811" t="s">
        <v>17</v>
      </c>
      <c r="F811" t="s">
        <v>17</v>
      </c>
      <c r="G811" s="1">
        <v>2005.5759</v>
      </c>
      <c r="H811">
        <v>0</v>
      </c>
      <c r="I811">
        <f>Sales_Data[[#This Row],[Sales]]*Sales_Data[[#This Row],[Discount]]</f>
        <v>0</v>
      </c>
      <c r="J811">
        <v>2005.5759</v>
      </c>
      <c r="K811" s="1">
        <v>26.2</v>
      </c>
      <c r="L811" s="1">
        <v>2005.5759</v>
      </c>
      <c r="M811" s="1" t="s">
        <v>10</v>
      </c>
      <c r="N811" s="1">
        <f>IF(Sales_Data[[#This Row],[Sales with Discount]]&lt;Sales_Data[[#This Row],[Sales with Free Shipping]],Sales_Data[[#This Row],[Sales with Discount]],Sales_Data[[#This Row],[Sales with Free Shipping]])</f>
        <v>2005.5759</v>
      </c>
      <c r="O811" s="1" t="str">
        <f>TEXT(Sales_Data[[#This Row],[Order Date]], "MM-YYYY")</f>
        <v>03-2019</v>
      </c>
    </row>
    <row r="812" spans="1:15" x14ac:dyDescent="0.3">
      <c r="A812" s="1">
        <v>24608</v>
      </c>
      <c r="B812" s="2">
        <v>43691</v>
      </c>
      <c r="C812" s="1" t="s">
        <v>14</v>
      </c>
      <c r="D812" s="1">
        <v>50</v>
      </c>
      <c r="E812" t="s">
        <v>24</v>
      </c>
      <c r="F812" t="s">
        <v>24</v>
      </c>
      <c r="G812" s="1">
        <v>211.18</v>
      </c>
      <c r="H812">
        <v>0.01</v>
      </c>
      <c r="I812">
        <f>Sales_Data[[#This Row],[Sales]]*Sales_Data[[#This Row],[Discount]]</f>
        <v>2.1118000000000001</v>
      </c>
      <c r="J812">
        <v>209.06820000000002</v>
      </c>
      <c r="K812" s="1">
        <v>3.2</v>
      </c>
      <c r="L812" s="1">
        <v>207.98000000000002</v>
      </c>
      <c r="M812" s="1" t="s">
        <v>10</v>
      </c>
      <c r="N812" s="1">
        <f>IF(Sales_Data[[#This Row],[Sales with Discount]]&lt;Sales_Data[[#This Row],[Sales with Free Shipping]],Sales_Data[[#This Row],[Sales with Discount]],Sales_Data[[#This Row],[Sales with Free Shipping]])</f>
        <v>207.98000000000002</v>
      </c>
      <c r="O812" s="1" t="str">
        <f>TEXT(Sales_Data[[#This Row],[Order Date]], "MM-YYYY")</f>
        <v>08-2019</v>
      </c>
    </row>
    <row r="813" spans="1:15" x14ac:dyDescent="0.3">
      <c r="A813" s="1">
        <v>11108</v>
      </c>
      <c r="B813" s="2">
        <v>43693</v>
      </c>
      <c r="C813" s="1" t="s">
        <v>11</v>
      </c>
      <c r="D813" s="1">
        <v>20</v>
      </c>
      <c r="E813" t="s">
        <v>19</v>
      </c>
      <c r="F813" t="s">
        <v>19</v>
      </c>
      <c r="G813" s="1">
        <v>140.93</v>
      </c>
      <c r="H813">
        <v>0</v>
      </c>
      <c r="I813">
        <f>Sales_Data[[#This Row],[Sales]]*Sales_Data[[#This Row],[Discount]]</f>
        <v>0</v>
      </c>
      <c r="J813">
        <v>140.93</v>
      </c>
      <c r="K813" s="1">
        <v>6.1</v>
      </c>
      <c r="L813" s="1">
        <v>140.93</v>
      </c>
      <c r="M813" s="1" t="s">
        <v>10</v>
      </c>
      <c r="N813" s="1">
        <f>IF(Sales_Data[[#This Row],[Sales with Discount]]&lt;Sales_Data[[#This Row],[Sales with Free Shipping]],Sales_Data[[#This Row],[Sales with Discount]],Sales_Data[[#This Row],[Sales with Free Shipping]])</f>
        <v>140.93</v>
      </c>
      <c r="O813" s="1" t="str">
        <f>TEXT(Sales_Data[[#This Row],[Order Date]], "MM-YYYY")</f>
        <v>08-2019</v>
      </c>
    </row>
    <row r="814" spans="1:15" x14ac:dyDescent="0.3">
      <c r="A814" s="1">
        <v>13894</v>
      </c>
      <c r="B814" s="2">
        <v>43565</v>
      </c>
      <c r="C814" s="1" t="s">
        <v>14</v>
      </c>
      <c r="D814" s="1">
        <v>50</v>
      </c>
      <c r="E814" t="s">
        <v>24</v>
      </c>
      <c r="F814" t="s">
        <v>24</v>
      </c>
      <c r="G814" s="1">
        <v>1648.1</v>
      </c>
      <c r="H814">
        <v>0.01</v>
      </c>
      <c r="I814">
        <f>Sales_Data[[#This Row],[Sales]]*Sales_Data[[#This Row],[Discount]]</f>
        <v>16.480999999999998</v>
      </c>
      <c r="J814">
        <v>1631.6189999999999</v>
      </c>
      <c r="K814" s="1">
        <v>1.3</v>
      </c>
      <c r="L814" s="1">
        <v>1646.8</v>
      </c>
      <c r="M814" s="1" t="s">
        <v>10</v>
      </c>
      <c r="N814" s="1">
        <f>IF(Sales_Data[[#This Row],[Sales with Discount]]&lt;Sales_Data[[#This Row],[Sales with Free Shipping]],Sales_Data[[#This Row],[Sales with Discount]],Sales_Data[[#This Row],[Sales with Free Shipping]])</f>
        <v>1631.6189999999999</v>
      </c>
      <c r="O814" s="1" t="str">
        <f>TEXT(Sales_Data[[#This Row],[Order Date]], "MM-YYYY")</f>
        <v>04-2019</v>
      </c>
    </row>
    <row r="815" spans="1:15" x14ac:dyDescent="0.3">
      <c r="A815" s="1">
        <v>34723</v>
      </c>
      <c r="B815" s="2">
        <v>43808</v>
      </c>
      <c r="C815" s="1" t="s">
        <v>14</v>
      </c>
      <c r="D815" s="1">
        <v>46</v>
      </c>
      <c r="E815" t="s">
        <v>24</v>
      </c>
      <c r="F815" t="s">
        <v>24</v>
      </c>
      <c r="G815" s="1">
        <v>4040.62</v>
      </c>
      <c r="H815">
        <v>0.01</v>
      </c>
      <c r="I815">
        <f>Sales_Data[[#This Row],[Sales]]*Sales_Data[[#This Row],[Discount]]</f>
        <v>40.406199999999998</v>
      </c>
      <c r="J815">
        <v>4000.2138</v>
      </c>
      <c r="K815" s="1">
        <v>32.200000000000003</v>
      </c>
      <c r="L815" s="1">
        <v>4008.42</v>
      </c>
      <c r="M815" s="1" t="s">
        <v>13</v>
      </c>
      <c r="N815" s="1">
        <f>IF(Sales_Data[[#This Row],[Sales with Discount]]&lt;Sales_Data[[#This Row],[Sales with Free Shipping]],Sales_Data[[#This Row],[Sales with Discount]],Sales_Data[[#This Row],[Sales with Free Shipping]])</f>
        <v>4000.2138</v>
      </c>
      <c r="O815" s="1" t="str">
        <f>TEXT(Sales_Data[[#This Row],[Order Date]], "MM-YYYY")</f>
        <v>12-2019</v>
      </c>
    </row>
    <row r="816" spans="1:15" x14ac:dyDescent="0.3">
      <c r="A816" s="1">
        <v>54209</v>
      </c>
      <c r="B816" s="2">
        <v>43692</v>
      </c>
      <c r="C816" s="1" t="s">
        <v>14</v>
      </c>
      <c r="D816" s="1">
        <v>21</v>
      </c>
      <c r="E816" t="s">
        <v>14</v>
      </c>
      <c r="F816" t="s">
        <v>14</v>
      </c>
      <c r="G816" s="1">
        <v>711.53819999999996</v>
      </c>
      <c r="H816">
        <v>0</v>
      </c>
      <c r="I816">
        <f>Sales_Data[[#This Row],[Sales]]*Sales_Data[[#This Row],[Discount]]</f>
        <v>0</v>
      </c>
      <c r="J816">
        <v>711.53819999999996</v>
      </c>
      <c r="K816" s="1">
        <v>6.4</v>
      </c>
      <c r="L816" s="1">
        <v>711.53819999999996</v>
      </c>
      <c r="M816" s="1" t="s">
        <v>10</v>
      </c>
      <c r="N816" s="1">
        <f>IF(Sales_Data[[#This Row],[Sales with Discount]]&lt;Sales_Data[[#This Row],[Sales with Free Shipping]],Sales_Data[[#This Row],[Sales with Discount]],Sales_Data[[#This Row],[Sales with Free Shipping]])</f>
        <v>711.53819999999996</v>
      </c>
      <c r="O816" s="1" t="str">
        <f>TEXT(Sales_Data[[#This Row],[Order Date]], "MM-YYYY")</f>
        <v>08-2019</v>
      </c>
    </row>
    <row r="817" spans="1:15" x14ac:dyDescent="0.3">
      <c r="A817" s="1">
        <v>6500</v>
      </c>
      <c r="B817" s="2">
        <v>43750</v>
      </c>
      <c r="C817" s="1" t="s">
        <v>12</v>
      </c>
      <c r="D817" s="1">
        <v>20</v>
      </c>
      <c r="E817" t="s">
        <v>19</v>
      </c>
      <c r="F817" t="s">
        <v>19</v>
      </c>
      <c r="G817" s="1">
        <v>40.97</v>
      </c>
      <c r="H817">
        <v>0</v>
      </c>
      <c r="I817">
        <f>Sales_Data[[#This Row],[Sales]]*Sales_Data[[#This Row],[Discount]]</f>
        <v>0</v>
      </c>
      <c r="J817">
        <v>40.97</v>
      </c>
      <c r="K817" s="1">
        <v>1.7</v>
      </c>
      <c r="L817" s="1">
        <v>40.97</v>
      </c>
      <c r="M817" s="1" t="s">
        <v>10</v>
      </c>
      <c r="N817" s="1">
        <f>IF(Sales_Data[[#This Row],[Sales with Discount]]&lt;Sales_Data[[#This Row],[Sales with Free Shipping]],Sales_Data[[#This Row],[Sales with Discount]],Sales_Data[[#This Row],[Sales with Free Shipping]])</f>
        <v>40.97</v>
      </c>
      <c r="O817" s="1" t="str">
        <f>TEXT(Sales_Data[[#This Row],[Order Date]], "MM-YYYY")</f>
        <v>10-2019</v>
      </c>
    </row>
    <row r="818" spans="1:15" x14ac:dyDescent="0.3">
      <c r="A818" s="1">
        <v>9861</v>
      </c>
      <c r="B818" s="2">
        <v>43766</v>
      </c>
      <c r="C818" s="1" t="s">
        <v>7</v>
      </c>
      <c r="D818" s="1">
        <v>47</v>
      </c>
      <c r="E818" t="s">
        <v>24</v>
      </c>
      <c r="F818" t="s">
        <v>24</v>
      </c>
      <c r="G818" s="1">
        <v>756.15</v>
      </c>
      <c r="H818">
        <v>0.01</v>
      </c>
      <c r="I818">
        <f>Sales_Data[[#This Row],[Sales]]*Sales_Data[[#This Row],[Discount]]</f>
        <v>7.5614999999999997</v>
      </c>
      <c r="J818">
        <v>748.58849999999995</v>
      </c>
      <c r="K818" s="1">
        <v>5.8</v>
      </c>
      <c r="L818" s="1">
        <v>750.35</v>
      </c>
      <c r="M818" s="1" t="s">
        <v>10</v>
      </c>
      <c r="N818" s="1">
        <f>IF(Sales_Data[[#This Row],[Sales with Discount]]&lt;Sales_Data[[#This Row],[Sales with Free Shipping]],Sales_Data[[#This Row],[Sales with Discount]],Sales_Data[[#This Row],[Sales with Free Shipping]])</f>
        <v>748.58849999999995</v>
      </c>
      <c r="O818" s="1" t="str">
        <f>TEXT(Sales_Data[[#This Row],[Order Date]], "MM-YYYY")</f>
        <v>10-2019</v>
      </c>
    </row>
    <row r="819" spans="1:15" x14ac:dyDescent="0.3">
      <c r="A819" s="1">
        <v>7458</v>
      </c>
      <c r="B819" s="2">
        <v>43559</v>
      </c>
      <c r="C819" s="1" t="s">
        <v>12</v>
      </c>
      <c r="D819" s="1">
        <v>46</v>
      </c>
      <c r="E819" t="s">
        <v>24</v>
      </c>
      <c r="F819" t="s">
        <v>24</v>
      </c>
      <c r="G819" s="1">
        <v>546.84</v>
      </c>
      <c r="H819">
        <v>0.01</v>
      </c>
      <c r="I819">
        <f>Sales_Data[[#This Row],[Sales]]*Sales_Data[[#This Row],[Discount]]</f>
        <v>5.4684000000000008</v>
      </c>
      <c r="J819">
        <v>541.37160000000006</v>
      </c>
      <c r="K819" s="1">
        <v>7</v>
      </c>
      <c r="L819" s="1">
        <v>539.84</v>
      </c>
      <c r="M819" s="1" t="s">
        <v>10</v>
      </c>
      <c r="N819" s="1">
        <f>IF(Sales_Data[[#This Row],[Sales with Discount]]&lt;Sales_Data[[#This Row],[Sales with Free Shipping]],Sales_Data[[#This Row],[Sales with Discount]],Sales_Data[[#This Row],[Sales with Free Shipping]])</f>
        <v>539.84</v>
      </c>
      <c r="O819" s="1" t="str">
        <f>TEXT(Sales_Data[[#This Row],[Order Date]], "MM-YYYY")</f>
        <v>04-2019</v>
      </c>
    </row>
    <row r="820" spans="1:15" x14ac:dyDescent="0.3">
      <c r="A820" s="1">
        <v>16804</v>
      </c>
      <c r="B820" s="2">
        <v>43534</v>
      </c>
      <c r="C820" s="1" t="s">
        <v>9</v>
      </c>
      <c r="D820" s="1">
        <v>36</v>
      </c>
      <c r="E820" t="s">
        <v>22</v>
      </c>
      <c r="F820" t="s">
        <v>22</v>
      </c>
      <c r="G820" s="1">
        <v>233.9</v>
      </c>
      <c r="H820">
        <v>0.01</v>
      </c>
      <c r="I820">
        <f>Sales_Data[[#This Row],[Sales]]*Sales_Data[[#This Row],[Discount]]</f>
        <v>2.339</v>
      </c>
      <c r="J820">
        <v>231.56100000000001</v>
      </c>
      <c r="K820" s="1">
        <v>5.3</v>
      </c>
      <c r="L820" s="1">
        <v>228.6</v>
      </c>
      <c r="M820" s="1" t="s">
        <v>8</v>
      </c>
      <c r="N820" s="1">
        <f>IF(Sales_Data[[#This Row],[Sales with Discount]]&lt;Sales_Data[[#This Row],[Sales with Free Shipping]],Sales_Data[[#This Row],[Sales with Discount]],Sales_Data[[#This Row],[Sales with Free Shipping]])</f>
        <v>228.6</v>
      </c>
      <c r="O820" s="1" t="str">
        <f>TEXT(Sales_Data[[#This Row],[Order Date]], "MM-YYYY")</f>
        <v>03-2019</v>
      </c>
    </row>
    <row r="821" spans="1:15" x14ac:dyDescent="0.3">
      <c r="A821" s="1">
        <v>37765</v>
      </c>
      <c r="B821" s="2">
        <v>43793</v>
      </c>
      <c r="C821" s="1" t="s">
        <v>7</v>
      </c>
      <c r="D821" s="1">
        <v>7</v>
      </c>
      <c r="E821" t="s">
        <v>17</v>
      </c>
      <c r="F821" t="s">
        <v>17</v>
      </c>
      <c r="G821" s="1">
        <v>45.65</v>
      </c>
      <c r="H821">
        <v>0</v>
      </c>
      <c r="I821">
        <f>Sales_Data[[#This Row],[Sales]]*Sales_Data[[#This Row],[Discount]]</f>
        <v>0</v>
      </c>
      <c r="J821">
        <v>45.65</v>
      </c>
      <c r="K821" s="1">
        <v>7.4</v>
      </c>
      <c r="L821" s="1">
        <v>45.65</v>
      </c>
      <c r="M821" s="1" t="s">
        <v>8</v>
      </c>
      <c r="N821" s="1">
        <f>IF(Sales_Data[[#This Row],[Sales with Discount]]&lt;Sales_Data[[#This Row],[Sales with Free Shipping]],Sales_Data[[#This Row],[Sales with Discount]],Sales_Data[[#This Row],[Sales with Free Shipping]])</f>
        <v>45.65</v>
      </c>
      <c r="O821" s="1" t="str">
        <f>TEXT(Sales_Data[[#This Row],[Order Date]], "MM-YYYY")</f>
        <v>11-2019</v>
      </c>
    </row>
    <row r="822" spans="1:15" x14ac:dyDescent="0.3">
      <c r="A822" s="1">
        <v>59492</v>
      </c>
      <c r="B822" s="2">
        <v>43769</v>
      </c>
      <c r="C822" s="1" t="s">
        <v>11</v>
      </c>
      <c r="D822" s="1">
        <v>25</v>
      </c>
      <c r="E822" t="s">
        <v>14</v>
      </c>
      <c r="F822" t="s">
        <v>14</v>
      </c>
      <c r="G822" s="1">
        <v>182.33</v>
      </c>
      <c r="H822">
        <v>0</v>
      </c>
      <c r="I822">
        <f>Sales_Data[[#This Row],[Sales]]*Sales_Data[[#This Row],[Discount]]</f>
        <v>0</v>
      </c>
      <c r="J822">
        <v>182.33</v>
      </c>
      <c r="K822" s="1">
        <v>10.8</v>
      </c>
      <c r="L822" s="1">
        <v>182.33</v>
      </c>
      <c r="M822" s="1" t="s">
        <v>10</v>
      </c>
      <c r="N822" s="1">
        <f>IF(Sales_Data[[#This Row],[Sales with Discount]]&lt;Sales_Data[[#This Row],[Sales with Free Shipping]],Sales_Data[[#This Row],[Sales with Discount]],Sales_Data[[#This Row],[Sales with Free Shipping]])</f>
        <v>182.33</v>
      </c>
      <c r="O822" s="1" t="str">
        <f>TEXT(Sales_Data[[#This Row],[Order Date]], "MM-YYYY")</f>
        <v>10-2019</v>
      </c>
    </row>
    <row r="823" spans="1:15" x14ac:dyDescent="0.3">
      <c r="A823" s="1">
        <v>3014</v>
      </c>
      <c r="B823" s="2">
        <v>43767</v>
      </c>
      <c r="C823" s="1" t="s">
        <v>11</v>
      </c>
      <c r="D823" s="1">
        <v>13</v>
      </c>
      <c r="E823" t="s">
        <v>18</v>
      </c>
      <c r="F823" t="s">
        <v>18</v>
      </c>
      <c r="G823" s="1">
        <v>4282.29</v>
      </c>
      <c r="H823">
        <v>0</v>
      </c>
      <c r="I823">
        <f>Sales_Data[[#This Row],[Sales]]*Sales_Data[[#This Row],[Discount]]</f>
        <v>0</v>
      </c>
      <c r="J823">
        <v>4282.29</v>
      </c>
      <c r="K823" s="1">
        <v>21.4</v>
      </c>
      <c r="L823" s="1">
        <v>4282.29</v>
      </c>
      <c r="M823" s="1" t="s">
        <v>10</v>
      </c>
      <c r="N823" s="1">
        <f>IF(Sales_Data[[#This Row],[Sales with Discount]]&lt;Sales_Data[[#This Row],[Sales with Free Shipping]],Sales_Data[[#This Row],[Sales with Discount]],Sales_Data[[#This Row],[Sales with Free Shipping]])</f>
        <v>4282.29</v>
      </c>
      <c r="O823" s="1" t="str">
        <f>TEXT(Sales_Data[[#This Row],[Order Date]], "MM-YYYY")</f>
        <v>10-2019</v>
      </c>
    </row>
    <row r="824" spans="1:15" x14ac:dyDescent="0.3">
      <c r="A824" s="1">
        <v>50721</v>
      </c>
      <c r="B824" s="2">
        <v>43522</v>
      </c>
      <c r="C824" s="1" t="s">
        <v>9</v>
      </c>
      <c r="D824" s="1">
        <v>33</v>
      </c>
      <c r="E824" t="s">
        <v>21</v>
      </c>
      <c r="F824" t="s">
        <v>21</v>
      </c>
      <c r="G824" s="1">
        <v>10441.81</v>
      </c>
      <c r="H824">
        <v>0</v>
      </c>
      <c r="I824">
        <f>Sales_Data[[#This Row],[Sales]]*Sales_Data[[#This Row],[Discount]]</f>
        <v>0</v>
      </c>
      <c r="J824">
        <v>10441.81</v>
      </c>
      <c r="K824" s="1">
        <v>21.4</v>
      </c>
      <c r="L824" s="1">
        <v>10441.81</v>
      </c>
      <c r="M824" s="1" t="s">
        <v>10</v>
      </c>
      <c r="N824" s="1">
        <f>IF(Sales_Data[[#This Row],[Sales with Discount]]&lt;Sales_Data[[#This Row],[Sales with Free Shipping]],Sales_Data[[#This Row],[Sales with Discount]],Sales_Data[[#This Row],[Sales with Free Shipping]])</f>
        <v>10441.81</v>
      </c>
      <c r="O824" s="1" t="str">
        <f>TEXT(Sales_Data[[#This Row],[Order Date]], "MM-YYYY")</f>
        <v>02-2019</v>
      </c>
    </row>
    <row r="825" spans="1:15" x14ac:dyDescent="0.3">
      <c r="A825" s="1">
        <v>57699</v>
      </c>
      <c r="B825" s="2">
        <v>43779</v>
      </c>
      <c r="C825" s="1" t="s">
        <v>7</v>
      </c>
      <c r="D825" s="1">
        <v>20</v>
      </c>
      <c r="E825" t="s">
        <v>19</v>
      </c>
      <c r="F825" t="s">
        <v>19</v>
      </c>
      <c r="G825" s="1">
        <v>47.02</v>
      </c>
      <c r="H825">
        <v>0</v>
      </c>
      <c r="I825">
        <f>Sales_Data[[#This Row],[Sales]]*Sales_Data[[#This Row],[Discount]]</f>
        <v>0</v>
      </c>
      <c r="J825">
        <v>47.02</v>
      </c>
      <c r="K825" s="1">
        <v>5.7</v>
      </c>
      <c r="L825" s="1">
        <v>47.02</v>
      </c>
      <c r="M825" s="1" t="s">
        <v>10</v>
      </c>
      <c r="N825" s="1">
        <f>IF(Sales_Data[[#This Row],[Sales with Discount]]&lt;Sales_Data[[#This Row],[Sales with Free Shipping]],Sales_Data[[#This Row],[Sales with Discount]],Sales_Data[[#This Row],[Sales with Free Shipping]])</f>
        <v>47.02</v>
      </c>
      <c r="O825" s="1" t="str">
        <f>TEXT(Sales_Data[[#This Row],[Order Date]], "MM-YYYY")</f>
        <v>11-2019</v>
      </c>
    </row>
    <row r="826" spans="1:15" x14ac:dyDescent="0.3">
      <c r="A826" s="1">
        <v>56224</v>
      </c>
      <c r="B826" s="2">
        <v>43763</v>
      </c>
      <c r="C826" s="1" t="s">
        <v>14</v>
      </c>
      <c r="D826" s="1">
        <v>9</v>
      </c>
      <c r="E826" t="s">
        <v>17</v>
      </c>
      <c r="F826" t="s">
        <v>17</v>
      </c>
      <c r="G826" s="1">
        <v>965.17</v>
      </c>
      <c r="H826">
        <v>0</v>
      </c>
      <c r="I826">
        <f>Sales_Data[[#This Row],[Sales]]*Sales_Data[[#This Row],[Discount]]</f>
        <v>0</v>
      </c>
      <c r="J826">
        <v>965.17</v>
      </c>
      <c r="K826" s="1">
        <v>55.6</v>
      </c>
      <c r="L826" s="1">
        <v>965.17</v>
      </c>
      <c r="M826" s="1" t="s">
        <v>13</v>
      </c>
      <c r="N826" s="1">
        <f>IF(Sales_Data[[#This Row],[Sales with Discount]]&lt;Sales_Data[[#This Row],[Sales with Free Shipping]],Sales_Data[[#This Row],[Sales with Discount]],Sales_Data[[#This Row],[Sales with Free Shipping]])</f>
        <v>965.17</v>
      </c>
      <c r="O826" s="1" t="str">
        <f>TEXT(Sales_Data[[#This Row],[Order Date]], "MM-YYYY")</f>
        <v>10-2019</v>
      </c>
    </row>
    <row r="827" spans="1:15" x14ac:dyDescent="0.3">
      <c r="A827" s="1">
        <v>17831</v>
      </c>
      <c r="B827" s="2">
        <v>43763</v>
      </c>
      <c r="C827" s="1" t="s">
        <v>12</v>
      </c>
      <c r="D827" s="1">
        <v>34</v>
      </c>
      <c r="E827" t="s">
        <v>21</v>
      </c>
      <c r="F827" t="s">
        <v>21</v>
      </c>
      <c r="G827" s="1">
        <v>256.05</v>
      </c>
      <c r="H827">
        <v>0</v>
      </c>
      <c r="I827">
        <f>Sales_Data[[#This Row],[Sales]]*Sales_Data[[#This Row],[Discount]]</f>
        <v>0</v>
      </c>
      <c r="J827">
        <v>256.05</v>
      </c>
      <c r="K827" s="1">
        <v>3</v>
      </c>
      <c r="L827" s="1">
        <v>256.05</v>
      </c>
      <c r="M827" s="1" t="s">
        <v>10</v>
      </c>
      <c r="N827" s="1">
        <f>IF(Sales_Data[[#This Row],[Sales with Discount]]&lt;Sales_Data[[#This Row],[Sales with Free Shipping]],Sales_Data[[#This Row],[Sales with Discount]],Sales_Data[[#This Row],[Sales with Free Shipping]])</f>
        <v>256.05</v>
      </c>
      <c r="O827" s="1" t="str">
        <f>TEXT(Sales_Data[[#This Row],[Order Date]], "MM-YYYY")</f>
        <v>10-2019</v>
      </c>
    </row>
    <row r="828" spans="1:15" x14ac:dyDescent="0.3">
      <c r="A828" s="1">
        <v>32871</v>
      </c>
      <c r="B828" s="2">
        <v>43764</v>
      </c>
      <c r="C828" s="1" t="s">
        <v>9</v>
      </c>
      <c r="D828" s="1">
        <v>42</v>
      </c>
      <c r="E828" t="s">
        <v>23</v>
      </c>
      <c r="F828" t="s">
        <v>23</v>
      </c>
      <c r="G828" s="1">
        <v>1005.55</v>
      </c>
      <c r="H828">
        <v>0.01</v>
      </c>
      <c r="I828">
        <f>Sales_Data[[#This Row],[Sales]]*Sales_Data[[#This Row],[Discount]]</f>
        <v>10.0555</v>
      </c>
      <c r="J828">
        <v>995.4944999999999</v>
      </c>
      <c r="K828" s="1">
        <v>4.3</v>
      </c>
      <c r="L828" s="1">
        <v>1001.25</v>
      </c>
      <c r="M828" s="1" t="s">
        <v>8</v>
      </c>
      <c r="N828" s="1">
        <f>IF(Sales_Data[[#This Row],[Sales with Discount]]&lt;Sales_Data[[#This Row],[Sales with Free Shipping]],Sales_Data[[#This Row],[Sales with Discount]],Sales_Data[[#This Row],[Sales with Free Shipping]])</f>
        <v>995.4944999999999</v>
      </c>
      <c r="O828" s="1" t="str">
        <f>TEXT(Sales_Data[[#This Row],[Order Date]], "MM-YYYY")</f>
        <v>10-2019</v>
      </c>
    </row>
    <row r="829" spans="1:15" x14ac:dyDescent="0.3">
      <c r="A829" s="1">
        <v>41345</v>
      </c>
      <c r="B829" s="2">
        <v>43497</v>
      </c>
      <c r="C829" s="1" t="s">
        <v>14</v>
      </c>
      <c r="D829" s="1">
        <v>36</v>
      </c>
      <c r="E829" t="s">
        <v>22</v>
      </c>
      <c r="F829" t="s">
        <v>22</v>
      </c>
      <c r="G829" s="1">
        <v>71.06</v>
      </c>
      <c r="H829">
        <v>0.01</v>
      </c>
      <c r="I829">
        <f>Sales_Data[[#This Row],[Sales]]*Sales_Data[[#This Row],[Discount]]</f>
        <v>0.71060000000000001</v>
      </c>
      <c r="J829">
        <v>70.349400000000003</v>
      </c>
      <c r="K829" s="1">
        <v>0.8</v>
      </c>
      <c r="L829" s="1">
        <v>70.260000000000005</v>
      </c>
      <c r="M829" s="1" t="s">
        <v>10</v>
      </c>
      <c r="N829" s="1">
        <f>IF(Sales_Data[[#This Row],[Sales with Discount]]&lt;Sales_Data[[#This Row],[Sales with Free Shipping]],Sales_Data[[#This Row],[Sales with Discount]],Sales_Data[[#This Row],[Sales with Free Shipping]])</f>
        <v>70.260000000000005</v>
      </c>
      <c r="O829" s="1" t="str">
        <f>TEXT(Sales_Data[[#This Row],[Order Date]], "MM-YYYY")</f>
        <v>02-2019</v>
      </c>
    </row>
    <row r="830" spans="1:15" x14ac:dyDescent="0.3">
      <c r="A830" s="1">
        <v>25767</v>
      </c>
      <c r="B830" s="2">
        <v>43527</v>
      </c>
      <c r="C830" s="1" t="s">
        <v>9</v>
      </c>
      <c r="D830" s="1">
        <v>15</v>
      </c>
      <c r="E830" t="s">
        <v>18</v>
      </c>
      <c r="F830" t="s">
        <v>18</v>
      </c>
      <c r="G830" s="1">
        <v>635.29</v>
      </c>
      <c r="H830">
        <v>0</v>
      </c>
      <c r="I830">
        <f>Sales_Data[[#This Row],[Sales]]*Sales_Data[[#This Row],[Discount]]</f>
        <v>0</v>
      </c>
      <c r="J830">
        <v>635.29</v>
      </c>
      <c r="K830" s="1">
        <v>14.2</v>
      </c>
      <c r="L830" s="1">
        <v>635.29</v>
      </c>
      <c r="M830" s="1" t="s">
        <v>10</v>
      </c>
      <c r="N830" s="1">
        <f>IF(Sales_Data[[#This Row],[Sales with Discount]]&lt;Sales_Data[[#This Row],[Sales with Free Shipping]],Sales_Data[[#This Row],[Sales with Discount]],Sales_Data[[#This Row],[Sales with Free Shipping]])</f>
        <v>635.29</v>
      </c>
      <c r="O830" s="1" t="str">
        <f>TEXT(Sales_Data[[#This Row],[Order Date]], "MM-YYYY")</f>
        <v>03-2019</v>
      </c>
    </row>
    <row r="831" spans="1:15" x14ac:dyDescent="0.3">
      <c r="A831" s="1">
        <v>58658</v>
      </c>
      <c r="B831" s="2">
        <v>43627</v>
      </c>
      <c r="C831" s="1" t="s">
        <v>14</v>
      </c>
      <c r="D831" s="1">
        <v>46</v>
      </c>
      <c r="E831" t="s">
        <v>24</v>
      </c>
      <c r="F831" t="s">
        <v>24</v>
      </c>
      <c r="G831" s="1">
        <v>814.06</v>
      </c>
      <c r="H831">
        <v>0.01</v>
      </c>
      <c r="I831">
        <f>Sales_Data[[#This Row],[Sales]]*Sales_Data[[#This Row],[Discount]]</f>
        <v>8.1405999999999992</v>
      </c>
      <c r="J831">
        <v>805.91939999999988</v>
      </c>
      <c r="K831" s="1">
        <v>1.1000000000000001</v>
      </c>
      <c r="L831" s="1">
        <v>812.95999999999992</v>
      </c>
      <c r="M831" s="1" t="s">
        <v>10</v>
      </c>
      <c r="N831" s="1">
        <f>IF(Sales_Data[[#This Row],[Sales with Discount]]&lt;Sales_Data[[#This Row],[Sales with Free Shipping]],Sales_Data[[#This Row],[Sales with Discount]],Sales_Data[[#This Row],[Sales with Free Shipping]])</f>
        <v>805.91939999999988</v>
      </c>
      <c r="O831" s="1" t="str">
        <f>TEXT(Sales_Data[[#This Row],[Order Date]], "MM-YYYY")</f>
        <v>06-2019</v>
      </c>
    </row>
    <row r="832" spans="1:15" x14ac:dyDescent="0.3">
      <c r="A832" s="1">
        <v>52230</v>
      </c>
      <c r="B832" s="2">
        <v>43707</v>
      </c>
      <c r="C832" s="1" t="s">
        <v>12</v>
      </c>
      <c r="D832" s="1">
        <v>29</v>
      </c>
      <c r="E832" t="s">
        <v>20</v>
      </c>
      <c r="F832" t="s">
        <v>20</v>
      </c>
      <c r="G832" s="1">
        <v>2889.8346000000001</v>
      </c>
      <c r="H832">
        <v>0</v>
      </c>
      <c r="I832">
        <f>Sales_Data[[#This Row],[Sales]]*Sales_Data[[#This Row],[Discount]]</f>
        <v>0</v>
      </c>
      <c r="J832">
        <v>2889.8346000000001</v>
      </c>
      <c r="K832" s="1">
        <v>62.3</v>
      </c>
      <c r="L832" s="1">
        <v>2889.8346000000001</v>
      </c>
      <c r="M832" s="1" t="s">
        <v>13</v>
      </c>
      <c r="N832" s="1">
        <f>IF(Sales_Data[[#This Row],[Sales with Discount]]&lt;Sales_Data[[#This Row],[Sales with Free Shipping]],Sales_Data[[#This Row],[Sales with Discount]],Sales_Data[[#This Row],[Sales with Free Shipping]])</f>
        <v>2889.8346000000001</v>
      </c>
      <c r="O832" s="1" t="str">
        <f>TEXT(Sales_Data[[#This Row],[Order Date]], "MM-YYYY")</f>
        <v>08-2019</v>
      </c>
    </row>
    <row r="833" spans="1:15" x14ac:dyDescent="0.3">
      <c r="A833" s="1">
        <v>49634</v>
      </c>
      <c r="B833" s="2">
        <v>43547</v>
      </c>
      <c r="C833" s="1" t="s">
        <v>11</v>
      </c>
      <c r="D833" s="1">
        <v>3</v>
      </c>
      <c r="E833" t="s">
        <v>16</v>
      </c>
      <c r="F833" t="s">
        <v>16</v>
      </c>
      <c r="G833" s="1">
        <v>92.93</v>
      </c>
      <c r="H833">
        <v>0</v>
      </c>
      <c r="I833">
        <f>Sales_Data[[#This Row],[Sales]]*Sales_Data[[#This Row],[Discount]]</f>
        <v>0</v>
      </c>
      <c r="J833">
        <v>92.93</v>
      </c>
      <c r="K833" s="1">
        <v>2.1</v>
      </c>
      <c r="L833" s="1">
        <v>92.93</v>
      </c>
      <c r="M833" s="1" t="s">
        <v>10</v>
      </c>
      <c r="N833" s="1">
        <f>IF(Sales_Data[[#This Row],[Sales with Discount]]&lt;Sales_Data[[#This Row],[Sales with Free Shipping]],Sales_Data[[#This Row],[Sales with Discount]],Sales_Data[[#This Row],[Sales with Free Shipping]])</f>
        <v>92.93</v>
      </c>
      <c r="O833" s="1" t="str">
        <f>TEXT(Sales_Data[[#This Row],[Order Date]], "MM-YYYY")</f>
        <v>03-2019</v>
      </c>
    </row>
    <row r="834" spans="1:15" x14ac:dyDescent="0.3">
      <c r="A834" s="1">
        <v>29473</v>
      </c>
      <c r="B834" s="2">
        <v>43510</v>
      </c>
      <c r="C834" s="1" t="s">
        <v>14</v>
      </c>
      <c r="D834" s="1">
        <v>31</v>
      </c>
      <c r="E834" t="s">
        <v>21</v>
      </c>
      <c r="F834" t="s">
        <v>21</v>
      </c>
      <c r="G834" s="1">
        <v>220.73</v>
      </c>
      <c r="H834">
        <v>0</v>
      </c>
      <c r="I834">
        <f>Sales_Data[[#This Row],[Sales]]*Sales_Data[[#This Row],[Discount]]</f>
        <v>0</v>
      </c>
      <c r="J834">
        <v>220.73</v>
      </c>
      <c r="K834" s="1">
        <v>5.4</v>
      </c>
      <c r="L834" s="1">
        <v>220.73</v>
      </c>
      <c r="M834" s="1" t="s">
        <v>10</v>
      </c>
      <c r="N834" s="1">
        <f>IF(Sales_Data[[#This Row],[Sales with Discount]]&lt;Sales_Data[[#This Row],[Sales with Free Shipping]],Sales_Data[[#This Row],[Sales with Discount]],Sales_Data[[#This Row],[Sales with Free Shipping]])</f>
        <v>220.73</v>
      </c>
      <c r="O834" s="1" t="str">
        <f>TEXT(Sales_Data[[#This Row],[Order Date]], "MM-YYYY")</f>
        <v>02-2019</v>
      </c>
    </row>
    <row r="835" spans="1:15" x14ac:dyDescent="0.3">
      <c r="A835" s="1">
        <v>8005</v>
      </c>
      <c r="B835" s="2">
        <v>43560</v>
      </c>
      <c r="C835" s="1" t="s">
        <v>12</v>
      </c>
      <c r="D835" s="1">
        <v>24</v>
      </c>
      <c r="E835" t="s">
        <v>14</v>
      </c>
      <c r="F835" t="s">
        <v>14</v>
      </c>
      <c r="G835" s="1">
        <v>845.97</v>
      </c>
      <c r="H835">
        <v>0</v>
      </c>
      <c r="I835">
        <f>Sales_Data[[#This Row],[Sales]]*Sales_Data[[#This Row],[Discount]]</f>
        <v>0</v>
      </c>
      <c r="J835">
        <v>845.97</v>
      </c>
      <c r="K835" s="1">
        <v>15.8</v>
      </c>
      <c r="L835" s="1">
        <v>845.97</v>
      </c>
      <c r="M835" s="1" t="s">
        <v>10</v>
      </c>
      <c r="N835" s="1">
        <f>IF(Sales_Data[[#This Row],[Sales with Discount]]&lt;Sales_Data[[#This Row],[Sales with Free Shipping]],Sales_Data[[#This Row],[Sales with Discount]],Sales_Data[[#This Row],[Sales with Free Shipping]])</f>
        <v>845.97</v>
      </c>
      <c r="O835" s="1" t="str">
        <f>TEXT(Sales_Data[[#This Row],[Order Date]], "MM-YYYY")</f>
        <v>04-2019</v>
      </c>
    </row>
    <row r="836" spans="1:15" x14ac:dyDescent="0.3">
      <c r="A836" s="1">
        <v>15651</v>
      </c>
      <c r="B836" s="2">
        <v>43742</v>
      </c>
      <c r="C836" s="1" t="s">
        <v>12</v>
      </c>
      <c r="D836" s="1">
        <v>8</v>
      </c>
      <c r="E836" t="s">
        <v>17</v>
      </c>
      <c r="F836" t="s">
        <v>17</v>
      </c>
      <c r="G836" s="1">
        <v>1601.61</v>
      </c>
      <c r="H836">
        <v>0</v>
      </c>
      <c r="I836">
        <f>Sales_Data[[#This Row],[Sales]]*Sales_Data[[#This Row],[Discount]]</f>
        <v>0</v>
      </c>
      <c r="J836">
        <v>1601.61</v>
      </c>
      <c r="K836" s="1">
        <v>60.1</v>
      </c>
      <c r="L836" s="1">
        <v>1601.61</v>
      </c>
      <c r="M836" s="1" t="s">
        <v>13</v>
      </c>
      <c r="N836" s="1">
        <f>IF(Sales_Data[[#This Row],[Sales with Discount]]&lt;Sales_Data[[#This Row],[Sales with Free Shipping]],Sales_Data[[#This Row],[Sales with Discount]],Sales_Data[[#This Row],[Sales with Free Shipping]])</f>
        <v>1601.61</v>
      </c>
      <c r="O836" s="1" t="str">
        <f>TEXT(Sales_Data[[#This Row],[Order Date]], "MM-YYYY")</f>
        <v>10-2019</v>
      </c>
    </row>
    <row r="837" spans="1:15" x14ac:dyDescent="0.3">
      <c r="A837" s="1">
        <v>58369</v>
      </c>
      <c r="B837" s="2">
        <v>43707</v>
      </c>
      <c r="C837" s="1" t="s">
        <v>9</v>
      </c>
      <c r="D837" s="1">
        <v>46</v>
      </c>
      <c r="E837" t="s">
        <v>24</v>
      </c>
      <c r="F837" t="s">
        <v>24</v>
      </c>
      <c r="G837" s="1">
        <v>343.00990000000002</v>
      </c>
      <c r="H837">
        <v>0.01</v>
      </c>
      <c r="I837">
        <f>Sales_Data[[#This Row],[Sales]]*Sales_Data[[#This Row],[Discount]]</f>
        <v>3.4300990000000002</v>
      </c>
      <c r="J837">
        <v>339.57980100000003</v>
      </c>
      <c r="K837" s="1">
        <v>6.5</v>
      </c>
      <c r="L837" s="1">
        <v>336.50990000000002</v>
      </c>
      <c r="M837" s="1" t="s">
        <v>10</v>
      </c>
      <c r="N837" s="1">
        <f>IF(Sales_Data[[#This Row],[Sales with Discount]]&lt;Sales_Data[[#This Row],[Sales with Free Shipping]],Sales_Data[[#This Row],[Sales with Discount]],Sales_Data[[#This Row],[Sales with Free Shipping]])</f>
        <v>336.50990000000002</v>
      </c>
      <c r="O837" s="1" t="str">
        <f>TEXT(Sales_Data[[#This Row],[Order Date]], "MM-YYYY")</f>
        <v>08-2019</v>
      </c>
    </row>
    <row r="838" spans="1:15" x14ac:dyDescent="0.3">
      <c r="A838" s="1">
        <v>37412</v>
      </c>
      <c r="B838" s="2">
        <v>43680</v>
      </c>
      <c r="C838" s="1" t="s">
        <v>9</v>
      </c>
      <c r="D838" s="1">
        <v>17</v>
      </c>
      <c r="E838" t="s">
        <v>19</v>
      </c>
      <c r="F838" t="s">
        <v>19</v>
      </c>
      <c r="G838" s="1">
        <v>205.09</v>
      </c>
      <c r="H838">
        <v>0</v>
      </c>
      <c r="I838">
        <f>Sales_Data[[#This Row],[Sales]]*Sales_Data[[#This Row],[Discount]]</f>
        <v>0</v>
      </c>
      <c r="J838">
        <v>205.09</v>
      </c>
      <c r="K838" s="1">
        <v>3.6</v>
      </c>
      <c r="L838" s="1">
        <v>205.09</v>
      </c>
      <c r="M838" s="1" t="s">
        <v>10</v>
      </c>
      <c r="N838" s="1">
        <f>IF(Sales_Data[[#This Row],[Sales with Discount]]&lt;Sales_Data[[#This Row],[Sales with Free Shipping]],Sales_Data[[#This Row],[Sales with Discount]],Sales_Data[[#This Row],[Sales with Free Shipping]])</f>
        <v>205.09</v>
      </c>
      <c r="O838" s="1" t="str">
        <f>TEXT(Sales_Data[[#This Row],[Order Date]], "MM-YYYY")</f>
        <v>08-2019</v>
      </c>
    </row>
    <row r="839" spans="1:15" x14ac:dyDescent="0.3">
      <c r="A839" s="1">
        <v>28899</v>
      </c>
      <c r="B839" s="2">
        <v>43630</v>
      </c>
      <c r="C839" s="1" t="s">
        <v>7</v>
      </c>
      <c r="D839" s="1">
        <v>27</v>
      </c>
      <c r="E839" t="s">
        <v>20</v>
      </c>
      <c r="F839" t="s">
        <v>20</v>
      </c>
      <c r="G839" s="1">
        <v>4802.4399999999996</v>
      </c>
      <c r="H839">
        <v>0</v>
      </c>
      <c r="I839">
        <f>Sales_Data[[#This Row],[Sales]]*Sales_Data[[#This Row],[Discount]]</f>
        <v>0</v>
      </c>
      <c r="J839">
        <v>4802.4399999999996</v>
      </c>
      <c r="K839" s="1">
        <v>5.4</v>
      </c>
      <c r="L839" s="1">
        <v>4802.4399999999996</v>
      </c>
      <c r="M839" s="1" t="s">
        <v>10</v>
      </c>
      <c r="N839" s="1">
        <f>IF(Sales_Data[[#This Row],[Sales with Discount]]&lt;Sales_Data[[#This Row],[Sales with Free Shipping]],Sales_Data[[#This Row],[Sales with Discount]],Sales_Data[[#This Row],[Sales with Free Shipping]])</f>
        <v>4802.4399999999996</v>
      </c>
      <c r="O839" s="1" t="str">
        <f>TEXT(Sales_Data[[#This Row],[Order Date]], "MM-YYYY")</f>
        <v>06-2019</v>
      </c>
    </row>
    <row r="840" spans="1:15" x14ac:dyDescent="0.3">
      <c r="A840" s="1">
        <v>56358</v>
      </c>
      <c r="B840" s="2">
        <v>43525</v>
      </c>
      <c r="C840" s="1" t="s">
        <v>11</v>
      </c>
      <c r="D840" s="1">
        <v>1</v>
      </c>
      <c r="E840" t="s">
        <v>16</v>
      </c>
      <c r="F840" t="s">
        <v>16</v>
      </c>
      <c r="G840" s="1">
        <v>12.52</v>
      </c>
      <c r="H840">
        <v>0</v>
      </c>
      <c r="I840">
        <f>Sales_Data[[#This Row],[Sales]]*Sales_Data[[#This Row],[Discount]]</f>
        <v>0</v>
      </c>
      <c r="J840">
        <v>12.52</v>
      </c>
      <c r="K840" s="1">
        <v>6</v>
      </c>
      <c r="L840" s="1">
        <v>12.52</v>
      </c>
      <c r="M840" s="1" t="s">
        <v>10</v>
      </c>
      <c r="N840" s="1">
        <f>IF(Sales_Data[[#This Row],[Sales with Discount]]&lt;Sales_Data[[#This Row],[Sales with Free Shipping]],Sales_Data[[#This Row],[Sales with Discount]],Sales_Data[[#This Row],[Sales with Free Shipping]])</f>
        <v>12.52</v>
      </c>
      <c r="O840" s="1" t="str">
        <f>TEXT(Sales_Data[[#This Row],[Order Date]], "MM-YYYY")</f>
        <v>03-2019</v>
      </c>
    </row>
    <row r="841" spans="1:15" x14ac:dyDescent="0.3">
      <c r="A841" s="1">
        <v>55462</v>
      </c>
      <c r="B841" s="2">
        <v>43551</v>
      </c>
      <c r="C841" s="1" t="s">
        <v>14</v>
      </c>
      <c r="D841" s="1">
        <v>13</v>
      </c>
      <c r="E841" t="s">
        <v>18</v>
      </c>
      <c r="F841" t="s">
        <v>18</v>
      </c>
      <c r="G841" s="1">
        <v>80.540000000000006</v>
      </c>
      <c r="H841">
        <v>0</v>
      </c>
      <c r="I841">
        <f>Sales_Data[[#This Row],[Sales]]*Sales_Data[[#This Row],[Discount]]</f>
        <v>0</v>
      </c>
      <c r="J841">
        <v>80.540000000000006</v>
      </c>
      <c r="K841" s="1">
        <v>3.2</v>
      </c>
      <c r="L841" s="1">
        <v>80.540000000000006</v>
      </c>
      <c r="M841" s="1" t="s">
        <v>10</v>
      </c>
      <c r="N841" s="1">
        <f>IF(Sales_Data[[#This Row],[Sales with Discount]]&lt;Sales_Data[[#This Row],[Sales with Free Shipping]],Sales_Data[[#This Row],[Sales with Discount]],Sales_Data[[#This Row],[Sales with Free Shipping]])</f>
        <v>80.540000000000006</v>
      </c>
      <c r="O841" s="1" t="str">
        <f>TEXT(Sales_Data[[#This Row],[Order Date]], "MM-YYYY")</f>
        <v>03-2019</v>
      </c>
    </row>
    <row r="842" spans="1:15" x14ac:dyDescent="0.3">
      <c r="A842" s="1">
        <v>54115</v>
      </c>
      <c r="B842" s="2">
        <v>43471</v>
      </c>
      <c r="C842" s="1" t="s">
        <v>7</v>
      </c>
      <c r="D842" s="1">
        <v>24</v>
      </c>
      <c r="E842" t="s">
        <v>14</v>
      </c>
      <c r="F842" t="s">
        <v>14</v>
      </c>
      <c r="G842" s="1">
        <v>122.16</v>
      </c>
      <c r="H842">
        <v>0</v>
      </c>
      <c r="I842">
        <f>Sales_Data[[#This Row],[Sales]]*Sales_Data[[#This Row],[Discount]]</f>
        <v>0</v>
      </c>
      <c r="J842">
        <v>122.16</v>
      </c>
      <c r="K842" s="1">
        <v>5.5</v>
      </c>
      <c r="L842" s="1">
        <v>122.16</v>
      </c>
      <c r="M842" s="1" t="s">
        <v>10</v>
      </c>
      <c r="N842" s="1">
        <f>IF(Sales_Data[[#This Row],[Sales with Discount]]&lt;Sales_Data[[#This Row],[Sales with Free Shipping]],Sales_Data[[#This Row],[Sales with Discount]],Sales_Data[[#This Row],[Sales with Free Shipping]])</f>
        <v>122.16</v>
      </c>
      <c r="O842" s="1" t="str">
        <f>TEXT(Sales_Data[[#This Row],[Order Date]], "MM-YYYY")</f>
        <v>01-2019</v>
      </c>
    </row>
    <row r="843" spans="1:15" x14ac:dyDescent="0.3">
      <c r="A843" s="1">
        <v>57537</v>
      </c>
      <c r="B843" s="2">
        <v>43726</v>
      </c>
      <c r="C843" s="1" t="s">
        <v>14</v>
      </c>
      <c r="D843" s="1">
        <v>29</v>
      </c>
      <c r="E843" t="s">
        <v>20</v>
      </c>
      <c r="F843" t="s">
        <v>20</v>
      </c>
      <c r="G843" s="1">
        <v>3155.03</v>
      </c>
      <c r="H843">
        <v>0</v>
      </c>
      <c r="I843">
        <f>Sales_Data[[#This Row],[Sales]]*Sales_Data[[#This Row],[Discount]]</f>
        <v>0</v>
      </c>
      <c r="J843">
        <v>3155.03</v>
      </c>
      <c r="K843" s="1">
        <v>7.7</v>
      </c>
      <c r="L843" s="1">
        <v>3155.03</v>
      </c>
      <c r="M843" s="1" t="s">
        <v>10</v>
      </c>
      <c r="N843" s="1">
        <f>IF(Sales_Data[[#This Row],[Sales with Discount]]&lt;Sales_Data[[#This Row],[Sales with Free Shipping]],Sales_Data[[#This Row],[Sales with Discount]],Sales_Data[[#This Row],[Sales with Free Shipping]])</f>
        <v>3155.03</v>
      </c>
      <c r="O843" s="1" t="str">
        <f>TEXT(Sales_Data[[#This Row],[Order Date]], "MM-YYYY")</f>
        <v>09-2019</v>
      </c>
    </row>
    <row r="844" spans="1:15" x14ac:dyDescent="0.3">
      <c r="A844" s="1">
        <v>37158</v>
      </c>
      <c r="B844" s="2">
        <v>43730</v>
      </c>
      <c r="C844" s="1" t="s">
        <v>7</v>
      </c>
      <c r="D844" s="1">
        <v>25</v>
      </c>
      <c r="E844" t="s">
        <v>14</v>
      </c>
      <c r="F844" t="s">
        <v>14</v>
      </c>
      <c r="G844" s="1">
        <v>184.08</v>
      </c>
      <c r="H844">
        <v>0</v>
      </c>
      <c r="I844">
        <f>Sales_Data[[#This Row],[Sales]]*Sales_Data[[#This Row],[Discount]]</f>
        <v>0</v>
      </c>
      <c r="J844">
        <v>184.08</v>
      </c>
      <c r="K844" s="1">
        <v>7.9</v>
      </c>
      <c r="L844" s="1">
        <v>184.08</v>
      </c>
      <c r="M844" s="1" t="s">
        <v>10</v>
      </c>
      <c r="N844" s="1">
        <f>IF(Sales_Data[[#This Row],[Sales with Discount]]&lt;Sales_Data[[#This Row],[Sales with Free Shipping]],Sales_Data[[#This Row],[Sales with Discount]],Sales_Data[[#This Row],[Sales with Free Shipping]])</f>
        <v>184.08</v>
      </c>
      <c r="O844" s="1" t="str">
        <f>TEXT(Sales_Data[[#This Row],[Order Date]], "MM-YYYY")</f>
        <v>09-2019</v>
      </c>
    </row>
    <row r="845" spans="1:15" x14ac:dyDescent="0.3">
      <c r="A845" s="1">
        <v>32902</v>
      </c>
      <c r="B845" s="2">
        <v>43527</v>
      </c>
      <c r="C845" s="1" t="s">
        <v>9</v>
      </c>
      <c r="D845" s="1">
        <v>23</v>
      </c>
      <c r="E845" t="s">
        <v>14</v>
      </c>
      <c r="F845" t="s">
        <v>14</v>
      </c>
      <c r="G845" s="1">
        <v>1753.38</v>
      </c>
      <c r="H845">
        <v>0</v>
      </c>
      <c r="I845">
        <f>Sales_Data[[#This Row],[Sales]]*Sales_Data[[#This Row],[Discount]]</f>
        <v>0</v>
      </c>
      <c r="J845">
        <v>1753.38</v>
      </c>
      <c r="K845" s="1">
        <v>64.2</v>
      </c>
      <c r="L845" s="1">
        <v>1753.38</v>
      </c>
      <c r="M845" s="1" t="s">
        <v>13</v>
      </c>
      <c r="N845" s="1">
        <f>IF(Sales_Data[[#This Row],[Sales with Discount]]&lt;Sales_Data[[#This Row],[Sales with Free Shipping]],Sales_Data[[#This Row],[Sales with Discount]],Sales_Data[[#This Row],[Sales with Free Shipping]])</f>
        <v>1753.38</v>
      </c>
      <c r="O845" s="1" t="str">
        <f>TEXT(Sales_Data[[#This Row],[Order Date]], "MM-YYYY")</f>
        <v>03-2019</v>
      </c>
    </row>
    <row r="846" spans="1:15" x14ac:dyDescent="0.3">
      <c r="A846" s="1">
        <v>9602</v>
      </c>
      <c r="B846" s="2">
        <v>43779</v>
      </c>
      <c r="C846" s="1" t="s">
        <v>12</v>
      </c>
      <c r="D846" s="1">
        <v>15</v>
      </c>
      <c r="E846" t="s">
        <v>18</v>
      </c>
      <c r="F846" t="s">
        <v>18</v>
      </c>
      <c r="G846" s="1">
        <v>1843.24</v>
      </c>
      <c r="H846">
        <v>0</v>
      </c>
      <c r="I846">
        <f>Sales_Data[[#This Row],[Sales]]*Sales_Data[[#This Row],[Discount]]</f>
        <v>0</v>
      </c>
      <c r="J846">
        <v>1843.24</v>
      </c>
      <c r="K846" s="1">
        <v>55</v>
      </c>
      <c r="L846" s="1">
        <v>1843.24</v>
      </c>
      <c r="M846" s="1" t="s">
        <v>13</v>
      </c>
      <c r="N846" s="1">
        <f>IF(Sales_Data[[#This Row],[Sales with Discount]]&lt;Sales_Data[[#This Row],[Sales with Free Shipping]],Sales_Data[[#This Row],[Sales with Discount]],Sales_Data[[#This Row],[Sales with Free Shipping]])</f>
        <v>1843.24</v>
      </c>
      <c r="O846" s="1" t="str">
        <f>TEXT(Sales_Data[[#This Row],[Order Date]], "MM-YYYY")</f>
        <v>11-2019</v>
      </c>
    </row>
    <row r="847" spans="1:15" x14ac:dyDescent="0.3">
      <c r="A847" s="1">
        <v>15616</v>
      </c>
      <c r="B847" s="2">
        <v>43547</v>
      </c>
      <c r="C847" s="1" t="s">
        <v>12</v>
      </c>
      <c r="D847" s="1">
        <v>34</v>
      </c>
      <c r="E847" t="s">
        <v>21</v>
      </c>
      <c r="F847" t="s">
        <v>21</v>
      </c>
      <c r="G847" s="1">
        <v>143.44</v>
      </c>
      <c r="H847">
        <v>0</v>
      </c>
      <c r="I847">
        <f>Sales_Data[[#This Row],[Sales]]*Sales_Data[[#This Row],[Discount]]</f>
        <v>0</v>
      </c>
      <c r="J847">
        <v>143.44</v>
      </c>
      <c r="K847" s="1">
        <v>1.3</v>
      </c>
      <c r="L847" s="1">
        <v>143.44</v>
      </c>
      <c r="M847" s="1" t="s">
        <v>10</v>
      </c>
      <c r="N847" s="1">
        <f>IF(Sales_Data[[#This Row],[Sales with Discount]]&lt;Sales_Data[[#This Row],[Sales with Free Shipping]],Sales_Data[[#This Row],[Sales with Discount]],Sales_Data[[#This Row],[Sales with Free Shipping]])</f>
        <v>143.44</v>
      </c>
      <c r="O847" s="1" t="str">
        <f>TEXT(Sales_Data[[#This Row],[Order Date]], "MM-YYYY")</f>
        <v>03-2019</v>
      </c>
    </row>
    <row r="848" spans="1:15" x14ac:dyDescent="0.3">
      <c r="A848" s="1">
        <v>3685</v>
      </c>
      <c r="B848" s="2">
        <v>43480</v>
      </c>
      <c r="C848" s="1" t="s">
        <v>14</v>
      </c>
      <c r="D848" s="1">
        <v>29</v>
      </c>
      <c r="E848" t="s">
        <v>20</v>
      </c>
      <c r="F848" t="s">
        <v>20</v>
      </c>
      <c r="G848" s="1">
        <v>114.25</v>
      </c>
      <c r="H848">
        <v>0</v>
      </c>
      <c r="I848">
        <f>Sales_Data[[#This Row],[Sales]]*Sales_Data[[#This Row],[Discount]]</f>
        <v>0</v>
      </c>
      <c r="J848">
        <v>114.25</v>
      </c>
      <c r="K848" s="1">
        <v>5.4</v>
      </c>
      <c r="L848" s="1">
        <v>114.25</v>
      </c>
      <c r="M848" s="1" t="s">
        <v>10</v>
      </c>
      <c r="N848" s="1">
        <f>IF(Sales_Data[[#This Row],[Sales with Discount]]&lt;Sales_Data[[#This Row],[Sales with Free Shipping]],Sales_Data[[#This Row],[Sales with Discount]],Sales_Data[[#This Row],[Sales with Free Shipping]])</f>
        <v>114.25</v>
      </c>
      <c r="O848" s="1" t="str">
        <f>TEXT(Sales_Data[[#This Row],[Order Date]], "MM-YYYY")</f>
        <v>01-2019</v>
      </c>
    </row>
    <row r="849" spans="1:15" x14ac:dyDescent="0.3">
      <c r="A849" s="1">
        <v>24672</v>
      </c>
      <c r="B849" s="2">
        <v>43541</v>
      </c>
      <c r="C849" s="1" t="s">
        <v>14</v>
      </c>
      <c r="D849" s="1">
        <v>37</v>
      </c>
      <c r="E849" t="s">
        <v>22</v>
      </c>
      <c r="F849" t="s">
        <v>22</v>
      </c>
      <c r="G849" s="1">
        <v>206.42</v>
      </c>
      <c r="H849">
        <v>0.01</v>
      </c>
      <c r="I849">
        <f>Sales_Data[[#This Row],[Sales]]*Sales_Data[[#This Row],[Discount]]</f>
        <v>2.0642</v>
      </c>
      <c r="J849">
        <v>204.35579999999999</v>
      </c>
      <c r="K849" s="1">
        <v>1</v>
      </c>
      <c r="L849" s="1">
        <v>205.42</v>
      </c>
      <c r="M849" s="1" t="s">
        <v>10</v>
      </c>
      <c r="N849" s="1">
        <f>IF(Sales_Data[[#This Row],[Sales with Discount]]&lt;Sales_Data[[#This Row],[Sales with Free Shipping]],Sales_Data[[#This Row],[Sales with Discount]],Sales_Data[[#This Row],[Sales with Free Shipping]])</f>
        <v>204.35579999999999</v>
      </c>
      <c r="O849" s="1" t="str">
        <f>TEXT(Sales_Data[[#This Row],[Order Date]], "MM-YYYY")</f>
        <v>03-2019</v>
      </c>
    </row>
    <row r="850" spans="1:15" x14ac:dyDescent="0.3">
      <c r="A850" s="1">
        <v>23140</v>
      </c>
      <c r="B850" s="2">
        <v>43503</v>
      </c>
      <c r="C850" s="1" t="s">
        <v>9</v>
      </c>
      <c r="D850" s="1">
        <v>18</v>
      </c>
      <c r="E850" t="s">
        <v>19</v>
      </c>
      <c r="F850" t="s">
        <v>19</v>
      </c>
      <c r="G850" s="1">
        <v>1833.77</v>
      </c>
      <c r="H850">
        <v>0</v>
      </c>
      <c r="I850">
        <f>Sales_Data[[#This Row],[Sales]]*Sales_Data[[#This Row],[Discount]]</f>
        <v>0</v>
      </c>
      <c r="J850">
        <v>1833.77</v>
      </c>
      <c r="K850" s="1">
        <v>9.6</v>
      </c>
      <c r="L850" s="1">
        <v>1833.77</v>
      </c>
      <c r="M850" s="1" t="s">
        <v>10</v>
      </c>
      <c r="N850" s="1">
        <f>IF(Sales_Data[[#This Row],[Sales with Discount]]&lt;Sales_Data[[#This Row],[Sales with Free Shipping]],Sales_Data[[#This Row],[Sales with Discount]],Sales_Data[[#This Row],[Sales with Free Shipping]])</f>
        <v>1833.77</v>
      </c>
      <c r="O850" s="1" t="str">
        <f>TEXT(Sales_Data[[#This Row],[Order Date]], "MM-YYYY")</f>
        <v>02-2019</v>
      </c>
    </row>
    <row r="851" spans="1:15" x14ac:dyDescent="0.3">
      <c r="A851" s="1">
        <v>59361</v>
      </c>
      <c r="B851" s="2">
        <v>43706</v>
      </c>
      <c r="C851" s="1" t="s">
        <v>9</v>
      </c>
      <c r="D851" s="1">
        <v>45</v>
      </c>
      <c r="E851" t="s">
        <v>23</v>
      </c>
      <c r="F851" t="s">
        <v>23</v>
      </c>
      <c r="G851" s="1">
        <v>1078.92</v>
      </c>
      <c r="H851">
        <v>0.01</v>
      </c>
      <c r="I851">
        <f>Sales_Data[[#This Row],[Sales]]*Sales_Data[[#This Row],[Discount]]</f>
        <v>10.789200000000001</v>
      </c>
      <c r="J851">
        <v>1068.1308000000001</v>
      </c>
      <c r="K851" s="1">
        <v>6.7</v>
      </c>
      <c r="L851" s="1">
        <v>1072.22</v>
      </c>
      <c r="M851" s="1" t="s">
        <v>10</v>
      </c>
      <c r="N851" s="1">
        <f>IF(Sales_Data[[#This Row],[Sales with Discount]]&lt;Sales_Data[[#This Row],[Sales with Free Shipping]],Sales_Data[[#This Row],[Sales with Discount]],Sales_Data[[#This Row],[Sales with Free Shipping]])</f>
        <v>1068.1308000000001</v>
      </c>
      <c r="O851" s="1" t="str">
        <f>TEXT(Sales_Data[[#This Row],[Order Date]], "MM-YYYY")</f>
        <v>08-2019</v>
      </c>
    </row>
    <row r="852" spans="1:15" x14ac:dyDescent="0.3">
      <c r="A852" s="1">
        <v>29761</v>
      </c>
      <c r="B852" s="2">
        <v>43649</v>
      </c>
      <c r="C852" s="1" t="s">
        <v>14</v>
      </c>
      <c r="D852" s="1">
        <v>48</v>
      </c>
      <c r="E852" t="s">
        <v>24</v>
      </c>
      <c r="F852" t="s">
        <v>24</v>
      </c>
      <c r="G852" s="1">
        <v>1565.52</v>
      </c>
      <c r="H852">
        <v>0.01</v>
      </c>
      <c r="I852">
        <f>Sales_Data[[#This Row],[Sales]]*Sales_Data[[#This Row],[Discount]]</f>
        <v>15.655200000000001</v>
      </c>
      <c r="J852">
        <v>1549.8648000000001</v>
      </c>
      <c r="K852" s="1">
        <v>1.3</v>
      </c>
      <c r="L852" s="1">
        <v>1564.22</v>
      </c>
      <c r="M852" s="1" t="s">
        <v>10</v>
      </c>
      <c r="N852" s="1">
        <f>IF(Sales_Data[[#This Row],[Sales with Discount]]&lt;Sales_Data[[#This Row],[Sales with Free Shipping]],Sales_Data[[#This Row],[Sales with Discount]],Sales_Data[[#This Row],[Sales with Free Shipping]])</f>
        <v>1549.8648000000001</v>
      </c>
      <c r="O852" s="1" t="str">
        <f>TEXT(Sales_Data[[#This Row],[Order Date]], "MM-YYYY")</f>
        <v>07-2019</v>
      </c>
    </row>
    <row r="853" spans="1:15" x14ac:dyDescent="0.3">
      <c r="A853" s="1">
        <v>50403</v>
      </c>
      <c r="B853" s="2">
        <v>43597</v>
      </c>
      <c r="C853" s="1" t="s">
        <v>11</v>
      </c>
      <c r="D853" s="1">
        <v>22</v>
      </c>
      <c r="E853" t="s">
        <v>14</v>
      </c>
      <c r="F853" t="s">
        <v>14</v>
      </c>
      <c r="G853" s="1">
        <v>152.88</v>
      </c>
      <c r="H853">
        <v>0</v>
      </c>
      <c r="I853">
        <f>Sales_Data[[#This Row],[Sales]]*Sales_Data[[#This Row],[Discount]]</f>
        <v>0</v>
      </c>
      <c r="J853">
        <v>152.88</v>
      </c>
      <c r="K853" s="1">
        <v>1.7</v>
      </c>
      <c r="L853" s="1">
        <v>152.88</v>
      </c>
      <c r="M853" s="1" t="s">
        <v>10</v>
      </c>
      <c r="N853" s="1">
        <f>IF(Sales_Data[[#This Row],[Sales with Discount]]&lt;Sales_Data[[#This Row],[Sales with Free Shipping]],Sales_Data[[#This Row],[Sales with Discount]],Sales_Data[[#This Row],[Sales with Free Shipping]])</f>
        <v>152.88</v>
      </c>
      <c r="O853" s="1" t="str">
        <f>TEXT(Sales_Data[[#This Row],[Order Date]], "MM-YYYY")</f>
        <v>05-2019</v>
      </c>
    </row>
    <row r="854" spans="1:15" x14ac:dyDescent="0.3">
      <c r="A854" s="1">
        <v>612</v>
      </c>
      <c r="B854" s="2">
        <v>43758</v>
      </c>
      <c r="C854" s="1" t="s">
        <v>14</v>
      </c>
      <c r="D854" s="1">
        <v>50</v>
      </c>
      <c r="E854" t="s">
        <v>24</v>
      </c>
      <c r="F854" t="s">
        <v>24</v>
      </c>
      <c r="G854" s="1">
        <v>281.27</v>
      </c>
      <c r="H854">
        <v>0.01</v>
      </c>
      <c r="I854">
        <f>Sales_Data[[#This Row],[Sales]]*Sales_Data[[#This Row],[Discount]]</f>
        <v>2.8127</v>
      </c>
      <c r="J854">
        <v>278.45729999999998</v>
      </c>
      <c r="K854" s="1">
        <v>6.7</v>
      </c>
      <c r="L854" s="1">
        <v>274.57</v>
      </c>
      <c r="M854" s="1" t="s">
        <v>10</v>
      </c>
      <c r="N854" s="1">
        <f>IF(Sales_Data[[#This Row],[Sales with Discount]]&lt;Sales_Data[[#This Row],[Sales with Free Shipping]],Sales_Data[[#This Row],[Sales with Discount]],Sales_Data[[#This Row],[Sales with Free Shipping]])</f>
        <v>274.57</v>
      </c>
      <c r="O854" s="1" t="str">
        <f>TEXT(Sales_Data[[#This Row],[Order Date]], "MM-YYYY")</f>
        <v>10-2019</v>
      </c>
    </row>
    <row r="855" spans="1:15" x14ac:dyDescent="0.3">
      <c r="A855" s="1">
        <v>32292</v>
      </c>
      <c r="B855" s="2">
        <v>43510</v>
      </c>
      <c r="C855" s="1" t="s">
        <v>7</v>
      </c>
      <c r="D855" s="1">
        <v>49</v>
      </c>
      <c r="E855" t="s">
        <v>24</v>
      </c>
      <c r="F855" t="s">
        <v>24</v>
      </c>
      <c r="G855" s="1">
        <v>5359.3743000000004</v>
      </c>
      <c r="H855">
        <v>0.01</v>
      </c>
      <c r="I855">
        <f>Sales_Data[[#This Row],[Sales]]*Sales_Data[[#This Row],[Discount]]</f>
        <v>53.593743000000003</v>
      </c>
      <c r="J855">
        <v>5305.780557</v>
      </c>
      <c r="K855" s="1">
        <v>6.4</v>
      </c>
      <c r="L855" s="1">
        <v>5352.9743000000008</v>
      </c>
      <c r="M855" s="1" t="s">
        <v>10</v>
      </c>
      <c r="N855" s="1">
        <f>IF(Sales_Data[[#This Row],[Sales with Discount]]&lt;Sales_Data[[#This Row],[Sales with Free Shipping]],Sales_Data[[#This Row],[Sales with Discount]],Sales_Data[[#This Row],[Sales with Free Shipping]])</f>
        <v>5305.780557</v>
      </c>
      <c r="O855" s="1" t="str">
        <f>TEXT(Sales_Data[[#This Row],[Order Date]], "MM-YYYY")</f>
        <v>02-2019</v>
      </c>
    </row>
    <row r="856" spans="1:15" x14ac:dyDescent="0.3">
      <c r="A856" s="1">
        <v>42951</v>
      </c>
      <c r="B856" s="2">
        <v>43724</v>
      </c>
      <c r="C856" s="1" t="s">
        <v>12</v>
      </c>
      <c r="D856" s="1">
        <v>20</v>
      </c>
      <c r="E856" t="s">
        <v>19</v>
      </c>
      <c r="F856" t="s">
        <v>19</v>
      </c>
      <c r="G856" s="1">
        <v>2252.34</v>
      </c>
      <c r="H856">
        <v>0</v>
      </c>
      <c r="I856">
        <f>Sales_Data[[#This Row],[Sales]]*Sales_Data[[#This Row],[Discount]]</f>
        <v>0</v>
      </c>
      <c r="J856">
        <v>2252.34</v>
      </c>
      <c r="K856" s="1">
        <v>9.4</v>
      </c>
      <c r="L856" s="1">
        <v>2252.34</v>
      </c>
      <c r="M856" s="1" t="s">
        <v>10</v>
      </c>
      <c r="N856" s="1">
        <f>IF(Sales_Data[[#This Row],[Sales with Discount]]&lt;Sales_Data[[#This Row],[Sales with Free Shipping]],Sales_Data[[#This Row],[Sales with Discount]],Sales_Data[[#This Row],[Sales with Free Shipping]])</f>
        <v>2252.34</v>
      </c>
      <c r="O856" s="1" t="str">
        <f>TEXT(Sales_Data[[#This Row],[Order Date]], "MM-YYYY")</f>
        <v>09-2019</v>
      </c>
    </row>
    <row r="857" spans="1:15" x14ac:dyDescent="0.3">
      <c r="A857" s="1">
        <v>49634</v>
      </c>
      <c r="B857" s="2">
        <v>43547</v>
      </c>
      <c r="C857" s="1" t="s">
        <v>11</v>
      </c>
      <c r="D857" s="1">
        <v>39</v>
      </c>
      <c r="E857" t="s">
        <v>22</v>
      </c>
      <c r="F857" t="s">
        <v>22</v>
      </c>
      <c r="G857" s="1">
        <v>431.99</v>
      </c>
      <c r="H857">
        <v>0.01</v>
      </c>
      <c r="I857">
        <f>Sales_Data[[#This Row],[Sales]]*Sales_Data[[#This Row],[Discount]]</f>
        <v>4.3199000000000005</v>
      </c>
      <c r="J857">
        <v>427.67009999999999</v>
      </c>
      <c r="K857" s="1">
        <v>4.8</v>
      </c>
      <c r="L857" s="1">
        <v>427.19</v>
      </c>
      <c r="M857" s="1" t="s">
        <v>10</v>
      </c>
      <c r="N857" s="1">
        <f>IF(Sales_Data[[#This Row],[Sales with Discount]]&lt;Sales_Data[[#This Row],[Sales with Free Shipping]],Sales_Data[[#This Row],[Sales with Discount]],Sales_Data[[#This Row],[Sales with Free Shipping]])</f>
        <v>427.19</v>
      </c>
      <c r="O857" s="1" t="str">
        <f>TEXT(Sales_Data[[#This Row],[Order Date]], "MM-YYYY")</f>
        <v>03-2019</v>
      </c>
    </row>
    <row r="858" spans="1:15" x14ac:dyDescent="0.3">
      <c r="A858" s="1">
        <v>58210</v>
      </c>
      <c r="B858" s="2">
        <v>43805</v>
      </c>
      <c r="C858" s="1" t="s">
        <v>14</v>
      </c>
      <c r="D858" s="1">
        <v>38</v>
      </c>
      <c r="E858" t="s">
        <v>22</v>
      </c>
      <c r="F858" t="s">
        <v>22</v>
      </c>
      <c r="G858" s="1">
        <v>154.11000000000001</v>
      </c>
      <c r="H858">
        <v>0.01</v>
      </c>
      <c r="I858">
        <f>Sales_Data[[#This Row],[Sales]]*Sales_Data[[#This Row],[Discount]]</f>
        <v>1.5411000000000001</v>
      </c>
      <c r="J858">
        <v>152.56890000000001</v>
      </c>
      <c r="K858" s="1">
        <v>5.9</v>
      </c>
      <c r="L858" s="1">
        <v>148.21</v>
      </c>
      <c r="M858" s="1" t="s">
        <v>10</v>
      </c>
      <c r="N858" s="1">
        <f>IF(Sales_Data[[#This Row],[Sales with Discount]]&lt;Sales_Data[[#This Row],[Sales with Free Shipping]],Sales_Data[[#This Row],[Sales with Discount]],Sales_Data[[#This Row],[Sales with Free Shipping]])</f>
        <v>148.21</v>
      </c>
      <c r="O858" s="1" t="str">
        <f>TEXT(Sales_Data[[#This Row],[Order Date]], "MM-YYYY")</f>
        <v>12-2019</v>
      </c>
    </row>
    <row r="859" spans="1:15" x14ac:dyDescent="0.3">
      <c r="A859" s="1">
        <v>53026</v>
      </c>
      <c r="B859" s="2">
        <v>43521</v>
      </c>
      <c r="C859" s="1" t="s">
        <v>7</v>
      </c>
      <c r="D859" s="1">
        <v>35</v>
      </c>
      <c r="E859" t="s">
        <v>21</v>
      </c>
      <c r="F859" t="s">
        <v>21</v>
      </c>
      <c r="G859" s="1">
        <v>345.42</v>
      </c>
      <c r="H859">
        <v>0</v>
      </c>
      <c r="I859">
        <f>Sales_Data[[#This Row],[Sales]]*Sales_Data[[#This Row],[Discount]]</f>
        <v>0</v>
      </c>
      <c r="J859">
        <v>345.42</v>
      </c>
      <c r="K859" s="1">
        <v>4.3</v>
      </c>
      <c r="L859" s="1">
        <v>345.42</v>
      </c>
      <c r="M859" s="1" t="s">
        <v>10</v>
      </c>
      <c r="N859" s="1">
        <f>IF(Sales_Data[[#This Row],[Sales with Discount]]&lt;Sales_Data[[#This Row],[Sales with Free Shipping]],Sales_Data[[#This Row],[Sales with Discount]],Sales_Data[[#This Row],[Sales with Free Shipping]])</f>
        <v>345.42</v>
      </c>
      <c r="O859" s="1" t="str">
        <f>TEXT(Sales_Data[[#This Row],[Order Date]], "MM-YYYY")</f>
        <v>02-2019</v>
      </c>
    </row>
    <row r="860" spans="1:15" x14ac:dyDescent="0.3">
      <c r="A860" s="1">
        <v>35811</v>
      </c>
      <c r="B860" s="2">
        <v>43467</v>
      </c>
      <c r="C860" s="1" t="s">
        <v>12</v>
      </c>
      <c r="D860" s="1">
        <v>49</v>
      </c>
      <c r="E860" t="s">
        <v>24</v>
      </c>
      <c r="F860" t="s">
        <v>24</v>
      </c>
      <c r="G860" s="1">
        <v>793.48</v>
      </c>
      <c r="H860">
        <v>0.01</v>
      </c>
      <c r="I860">
        <f>Sales_Data[[#This Row],[Sales]]*Sales_Data[[#This Row],[Discount]]</f>
        <v>7.9348000000000001</v>
      </c>
      <c r="J860">
        <v>785.54520000000002</v>
      </c>
      <c r="K860" s="1">
        <v>1.5</v>
      </c>
      <c r="L860" s="1">
        <v>791.98</v>
      </c>
      <c r="M860" s="1" t="s">
        <v>10</v>
      </c>
      <c r="N860" s="1">
        <f>IF(Sales_Data[[#This Row],[Sales with Discount]]&lt;Sales_Data[[#This Row],[Sales with Free Shipping]],Sales_Data[[#This Row],[Sales with Discount]],Sales_Data[[#This Row],[Sales with Free Shipping]])</f>
        <v>785.54520000000002</v>
      </c>
      <c r="O860" s="1" t="str">
        <f>TEXT(Sales_Data[[#This Row],[Order Date]], "MM-YYYY")</f>
        <v>01-2019</v>
      </c>
    </row>
    <row r="861" spans="1:15" x14ac:dyDescent="0.3">
      <c r="A861" s="1">
        <v>8293</v>
      </c>
      <c r="B861" s="2">
        <v>43687</v>
      </c>
      <c r="C861" s="1" t="s">
        <v>7</v>
      </c>
      <c r="D861" s="1">
        <v>50</v>
      </c>
      <c r="E861" t="s">
        <v>24</v>
      </c>
      <c r="F861" t="s">
        <v>24</v>
      </c>
      <c r="G861" s="1">
        <v>1602.6</v>
      </c>
      <c r="H861">
        <v>0.01</v>
      </c>
      <c r="I861">
        <f>Sales_Data[[#This Row],[Sales]]*Sales_Data[[#This Row],[Discount]]</f>
        <v>16.026</v>
      </c>
      <c r="J861">
        <v>1586.5739999999998</v>
      </c>
      <c r="K861" s="1">
        <v>1.2</v>
      </c>
      <c r="L861" s="1">
        <v>1601.3999999999999</v>
      </c>
      <c r="M861" s="1" t="s">
        <v>10</v>
      </c>
      <c r="N861" s="1">
        <f>IF(Sales_Data[[#This Row],[Sales with Discount]]&lt;Sales_Data[[#This Row],[Sales with Free Shipping]],Sales_Data[[#This Row],[Sales with Discount]],Sales_Data[[#This Row],[Sales with Free Shipping]])</f>
        <v>1586.5739999999998</v>
      </c>
      <c r="O861" s="1" t="str">
        <f>TEXT(Sales_Data[[#This Row],[Order Date]], "MM-YYYY")</f>
        <v>08-2019</v>
      </c>
    </row>
    <row r="862" spans="1:15" x14ac:dyDescent="0.3">
      <c r="A862" s="1">
        <v>55296</v>
      </c>
      <c r="B862" s="2">
        <v>43756</v>
      </c>
      <c r="C862" s="1" t="s">
        <v>7</v>
      </c>
      <c r="D862" s="1">
        <v>32</v>
      </c>
      <c r="E862" t="s">
        <v>21</v>
      </c>
      <c r="F862" t="s">
        <v>21</v>
      </c>
      <c r="G862" s="1">
        <v>339.25420000000003</v>
      </c>
      <c r="H862">
        <v>0</v>
      </c>
      <c r="I862">
        <f>Sales_Data[[#This Row],[Sales]]*Sales_Data[[#This Row],[Discount]]</f>
        <v>0</v>
      </c>
      <c r="J862">
        <v>339.25420000000003</v>
      </c>
      <c r="K862" s="1">
        <v>2.2000000000000002</v>
      </c>
      <c r="L862" s="1">
        <v>339.25420000000003</v>
      </c>
      <c r="M862" s="1" t="s">
        <v>10</v>
      </c>
      <c r="N862" s="1">
        <f>IF(Sales_Data[[#This Row],[Sales with Discount]]&lt;Sales_Data[[#This Row],[Sales with Free Shipping]],Sales_Data[[#This Row],[Sales with Discount]],Sales_Data[[#This Row],[Sales with Free Shipping]])</f>
        <v>339.25420000000003</v>
      </c>
      <c r="O862" s="1" t="str">
        <f>TEXT(Sales_Data[[#This Row],[Order Date]], "MM-YYYY")</f>
        <v>10-2019</v>
      </c>
    </row>
    <row r="863" spans="1:15" x14ac:dyDescent="0.3">
      <c r="A863" s="1">
        <v>45315</v>
      </c>
      <c r="B863" s="2">
        <v>43575</v>
      </c>
      <c r="C863" s="1" t="s">
        <v>14</v>
      </c>
      <c r="D863" s="1">
        <v>32</v>
      </c>
      <c r="E863" t="s">
        <v>21</v>
      </c>
      <c r="F863" t="s">
        <v>21</v>
      </c>
      <c r="G863" s="1">
        <v>1221.83</v>
      </c>
      <c r="H863">
        <v>0</v>
      </c>
      <c r="I863">
        <f>Sales_Data[[#This Row],[Sales]]*Sales_Data[[#This Row],[Discount]]</f>
        <v>0</v>
      </c>
      <c r="J863">
        <v>1221.83</v>
      </c>
      <c r="K863" s="1">
        <v>8.8000000000000007</v>
      </c>
      <c r="L863" s="1">
        <v>1221.83</v>
      </c>
      <c r="M863" s="1" t="s">
        <v>10</v>
      </c>
      <c r="N863" s="1">
        <f>IF(Sales_Data[[#This Row],[Sales with Discount]]&lt;Sales_Data[[#This Row],[Sales with Free Shipping]],Sales_Data[[#This Row],[Sales with Discount]],Sales_Data[[#This Row],[Sales with Free Shipping]])</f>
        <v>1221.83</v>
      </c>
      <c r="O863" s="1" t="str">
        <f>TEXT(Sales_Data[[#This Row],[Order Date]], "MM-YYYY")</f>
        <v>04-2019</v>
      </c>
    </row>
    <row r="864" spans="1:15" x14ac:dyDescent="0.3">
      <c r="A864" s="1">
        <v>1221</v>
      </c>
      <c r="B864" s="2">
        <v>43573</v>
      </c>
      <c r="C864" s="1" t="s">
        <v>11</v>
      </c>
      <c r="D864" s="1">
        <v>11</v>
      </c>
      <c r="E864" t="s">
        <v>18</v>
      </c>
      <c r="F864" t="s">
        <v>18</v>
      </c>
      <c r="G864" s="1">
        <v>10855.3</v>
      </c>
      <c r="H864">
        <v>0</v>
      </c>
      <c r="I864">
        <f>Sales_Data[[#This Row],[Sales]]*Sales_Data[[#This Row],[Discount]]</f>
        <v>0</v>
      </c>
      <c r="J864">
        <v>10855.3</v>
      </c>
      <c r="K864" s="1">
        <v>21.4</v>
      </c>
      <c r="L864" s="1">
        <v>10855.3</v>
      </c>
      <c r="M864" s="1" t="s">
        <v>10</v>
      </c>
      <c r="N864" s="1">
        <f>IF(Sales_Data[[#This Row],[Sales with Discount]]&lt;Sales_Data[[#This Row],[Sales with Free Shipping]],Sales_Data[[#This Row],[Sales with Discount]],Sales_Data[[#This Row],[Sales with Free Shipping]])</f>
        <v>10855.3</v>
      </c>
      <c r="O864" s="1" t="str">
        <f>TEXT(Sales_Data[[#This Row],[Order Date]], "MM-YYYY")</f>
        <v>04-2019</v>
      </c>
    </row>
    <row r="865" spans="1:15" x14ac:dyDescent="0.3">
      <c r="A865" s="1">
        <v>14016</v>
      </c>
      <c r="B865" s="2">
        <v>43657</v>
      </c>
      <c r="C865" s="1" t="s">
        <v>7</v>
      </c>
      <c r="D865" s="1">
        <v>9</v>
      </c>
      <c r="E865" t="s">
        <v>17</v>
      </c>
      <c r="F865" t="s">
        <v>17</v>
      </c>
      <c r="G865" s="1">
        <v>1217.25</v>
      </c>
      <c r="H865">
        <v>0</v>
      </c>
      <c r="I865">
        <f>Sales_Data[[#This Row],[Sales]]*Sales_Data[[#This Row],[Discount]]</f>
        <v>0</v>
      </c>
      <c r="J865">
        <v>1217.25</v>
      </c>
      <c r="K865" s="1">
        <v>55.6</v>
      </c>
      <c r="L865" s="1">
        <v>1217.25</v>
      </c>
      <c r="M865" s="1" t="s">
        <v>13</v>
      </c>
      <c r="N865" s="1">
        <f>IF(Sales_Data[[#This Row],[Sales with Discount]]&lt;Sales_Data[[#This Row],[Sales with Free Shipping]],Sales_Data[[#This Row],[Sales with Discount]],Sales_Data[[#This Row],[Sales with Free Shipping]])</f>
        <v>1217.25</v>
      </c>
      <c r="O865" s="1" t="str">
        <f>TEXT(Sales_Data[[#This Row],[Order Date]], "MM-YYYY")</f>
        <v>07-2019</v>
      </c>
    </row>
    <row r="866" spans="1:15" x14ac:dyDescent="0.3">
      <c r="A866" s="1">
        <v>23619</v>
      </c>
      <c r="B866" s="2">
        <v>43820</v>
      </c>
      <c r="C866" s="1" t="s">
        <v>14</v>
      </c>
      <c r="D866" s="1">
        <v>48</v>
      </c>
      <c r="E866" t="s">
        <v>24</v>
      </c>
      <c r="F866" t="s">
        <v>24</v>
      </c>
      <c r="G866" s="1">
        <v>2794.63</v>
      </c>
      <c r="H866">
        <v>0.01</v>
      </c>
      <c r="I866">
        <f>Sales_Data[[#This Row],[Sales]]*Sales_Data[[#This Row],[Discount]]</f>
        <v>27.946300000000001</v>
      </c>
      <c r="J866">
        <v>2766.6837</v>
      </c>
      <c r="K866" s="1">
        <v>6.3</v>
      </c>
      <c r="L866" s="1">
        <v>2788.33</v>
      </c>
      <c r="M866" s="1" t="s">
        <v>10</v>
      </c>
      <c r="N866" s="1">
        <f>IF(Sales_Data[[#This Row],[Sales with Discount]]&lt;Sales_Data[[#This Row],[Sales with Free Shipping]],Sales_Data[[#This Row],[Sales with Discount]],Sales_Data[[#This Row],[Sales with Free Shipping]])</f>
        <v>2766.6837</v>
      </c>
      <c r="O866" s="1" t="str">
        <f>TEXT(Sales_Data[[#This Row],[Order Date]], "MM-YYYY")</f>
        <v>12-2019</v>
      </c>
    </row>
    <row r="867" spans="1:15" x14ac:dyDescent="0.3">
      <c r="A867" s="1">
        <v>24743</v>
      </c>
      <c r="B867" s="2">
        <v>43644</v>
      </c>
      <c r="C867" s="1" t="s">
        <v>7</v>
      </c>
      <c r="D867" s="1">
        <v>26</v>
      </c>
      <c r="E867" t="s">
        <v>20</v>
      </c>
      <c r="F867" t="s">
        <v>20</v>
      </c>
      <c r="G867" s="1">
        <v>4021.88</v>
      </c>
      <c r="H867">
        <v>0</v>
      </c>
      <c r="I867">
        <f>Sales_Data[[#This Row],[Sales]]*Sales_Data[[#This Row],[Discount]]</f>
        <v>0</v>
      </c>
      <c r="J867">
        <v>4021.88</v>
      </c>
      <c r="K867" s="1">
        <v>26.2</v>
      </c>
      <c r="L867" s="1">
        <v>4021.88</v>
      </c>
      <c r="M867" s="1" t="s">
        <v>10</v>
      </c>
      <c r="N867" s="1">
        <f>IF(Sales_Data[[#This Row],[Sales with Discount]]&lt;Sales_Data[[#This Row],[Sales with Free Shipping]],Sales_Data[[#This Row],[Sales with Discount]],Sales_Data[[#This Row],[Sales with Free Shipping]])</f>
        <v>4021.88</v>
      </c>
      <c r="O867" s="1" t="str">
        <f>TEXT(Sales_Data[[#This Row],[Order Date]], "MM-YYYY")</f>
        <v>06-2019</v>
      </c>
    </row>
    <row r="868" spans="1:15" x14ac:dyDescent="0.3">
      <c r="A868" s="1">
        <v>20642</v>
      </c>
      <c r="B868" s="2">
        <v>43604</v>
      </c>
      <c r="C868" s="1" t="s">
        <v>9</v>
      </c>
      <c r="D868" s="1">
        <v>32</v>
      </c>
      <c r="E868" t="s">
        <v>21</v>
      </c>
      <c r="F868" t="s">
        <v>21</v>
      </c>
      <c r="G868" s="1">
        <v>144.66</v>
      </c>
      <c r="H868">
        <v>0</v>
      </c>
      <c r="I868">
        <f>Sales_Data[[#This Row],[Sales]]*Sales_Data[[#This Row],[Discount]]</f>
        <v>0</v>
      </c>
      <c r="J868">
        <v>144.66</v>
      </c>
      <c r="K868" s="1">
        <v>0.5</v>
      </c>
      <c r="L868" s="1">
        <v>144.66</v>
      </c>
      <c r="M868" s="1" t="s">
        <v>10</v>
      </c>
      <c r="N868" s="1">
        <f>IF(Sales_Data[[#This Row],[Sales with Discount]]&lt;Sales_Data[[#This Row],[Sales with Free Shipping]],Sales_Data[[#This Row],[Sales with Discount]],Sales_Data[[#This Row],[Sales with Free Shipping]])</f>
        <v>144.66</v>
      </c>
      <c r="O868" s="1" t="str">
        <f>TEXT(Sales_Data[[#This Row],[Order Date]], "MM-YYYY")</f>
        <v>05-2019</v>
      </c>
    </row>
    <row r="869" spans="1:15" x14ac:dyDescent="0.3">
      <c r="A869" s="1">
        <v>41921</v>
      </c>
      <c r="B869" s="2">
        <v>43518</v>
      </c>
      <c r="C869" s="1" t="s">
        <v>14</v>
      </c>
      <c r="D869" s="1">
        <v>29</v>
      </c>
      <c r="E869" t="s">
        <v>20</v>
      </c>
      <c r="F869" t="s">
        <v>20</v>
      </c>
      <c r="G869" s="1">
        <v>361</v>
      </c>
      <c r="H869">
        <v>0</v>
      </c>
      <c r="I869">
        <f>Sales_Data[[#This Row],[Sales]]*Sales_Data[[#This Row],[Discount]]</f>
        <v>0</v>
      </c>
      <c r="J869">
        <v>361</v>
      </c>
      <c r="K869" s="1">
        <v>7.5</v>
      </c>
      <c r="L869" s="1">
        <v>361</v>
      </c>
      <c r="M869" s="1" t="s">
        <v>8</v>
      </c>
      <c r="N869" s="1">
        <f>IF(Sales_Data[[#This Row],[Sales with Discount]]&lt;Sales_Data[[#This Row],[Sales with Free Shipping]],Sales_Data[[#This Row],[Sales with Discount]],Sales_Data[[#This Row],[Sales with Free Shipping]])</f>
        <v>361</v>
      </c>
      <c r="O869" s="1" t="str">
        <f>TEXT(Sales_Data[[#This Row],[Order Date]], "MM-YYYY")</f>
        <v>02-2019</v>
      </c>
    </row>
    <row r="870" spans="1:15" x14ac:dyDescent="0.3">
      <c r="A870" s="1">
        <v>54371</v>
      </c>
      <c r="B870" s="2">
        <v>43510</v>
      </c>
      <c r="C870" s="1" t="s">
        <v>11</v>
      </c>
      <c r="D870" s="1">
        <v>28</v>
      </c>
      <c r="E870" t="s">
        <v>20</v>
      </c>
      <c r="F870" t="s">
        <v>20</v>
      </c>
      <c r="G870" s="1">
        <v>123.07</v>
      </c>
      <c r="H870">
        <v>0</v>
      </c>
      <c r="I870">
        <f>Sales_Data[[#This Row],[Sales]]*Sales_Data[[#This Row],[Discount]]</f>
        <v>0</v>
      </c>
      <c r="J870">
        <v>123.07</v>
      </c>
      <c r="K870" s="1">
        <v>0.8</v>
      </c>
      <c r="L870" s="1">
        <v>123.07</v>
      </c>
      <c r="M870" s="1" t="s">
        <v>10</v>
      </c>
      <c r="N870" s="1">
        <f>IF(Sales_Data[[#This Row],[Sales with Discount]]&lt;Sales_Data[[#This Row],[Sales with Free Shipping]],Sales_Data[[#This Row],[Sales with Discount]],Sales_Data[[#This Row],[Sales with Free Shipping]])</f>
        <v>123.07</v>
      </c>
      <c r="O870" s="1" t="str">
        <f>TEXT(Sales_Data[[#This Row],[Order Date]], "MM-YYYY")</f>
        <v>02-2019</v>
      </c>
    </row>
    <row r="871" spans="1:15" x14ac:dyDescent="0.3">
      <c r="A871" s="1">
        <v>8450</v>
      </c>
      <c r="B871" s="2">
        <v>43568</v>
      </c>
      <c r="C871" s="1" t="s">
        <v>11</v>
      </c>
      <c r="D871" s="1">
        <v>22</v>
      </c>
      <c r="E871" t="s">
        <v>14</v>
      </c>
      <c r="F871" t="s">
        <v>14</v>
      </c>
      <c r="G871" s="1">
        <v>44.29</v>
      </c>
      <c r="H871">
        <v>0</v>
      </c>
      <c r="I871">
        <f>Sales_Data[[#This Row],[Sales]]*Sales_Data[[#This Row],[Discount]]</f>
        <v>0</v>
      </c>
      <c r="J871">
        <v>44.29</v>
      </c>
      <c r="K871" s="1">
        <v>1.6</v>
      </c>
      <c r="L871" s="1">
        <v>44.29</v>
      </c>
      <c r="M871" s="1" t="s">
        <v>10</v>
      </c>
      <c r="N871" s="1">
        <f>IF(Sales_Data[[#This Row],[Sales with Discount]]&lt;Sales_Data[[#This Row],[Sales with Free Shipping]],Sales_Data[[#This Row],[Sales with Discount]],Sales_Data[[#This Row],[Sales with Free Shipping]])</f>
        <v>44.29</v>
      </c>
      <c r="O871" s="1" t="str">
        <f>TEXT(Sales_Data[[#This Row],[Order Date]], "MM-YYYY")</f>
        <v>04-2019</v>
      </c>
    </row>
    <row r="872" spans="1:15" x14ac:dyDescent="0.3">
      <c r="A872" s="1">
        <v>13991</v>
      </c>
      <c r="B872" s="2">
        <v>43530</v>
      </c>
      <c r="C872" s="1" t="s">
        <v>9</v>
      </c>
      <c r="D872" s="1">
        <v>21</v>
      </c>
      <c r="E872" t="s">
        <v>14</v>
      </c>
      <c r="F872" t="s">
        <v>14</v>
      </c>
      <c r="G872" s="1">
        <v>1968.21</v>
      </c>
      <c r="H872">
        <v>0</v>
      </c>
      <c r="I872">
        <f>Sales_Data[[#This Row],[Sales]]*Sales_Data[[#This Row],[Discount]]</f>
        <v>0</v>
      </c>
      <c r="J872">
        <v>1968.21</v>
      </c>
      <c r="K872" s="1">
        <v>73.8</v>
      </c>
      <c r="L872" s="1">
        <v>1968.21</v>
      </c>
      <c r="M872" s="1" t="s">
        <v>10</v>
      </c>
      <c r="N872" s="1">
        <f>IF(Sales_Data[[#This Row],[Sales with Discount]]&lt;Sales_Data[[#This Row],[Sales with Free Shipping]],Sales_Data[[#This Row],[Sales with Discount]],Sales_Data[[#This Row],[Sales with Free Shipping]])</f>
        <v>1968.21</v>
      </c>
      <c r="O872" s="1" t="str">
        <f>TEXT(Sales_Data[[#This Row],[Order Date]], "MM-YYYY")</f>
        <v>03-2019</v>
      </c>
    </row>
    <row r="873" spans="1:15" x14ac:dyDescent="0.3">
      <c r="A873" s="1">
        <v>59329</v>
      </c>
      <c r="B873" s="2">
        <v>43803</v>
      </c>
      <c r="C873" s="1" t="s">
        <v>12</v>
      </c>
      <c r="D873" s="1">
        <v>35</v>
      </c>
      <c r="E873" t="s">
        <v>21</v>
      </c>
      <c r="F873" t="s">
        <v>21</v>
      </c>
      <c r="G873" s="1">
        <v>137.09</v>
      </c>
      <c r="H873">
        <v>0</v>
      </c>
      <c r="I873">
        <f>Sales_Data[[#This Row],[Sales]]*Sales_Data[[#This Row],[Discount]]</f>
        <v>0</v>
      </c>
      <c r="J873">
        <v>137.09</v>
      </c>
      <c r="K873" s="1">
        <v>5.8</v>
      </c>
      <c r="L873" s="1">
        <v>137.09</v>
      </c>
      <c r="M873" s="1" t="s">
        <v>10</v>
      </c>
      <c r="N873" s="1">
        <f>IF(Sales_Data[[#This Row],[Sales with Discount]]&lt;Sales_Data[[#This Row],[Sales with Free Shipping]],Sales_Data[[#This Row],[Sales with Discount]],Sales_Data[[#This Row],[Sales with Free Shipping]])</f>
        <v>137.09</v>
      </c>
      <c r="O873" s="1" t="str">
        <f>TEXT(Sales_Data[[#This Row],[Order Date]], "MM-YYYY")</f>
        <v>12-2019</v>
      </c>
    </row>
    <row r="874" spans="1:15" x14ac:dyDescent="0.3">
      <c r="A874" s="1">
        <v>16257</v>
      </c>
      <c r="B874" s="2">
        <v>43590</v>
      </c>
      <c r="C874" s="1" t="s">
        <v>11</v>
      </c>
      <c r="D874" s="1">
        <v>16</v>
      </c>
      <c r="E874" t="s">
        <v>19</v>
      </c>
      <c r="F874" t="s">
        <v>19</v>
      </c>
      <c r="G874" s="1">
        <v>109.92</v>
      </c>
      <c r="H874">
        <v>0</v>
      </c>
      <c r="I874">
        <f>Sales_Data[[#This Row],[Sales]]*Sales_Data[[#This Row],[Discount]]</f>
        <v>0</v>
      </c>
      <c r="J874">
        <v>109.92</v>
      </c>
      <c r="K874" s="1">
        <v>2.7</v>
      </c>
      <c r="L874" s="1">
        <v>109.92</v>
      </c>
      <c r="M874" s="1" t="s">
        <v>10</v>
      </c>
      <c r="N874" s="1">
        <f>IF(Sales_Data[[#This Row],[Sales with Discount]]&lt;Sales_Data[[#This Row],[Sales with Free Shipping]],Sales_Data[[#This Row],[Sales with Discount]],Sales_Data[[#This Row],[Sales with Free Shipping]])</f>
        <v>109.92</v>
      </c>
      <c r="O874" s="1" t="str">
        <f>TEXT(Sales_Data[[#This Row],[Order Date]], "MM-YYYY")</f>
        <v>05-2019</v>
      </c>
    </row>
    <row r="875" spans="1:15" x14ac:dyDescent="0.3">
      <c r="A875" s="1">
        <v>48003</v>
      </c>
      <c r="B875" s="2">
        <v>43490</v>
      </c>
      <c r="C875" s="1" t="s">
        <v>14</v>
      </c>
      <c r="D875" s="1">
        <v>12</v>
      </c>
      <c r="E875" t="s">
        <v>18</v>
      </c>
      <c r="F875" t="s">
        <v>18</v>
      </c>
      <c r="G875" s="1">
        <v>94.22</v>
      </c>
      <c r="H875">
        <v>0</v>
      </c>
      <c r="I875">
        <f>Sales_Data[[#This Row],[Sales]]*Sales_Data[[#This Row],[Discount]]</f>
        <v>0</v>
      </c>
      <c r="J875">
        <v>94.22</v>
      </c>
      <c r="K875" s="1">
        <v>10.4</v>
      </c>
      <c r="L875" s="1">
        <v>94.22</v>
      </c>
      <c r="M875" s="1" t="s">
        <v>10</v>
      </c>
      <c r="N875" s="1">
        <f>IF(Sales_Data[[#This Row],[Sales with Discount]]&lt;Sales_Data[[#This Row],[Sales with Free Shipping]],Sales_Data[[#This Row],[Sales with Discount]],Sales_Data[[#This Row],[Sales with Free Shipping]])</f>
        <v>94.22</v>
      </c>
      <c r="O875" s="1" t="str">
        <f>TEXT(Sales_Data[[#This Row],[Order Date]], "MM-YYYY")</f>
        <v>01-2019</v>
      </c>
    </row>
    <row r="876" spans="1:15" x14ac:dyDescent="0.3">
      <c r="A876" s="1">
        <v>47971</v>
      </c>
      <c r="B876" s="2">
        <v>43767</v>
      </c>
      <c r="C876" s="1" t="s">
        <v>9</v>
      </c>
      <c r="D876" s="1">
        <v>24</v>
      </c>
      <c r="E876" t="s">
        <v>14</v>
      </c>
      <c r="F876" t="s">
        <v>14</v>
      </c>
      <c r="G876" s="1">
        <v>121.37</v>
      </c>
      <c r="H876">
        <v>0</v>
      </c>
      <c r="I876">
        <f>Sales_Data[[#This Row],[Sales]]*Sales_Data[[#This Row],[Discount]]</f>
        <v>0</v>
      </c>
      <c r="J876">
        <v>121.37</v>
      </c>
      <c r="K876" s="1">
        <v>5.7</v>
      </c>
      <c r="L876" s="1">
        <v>121.37</v>
      </c>
      <c r="M876" s="1" t="s">
        <v>10</v>
      </c>
      <c r="N876" s="1">
        <f>IF(Sales_Data[[#This Row],[Sales with Discount]]&lt;Sales_Data[[#This Row],[Sales with Free Shipping]],Sales_Data[[#This Row],[Sales with Discount]],Sales_Data[[#This Row],[Sales with Free Shipping]])</f>
        <v>121.37</v>
      </c>
      <c r="O876" s="1" t="str">
        <f>TEXT(Sales_Data[[#This Row],[Order Date]], "MM-YYYY")</f>
        <v>10-2019</v>
      </c>
    </row>
    <row r="877" spans="1:15" x14ac:dyDescent="0.3">
      <c r="A877" s="1">
        <v>39943</v>
      </c>
      <c r="B877" s="2">
        <v>43623</v>
      </c>
      <c r="C877" s="1" t="s">
        <v>9</v>
      </c>
      <c r="D877" s="1">
        <v>12</v>
      </c>
      <c r="E877" t="s">
        <v>18</v>
      </c>
      <c r="F877" t="s">
        <v>18</v>
      </c>
      <c r="G877" s="1">
        <v>215.64</v>
      </c>
      <c r="H877">
        <v>0</v>
      </c>
      <c r="I877">
        <f>Sales_Data[[#This Row],[Sales]]*Sales_Data[[#This Row],[Discount]]</f>
        <v>0</v>
      </c>
      <c r="J877">
        <v>215.64</v>
      </c>
      <c r="K877" s="1">
        <v>3.5</v>
      </c>
      <c r="L877" s="1">
        <v>215.64</v>
      </c>
      <c r="M877" s="1" t="s">
        <v>10</v>
      </c>
      <c r="N877" s="1">
        <f>IF(Sales_Data[[#This Row],[Sales with Discount]]&lt;Sales_Data[[#This Row],[Sales with Free Shipping]],Sales_Data[[#This Row],[Sales with Discount]],Sales_Data[[#This Row],[Sales with Free Shipping]])</f>
        <v>215.64</v>
      </c>
      <c r="O877" s="1" t="str">
        <f>TEXT(Sales_Data[[#This Row],[Order Date]], "MM-YYYY")</f>
        <v>06-2019</v>
      </c>
    </row>
    <row r="878" spans="1:15" x14ac:dyDescent="0.3">
      <c r="A878" s="1">
        <v>24743</v>
      </c>
      <c r="B878" s="2">
        <v>43644</v>
      </c>
      <c r="C878" s="1" t="s">
        <v>7</v>
      </c>
      <c r="D878" s="1">
        <v>47</v>
      </c>
      <c r="E878" t="s">
        <v>24</v>
      </c>
      <c r="F878" t="s">
        <v>24</v>
      </c>
      <c r="G878" s="1">
        <v>10307.94</v>
      </c>
      <c r="H878">
        <v>0.01</v>
      </c>
      <c r="I878">
        <f>Sales_Data[[#This Row],[Sales]]*Sales_Data[[#This Row],[Discount]]</f>
        <v>103.07940000000001</v>
      </c>
      <c r="J878">
        <v>10204.8606</v>
      </c>
      <c r="K878" s="1">
        <v>68.7</v>
      </c>
      <c r="L878" s="1">
        <v>10239.24</v>
      </c>
      <c r="M878" s="1" t="s">
        <v>13</v>
      </c>
      <c r="N878" s="1">
        <f>IF(Sales_Data[[#This Row],[Sales with Discount]]&lt;Sales_Data[[#This Row],[Sales with Free Shipping]],Sales_Data[[#This Row],[Sales with Discount]],Sales_Data[[#This Row],[Sales with Free Shipping]])</f>
        <v>10204.8606</v>
      </c>
      <c r="O878" s="1" t="str">
        <f>TEXT(Sales_Data[[#This Row],[Order Date]], "MM-YYYY")</f>
        <v>06-2019</v>
      </c>
    </row>
    <row r="879" spans="1:15" x14ac:dyDescent="0.3">
      <c r="A879" s="1">
        <v>26981</v>
      </c>
      <c r="B879" s="2">
        <v>43707</v>
      </c>
      <c r="C879" s="1" t="s">
        <v>14</v>
      </c>
      <c r="D879" s="1">
        <v>44</v>
      </c>
      <c r="E879" t="s">
        <v>23</v>
      </c>
      <c r="F879" t="s">
        <v>23</v>
      </c>
      <c r="G879" s="1">
        <v>824.47</v>
      </c>
      <c r="H879">
        <v>0.01</v>
      </c>
      <c r="I879">
        <f>Sales_Data[[#This Row],[Sales]]*Sales_Data[[#This Row],[Discount]]</f>
        <v>8.2446999999999999</v>
      </c>
      <c r="J879">
        <v>816.22530000000006</v>
      </c>
      <c r="K879" s="1">
        <v>6.7</v>
      </c>
      <c r="L879" s="1">
        <v>817.77</v>
      </c>
      <c r="M879" s="1" t="s">
        <v>10</v>
      </c>
      <c r="N879" s="1">
        <f>IF(Sales_Data[[#This Row],[Sales with Discount]]&lt;Sales_Data[[#This Row],[Sales with Free Shipping]],Sales_Data[[#This Row],[Sales with Discount]],Sales_Data[[#This Row],[Sales with Free Shipping]])</f>
        <v>816.22530000000006</v>
      </c>
      <c r="O879" s="1" t="str">
        <f>TEXT(Sales_Data[[#This Row],[Order Date]], "MM-YYYY")</f>
        <v>08-2019</v>
      </c>
    </row>
    <row r="880" spans="1:15" x14ac:dyDescent="0.3">
      <c r="A880" s="1">
        <v>40611</v>
      </c>
      <c r="B880" s="2">
        <v>43552</v>
      </c>
      <c r="C880" s="1" t="s">
        <v>11</v>
      </c>
      <c r="D880" s="1">
        <v>12</v>
      </c>
      <c r="E880" t="s">
        <v>18</v>
      </c>
      <c r="F880" t="s">
        <v>18</v>
      </c>
      <c r="G880" s="1">
        <v>71.510000000000005</v>
      </c>
      <c r="H880">
        <v>0</v>
      </c>
      <c r="I880">
        <f>Sales_Data[[#This Row],[Sales]]*Sales_Data[[#This Row],[Discount]]</f>
        <v>0</v>
      </c>
      <c r="J880">
        <v>71.510000000000005</v>
      </c>
      <c r="K880" s="1">
        <v>5.5</v>
      </c>
      <c r="L880" s="1">
        <v>71.510000000000005</v>
      </c>
      <c r="M880" s="1" t="s">
        <v>8</v>
      </c>
      <c r="N880" s="1">
        <f>IF(Sales_Data[[#This Row],[Sales with Discount]]&lt;Sales_Data[[#This Row],[Sales with Free Shipping]],Sales_Data[[#This Row],[Sales with Discount]],Sales_Data[[#This Row],[Sales with Free Shipping]])</f>
        <v>71.510000000000005</v>
      </c>
      <c r="O880" s="1" t="str">
        <f>TEXT(Sales_Data[[#This Row],[Order Date]], "MM-YYYY")</f>
        <v>03-2019</v>
      </c>
    </row>
    <row r="881" spans="1:15" x14ac:dyDescent="0.3">
      <c r="A881" s="1">
        <v>28611</v>
      </c>
      <c r="B881" s="2">
        <v>43826</v>
      </c>
      <c r="C881" s="1" t="s">
        <v>7</v>
      </c>
      <c r="D881" s="1">
        <v>42</v>
      </c>
      <c r="E881" t="s">
        <v>23</v>
      </c>
      <c r="F881" t="s">
        <v>23</v>
      </c>
      <c r="G881" s="1">
        <v>4155.3100000000004</v>
      </c>
      <c r="H881">
        <v>0.01</v>
      </c>
      <c r="I881">
        <f>Sales_Data[[#This Row],[Sales]]*Sales_Data[[#This Row],[Discount]]</f>
        <v>41.553100000000008</v>
      </c>
      <c r="J881">
        <v>4113.7569000000003</v>
      </c>
      <c r="K881" s="1">
        <v>9.6</v>
      </c>
      <c r="L881" s="1">
        <v>4145.71</v>
      </c>
      <c r="M881" s="1" t="s">
        <v>10</v>
      </c>
      <c r="N881" s="1">
        <f>IF(Sales_Data[[#This Row],[Sales with Discount]]&lt;Sales_Data[[#This Row],[Sales with Free Shipping]],Sales_Data[[#This Row],[Sales with Discount]],Sales_Data[[#This Row],[Sales with Free Shipping]])</f>
        <v>4113.7569000000003</v>
      </c>
      <c r="O881" s="1" t="str">
        <f>TEXT(Sales_Data[[#This Row],[Order Date]], "MM-YYYY")</f>
        <v>12-2019</v>
      </c>
    </row>
    <row r="882" spans="1:15" x14ac:dyDescent="0.3">
      <c r="A882" s="1">
        <v>25635</v>
      </c>
      <c r="B882" s="2">
        <v>43614</v>
      </c>
      <c r="C882" s="1" t="s">
        <v>12</v>
      </c>
      <c r="D882" s="1">
        <v>22</v>
      </c>
      <c r="E882" t="s">
        <v>14</v>
      </c>
      <c r="F882" t="s">
        <v>14</v>
      </c>
      <c r="G882" s="1">
        <v>118.15</v>
      </c>
      <c r="H882">
        <v>0</v>
      </c>
      <c r="I882">
        <f>Sales_Data[[#This Row],[Sales]]*Sales_Data[[#This Row],[Discount]]</f>
        <v>0</v>
      </c>
      <c r="J882">
        <v>118.15</v>
      </c>
      <c r="K882" s="1">
        <v>3.9</v>
      </c>
      <c r="L882" s="1">
        <v>118.15</v>
      </c>
      <c r="M882" s="1" t="s">
        <v>10</v>
      </c>
      <c r="N882" s="1">
        <f>IF(Sales_Data[[#This Row],[Sales with Discount]]&lt;Sales_Data[[#This Row],[Sales with Free Shipping]],Sales_Data[[#This Row],[Sales with Discount]],Sales_Data[[#This Row],[Sales with Free Shipping]])</f>
        <v>118.15</v>
      </c>
      <c r="O882" s="1" t="str">
        <f>TEXT(Sales_Data[[#This Row],[Order Date]], "MM-YYYY")</f>
        <v>05-2019</v>
      </c>
    </row>
    <row r="883" spans="1:15" x14ac:dyDescent="0.3">
      <c r="A883" s="1">
        <v>26981</v>
      </c>
      <c r="B883" s="2">
        <v>43707</v>
      </c>
      <c r="C883" s="1" t="s">
        <v>14</v>
      </c>
      <c r="D883" s="1">
        <v>13</v>
      </c>
      <c r="E883" t="s">
        <v>18</v>
      </c>
      <c r="F883" t="s">
        <v>18</v>
      </c>
      <c r="G883" s="1">
        <v>645.58000000000004</v>
      </c>
      <c r="H883">
        <v>0</v>
      </c>
      <c r="I883">
        <f>Sales_Data[[#This Row],[Sales]]*Sales_Data[[#This Row],[Discount]]</f>
        <v>0</v>
      </c>
      <c r="J883">
        <v>645.58000000000004</v>
      </c>
      <c r="K883" s="1">
        <v>1.3</v>
      </c>
      <c r="L883" s="1">
        <v>645.58000000000004</v>
      </c>
      <c r="M883" s="1" t="s">
        <v>10</v>
      </c>
      <c r="N883" s="1">
        <f>IF(Sales_Data[[#This Row],[Sales with Discount]]&lt;Sales_Data[[#This Row],[Sales with Free Shipping]],Sales_Data[[#This Row],[Sales with Discount]],Sales_Data[[#This Row],[Sales with Free Shipping]])</f>
        <v>645.58000000000004</v>
      </c>
      <c r="O883" s="1" t="str">
        <f>TEXT(Sales_Data[[#This Row],[Order Date]], "MM-YYYY")</f>
        <v>08-2019</v>
      </c>
    </row>
    <row r="884" spans="1:15" x14ac:dyDescent="0.3">
      <c r="A884" s="1">
        <v>59781</v>
      </c>
      <c r="B884" s="2">
        <v>43811</v>
      </c>
      <c r="C884" s="1" t="s">
        <v>11</v>
      </c>
      <c r="D884" s="1">
        <v>18</v>
      </c>
      <c r="E884" t="s">
        <v>19</v>
      </c>
      <c r="F884" t="s">
        <v>19</v>
      </c>
      <c r="G884" s="1">
        <v>1966.6</v>
      </c>
      <c r="H884">
        <v>0</v>
      </c>
      <c r="I884">
        <f>Sales_Data[[#This Row],[Sales]]*Sales_Data[[#This Row],[Discount]]</f>
        <v>0</v>
      </c>
      <c r="J884">
        <v>1966.6</v>
      </c>
      <c r="K884" s="1">
        <v>9.6</v>
      </c>
      <c r="L884" s="1">
        <v>1966.6</v>
      </c>
      <c r="M884" s="1" t="s">
        <v>10</v>
      </c>
      <c r="N884" s="1">
        <f>IF(Sales_Data[[#This Row],[Sales with Discount]]&lt;Sales_Data[[#This Row],[Sales with Free Shipping]],Sales_Data[[#This Row],[Sales with Discount]],Sales_Data[[#This Row],[Sales with Free Shipping]])</f>
        <v>1966.6</v>
      </c>
      <c r="O884" s="1" t="str">
        <f>TEXT(Sales_Data[[#This Row],[Order Date]], "MM-YYYY")</f>
        <v>12-2019</v>
      </c>
    </row>
    <row r="885" spans="1:15" x14ac:dyDescent="0.3">
      <c r="A885" s="1">
        <v>14630</v>
      </c>
      <c r="B885" s="2">
        <v>43754</v>
      </c>
      <c r="C885" s="1" t="s">
        <v>7</v>
      </c>
      <c r="D885" s="1">
        <v>17</v>
      </c>
      <c r="E885" t="s">
        <v>19</v>
      </c>
      <c r="F885" t="s">
        <v>19</v>
      </c>
      <c r="G885" s="1">
        <v>388.98779999999999</v>
      </c>
      <c r="H885">
        <v>0</v>
      </c>
      <c r="I885">
        <f>Sales_Data[[#This Row],[Sales]]*Sales_Data[[#This Row],[Discount]]</f>
        <v>0</v>
      </c>
      <c r="J885">
        <v>388.98779999999999</v>
      </c>
      <c r="K885" s="1">
        <v>5.9</v>
      </c>
      <c r="L885" s="1">
        <v>388.98779999999999</v>
      </c>
      <c r="M885" s="1" t="s">
        <v>10</v>
      </c>
      <c r="N885" s="1">
        <f>IF(Sales_Data[[#This Row],[Sales with Discount]]&lt;Sales_Data[[#This Row],[Sales with Free Shipping]],Sales_Data[[#This Row],[Sales with Discount]],Sales_Data[[#This Row],[Sales with Free Shipping]])</f>
        <v>388.98779999999999</v>
      </c>
      <c r="O885" s="1" t="str">
        <f>TEXT(Sales_Data[[#This Row],[Order Date]], "MM-YYYY")</f>
        <v>10-2019</v>
      </c>
    </row>
    <row r="886" spans="1:15" x14ac:dyDescent="0.3">
      <c r="A886" s="1">
        <v>6339</v>
      </c>
      <c r="B886" s="2">
        <v>43810</v>
      </c>
      <c r="C886" s="1" t="s">
        <v>12</v>
      </c>
      <c r="D886" s="1">
        <v>20</v>
      </c>
      <c r="E886" t="s">
        <v>19</v>
      </c>
      <c r="F886" t="s">
        <v>19</v>
      </c>
      <c r="G886" s="1">
        <v>324.95</v>
      </c>
      <c r="H886">
        <v>0</v>
      </c>
      <c r="I886">
        <f>Sales_Data[[#This Row],[Sales]]*Sales_Data[[#This Row],[Discount]]</f>
        <v>0</v>
      </c>
      <c r="J886">
        <v>324.95</v>
      </c>
      <c r="K886" s="1">
        <v>8.1999999999999993</v>
      </c>
      <c r="L886" s="1">
        <v>324.95</v>
      </c>
      <c r="M886" s="1" t="s">
        <v>10</v>
      </c>
      <c r="N886" s="1">
        <f>IF(Sales_Data[[#This Row],[Sales with Discount]]&lt;Sales_Data[[#This Row],[Sales with Free Shipping]],Sales_Data[[#This Row],[Sales with Discount]],Sales_Data[[#This Row],[Sales with Free Shipping]])</f>
        <v>324.95</v>
      </c>
      <c r="O886" s="1" t="str">
        <f>TEXT(Sales_Data[[#This Row],[Order Date]], "MM-YYYY")</f>
        <v>12-2019</v>
      </c>
    </row>
    <row r="887" spans="1:15" x14ac:dyDescent="0.3">
      <c r="A887" s="1">
        <v>25985</v>
      </c>
      <c r="B887" s="2">
        <v>43710</v>
      </c>
      <c r="C887" s="1" t="s">
        <v>7</v>
      </c>
      <c r="D887" s="1">
        <v>22</v>
      </c>
      <c r="E887" t="s">
        <v>14</v>
      </c>
      <c r="F887" t="s">
        <v>14</v>
      </c>
      <c r="G887" s="1">
        <v>86.45</v>
      </c>
      <c r="H887">
        <v>0</v>
      </c>
      <c r="I887">
        <f>Sales_Data[[#This Row],[Sales]]*Sales_Data[[#This Row],[Discount]]</f>
        <v>0</v>
      </c>
      <c r="J887">
        <v>86.45</v>
      </c>
      <c r="K887" s="1">
        <v>0.8</v>
      </c>
      <c r="L887" s="1">
        <v>86.45</v>
      </c>
      <c r="M887" s="1" t="s">
        <v>10</v>
      </c>
      <c r="N887" s="1">
        <f>IF(Sales_Data[[#This Row],[Sales with Discount]]&lt;Sales_Data[[#This Row],[Sales with Free Shipping]],Sales_Data[[#This Row],[Sales with Discount]],Sales_Data[[#This Row],[Sales with Free Shipping]])</f>
        <v>86.45</v>
      </c>
      <c r="O887" s="1" t="str">
        <f>TEXT(Sales_Data[[#This Row],[Order Date]], "MM-YYYY")</f>
        <v>09-2019</v>
      </c>
    </row>
    <row r="888" spans="1:15" x14ac:dyDescent="0.3">
      <c r="A888" s="1">
        <v>52519</v>
      </c>
      <c r="B888" s="2">
        <v>43584</v>
      </c>
      <c r="C888" s="1" t="s">
        <v>9</v>
      </c>
      <c r="D888" s="1">
        <v>6</v>
      </c>
      <c r="E888" t="s">
        <v>17</v>
      </c>
      <c r="F888" t="s">
        <v>17</v>
      </c>
      <c r="G888" s="1">
        <v>128.81</v>
      </c>
      <c r="H888">
        <v>0</v>
      </c>
      <c r="I888">
        <f>Sales_Data[[#This Row],[Sales]]*Sales_Data[[#This Row],[Discount]]</f>
        <v>0</v>
      </c>
      <c r="J888">
        <v>128.81</v>
      </c>
      <c r="K888" s="1">
        <v>6.8</v>
      </c>
      <c r="L888" s="1">
        <v>128.81</v>
      </c>
      <c r="M888" s="1" t="s">
        <v>10</v>
      </c>
      <c r="N888" s="1">
        <f>IF(Sales_Data[[#This Row],[Sales with Discount]]&lt;Sales_Data[[#This Row],[Sales with Free Shipping]],Sales_Data[[#This Row],[Sales with Discount]],Sales_Data[[#This Row],[Sales with Free Shipping]])</f>
        <v>128.81</v>
      </c>
      <c r="O888" s="1" t="str">
        <f>TEXT(Sales_Data[[#This Row],[Order Date]], "MM-YYYY")</f>
        <v>04-2019</v>
      </c>
    </row>
    <row r="889" spans="1:15" x14ac:dyDescent="0.3">
      <c r="A889" s="1">
        <v>1282</v>
      </c>
      <c r="B889" s="2">
        <v>43522</v>
      </c>
      <c r="C889" s="1" t="s">
        <v>11</v>
      </c>
      <c r="D889" s="1">
        <v>26</v>
      </c>
      <c r="E889" t="s">
        <v>20</v>
      </c>
      <c r="F889" t="s">
        <v>20</v>
      </c>
      <c r="G889" s="1">
        <v>954.84659999999997</v>
      </c>
      <c r="H889">
        <v>0</v>
      </c>
      <c r="I889">
        <f>Sales_Data[[#This Row],[Sales]]*Sales_Data[[#This Row],[Discount]]</f>
        <v>0</v>
      </c>
      <c r="J889">
        <v>954.84659999999997</v>
      </c>
      <c r="K889" s="1">
        <v>2.1</v>
      </c>
      <c r="L889" s="1">
        <v>954.84659999999997</v>
      </c>
      <c r="M889" s="1" t="s">
        <v>10</v>
      </c>
      <c r="N889" s="1">
        <f>IF(Sales_Data[[#This Row],[Sales with Discount]]&lt;Sales_Data[[#This Row],[Sales with Free Shipping]],Sales_Data[[#This Row],[Sales with Discount]],Sales_Data[[#This Row],[Sales with Free Shipping]])</f>
        <v>954.84659999999997</v>
      </c>
      <c r="O889" s="1" t="str">
        <f>TEXT(Sales_Data[[#This Row],[Order Date]], "MM-YYYY")</f>
        <v>02-2019</v>
      </c>
    </row>
    <row r="890" spans="1:15" x14ac:dyDescent="0.3">
      <c r="A890" s="1">
        <v>3654</v>
      </c>
      <c r="B890" s="2">
        <v>43618</v>
      </c>
      <c r="C890" s="1" t="s">
        <v>7</v>
      </c>
      <c r="D890" s="1">
        <v>47</v>
      </c>
      <c r="E890" t="s">
        <v>24</v>
      </c>
      <c r="F890" t="s">
        <v>24</v>
      </c>
      <c r="G890" s="1">
        <v>13449.16</v>
      </c>
      <c r="H890">
        <v>0.01</v>
      </c>
      <c r="I890">
        <f>Sales_Data[[#This Row],[Sales]]*Sales_Data[[#This Row],[Discount]]</f>
        <v>134.49160000000001</v>
      </c>
      <c r="J890">
        <v>13314.6684</v>
      </c>
      <c r="K890" s="1">
        <v>24.8</v>
      </c>
      <c r="L890" s="1">
        <v>13424.36</v>
      </c>
      <c r="M890" s="1" t="s">
        <v>13</v>
      </c>
      <c r="N890" s="1">
        <f>IF(Sales_Data[[#This Row],[Sales with Discount]]&lt;Sales_Data[[#This Row],[Sales with Free Shipping]],Sales_Data[[#This Row],[Sales with Discount]],Sales_Data[[#This Row],[Sales with Free Shipping]])</f>
        <v>13314.6684</v>
      </c>
      <c r="O890" s="1" t="str">
        <f>TEXT(Sales_Data[[#This Row],[Order Date]], "MM-YYYY")</f>
        <v>06-2019</v>
      </c>
    </row>
    <row r="891" spans="1:15" x14ac:dyDescent="0.3">
      <c r="A891" s="1">
        <v>7107</v>
      </c>
      <c r="B891" s="2">
        <v>43468</v>
      </c>
      <c r="C891" s="1" t="s">
        <v>11</v>
      </c>
      <c r="D891" s="1">
        <v>3</v>
      </c>
      <c r="E891" t="s">
        <v>16</v>
      </c>
      <c r="F891" t="s">
        <v>16</v>
      </c>
      <c r="G891" s="1">
        <v>121.06</v>
      </c>
      <c r="H891">
        <v>0</v>
      </c>
      <c r="I891">
        <f>Sales_Data[[#This Row],[Sales]]*Sales_Data[[#This Row],[Discount]]</f>
        <v>0</v>
      </c>
      <c r="J891">
        <v>121.06</v>
      </c>
      <c r="K891" s="1">
        <v>5.4</v>
      </c>
      <c r="L891" s="1">
        <v>121.06</v>
      </c>
      <c r="M891" s="1" t="s">
        <v>10</v>
      </c>
      <c r="N891" s="1">
        <f>IF(Sales_Data[[#This Row],[Sales with Discount]]&lt;Sales_Data[[#This Row],[Sales with Free Shipping]],Sales_Data[[#This Row],[Sales with Discount]],Sales_Data[[#This Row],[Sales with Free Shipping]])</f>
        <v>121.06</v>
      </c>
      <c r="O891" s="1" t="str">
        <f>TEXT(Sales_Data[[#This Row],[Order Date]], "MM-YYYY")</f>
        <v>01-2019</v>
      </c>
    </row>
    <row r="892" spans="1:15" x14ac:dyDescent="0.3">
      <c r="A892" s="1">
        <v>15651</v>
      </c>
      <c r="B892" s="2">
        <v>43742</v>
      </c>
      <c r="C892" s="1" t="s">
        <v>12</v>
      </c>
      <c r="D892" s="1">
        <v>40</v>
      </c>
      <c r="E892" t="s">
        <v>22</v>
      </c>
      <c r="F892" t="s">
        <v>22</v>
      </c>
      <c r="G892" s="1">
        <v>2335.71</v>
      </c>
      <c r="H892">
        <v>0.01</v>
      </c>
      <c r="I892">
        <f>Sales_Data[[#This Row],[Sales]]*Sales_Data[[#This Row],[Discount]]</f>
        <v>23.357099999999999</v>
      </c>
      <c r="J892">
        <v>2312.3528999999999</v>
      </c>
      <c r="K892" s="1">
        <v>3.7</v>
      </c>
      <c r="L892" s="1">
        <v>2332.0100000000002</v>
      </c>
      <c r="M892" s="1" t="s">
        <v>8</v>
      </c>
      <c r="N892" s="1">
        <f>IF(Sales_Data[[#This Row],[Sales with Discount]]&lt;Sales_Data[[#This Row],[Sales with Free Shipping]],Sales_Data[[#This Row],[Sales with Discount]],Sales_Data[[#This Row],[Sales with Free Shipping]])</f>
        <v>2312.3528999999999</v>
      </c>
      <c r="O892" s="1" t="str">
        <f>TEXT(Sales_Data[[#This Row],[Order Date]], "MM-YYYY")</f>
        <v>10-2019</v>
      </c>
    </row>
    <row r="893" spans="1:15" x14ac:dyDescent="0.3">
      <c r="A893" s="1">
        <v>38914</v>
      </c>
      <c r="B893" s="2">
        <v>43615</v>
      </c>
      <c r="C893" s="1" t="s">
        <v>14</v>
      </c>
      <c r="D893" s="1">
        <v>43</v>
      </c>
      <c r="E893" t="s">
        <v>23</v>
      </c>
      <c r="F893" t="s">
        <v>23</v>
      </c>
      <c r="G893" s="1">
        <v>478.42</v>
      </c>
      <c r="H893">
        <v>0.01</v>
      </c>
      <c r="I893">
        <f>Sales_Data[[#This Row],[Sales]]*Sales_Data[[#This Row],[Discount]]</f>
        <v>4.7842000000000002</v>
      </c>
      <c r="J893">
        <v>473.63580000000002</v>
      </c>
      <c r="K893" s="1">
        <v>5.5</v>
      </c>
      <c r="L893" s="1">
        <v>472.92</v>
      </c>
      <c r="M893" s="1" t="s">
        <v>10</v>
      </c>
      <c r="N893" s="1">
        <f>IF(Sales_Data[[#This Row],[Sales with Discount]]&lt;Sales_Data[[#This Row],[Sales with Free Shipping]],Sales_Data[[#This Row],[Sales with Discount]],Sales_Data[[#This Row],[Sales with Free Shipping]])</f>
        <v>472.92</v>
      </c>
      <c r="O893" s="1" t="str">
        <f>TEXT(Sales_Data[[#This Row],[Order Date]], "MM-YYYY")</f>
        <v>05-2019</v>
      </c>
    </row>
    <row r="894" spans="1:15" x14ac:dyDescent="0.3">
      <c r="A894" s="1">
        <v>17447</v>
      </c>
      <c r="B894" s="2">
        <v>43603</v>
      </c>
      <c r="C894" s="1" t="s">
        <v>7</v>
      </c>
      <c r="D894" s="1">
        <v>42</v>
      </c>
      <c r="E894" t="s">
        <v>23</v>
      </c>
      <c r="F894" t="s">
        <v>23</v>
      </c>
      <c r="G894" s="1">
        <v>921.71</v>
      </c>
      <c r="H894">
        <v>0.01</v>
      </c>
      <c r="I894">
        <f>Sales_Data[[#This Row],[Sales]]*Sales_Data[[#This Row],[Discount]]</f>
        <v>9.2171000000000003</v>
      </c>
      <c r="J894">
        <v>912.49290000000008</v>
      </c>
      <c r="K894" s="1">
        <v>10.199999999999999</v>
      </c>
      <c r="L894" s="1">
        <v>911.51</v>
      </c>
      <c r="M894" s="1" t="s">
        <v>10</v>
      </c>
      <c r="N894" s="1">
        <f>IF(Sales_Data[[#This Row],[Sales with Discount]]&lt;Sales_Data[[#This Row],[Sales with Free Shipping]],Sales_Data[[#This Row],[Sales with Discount]],Sales_Data[[#This Row],[Sales with Free Shipping]])</f>
        <v>911.51</v>
      </c>
      <c r="O894" s="1" t="str">
        <f>TEXT(Sales_Data[[#This Row],[Order Date]], "MM-YYYY")</f>
        <v>05-2019</v>
      </c>
    </row>
    <row r="895" spans="1:15" x14ac:dyDescent="0.3">
      <c r="A895" s="1">
        <v>48868</v>
      </c>
      <c r="B895" s="2">
        <v>43629</v>
      </c>
      <c r="C895" s="1" t="s">
        <v>11</v>
      </c>
      <c r="D895" s="1">
        <v>43</v>
      </c>
      <c r="E895" t="s">
        <v>23</v>
      </c>
      <c r="F895" t="s">
        <v>23</v>
      </c>
      <c r="G895" s="1">
        <v>7342.18</v>
      </c>
      <c r="H895">
        <v>0.01</v>
      </c>
      <c r="I895">
        <f>Sales_Data[[#This Row],[Sales]]*Sales_Data[[#This Row],[Discount]]</f>
        <v>73.421800000000005</v>
      </c>
      <c r="J895">
        <v>7268.7582000000002</v>
      </c>
      <c r="K895" s="1">
        <v>4.3</v>
      </c>
      <c r="L895" s="1">
        <v>7337.88</v>
      </c>
      <c r="M895" s="1" t="s">
        <v>10</v>
      </c>
      <c r="N895" s="1">
        <f>IF(Sales_Data[[#This Row],[Sales with Discount]]&lt;Sales_Data[[#This Row],[Sales with Free Shipping]],Sales_Data[[#This Row],[Sales with Discount]],Sales_Data[[#This Row],[Sales with Free Shipping]])</f>
        <v>7268.7582000000002</v>
      </c>
      <c r="O895" s="1" t="str">
        <f>TEXT(Sales_Data[[#This Row],[Order Date]], "MM-YYYY")</f>
        <v>06-2019</v>
      </c>
    </row>
    <row r="896" spans="1:15" x14ac:dyDescent="0.3">
      <c r="A896" s="1">
        <v>52999</v>
      </c>
      <c r="B896" s="2">
        <v>43580</v>
      </c>
      <c r="C896" s="1" t="s">
        <v>11</v>
      </c>
      <c r="D896" s="1">
        <v>39</v>
      </c>
      <c r="E896" t="s">
        <v>22</v>
      </c>
      <c r="F896" t="s">
        <v>22</v>
      </c>
      <c r="G896" s="1">
        <v>367.06</v>
      </c>
      <c r="H896">
        <v>0.01</v>
      </c>
      <c r="I896">
        <f>Sales_Data[[#This Row],[Sales]]*Sales_Data[[#This Row],[Discount]]</f>
        <v>3.6706000000000003</v>
      </c>
      <c r="J896">
        <v>363.38940000000002</v>
      </c>
      <c r="K896" s="1">
        <v>2.2999999999999998</v>
      </c>
      <c r="L896" s="1">
        <v>364.76</v>
      </c>
      <c r="M896" s="1" t="s">
        <v>10</v>
      </c>
      <c r="N896" s="1">
        <f>IF(Sales_Data[[#This Row],[Sales with Discount]]&lt;Sales_Data[[#This Row],[Sales with Free Shipping]],Sales_Data[[#This Row],[Sales with Discount]],Sales_Data[[#This Row],[Sales with Free Shipping]])</f>
        <v>363.38940000000002</v>
      </c>
      <c r="O896" s="1" t="str">
        <f>TEXT(Sales_Data[[#This Row],[Order Date]], "MM-YYYY")</f>
        <v>04-2019</v>
      </c>
    </row>
    <row r="897" spans="1:15" x14ac:dyDescent="0.3">
      <c r="A897" s="1">
        <v>9826</v>
      </c>
      <c r="B897" s="2">
        <v>43546</v>
      </c>
      <c r="C897" s="1" t="s">
        <v>14</v>
      </c>
      <c r="D897" s="1">
        <v>7</v>
      </c>
      <c r="E897" t="s">
        <v>17</v>
      </c>
      <c r="F897" t="s">
        <v>17</v>
      </c>
      <c r="G897" s="1">
        <v>140.82</v>
      </c>
      <c r="H897">
        <v>0</v>
      </c>
      <c r="I897">
        <f>Sales_Data[[#This Row],[Sales]]*Sales_Data[[#This Row],[Discount]]</f>
        <v>0</v>
      </c>
      <c r="J897">
        <v>140.82</v>
      </c>
      <c r="K897" s="1">
        <v>2.1</v>
      </c>
      <c r="L897" s="1">
        <v>140.82</v>
      </c>
      <c r="M897" s="1" t="s">
        <v>10</v>
      </c>
      <c r="N897" s="1">
        <f>IF(Sales_Data[[#This Row],[Sales with Discount]]&lt;Sales_Data[[#This Row],[Sales with Free Shipping]],Sales_Data[[#This Row],[Sales with Discount]],Sales_Data[[#This Row],[Sales with Free Shipping]])</f>
        <v>140.82</v>
      </c>
      <c r="O897" s="1" t="str">
        <f>TEXT(Sales_Data[[#This Row],[Order Date]], "MM-YYYY")</f>
        <v>03-2019</v>
      </c>
    </row>
    <row r="898" spans="1:15" x14ac:dyDescent="0.3">
      <c r="A898" s="1">
        <v>18950</v>
      </c>
      <c r="B898" s="2">
        <v>43522</v>
      </c>
      <c r="C898" s="1" t="s">
        <v>7</v>
      </c>
      <c r="D898" s="1">
        <v>33</v>
      </c>
      <c r="E898" t="s">
        <v>21</v>
      </c>
      <c r="F898" t="s">
        <v>21</v>
      </c>
      <c r="G898" s="1">
        <v>3219.1</v>
      </c>
      <c r="H898">
        <v>0</v>
      </c>
      <c r="I898">
        <f>Sales_Data[[#This Row],[Sales]]*Sales_Data[[#This Row],[Discount]]</f>
        <v>0</v>
      </c>
      <c r="J898">
        <v>3219.1</v>
      </c>
      <c r="K898" s="1">
        <v>15</v>
      </c>
      <c r="L898" s="1">
        <v>3219.1</v>
      </c>
      <c r="M898" s="1" t="s">
        <v>13</v>
      </c>
      <c r="N898" s="1">
        <f>IF(Sales_Data[[#This Row],[Sales with Discount]]&lt;Sales_Data[[#This Row],[Sales with Free Shipping]],Sales_Data[[#This Row],[Sales with Discount]],Sales_Data[[#This Row],[Sales with Free Shipping]])</f>
        <v>3219.1</v>
      </c>
      <c r="O898" s="1" t="str">
        <f>TEXT(Sales_Data[[#This Row],[Order Date]], "MM-YYYY")</f>
        <v>02-2019</v>
      </c>
    </row>
    <row r="899" spans="1:15" x14ac:dyDescent="0.3">
      <c r="A899" s="1">
        <v>30343</v>
      </c>
      <c r="B899" s="2">
        <v>43606</v>
      </c>
      <c r="C899" s="1" t="s">
        <v>12</v>
      </c>
      <c r="D899" s="1">
        <v>28</v>
      </c>
      <c r="E899" t="s">
        <v>20</v>
      </c>
      <c r="F899" t="s">
        <v>20</v>
      </c>
      <c r="G899" s="1">
        <v>139.4</v>
      </c>
      <c r="H899">
        <v>0</v>
      </c>
      <c r="I899">
        <f>Sales_Data[[#This Row],[Sales]]*Sales_Data[[#This Row],[Discount]]</f>
        <v>0</v>
      </c>
      <c r="J899">
        <v>139.4</v>
      </c>
      <c r="K899" s="1">
        <v>0.5</v>
      </c>
      <c r="L899" s="1">
        <v>139.4</v>
      </c>
      <c r="M899" s="1" t="s">
        <v>10</v>
      </c>
      <c r="N899" s="1">
        <f>IF(Sales_Data[[#This Row],[Sales with Discount]]&lt;Sales_Data[[#This Row],[Sales with Free Shipping]],Sales_Data[[#This Row],[Sales with Discount]],Sales_Data[[#This Row],[Sales with Free Shipping]])</f>
        <v>139.4</v>
      </c>
      <c r="O899" s="1" t="str">
        <f>TEXT(Sales_Data[[#This Row],[Order Date]], "MM-YYYY")</f>
        <v>05-2019</v>
      </c>
    </row>
    <row r="900" spans="1:15" x14ac:dyDescent="0.3">
      <c r="A900" s="1">
        <v>52645</v>
      </c>
      <c r="B900" s="2">
        <v>43531</v>
      </c>
      <c r="C900" s="1" t="s">
        <v>7</v>
      </c>
      <c r="D900" s="1">
        <v>10</v>
      </c>
      <c r="E900" t="s">
        <v>17</v>
      </c>
      <c r="F900" t="s">
        <v>17</v>
      </c>
      <c r="G900" s="1">
        <v>741.53</v>
      </c>
      <c r="H900">
        <v>0</v>
      </c>
      <c r="I900">
        <f>Sales_Data[[#This Row],[Sales]]*Sales_Data[[#This Row],[Discount]]</f>
        <v>0</v>
      </c>
      <c r="J900">
        <v>741.53</v>
      </c>
      <c r="K900" s="1">
        <v>3.7</v>
      </c>
      <c r="L900" s="1">
        <v>741.53</v>
      </c>
      <c r="M900" s="1" t="s">
        <v>10</v>
      </c>
      <c r="N900" s="1">
        <f>IF(Sales_Data[[#This Row],[Sales with Discount]]&lt;Sales_Data[[#This Row],[Sales with Free Shipping]],Sales_Data[[#This Row],[Sales with Discount]],Sales_Data[[#This Row],[Sales with Free Shipping]])</f>
        <v>741.53</v>
      </c>
      <c r="O900" s="1" t="str">
        <f>TEXT(Sales_Data[[#This Row],[Order Date]], "MM-YYYY")</f>
        <v>03-2019</v>
      </c>
    </row>
    <row r="901" spans="1:15" x14ac:dyDescent="0.3">
      <c r="A901" s="1">
        <v>8293</v>
      </c>
      <c r="B901" s="2">
        <v>43687</v>
      </c>
      <c r="C901" s="1" t="s">
        <v>7</v>
      </c>
      <c r="D901" s="1">
        <v>22</v>
      </c>
      <c r="E901" t="s">
        <v>14</v>
      </c>
      <c r="F901" t="s">
        <v>14</v>
      </c>
      <c r="G901" s="1">
        <v>80.28</v>
      </c>
      <c r="H901">
        <v>0</v>
      </c>
      <c r="I901">
        <f>Sales_Data[[#This Row],[Sales]]*Sales_Data[[#This Row],[Discount]]</f>
        <v>0</v>
      </c>
      <c r="J901">
        <v>80.28</v>
      </c>
      <c r="K901" s="1">
        <v>2.1</v>
      </c>
      <c r="L901" s="1">
        <v>80.28</v>
      </c>
      <c r="M901" s="1" t="s">
        <v>10</v>
      </c>
      <c r="N901" s="1">
        <f>IF(Sales_Data[[#This Row],[Sales with Discount]]&lt;Sales_Data[[#This Row],[Sales with Free Shipping]],Sales_Data[[#This Row],[Sales with Discount]],Sales_Data[[#This Row],[Sales with Free Shipping]])</f>
        <v>80.28</v>
      </c>
      <c r="O901" s="1" t="str">
        <f>TEXT(Sales_Data[[#This Row],[Order Date]], "MM-YYYY")</f>
        <v>08-2019</v>
      </c>
    </row>
    <row r="902" spans="1:15" x14ac:dyDescent="0.3">
      <c r="A902" s="1">
        <v>18208</v>
      </c>
      <c r="B902" s="2">
        <v>43556</v>
      </c>
      <c r="C902" s="1" t="s">
        <v>11</v>
      </c>
      <c r="D902" s="1">
        <v>36</v>
      </c>
      <c r="E902" t="s">
        <v>22</v>
      </c>
      <c r="F902" t="s">
        <v>22</v>
      </c>
      <c r="G902" s="1">
        <v>88.79</v>
      </c>
      <c r="H902">
        <v>0.01</v>
      </c>
      <c r="I902">
        <f>Sales_Data[[#This Row],[Sales]]*Sales_Data[[#This Row],[Discount]]</f>
        <v>0.88790000000000013</v>
      </c>
      <c r="J902">
        <v>87.902100000000004</v>
      </c>
      <c r="K902" s="1">
        <v>5.6</v>
      </c>
      <c r="L902" s="1">
        <v>83.190000000000012</v>
      </c>
      <c r="M902" s="1" t="s">
        <v>10</v>
      </c>
      <c r="N902" s="1">
        <f>IF(Sales_Data[[#This Row],[Sales with Discount]]&lt;Sales_Data[[#This Row],[Sales with Free Shipping]],Sales_Data[[#This Row],[Sales with Discount]],Sales_Data[[#This Row],[Sales with Free Shipping]])</f>
        <v>83.190000000000012</v>
      </c>
      <c r="O902" s="1" t="str">
        <f>TEXT(Sales_Data[[#This Row],[Order Date]], "MM-YYYY")</f>
        <v>04-2019</v>
      </c>
    </row>
    <row r="903" spans="1:15" x14ac:dyDescent="0.3">
      <c r="A903" s="1">
        <v>44646</v>
      </c>
      <c r="B903" s="2">
        <v>43468</v>
      </c>
      <c r="C903" s="1" t="s">
        <v>7</v>
      </c>
      <c r="D903" s="1">
        <v>47</v>
      </c>
      <c r="E903" t="s">
        <v>24</v>
      </c>
      <c r="F903" t="s">
        <v>24</v>
      </c>
      <c r="G903" s="1">
        <v>13614.63</v>
      </c>
      <c r="H903">
        <v>0.01</v>
      </c>
      <c r="I903">
        <f>Sales_Data[[#This Row],[Sales]]*Sales_Data[[#This Row],[Discount]]</f>
        <v>136.1463</v>
      </c>
      <c r="J903">
        <v>13478.483699999999</v>
      </c>
      <c r="K903" s="1">
        <v>37.5</v>
      </c>
      <c r="L903" s="1">
        <v>13577.13</v>
      </c>
      <c r="M903" s="1" t="s">
        <v>10</v>
      </c>
      <c r="N903" s="1">
        <f>IF(Sales_Data[[#This Row],[Sales with Discount]]&lt;Sales_Data[[#This Row],[Sales with Free Shipping]],Sales_Data[[#This Row],[Sales with Discount]],Sales_Data[[#This Row],[Sales with Free Shipping]])</f>
        <v>13478.483699999999</v>
      </c>
      <c r="O903" s="1" t="str">
        <f>TEXT(Sales_Data[[#This Row],[Order Date]], "MM-YYYY")</f>
        <v>01-2019</v>
      </c>
    </row>
    <row r="904" spans="1:15" x14ac:dyDescent="0.3">
      <c r="A904" s="1">
        <v>26756</v>
      </c>
      <c r="B904" s="2">
        <v>43595</v>
      </c>
      <c r="C904" s="1" t="s">
        <v>14</v>
      </c>
      <c r="D904" s="1">
        <v>25</v>
      </c>
      <c r="E904" t="s">
        <v>14</v>
      </c>
      <c r="F904" t="s">
        <v>14</v>
      </c>
      <c r="G904" s="1">
        <v>820.97</v>
      </c>
      <c r="H904">
        <v>0</v>
      </c>
      <c r="I904">
        <f>Sales_Data[[#This Row],[Sales]]*Sales_Data[[#This Row],[Discount]]</f>
        <v>0</v>
      </c>
      <c r="J904">
        <v>820.97</v>
      </c>
      <c r="K904" s="1">
        <v>4.3</v>
      </c>
      <c r="L904" s="1">
        <v>820.97</v>
      </c>
      <c r="M904" s="1" t="s">
        <v>10</v>
      </c>
      <c r="N904" s="1">
        <f>IF(Sales_Data[[#This Row],[Sales with Discount]]&lt;Sales_Data[[#This Row],[Sales with Free Shipping]],Sales_Data[[#This Row],[Sales with Discount]],Sales_Data[[#This Row],[Sales with Free Shipping]])</f>
        <v>820.97</v>
      </c>
      <c r="O904" s="1" t="str">
        <f>TEXT(Sales_Data[[#This Row],[Order Date]], "MM-YYYY")</f>
        <v>05-2019</v>
      </c>
    </row>
    <row r="905" spans="1:15" x14ac:dyDescent="0.3">
      <c r="A905" s="1">
        <v>40067</v>
      </c>
      <c r="B905" s="2">
        <v>43512</v>
      </c>
      <c r="C905" s="1" t="s">
        <v>7</v>
      </c>
      <c r="D905" s="1">
        <v>38</v>
      </c>
      <c r="E905" t="s">
        <v>22</v>
      </c>
      <c r="F905" t="s">
        <v>22</v>
      </c>
      <c r="G905" s="1">
        <v>2308.3200000000002</v>
      </c>
      <c r="H905">
        <v>0.01</v>
      </c>
      <c r="I905">
        <f>Sales_Data[[#This Row],[Sales]]*Sales_Data[[#This Row],[Discount]]</f>
        <v>23.083200000000001</v>
      </c>
      <c r="J905">
        <v>2285.2368000000001</v>
      </c>
      <c r="K905" s="1">
        <v>5.7</v>
      </c>
      <c r="L905" s="1">
        <v>2302.6200000000003</v>
      </c>
      <c r="M905" s="1" t="s">
        <v>10</v>
      </c>
      <c r="N905" s="1">
        <f>IF(Sales_Data[[#This Row],[Sales with Discount]]&lt;Sales_Data[[#This Row],[Sales with Free Shipping]],Sales_Data[[#This Row],[Sales with Discount]],Sales_Data[[#This Row],[Sales with Free Shipping]])</f>
        <v>2285.2368000000001</v>
      </c>
      <c r="O905" s="1" t="str">
        <f>TEXT(Sales_Data[[#This Row],[Order Date]], "MM-YYYY")</f>
        <v>02-2019</v>
      </c>
    </row>
    <row r="906" spans="1:15" x14ac:dyDescent="0.3">
      <c r="A906" s="1">
        <v>5954</v>
      </c>
      <c r="B906" s="2">
        <v>43801</v>
      </c>
      <c r="C906" s="1" t="s">
        <v>12</v>
      </c>
      <c r="D906" s="1">
        <v>32</v>
      </c>
      <c r="E906" t="s">
        <v>21</v>
      </c>
      <c r="F906" t="s">
        <v>21</v>
      </c>
      <c r="G906" s="1">
        <v>19598.440999999999</v>
      </c>
      <c r="H906">
        <v>0</v>
      </c>
      <c r="I906">
        <f>Sales_Data[[#This Row],[Sales]]*Sales_Data[[#This Row],[Discount]]</f>
        <v>0</v>
      </c>
      <c r="J906">
        <v>19598.440999999999</v>
      </c>
      <c r="K906" s="1">
        <v>15.7</v>
      </c>
      <c r="L906" s="1">
        <v>19598.440999999999</v>
      </c>
      <c r="M906" s="1" t="s">
        <v>13</v>
      </c>
      <c r="N906" s="1">
        <f>IF(Sales_Data[[#This Row],[Sales with Discount]]&lt;Sales_Data[[#This Row],[Sales with Free Shipping]],Sales_Data[[#This Row],[Sales with Discount]],Sales_Data[[#This Row],[Sales with Free Shipping]])</f>
        <v>19598.440999999999</v>
      </c>
      <c r="O906" s="1" t="str">
        <f>TEXT(Sales_Data[[#This Row],[Order Date]], "MM-YYYY")</f>
        <v>12-2019</v>
      </c>
    </row>
    <row r="907" spans="1:15" x14ac:dyDescent="0.3">
      <c r="A907" s="1">
        <v>40007</v>
      </c>
      <c r="B907" s="2">
        <v>43707</v>
      </c>
      <c r="C907" s="1" t="s">
        <v>11</v>
      </c>
      <c r="D907" s="1">
        <v>45</v>
      </c>
      <c r="E907" t="s">
        <v>23</v>
      </c>
      <c r="F907" t="s">
        <v>23</v>
      </c>
      <c r="G907" s="1">
        <v>201.98</v>
      </c>
      <c r="H907">
        <v>0.01</v>
      </c>
      <c r="I907">
        <f>Sales_Data[[#This Row],[Sales]]*Sales_Data[[#This Row],[Discount]]</f>
        <v>2.0198</v>
      </c>
      <c r="J907">
        <v>199.96019999999999</v>
      </c>
      <c r="K907" s="1">
        <v>1.3</v>
      </c>
      <c r="L907" s="1">
        <v>200.67999999999998</v>
      </c>
      <c r="M907" s="1" t="s">
        <v>10</v>
      </c>
      <c r="N907" s="1">
        <f>IF(Sales_Data[[#This Row],[Sales with Discount]]&lt;Sales_Data[[#This Row],[Sales with Free Shipping]],Sales_Data[[#This Row],[Sales with Discount]],Sales_Data[[#This Row],[Sales with Free Shipping]])</f>
        <v>199.96019999999999</v>
      </c>
      <c r="O907" s="1" t="str">
        <f>TEXT(Sales_Data[[#This Row],[Order Date]], "MM-YYYY")</f>
        <v>08-2019</v>
      </c>
    </row>
    <row r="908" spans="1:15" x14ac:dyDescent="0.3">
      <c r="A908" s="1">
        <v>31586</v>
      </c>
      <c r="B908" s="2">
        <v>43545</v>
      </c>
      <c r="C908" s="1" t="s">
        <v>7</v>
      </c>
      <c r="D908" s="1">
        <v>22</v>
      </c>
      <c r="E908" t="s">
        <v>14</v>
      </c>
      <c r="F908" t="s">
        <v>14</v>
      </c>
      <c r="G908" s="1">
        <v>1030.8900000000001</v>
      </c>
      <c r="H908">
        <v>0</v>
      </c>
      <c r="I908">
        <f>Sales_Data[[#This Row],[Sales]]*Sales_Data[[#This Row],[Discount]]</f>
        <v>0</v>
      </c>
      <c r="J908">
        <v>1030.8900000000001</v>
      </c>
      <c r="K908" s="1">
        <v>4.3</v>
      </c>
      <c r="L908" s="1">
        <v>1030.8900000000001</v>
      </c>
      <c r="M908" s="1" t="s">
        <v>8</v>
      </c>
      <c r="N908" s="1">
        <f>IF(Sales_Data[[#This Row],[Sales with Discount]]&lt;Sales_Data[[#This Row],[Sales with Free Shipping]],Sales_Data[[#This Row],[Sales with Discount]],Sales_Data[[#This Row],[Sales with Free Shipping]])</f>
        <v>1030.8900000000001</v>
      </c>
      <c r="O908" s="1" t="str">
        <f>TEXT(Sales_Data[[#This Row],[Order Date]], "MM-YYYY")</f>
        <v>03-2019</v>
      </c>
    </row>
    <row r="909" spans="1:15" x14ac:dyDescent="0.3">
      <c r="A909" s="1">
        <v>34754</v>
      </c>
      <c r="B909" s="2">
        <v>43620</v>
      </c>
      <c r="C909" s="1" t="s">
        <v>12</v>
      </c>
      <c r="D909" s="1">
        <v>16</v>
      </c>
      <c r="E909" t="s">
        <v>19</v>
      </c>
      <c r="F909" t="s">
        <v>19</v>
      </c>
      <c r="G909" s="1">
        <v>666.98</v>
      </c>
      <c r="H909">
        <v>0</v>
      </c>
      <c r="I909">
        <f>Sales_Data[[#This Row],[Sales]]*Sales_Data[[#This Row],[Discount]]</f>
        <v>0</v>
      </c>
      <c r="J909">
        <v>666.98</v>
      </c>
      <c r="K909" s="1">
        <v>5.4</v>
      </c>
      <c r="L909" s="1">
        <v>666.98</v>
      </c>
      <c r="M909" s="1" t="s">
        <v>10</v>
      </c>
      <c r="N909" s="1">
        <f>IF(Sales_Data[[#This Row],[Sales with Discount]]&lt;Sales_Data[[#This Row],[Sales with Free Shipping]],Sales_Data[[#This Row],[Sales with Discount]],Sales_Data[[#This Row],[Sales with Free Shipping]])</f>
        <v>666.98</v>
      </c>
      <c r="O909" s="1" t="str">
        <f>TEXT(Sales_Data[[#This Row],[Order Date]], "MM-YYYY")</f>
        <v>06-2019</v>
      </c>
    </row>
    <row r="910" spans="1:15" x14ac:dyDescent="0.3">
      <c r="A910" s="1">
        <v>9761</v>
      </c>
      <c r="B910" s="2">
        <v>43486</v>
      </c>
      <c r="C910" s="1" t="s">
        <v>11</v>
      </c>
      <c r="D910" s="1">
        <v>2</v>
      </c>
      <c r="E910" t="s">
        <v>16</v>
      </c>
      <c r="F910" t="s">
        <v>16</v>
      </c>
      <c r="G910" s="1">
        <v>216.82</v>
      </c>
      <c r="H910">
        <v>0</v>
      </c>
      <c r="I910">
        <f>Sales_Data[[#This Row],[Sales]]*Sales_Data[[#This Row],[Discount]]</f>
        <v>0</v>
      </c>
      <c r="J910">
        <v>216.82</v>
      </c>
      <c r="K910" s="1">
        <v>15</v>
      </c>
      <c r="L910" s="1">
        <v>216.82</v>
      </c>
      <c r="M910" s="1" t="s">
        <v>13</v>
      </c>
      <c r="N910" s="1">
        <f>IF(Sales_Data[[#This Row],[Sales with Discount]]&lt;Sales_Data[[#This Row],[Sales with Free Shipping]],Sales_Data[[#This Row],[Sales with Discount]],Sales_Data[[#This Row],[Sales with Free Shipping]])</f>
        <v>216.82</v>
      </c>
      <c r="O910" s="1" t="str">
        <f>TEXT(Sales_Data[[#This Row],[Order Date]], "MM-YYYY")</f>
        <v>01-2019</v>
      </c>
    </row>
    <row r="911" spans="1:15" x14ac:dyDescent="0.3">
      <c r="A911" s="1">
        <v>59395</v>
      </c>
      <c r="B911" s="2">
        <v>43577</v>
      </c>
      <c r="C911" s="1" t="s">
        <v>12</v>
      </c>
      <c r="D911" s="1">
        <v>20</v>
      </c>
      <c r="E911" t="s">
        <v>19</v>
      </c>
      <c r="F911" t="s">
        <v>19</v>
      </c>
      <c r="G911" s="1">
        <v>1030.73</v>
      </c>
      <c r="H911">
        <v>0</v>
      </c>
      <c r="I911">
        <f>Sales_Data[[#This Row],[Sales]]*Sales_Data[[#This Row],[Discount]]</f>
        <v>0</v>
      </c>
      <c r="J911">
        <v>1030.73</v>
      </c>
      <c r="K911" s="1">
        <v>7.7</v>
      </c>
      <c r="L911" s="1">
        <v>1030.73</v>
      </c>
      <c r="M911" s="1" t="s">
        <v>8</v>
      </c>
      <c r="N911" s="1">
        <f>IF(Sales_Data[[#This Row],[Sales with Discount]]&lt;Sales_Data[[#This Row],[Sales with Free Shipping]],Sales_Data[[#This Row],[Sales with Discount]],Sales_Data[[#This Row],[Sales with Free Shipping]])</f>
        <v>1030.73</v>
      </c>
      <c r="O911" s="1" t="str">
        <f>TEXT(Sales_Data[[#This Row],[Order Date]], "MM-YYYY")</f>
        <v>04-2019</v>
      </c>
    </row>
    <row r="912" spans="1:15" x14ac:dyDescent="0.3">
      <c r="A912" s="1">
        <v>43332</v>
      </c>
      <c r="B912" s="2">
        <v>43718</v>
      </c>
      <c r="C912" s="1" t="s">
        <v>9</v>
      </c>
      <c r="D912" s="1">
        <v>31</v>
      </c>
      <c r="E912" t="s">
        <v>21</v>
      </c>
      <c r="F912" t="s">
        <v>21</v>
      </c>
      <c r="G912" s="1">
        <v>1872.5</v>
      </c>
      <c r="H912">
        <v>0</v>
      </c>
      <c r="I912">
        <f>Sales_Data[[#This Row],[Sales]]*Sales_Data[[#This Row],[Discount]]</f>
        <v>0</v>
      </c>
      <c r="J912">
        <v>1872.5</v>
      </c>
      <c r="K912" s="1">
        <v>15.3</v>
      </c>
      <c r="L912" s="1">
        <v>1872.5</v>
      </c>
      <c r="M912" s="1" t="s">
        <v>8</v>
      </c>
      <c r="N912" s="1">
        <f>IF(Sales_Data[[#This Row],[Sales with Discount]]&lt;Sales_Data[[#This Row],[Sales with Free Shipping]],Sales_Data[[#This Row],[Sales with Discount]],Sales_Data[[#This Row],[Sales with Free Shipping]])</f>
        <v>1872.5</v>
      </c>
      <c r="O912" s="1" t="str">
        <f>TEXT(Sales_Data[[#This Row],[Order Date]], "MM-YYYY")</f>
        <v>09-2019</v>
      </c>
    </row>
    <row r="913" spans="1:15" x14ac:dyDescent="0.3">
      <c r="A913" s="1">
        <v>7783</v>
      </c>
      <c r="B913" s="2">
        <v>43476</v>
      </c>
      <c r="C913" s="1" t="s">
        <v>14</v>
      </c>
      <c r="D913" s="1">
        <v>3</v>
      </c>
      <c r="E913" t="s">
        <v>16</v>
      </c>
      <c r="F913" t="s">
        <v>16</v>
      </c>
      <c r="G913" s="1">
        <v>33.544499999999999</v>
      </c>
      <c r="H913">
        <v>0</v>
      </c>
      <c r="I913">
        <f>Sales_Data[[#This Row],[Sales]]*Sales_Data[[#This Row],[Discount]]</f>
        <v>0</v>
      </c>
      <c r="J913">
        <v>33.544499999999999</v>
      </c>
      <c r="K913" s="1">
        <v>6</v>
      </c>
      <c r="L913" s="1">
        <v>33.544499999999999</v>
      </c>
      <c r="M913" s="1" t="s">
        <v>10</v>
      </c>
      <c r="N913" s="1">
        <f>IF(Sales_Data[[#This Row],[Sales with Discount]]&lt;Sales_Data[[#This Row],[Sales with Free Shipping]],Sales_Data[[#This Row],[Sales with Discount]],Sales_Data[[#This Row],[Sales with Free Shipping]])</f>
        <v>33.544499999999999</v>
      </c>
      <c r="O913" s="1" t="str">
        <f>TEXT(Sales_Data[[#This Row],[Order Date]], "MM-YYYY")</f>
        <v>01-2019</v>
      </c>
    </row>
    <row r="914" spans="1:15" x14ac:dyDescent="0.3">
      <c r="A914" s="1">
        <v>3907</v>
      </c>
      <c r="B914" s="2">
        <v>43695</v>
      </c>
      <c r="C914" s="1" t="s">
        <v>14</v>
      </c>
      <c r="D914" s="1">
        <v>36</v>
      </c>
      <c r="E914" t="s">
        <v>22</v>
      </c>
      <c r="F914" t="s">
        <v>22</v>
      </c>
      <c r="G914" s="1">
        <v>1159.01</v>
      </c>
      <c r="H914">
        <v>0.01</v>
      </c>
      <c r="I914">
        <f>Sales_Data[[#This Row],[Sales]]*Sales_Data[[#This Row],[Discount]]</f>
        <v>11.5901</v>
      </c>
      <c r="J914">
        <v>1147.4198999999999</v>
      </c>
      <c r="K914" s="1">
        <v>5.9</v>
      </c>
      <c r="L914" s="1">
        <v>1153.1099999999999</v>
      </c>
      <c r="M914" s="1" t="s">
        <v>8</v>
      </c>
      <c r="N914" s="1">
        <f>IF(Sales_Data[[#This Row],[Sales with Discount]]&lt;Sales_Data[[#This Row],[Sales with Free Shipping]],Sales_Data[[#This Row],[Sales with Discount]],Sales_Data[[#This Row],[Sales with Free Shipping]])</f>
        <v>1147.4198999999999</v>
      </c>
      <c r="O914" s="1" t="str">
        <f>TEXT(Sales_Data[[#This Row],[Order Date]], "MM-YYYY")</f>
        <v>08-2019</v>
      </c>
    </row>
    <row r="915" spans="1:15" x14ac:dyDescent="0.3">
      <c r="A915" s="1">
        <v>33029</v>
      </c>
      <c r="B915" s="2">
        <v>43616</v>
      </c>
      <c r="C915" s="1" t="s">
        <v>9</v>
      </c>
      <c r="D915" s="1">
        <v>39</v>
      </c>
      <c r="E915" t="s">
        <v>22</v>
      </c>
      <c r="F915" t="s">
        <v>22</v>
      </c>
      <c r="G915" s="1">
        <v>17150.240000000002</v>
      </c>
      <c r="H915">
        <v>0.01</v>
      </c>
      <c r="I915">
        <f>Sales_Data[[#This Row],[Sales]]*Sales_Data[[#This Row],[Discount]]</f>
        <v>171.50240000000002</v>
      </c>
      <c r="J915">
        <v>16978.7376</v>
      </c>
      <c r="K915" s="1">
        <v>80.5</v>
      </c>
      <c r="L915" s="1">
        <v>17069.740000000002</v>
      </c>
      <c r="M915" s="1" t="s">
        <v>13</v>
      </c>
      <c r="N915" s="1">
        <f>IF(Sales_Data[[#This Row],[Sales with Discount]]&lt;Sales_Data[[#This Row],[Sales with Free Shipping]],Sales_Data[[#This Row],[Sales with Discount]],Sales_Data[[#This Row],[Sales with Free Shipping]])</f>
        <v>16978.7376</v>
      </c>
      <c r="O915" s="1" t="str">
        <f>TEXT(Sales_Data[[#This Row],[Order Date]], "MM-YYYY")</f>
        <v>05-2019</v>
      </c>
    </row>
    <row r="916" spans="1:15" x14ac:dyDescent="0.3">
      <c r="A916" s="1">
        <v>16864</v>
      </c>
      <c r="B916" s="2">
        <v>43767</v>
      </c>
      <c r="C916" s="1" t="s">
        <v>11</v>
      </c>
      <c r="D916" s="1">
        <v>42</v>
      </c>
      <c r="E916" t="s">
        <v>23</v>
      </c>
      <c r="F916" t="s">
        <v>23</v>
      </c>
      <c r="G916" s="1">
        <v>13735.71</v>
      </c>
      <c r="H916">
        <v>0.01</v>
      </c>
      <c r="I916">
        <f>Sales_Data[[#This Row],[Sales]]*Sales_Data[[#This Row],[Discount]]</f>
        <v>137.3571</v>
      </c>
      <c r="J916">
        <v>13598.3529</v>
      </c>
      <c r="K916" s="1">
        <v>46.6</v>
      </c>
      <c r="L916" s="1">
        <v>13689.109999999999</v>
      </c>
      <c r="M916" s="1" t="s">
        <v>13</v>
      </c>
      <c r="N916" s="1">
        <f>IF(Sales_Data[[#This Row],[Sales with Discount]]&lt;Sales_Data[[#This Row],[Sales with Free Shipping]],Sales_Data[[#This Row],[Sales with Discount]],Sales_Data[[#This Row],[Sales with Free Shipping]])</f>
        <v>13598.3529</v>
      </c>
      <c r="O916" s="1" t="str">
        <f>TEXT(Sales_Data[[#This Row],[Order Date]], "MM-YYYY")</f>
        <v>10-2019</v>
      </c>
    </row>
    <row r="917" spans="1:15" x14ac:dyDescent="0.3">
      <c r="A917" s="1">
        <v>8677</v>
      </c>
      <c r="B917" s="2">
        <v>43745</v>
      </c>
      <c r="C917" s="1" t="s">
        <v>9</v>
      </c>
      <c r="D917" s="1">
        <v>38</v>
      </c>
      <c r="E917" t="s">
        <v>22</v>
      </c>
      <c r="F917" t="s">
        <v>22</v>
      </c>
      <c r="G917" s="1">
        <v>1723.51</v>
      </c>
      <c r="H917">
        <v>0.01</v>
      </c>
      <c r="I917">
        <f>Sales_Data[[#This Row],[Sales]]*Sales_Data[[#This Row],[Discount]]</f>
        <v>17.235099999999999</v>
      </c>
      <c r="J917">
        <v>1706.2748999999999</v>
      </c>
      <c r="K917" s="1">
        <v>17.5</v>
      </c>
      <c r="L917" s="1">
        <v>1706.01</v>
      </c>
      <c r="M917" s="1" t="s">
        <v>10</v>
      </c>
      <c r="N917" s="1">
        <f>IF(Sales_Data[[#This Row],[Sales with Discount]]&lt;Sales_Data[[#This Row],[Sales with Free Shipping]],Sales_Data[[#This Row],[Sales with Discount]],Sales_Data[[#This Row],[Sales with Free Shipping]])</f>
        <v>1706.01</v>
      </c>
      <c r="O917" s="1" t="str">
        <f>TEXT(Sales_Data[[#This Row],[Order Date]], "MM-YYYY")</f>
        <v>10-2019</v>
      </c>
    </row>
    <row r="918" spans="1:15" x14ac:dyDescent="0.3">
      <c r="A918" s="1">
        <v>24801</v>
      </c>
      <c r="B918" s="2">
        <v>43784</v>
      </c>
      <c r="C918" s="1" t="s">
        <v>9</v>
      </c>
      <c r="D918" s="1">
        <v>7</v>
      </c>
      <c r="E918" t="s">
        <v>17</v>
      </c>
      <c r="F918" t="s">
        <v>17</v>
      </c>
      <c r="G918" s="1">
        <v>733.7</v>
      </c>
      <c r="H918">
        <v>0</v>
      </c>
      <c r="I918">
        <f>Sales_Data[[#This Row],[Sales]]*Sales_Data[[#This Row],[Discount]]</f>
        <v>0</v>
      </c>
      <c r="J918">
        <v>733.7</v>
      </c>
      <c r="K918" s="1">
        <v>22.2</v>
      </c>
      <c r="L918" s="1">
        <v>733.7</v>
      </c>
      <c r="M918" s="1" t="s">
        <v>10</v>
      </c>
      <c r="N918" s="1">
        <f>IF(Sales_Data[[#This Row],[Sales with Discount]]&lt;Sales_Data[[#This Row],[Sales with Free Shipping]],Sales_Data[[#This Row],[Sales with Discount]],Sales_Data[[#This Row],[Sales with Free Shipping]])</f>
        <v>733.7</v>
      </c>
      <c r="O918" s="1" t="str">
        <f>TEXT(Sales_Data[[#This Row],[Order Date]], "MM-YYYY")</f>
        <v>11-2019</v>
      </c>
    </row>
    <row r="919" spans="1:15" x14ac:dyDescent="0.3">
      <c r="A919" s="1">
        <v>29856</v>
      </c>
      <c r="B919" s="2">
        <v>43624</v>
      </c>
      <c r="C919" s="1" t="s">
        <v>14</v>
      </c>
      <c r="D919" s="1">
        <v>24</v>
      </c>
      <c r="E919" t="s">
        <v>14</v>
      </c>
      <c r="F919" t="s">
        <v>14</v>
      </c>
      <c r="G919" s="1">
        <v>123.63</v>
      </c>
      <c r="H919">
        <v>0</v>
      </c>
      <c r="I919">
        <f>Sales_Data[[#This Row],[Sales]]*Sales_Data[[#This Row],[Discount]]</f>
        <v>0</v>
      </c>
      <c r="J919">
        <v>123.63</v>
      </c>
      <c r="K919" s="1">
        <v>0.9</v>
      </c>
      <c r="L919" s="1">
        <v>123.63</v>
      </c>
      <c r="M919" s="1" t="s">
        <v>10</v>
      </c>
      <c r="N919" s="1">
        <f>IF(Sales_Data[[#This Row],[Sales with Discount]]&lt;Sales_Data[[#This Row],[Sales with Free Shipping]],Sales_Data[[#This Row],[Sales with Discount]],Sales_Data[[#This Row],[Sales with Free Shipping]])</f>
        <v>123.63</v>
      </c>
      <c r="O919" s="1" t="str">
        <f>TEXT(Sales_Data[[#This Row],[Order Date]], "MM-YYYY")</f>
        <v>06-2019</v>
      </c>
    </row>
    <row r="920" spans="1:15" x14ac:dyDescent="0.3">
      <c r="A920" s="1">
        <v>3333</v>
      </c>
      <c r="B920" s="2">
        <v>43723</v>
      </c>
      <c r="C920" s="1" t="s">
        <v>11</v>
      </c>
      <c r="D920" s="1">
        <v>9</v>
      </c>
      <c r="E920" t="s">
        <v>17</v>
      </c>
      <c r="F920" t="s">
        <v>17</v>
      </c>
      <c r="G920" s="1">
        <v>63.18</v>
      </c>
      <c r="H920">
        <v>0</v>
      </c>
      <c r="I920">
        <f>Sales_Data[[#This Row],[Sales]]*Sales_Data[[#This Row],[Discount]]</f>
        <v>0</v>
      </c>
      <c r="J920">
        <v>63.18</v>
      </c>
      <c r="K920" s="1">
        <v>5.8</v>
      </c>
      <c r="L920" s="1">
        <v>63.18</v>
      </c>
      <c r="M920" s="1" t="s">
        <v>10</v>
      </c>
      <c r="N920" s="1">
        <f>IF(Sales_Data[[#This Row],[Sales with Discount]]&lt;Sales_Data[[#This Row],[Sales with Free Shipping]],Sales_Data[[#This Row],[Sales with Discount]],Sales_Data[[#This Row],[Sales with Free Shipping]])</f>
        <v>63.18</v>
      </c>
      <c r="O920" s="1" t="str">
        <f>TEXT(Sales_Data[[#This Row],[Order Date]], "MM-YYYY")</f>
        <v>09-2019</v>
      </c>
    </row>
    <row r="921" spans="1:15" x14ac:dyDescent="0.3">
      <c r="A921" s="1">
        <v>49190</v>
      </c>
      <c r="B921" s="2">
        <v>43810</v>
      </c>
      <c r="C921" s="1" t="s">
        <v>9</v>
      </c>
      <c r="D921" s="1">
        <v>4</v>
      </c>
      <c r="E921" t="s">
        <v>16</v>
      </c>
      <c r="F921" t="s">
        <v>16</v>
      </c>
      <c r="G921" s="1">
        <v>30</v>
      </c>
      <c r="H921">
        <v>0</v>
      </c>
      <c r="I921">
        <f>Sales_Data[[#This Row],[Sales]]*Sales_Data[[#This Row],[Discount]]</f>
        <v>0</v>
      </c>
      <c r="J921">
        <v>30</v>
      </c>
      <c r="K921" s="1">
        <v>2.1</v>
      </c>
      <c r="L921" s="1">
        <v>30</v>
      </c>
      <c r="M921" s="1" t="s">
        <v>10</v>
      </c>
      <c r="N921" s="1">
        <f>IF(Sales_Data[[#This Row],[Sales with Discount]]&lt;Sales_Data[[#This Row],[Sales with Free Shipping]],Sales_Data[[#This Row],[Sales with Discount]],Sales_Data[[#This Row],[Sales with Free Shipping]])</f>
        <v>30</v>
      </c>
      <c r="O921" s="1" t="str">
        <f>TEXT(Sales_Data[[#This Row],[Order Date]], "MM-YYYY")</f>
        <v>12-2019</v>
      </c>
    </row>
    <row r="922" spans="1:15" x14ac:dyDescent="0.3">
      <c r="A922" s="1">
        <v>21344</v>
      </c>
      <c r="B922" s="2">
        <v>43808</v>
      </c>
      <c r="C922" s="1" t="s">
        <v>7</v>
      </c>
      <c r="D922" s="1">
        <v>29</v>
      </c>
      <c r="E922" t="s">
        <v>20</v>
      </c>
      <c r="F922" t="s">
        <v>20</v>
      </c>
      <c r="G922" s="1">
        <v>628.29999999999995</v>
      </c>
      <c r="H922">
        <v>0</v>
      </c>
      <c r="I922">
        <f>Sales_Data[[#This Row],[Sales]]*Sales_Data[[#This Row],[Discount]]</f>
        <v>0</v>
      </c>
      <c r="J922">
        <v>628.29999999999995</v>
      </c>
      <c r="K922" s="1">
        <v>2.1</v>
      </c>
      <c r="L922" s="1">
        <v>628.29999999999995</v>
      </c>
      <c r="M922" s="1" t="s">
        <v>10</v>
      </c>
      <c r="N922" s="1">
        <f>IF(Sales_Data[[#This Row],[Sales with Discount]]&lt;Sales_Data[[#This Row],[Sales with Free Shipping]],Sales_Data[[#This Row],[Sales with Discount]],Sales_Data[[#This Row],[Sales with Free Shipping]])</f>
        <v>628.29999999999995</v>
      </c>
      <c r="O922" s="1" t="str">
        <f>TEXT(Sales_Data[[#This Row],[Order Date]], "MM-YYYY")</f>
        <v>12-2019</v>
      </c>
    </row>
    <row r="923" spans="1:15" x14ac:dyDescent="0.3">
      <c r="A923" s="1">
        <v>55651</v>
      </c>
      <c r="B923" s="2">
        <v>43531</v>
      </c>
      <c r="C923" s="1" t="s">
        <v>14</v>
      </c>
      <c r="D923" s="1">
        <v>41</v>
      </c>
      <c r="E923" t="s">
        <v>23</v>
      </c>
      <c r="F923" t="s">
        <v>23</v>
      </c>
      <c r="G923" s="1">
        <v>888.67</v>
      </c>
      <c r="H923">
        <v>0.01</v>
      </c>
      <c r="I923">
        <f>Sales_Data[[#This Row],[Sales]]*Sales_Data[[#This Row],[Discount]]</f>
        <v>8.8866999999999994</v>
      </c>
      <c r="J923">
        <v>879.78329999999994</v>
      </c>
      <c r="K923" s="1">
        <v>9.6</v>
      </c>
      <c r="L923" s="1">
        <v>879.06999999999994</v>
      </c>
      <c r="M923" s="1" t="s">
        <v>10</v>
      </c>
      <c r="N923" s="1">
        <f>IF(Sales_Data[[#This Row],[Sales with Discount]]&lt;Sales_Data[[#This Row],[Sales with Free Shipping]],Sales_Data[[#This Row],[Sales with Discount]],Sales_Data[[#This Row],[Sales with Free Shipping]])</f>
        <v>879.06999999999994</v>
      </c>
      <c r="O923" s="1" t="str">
        <f>TEXT(Sales_Data[[#This Row],[Order Date]], "MM-YYYY")</f>
        <v>03-2019</v>
      </c>
    </row>
    <row r="924" spans="1:15" x14ac:dyDescent="0.3">
      <c r="A924" s="1">
        <v>50564</v>
      </c>
      <c r="B924" s="2">
        <v>43526</v>
      </c>
      <c r="C924" s="1" t="s">
        <v>9</v>
      </c>
      <c r="D924" s="1">
        <v>30</v>
      </c>
      <c r="E924" t="s">
        <v>20</v>
      </c>
      <c r="F924" t="s">
        <v>20</v>
      </c>
      <c r="G924" s="1">
        <v>11814.32</v>
      </c>
      <c r="H924">
        <v>0</v>
      </c>
      <c r="I924">
        <f>Sales_Data[[#This Row],[Sales]]*Sales_Data[[#This Row],[Discount]]</f>
        <v>0</v>
      </c>
      <c r="J924">
        <v>11814.32</v>
      </c>
      <c r="K924" s="1">
        <v>21.4</v>
      </c>
      <c r="L924" s="1">
        <v>11814.32</v>
      </c>
      <c r="M924" s="1" t="s">
        <v>10</v>
      </c>
      <c r="N924" s="1">
        <f>IF(Sales_Data[[#This Row],[Sales with Discount]]&lt;Sales_Data[[#This Row],[Sales with Free Shipping]],Sales_Data[[#This Row],[Sales with Discount]],Sales_Data[[#This Row],[Sales with Free Shipping]])</f>
        <v>11814.32</v>
      </c>
      <c r="O924" s="1" t="str">
        <f>TEXT(Sales_Data[[#This Row],[Order Date]], "MM-YYYY")</f>
        <v>03-2019</v>
      </c>
    </row>
    <row r="925" spans="1:15" x14ac:dyDescent="0.3">
      <c r="A925" s="1">
        <v>47456</v>
      </c>
      <c r="B925" s="2">
        <v>43616</v>
      </c>
      <c r="C925" s="1" t="s">
        <v>7</v>
      </c>
      <c r="D925" s="1">
        <v>43</v>
      </c>
      <c r="E925" t="s">
        <v>23</v>
      </c>
      <c r="F925" t="s">
        <v>23</v>
      </c>
      <c r="G925" s="1">
        <v>296.48</v>
      </c>
      <c r="H925">
        <v>0.01</v>
      </c>
      <c r="I925">
        <f>Sales_Data[[#This Row],[Sales]]*Sales_Data[[#This Row],[Discount]]</f>
        <v>2.9648000000000003</v>
      </c>
      <c r="J925">
        <v>293.51519999999999</v>
      </c>
      <c r="K925" s="1">
        <v>8.5</v>
      </c>
      <c r="L925" s="1">
        <v>287.98</v>
      </c>
      <c r="M925" s="1" t="s">
        <v>10</v>
      </c>
      <c r="N925" s="1">
        <f>IF(Sales_Data[[#This Row],[Sales with Discount]]&lt;Sales_Data[[#This Row],[Sales with Free Shipping]],Sales_Data[[#This Row],[Sales with Discount]],Sales_Data[[#This Row],[Sales with Free Shipping]])</f>
        <v>287.98</v>
      </c>
      <c r="O925" s="1" t="str">
        <f>TEXT(Sales_Data[[#This Row],[Order Date]], "MM-YYYY")</f>
        <v>05-2019</v>
      </c>
    </row>
    <row r="926" spans="1:15" x14ac:dyDescent="0.3">
      <c r="A926" s="1">
        <v>29985</v>
      </c>
      <c r="B926" s="2">
        <v>43657</v>
      </c>
      <c r="C926" s="1" t="s">
        <v>12</v>
      </c>
      <c r="D926" s="1">
        <v>22</v>
      </c>
      <c r="E926" t="s">
        <v>14</v>
      </c>
      <c r="F926" t="s">
        <v>14</v>
      </c>
      <c r="G926" s="1">
        <v>210.52250000000001</v>
      </c>
      <c r="H926">
        <v>0</v>
      </c>
      <c r="I926">
        <f>Sales_Data[[#This Row],[Sales]]*Sales_Data[[#This Row],[Discount]]</f>
        <v>0</v>
      </c>
      <c r="J926">
        <v>210.52250000000001</v>
      </c>
      <c r="K926" s="1">
        <v>5.3</v>
      </c>
      <c r="L926" s="1">
        <v>210.52250000000001</v>
      </c>
      <c r="M926" s="1" t="s">
        <v>8</v>
      </c>
      <c r="N926" s="1">
        <f>IF(Sales_Data[[#This Row],[Sales with Discount]]&lt;Sales_Data[[#This Row],[Sales with Free Shipping]],Sales_Data[[#This Row],[Sales with Discount]],Sales_Data[[#This Row],[Sales with Free Shipping]])</f>
        <v>210.52250000000001</v>
      </c>
      <c r="O926" s="1" t="str">
        <f>TEXT(Sales_Data[[#This Row],[Order Date]], "MM-YYYY")</f>
        <v>07-2019</v>
      </c>
    </row>
    <row r="927" spans="1:15" x14ac:dyDescent="0.3">
      <c r="A927" s="1">
        <v>38690</v>
      </c>
      <c r="B927" s="2">
        <v>43484</v>
      </c>
      <c r="C927" s="1" t="s">
        <v>7</v>
      </c>
      <c r="D927" s="1">
        <v>28</v>
      </c>
      <c r="E927" t="s">
        <v>20</v>
      </c>
      <c r="F927" t="s">
        <v>20</v>
      </c>
      <c r="G927" s="1">
        <v>746.33</v>
      </c>
      <c r="H927">
        <v>0</v>
      </c>
      <c r="I927">
        <f>Sales_Data[[#This Row],[Sales]]*Sales_Data[[#This Row],[Discount]]</f>
        <v>0</v>
      </c>
      <c r="J927">
        <v>746.33</v>
      </c>
      <c r="K927" s="1">
        <v>6.7</v>
      </c>
      <c r="L927" s="1">
        <v>746.33</v>
      </c>
      <c r="M927" s="1" t="s">
        <v>10</v>
      </c>
      <c r="N927" s="1">
        <f>IF(Sales_Data[[#This Row],[Sales with Discount]]&lt;Sales_Data[[#This Row],[Sales with Free Shipping]],Sales_Data[[#This Row],[Sales with Discount]],Sales_Data[[#This Row],[Sales with Free Shipping]])</f>
        <v>746.33</v>
      </c>
      <c r="O927" s="1" t="str">
        <f>TEXT(Sales_Data[[#This Row],[Order Date]], "MM-YYYY")</f>
        <v>01-2019</v>
      </c>
    </row>
    <row r="928" spans="1:15" x14ac:dyDescent="0.3">
      <c r="A928" s="1">
        <v>11650</v>
      </c>
      <c r="B928" s="2">
        <v>43732</v>
      </c>
      <c r="C928" s="1" t="s">
        <v>11</v>
      </c>
      <c r="D928" s="1">
        <v>26</v>
      </c>
      <c r="E928" t="s">
        <v>20</v>
      </c>
      <c r="F928" t="s">
        <v>20</v>
      </c>
      <c r="G928" s="1">
        <v>1166.73</v>
      </c>
      <c r="H928">
        <v>0</v>
      </c>
      <c r="I928">
        <f>Sales_Data[[#This Row],[Sales]]*Sales_Data[[#This Row],[Discount]]</f>
        <v>0</v>
      </c>
      <c r="J928">
        <v>1166.73</v>
      </c>
      <c r="K928" s="1">
        <v>9.6</v>
      </c>
      <c r="L928" s="1">
        <v>1166.73</v>
      </c>
      <c r="M928" s="1" t="s">
        <v>10</v>
      </c>
      <c r="N928" s="1">
        <f>IF(Sales_Data[[#This Row],[Sales with Discount]]&lt;Sales_Data[[#This Row],[Sales with Free Shipping]],Sales_Data[[#This Row],[Sales with Discount]],Sales_Data[[#This Row],[Sales with Free Shipping]])</f>
        <v>1166.73</v>
      </c>
      <c r="O928" s="1" t="str">
        <f>TEXT(Sales_Data[[#This Row],[Order Date]], "MM-YYYY")</f>
        <v>09-2019</v>
      </c>
    </row>
    <row r="929" spans="1:15" x14ac:dyDescent="0.3">
      <c r="A929" s="1">
        <v>384</v>
      </c>
      <c r="B929" s="2">
        <v>43526</v>
      </c>
      <c r="C929" s="1" t="s">
        <v>7</v>
      </c>
      <c r="D929" s="1">
        <v>50</v>
      </c>
      <c r="E929" t="s">
        <v>24</v>
      </c>
      <c r="F929" t="s">
        <v>24</v>
      </c>
      <c r="G929" s="1">
        <v>8202.6628000000001</v>
      </c>
      <c r="H929">
        <v>0.01</v>
      </c>
      <c r="I929">
        <f>Sales_Data[[#This Row],[Sales]]*Sales_Data[[#This Row],[Discount]]</f>
        <v>82.026628000000002</v>
      </c>
      <c r="J929">
        <v>8120.6361720000004</v>
      </c>
      <c r="K929" s="1">
        <v>85.8</v>
      </c>
      <c r="L929" s="1">
        <v>8116.8627999999999</v>
      </c>
      <c r="M929" s="1" t="s">
        <v>13</v>
      </c>
      <c r="N929" s="1">
        <f>IF(Sales_Data[[#This Row],[Sales with Discount]]&lt;Sales_Data[[#This Row],[Sales with Free Shipping]],Sales_Data[[#This Row],[Sales with Discount]],Sales_Data[[#This Row],[Sales with Free Shipping]])</f>
        <v>8116.8627999999999</v>
      </c>
      <c r="O929" s="1" t="str">
        <f>TEXT(Sales_Data[[#This Row],[Order Date]], "MM-YYYY")</f>
        <v>03-2019</v>
      </c>
    </row>
    <row r="930" spans="1:15" x14ac:dyDescent="0.3">
      <c r="A930" s="1">
        <v>19332</v>
      </c>
      <c r="B930" s="2">
        <v>43522</v>
      </c>
      <c r="C930" s="1" t="s">
        <v>9</v>
      </c>
      <c r="D930" s="1">
        <v>46</v>
      </c>
      <c r="E930" t="s">
        <v>24</v>
      </c>
      <c r="F930" t="s">
        <v>24</v>
      </c>
      <c r="G930" s="1">
        <v>8824.14</v>
      </c>
      <c r="H930">
        <v>0.01</v>
      </c>
      <c r="I930">
        <f>Sales_Data[[#This Row],[Sales]]*Sales_Data[[#This Row],[Discount]]</f>
        <v>88.241399999999999</v>
      </c>
      <c r="J930">
        <v>8735.8985999999986</v>
      </c>
      <c r="K930" s="1">
        <v>31.3</v>
      </c>
      <c r="L930" s="1">
        <v>8792.84</v>
      </c>
      <c r="M930" s="1" t="s">
        <v>13</v>
      </c>
      <c r="N930" s="1">
        <f>IF(Sales_Data[[#This Row],[Sales with Discount]]&lt;Sales_Data[[#This Row],[Sales with Free Shipping]],Sales_Data[[#This Row],[Sales with Discount]],Sales_Data[[#This Row],[Sales with Free Shipping]])</f>
        <v>8735.8985999999986</v>
      </c>
      <c r="O930" s="1" t="str">
        <f>TEXT(Sales_Data[[#This Row],[Order Date]], "MM-YYYY")</f>
        <v>02-2019</v>
      </c>
    </row>
    <row r="931" spans="1:15" x14ac:dyDescent="0.3">
      <c r="A931" s="1">
        <v>41760</v>
      </c>
      <c r="B931" s="2">
        <v>43491</v>
      </c>
      <c r="C931" s="1" t="s">
        <v>7</v>
      </c>
      <c r="D931" s="1">
        <v>40</v>
      </c>
      <c r="E931" t="s">
        <v>22</v>
      </c>
      <c r="F931" t="s">
        <v>22</v>
      </c>
      <c r="G931" s="1">
        <v>3458.38</v>
      </c>
      <c r="H931">
        <v>0.01</v>
      </c>
      <c r="I931">
        <f>Sales_Data[[#This Row],[Sales]]*Sales_Data[[#This Row],[Discount]]</f>
        <v>34.583800000000004</v>
      </c>
      <c r="J931">
        <v>3423.7962000000002</v>
      </c>
      <c r="K931" s="1">
        <v>9.6</v>
      </c>
      <c r="L931" s="1">
        <v>3448.78</v>
      </c>
      <c r="M931" s="1" t="s">
        <v>10</v>
      </c>
      <c r="N931" s="1">
        <f>IF(Sales_Data[[#This Row],[Sales with Discount]]&lt;Sales_Data[[#This Row],[Sales with Free Shipping]],Sales_Data[[#This Row],[Sales with Discount]],Sales_Data[[#This Row],[Sales with Free Shipping]])</f>
        <v>3423.7962000000002</v>
      </c>
      <c r="O931" s="1" t="str">
        <f>TEXT(Sales_Data[[#This Row],[Order Date]], "MM-YYYY")</f>
        <v>01-2019</v>
      </c>
    </row>
    <row r="932" spans="1:15" x14ac:dyDescent="0.3">
      <c r="A932" s="1">
        <v>9350</v>
      </c>
      <c r="B932" s="2">
        <v>43769</v>
      </c>
      <c r="C932" s="1" t="s">
        <v>12</v>
      </c>
      <c r="D932" s="1">
        <v>2</v>
      </c>
      <c r="E932" t="s">
        <v>16</v>
      </c>
      <c r="F932" t="s">
        <v>16</v>
      </c>
      <c r="G932" s="1">
        <v>361.23</v>
      </c>
      <c r="H932">
        <v>0</v>
      </c>
      <c r="I932">
        <f>Sales_Data[[#This Row],[Sales]]*Sales_Data[[#This Row],[Discount]]</f>
        <v>0</v>
      </c>
      <c r="J932">
        <v>361.23</v>
      </c>
      <c r="K932" s="1">
        <v>21.4</v>
      </c>
      <c r="L932" s="1">
        <v>361.23</v>
      </c>
      <c r="M932" s="1" t="s">
        <v>10</v>
      </c>
      <c r="N932" s="1">
        <f>IF(Sales_Data[[#This Row],[Sales with Discount]]&lt;Sales_Data[[#This Row],[Sales with Free Shipping]],Sales_Data[[#This Row],[Sales with Discount]],Sales_Data[[#This Row],[Sales with Free Shipping]])</f>
        <v>361.23</v>
      </c>
      <c r="O932" s="1" t="str">
        <f>TEXT(Sales_Data[[#This Row],[Order Date]], "MM-YYYY")</f>
        <v>10-2019</v>
      </c>
    </row>
    <row r="933" spans="1:15" x14ac:dyDescent="0.3">
      <c r="A933" s="1">
        <v>33445</v>
      </c>
      <c r="B933" s="2">
        <v>43679</v>
      </c>
      <c r="C933" s="1" t="s">
        <v>7</v>
      </c>
      <c r="D933" s="1">
        <v>16</v>
      </c>
      <c r="E933" t="s">
        <v>19</v>
      </c>
      <c r="F933" t="s">
        <v>19</v>
      </c>
      <c r="G933" s="1">
        <v>3191.28</v>
      </c>
      <c r="H933">
        <v>0</v>
      </c>
      <c r="I933">
        <f>Sales_Data[[#This Row],[Sales]]*Sales_Data[[#This Row],[Discount]]</f>
        <v>0</v>
      </c>
      <c r="J933">
        <v>3191.28</v>
      </c>
      <c r="K933" s="1">
        <v>73.8</v>
      </c>
      <c r="L933" s="1">
        <v>3191.28</v>
      </c>
      <c r="M933" s="1" t="s">
        <v>10</v>
      </c>
      <c r="N933" s="1">
        <f>IF(Sales_Data[[#This Row],[Sales with Discount]]&lt;Sales_Data[[#This Row],[Sales with Free Shipping]],Sales_Data[[#This Row],[Sales with Discount]],Sales_Data[[#This Row],[Sales with Free Shipping]])</f>
        <v>3191.28</v>
      </c>
      <c r="O933" s="1" t="str">
        <f>TEXT(Sales_Data[[#This Row],[Order Date]], "MM-YYYY")</f>
        <v>08-2019</v>
      </c>
    </row>
    <row r="934" spans="1:15" x14ac:dyDescent="0.3">
      <c r="A934" s="1">
        <v>43109</v>
      </c>
      <c r="B934" s="2">
        <v>43820</v>
      </c>
      <c r="C934" s="1" t="s">
        <v>12</v>
      </c>
      <c r="D934" s="1">
        <v>25</v>
      </c>
      <c r="E934" t="s">
        <v>14</v>
      </c>
      <c r="F934" t="s">
        <v>14</v>
      </c>
      <c r="G934" s="1">
        <v>545.18640000000005</v>
      </c>
      <c r="H934">
        <v>0</v>
      </c>
      <c r="I934">
        <f>Sales_Data[[#This Row],[Sales]]*Sales_Data[[#This Row],[Discount]]</f>
        <v>0</v>
      </c>
      <c r="J934">
        <v>545.18640000000005</v>
      </c>
      <c r="K934" s="1">
        <v>7</v>
      </c>
      <c r="L934" s="1">
        <v>545.18640000000005</v>
      </c>
      <c r="M934" s="1" t="s">
        <v>10</v>
      </c>
      <c r="N934" s="1">
        <f>IF(Sales_Data[[#This Row],[Sales with Discount]]&lt;Sales_Data[[#This Row],[Sales with Free Shipping]],Sales_Data[[#This Row],[Sales with Discount]],Sales_Data[[#This Row],[Sales with Free Shipping]])</f>
        <v>545.18640000000005</v>
      </c>
      <c r="O934" s="1" t="str">
        <f>TEXT(Sales_Data[[#This Row],[Order Date]], "MM-YYYY")</f>
        <v>12-2019</v>
      </c>
    </row>
    <row r="935" spans="1:15" x14ac:dyDescent="0.3">
      <c r="A935" s="1">
        <v>30401</v>
      </c>
      <c r="B935" s="2">
        <v>43756</v>
      </c>
      <c r="C935" s="1" t="s">
        <v>14</v>
      </c>
      <c r="D935" s="1">
        <v>39</v>
      </c>
      <c r="E935" t="s">
        <v>22</v>
      </c>
      <c r="F935" t="s">
        <v>22</v>
      </c>
      <c r="G935" s="1">
        <v>256.16000000000003</v>
      </c>
      <c r="H935">
        <v>0.01</v>
      </c>
      <c r="I935">
        <f>Sales_Data[[#This Row],[Sales]]*Sales_Data[[#This Row],[Discount]]</f>
        <v>2.5616000000000003</v>
      </c>
      <c r="J935">
        <v>253.59840000000003</v>
      </c>
      <c r="K935" s="1">
        <v>5.5</v>
      </c>
      <c r="L935" s="1">
        <v>250.66000000000003</v>
      </c>
      <c r="M935" s="1" t="s">
        <v>10</v>
      </c>
      <c r="N935" s="1">
        <f>IF(Sales_Data[[#This Row],[Sales with Discount]]&lt;Sales_Data[[#This Row],[Sales with Free Shipping]],Sales_Data[[#This Row],[Sales with Discount]],Sales_Data[[#This Row],[Sales with Free Shipping]])</f>
        <v>250.66000000000003</v>
      </c>
      <c r="O935" s="1" t="str">
        <f>TEXT(Sales_Data[[#This Row],[Order Date]], "MM-YYYY")</f>
        <v>10-2019</v>
      </c>
    </row>
    <row r="936" spans="1:15" x14ac:dyDescent="0.3">
      <c r="A936" s="1">
        <v>20003</v>
      </c>
      <c r="B936" s="2">
        <v>43494</v>
      </c>
      <c r="C936" s="1" t="s">
        <v>14</v>
      </c>
      <c r="D936" s="1">
        <v>39</v>
      </c>
      <c r="E936" t="s">
        <v>22</v>
      </c>
      <c r="F936" t="s">
        <v>22</v>
      </c>
      <c r="G936" s="1">
        <v>851.80560000000003</v>
      </c>
      <c r="H936">
        <v>0.01</v>
      </c>
      <c r="I936">
        <f>Sales_Data[[#This Row],[Sales]]*Sales_Data[[#This Row],[Discount]]</f>
        <v>8.5180559999999996</v>
      </c>
      <c r="J936">
        <v>843.28754400000003</v>
      </c>
      <c r="K936" s="1">
        <v>4.3</v>
      </c>
      <c r="L936" s="1">
        <v>847.50560000000007</v>
      </c>
      <c r="M936" s="1" t="s">
        <v>10</v>
      </c>
      <c r="N936" s="1">
        <f>IF(Sales_Data[[#This Row],[Sales with Discount]]&lt;Sales_Data[[#This Row],[Sales with Free Shipping]],Sales_Data[[#This Row],[Sales with Discount]],Sales_Data[[#This Row],[Sales with Free Shipping]])</f>
        <v>843.28754400000003</v>
      </c>
      <c r="O936" s="1" t="str">
        <f>TEXT(Sales_Data[[#This Row],[Order Date]], "MM-YYYY")</f>
        <v>01-2019</v>
      </c>
    </row>
    <row r="937" spans="1:15" x14ac:dyDescent="0.3">
      <c r="A937" s="1">
        <v>19361</v>
      </c>
      <c r="B937" s="2">
        <v>43731</v>
      </c>
      <c r="C937" s="1" t="s">
        <v>7</v>
      </c>
      <c r="D937" s="1">
        <v>21</v>
      </c>
      <c r="E937" t="s">
        <v>14</v>
      </c>
      <c r="F937" t="s">
        <v>14</v>
      </c>
      <c r="G937" s="1">
        <v>573.05999999999995</v>
      </c>
      <c r="H937">
        <v>0</v>
      </c>
      <c r="I937">
        <f>Sales_Data[[#This Row],[Sales]]*Sales_Data[[#This Row],[Discount]]</f>
        <v>0</v>
      </c>
      <c r="J937">
        <v>573.05999999999995</v>
      </c>
      <c r="K937" s="1">
        <v>9.6</v>
      </c>
      <c r="L937" s="1">
        <v>573.05999999999995</v>
      </c>
      <c r="M937" s="1" t="s">
        <v>10</v>
      </c>
      <c r="N937" s="1">
        <f>IF(Sales_Data[[#This Row],[Sales with Discount]]&lt;Sales_Data[[#This Row],[Sales with Free Shipping]],Sales_Data[[#This Row],[Sales with Discount]],Sales_Data[[#This Row],[Sales with Free Shipping]])</f>
        <v>573.05999999999995</v>
      </c>
      <c r="O937" s="1" t="str">
        <f>TEXT(Sales_Data[[#This Row],[Order Date]], "MM-YYYY")</f>
        <v>09-2019</v>
      </c>
    </row>
    <row r="938" spans="1:15" x14ac:dyDescent="0.3">
      <c r="A938" s="1">
        <v>31173</v>
      </c>
      <c r="B938" s="2">
        <v>43695</v>
      </c>
      <c r="C938" s="1" t="s">
        <v>7</v>
      </c>
      <c r="D938" s="1">
        <v>24</v>
      </c>
      <c r="E938" t="s">
        <v>14</v>
      </c>
      <c r="F938" t="s">
        <v>14</v>
      </c>
      <c r="G938" s="1">
        <v>181.21</v>
      </c>
      <c r="H938">
        <v>0</v>
      </c>
      <c r="I938">
        <f>Sales_Data[[#This Row],[Sales]]*Sales_Data[[#This Row],[Discount]]</f>
        <v>0</v>
      </c>
      <c r="J938">
        <v>181.21</v>
      </c>
      <c r="K938" s="1">
        <v>5.4</v>
      </c>
      <c r="L938" s="1">
        <v>181.21</v>
      </c>
      <c r="M938" s="1" t="s">
        <v>8</v>
      </c>
      <c r="N938" s="1">
        <f>IF(Sales_Data[[#This Row],[Sales with Discount]]&lt;Sales_Data[[#This Row],[Sales with Free Shipping]],Sales_Data[[#This Row],[Sales with Discount]],Sales_Data[[#This Row],[Sales with Free Shipping]])</f>
        <v>181.21</v>
      </c>
      <c r="O938" s="1" t="str">
        <f>TEXT(Sales_Data[[#This Row],[Order Date]], "MM-YYYY")</f>
        <v>08-2019</v>
      </c>
    </row>
    <row r="939" spans="1:15" x14ac:dyDescent="0.3">
      <c r="A939" s="1">
        <v>46243</v>
      </c>
      <c r="B939" s="2">
        <v>43488</v>
      </c>
      <c r="C939" s="1" t="s">
        <v>7</v>
      </c>
      <c r="D939" s="1">
        <v>31</v>
      </c>
      <c r="E939" t="s">
        <v>21</v>
      </c>
      <c r="F939" t="s">
        <v>21</v>
      </c>
      <c r="G939" s="1">
        <v>657.35</v>
      </c>
      <c r="H939">
        <v>0</v>
      </c>
      <c r="I939">
        <f>Sales_Data[[#This Row],[Sales]]*Sales_Data[[#This Row],[Discount]]</f>
        <v>0</v>
      </c>
      <c r="J939">
        <v>657.35</v>
      </c>
      <c r="K939" s="1">
        <v>9.6999999999999993</v>
      </c>
      <c r="L939" s="1">
        <v>657.35</v>
      </c>
      <c r="M939" s="1" t="s">
        <v>8</v>
      </c>
      <c r="N939" s="1">
        <f>IF(Sales_Data[[#This Row],[Sales with Discount]]&lt;Sales_Data[[#This Row],[Sales with Free Shipping]],Sales_Data[[#This Row],[Sales with Discount]],Sales_Data[[#This Row],[Sales with Free Shipping]])</f>
        <v>657.35</v>
      </c>
      <c r="O939" s="1" t="str">
        <f>TEXT(Sales_Data[[#This Row],[Order Date]], "MM-YYYY")</f>
        <v>01-2019</v>
      </c>
    </row>
    <row r="940" spans="1:15" x14ac:dyDescent="0.3">
      <c r="A940" s="1">
        <v>58278</v>
      </c>
      <c r="B940" s="2">
        <v>43718</v>
      </c>
      <c r="C940" s="1" t="s">
        <v>9</v>
      </c>
      <c r="D940" s="1">
        <v>4</v>
      </c>
      <c r="E940" t="s">
        <v>16</v>
      </c>
      <c r="F940" t="s">
        <v>16</v>
      </c>
      <c r="G940" s="1">
        <v>301.25</v>
      </c>
      <c r="H940">
        <v>0</v>
      </c>
      <c r="I940">
        <f>Sales_Data[[#This Row],[Sales]]*Sales_Data[[#This Row],[Discount]]</f>
        <v>0</v>
      </c>
      <c r="J940">
        <v>301.25</v>
      </c>
      <c r="K940" s="1">
        <v>1.1000000000000001</v>
      </c>
      <c r="L940" s="1">
        <v>301.25</v>
      </c>
      <c r="M940" s="1" t="s">
        <v>10</v>
      </c>
      <c r="N940" s="1">
        <f>IF(Sales_Data[[#This Row],[Sales with Discount]]&lt;Sales_Data[[#This Row],[Sales with Free Shipping]],Sales_Data[[#This Row],[Sales with Discount]],Sales_Data[[#This Row],[Sales with Free Shipping]])</f>
        <v>301.25</v>
      </c>
      <c r="O940" s="1" t="str">
        <f>TEXT(Sales_Data[[#This Row],[Order Date]], "MM-YYYY")</f>
        <v>09-2019</v>
      </c>
    </row>
    <row r="941" spans="1:15" x14ac:dyDescent="0.3">
      <c r="A941" s="1">
        <v>2500</v>
      </c>
      <c r="B941" s="2">
        <v>43691</v>
      </c>
      <c r="C941" s="1" t="s">
        <v>9</v>
      </c>
      <c r="D941" s="1">
        <v>5</v>
      </c>
      <c r="E941" t="s">
        <v>16</v>
      </c>
      <c r="F941" t="s">
        <v>16</v>
      </c>
      <c r="G941" s="1">
        <v>24.14</v>
      </c>
      <c r="H941">
        <v>0</v>
      </c>
      <c r="I941">
        <f>Sales_Data[[#This Row],[Sales]]*Sales_Data[[#This Row],[Discount]]</f>
        <v>0</v>
      </c>
      <c r="J941">
        <v>24.14</v>
      </c>
      <c r="K941" s="1">
        <v>6.7</v>
      </c>
      <c r="L941" s="1">
        <v>24.14</v>
      </c>
      <c r="M941" s="1" t="s">
        <v>10</v>
      </c>
      <c r="N941" s="1">
        <f>IF(Sales_Data[[#This Row],[Sales with Discount]]&lt;Sales_Data[[#This Row],[Sales with Free Shipping]],Sales_Data[[#This Row],[Sales with Discount]],Sales_Data[[#This Row],[Sales with Free Shipping]])</f>
        <v>24.14</v>
      </c>
      <c r="O941" s="1" t="str">
        <f>TEXT(Sales_Data[[#This Row],[Order Date]], "MM-YYYY")</f>
        <v>08-2019</v>
      </c>
    </row>
    <row r="942" spans="1:15" x14ac:dyDescent="0.3">
      <c r="A942" s="1">
        <v>4741</v>
      </c>
      <c r="B942" s="2">
        <v>43652</v>
      </c>
      <c r="C942" s="1" t="s">
        <v>11</v>
      </c>
      <c r="D942" s="1">
        <v>40</v>
      </c>
      <c r="E942" t="s">
        <v>22</v>
      </c>
      <c r="F942" t="s">
        <v>22</v>
      </c>
      <c r="G942" s="1">
        <v>366.98</v>
      </c>
      <c r="H942">
        <v>0.01</v>
      </c>
      <c r="I942">
        <f>Sales_Data[[#This Row],[Sales]]*Sales_Data[[#This Row],[Discount]]</f>
        <v>3.6698000000000004</v>
      </c>
      <c r="J942">
        <v>363.31020000000001</v>
      </c>
      <c r="K942" s="1">
        <v>9.1</v>
      </c>
      <c r="L942" s="1">
        <v>357.88</v>
      </c>
      <c r="M942" s="1" t="s">
        <v>10</v>
      </c>
      <c r="N942" s="1">
        <f>IF(Sales_Data[[#This Row],[Sales with Discount]]&lt;Sales_Data[[#This Row],[Sales with Free Shipping]],Sales_Data[[#This Row],[Sales with Discount]],Sales_Data[[#This Row],[Sales with Free Shipping]])</f>
        <v>357.88</v>
      </c>
      <c r="O942" s="1" t="str">
        <f>TEXT(Sales_Data[[#This Row],[Order Date]], "MM-YYYY")</f>
        <v>07-2019</v>
      </c>
    </row>
    <row r="943" spans="1:15" x14ac:dyDescent="0.3">
      <c r="A943" s="1">
        <v>23297</v>
      </c>
      <c r="B943" s="2">
        <v>43648</v>
      </c>
      <c r="C943" s="1" t="s">
        <v>12</v>
      </c>
      <c r="D943" s="1">
        <v>20</v>
      </c>
      <c r="E943" t="s">
        <v>19</v>
      </c>
      <c r="F943" t="s">
        <v>19</v>
      </c>
      <c r="G943" s="1">
        <v>533.59</v>
      </c>
      <c r="H943">
        <v>0</v>
      </c>
      <c r="I943">
        <f>Sales_Data[[#This Row],[Sales]]*Sales_Data[[#This Row],[Discount]]</f>
        <v>0</v>
      </c>
      <c r="J943">
        <v>533.59</v>
      </c>
      <c r="K943" s="1">
        <v>5.7</v>
      </c>
      <c r="L943" s="1">
        <v>533.59</v>
      </c>
      <c r="M943" s="1" t="s">
        <v>10</v>
      </c>
      <c r="N943" s="1">
        <f>IF(Sales_Data[[#This Row],[Sales with Discount]]&lt;Sales_Data[[#This Row],[Sales with Free Shipping]],Sales_Data[[#This Row],[Sales with Discount]],Sales_Data[[#This Row],[Sales with Free Shipping]])</f>
        <v>533.59</v>
      </c>
      <c r="O943" s="1" t="str">
        <f>TEXT(Sales_Data[[#This Row],[Order Date]], "MM-YYYY")</f>
        <v>07-2019</v>
      </c>
    </row>
    <row r="944" spans="1:15" x14ac:dyDescent="0.3">
      <c r="A944" s="1">
        <v>9253</v>
      </c>
      <c r="B944" s="2">
        <v>43494</v>
      </c>
      <c r="C944" s="1" t="s">
        <v>12</v>
      </c>
      <c r="D944" s="1">
        <v>36</v>
      </c>
      <c r="E944" t="s">
        <v>22</v>
      </c>
      <c r="F944" t="s">
        <v>22</v>
      </c>
      <c r="G944" s="1">
        <v>1759.3154</v>
      </c>
      <c r="H944">
        <v>0.01</v>
      </c>
      <c r="I944">
        <f>Sales_Data[[#This Row],[Sales]]*Sales_Data[[#This Row],[Discount]]</f>
        <v>17.593153999999998</v>
      </c>
      <c r="J944">
        <v>1741.722246</v>
      </c>
      <c r="K944" s="1">
        <v>7.2</v>
      </c>
      <c r="L944" s="1">
        <v>1752.1153999999999</v>
      </c>
      <c r="M944" s="1" t="s">
        <v>10</v>
      </c>
      <c r="N944" s="1">
        <f>IF(Sales_Data[[#This Row],[Sales with Discount]]&lt;Sales_Data[[#This Row],[Sales with Free Shipping]],Sales_Data[[#This Row],[Sales with Discount]],Sales_Data[[#This Row],[Sales with Free Shipping]])</f>
        <v>1741.722246</v>
      </c>
      <c r="O944" s="1" t="str">
        <f>TEXT(Sales_Data[[#This Row],[Order Date]], "MM-YYYY")</f>
        <v>01-2019</v>
      </c>
    </row>
    <row r="945" spans="1:15" x14ac:dyDescent="0.3">
      <c r="A945" s="1">
        <v>19074</v>
      </c>
      <c r="B945" s="2">
        <v>43641</v>
      </c>
      <c r="C945" s="1" t="s">
        <v>12</v>
      </c>
      <c r="D945" s="1">
        <v>17</v>
      </c>
      <c r="E945" t="s">
        <v>19</v>
      </c>
      <c r="F945" t="s">
        <v>19</v>
      </c>
      <c r="G945" s="1">
        <v>4083.75</v>
      </c>
      <c r="H945">
        <v>0</v>
      </c>
      <c r="I945">
        <f>Sales_Data[[#This Row],[Sales]]*Sales_Data[[#This Row],[Discount]]</f>
        <v>0</v>
      </c>
      <c r="J945">
        <v>4083.75</v>
      </c>
      <c r="K945" s="1">
        <v>72.8</v>
      </c>
      <c r="L945" s="1">
        <v>4083.75</v>
      </c>
      <c r="M945" s="1" t="s">
        <v>13</v>
      </c>
      <c r="N945" s="1">
        <f>IF(Sales_Data[[#This Row],[Sales with Discount]]&lt;Sales_Data[[#This Row],[Sales with Free Shipping]],Sales_Data[[#This Row],[Sales with Discount]],Sales_Data[[#This Row],[Sales with Free Shipping]])</f>
        <v>4083.75</v>
      </c>
      <c r="O945" s="1" t="str">
        <f>TEXT(Sales_Data[[#This Row],[Order Date]], "MM-YYYY")</f>
        <v>06-2019</v>
      </c>
    </row>
    <row r="946" spans="1:15" x14ac:dyDescent="0.3">
      <c r="A946" s="1">
        <v>44737</v>
      </c>
      <c r="B946" s="2">
        <v>43788</v>
      </c>
      <c r="C946" s="1" t="s">
        <v>14</v>
      </c>
      <c r="D946" s="1">
        <v>11</v>
      </c>
      <c r="E946" t="s">
        <v>18</v>
      </c>
      <c r="F946" t="s">
        <v>18</v>
      </c>
      <c r="G946" s="1">
        <v>827.9</v>
      </c>
      <c r="H946">
        <v>0</v>
      </c>
      <c r="I946">
        <f>Sales_Data[[#This Row],[Sales]]*Sales_Data[[#This Row],[Discount]]</f>
        <v>0</v>
      </c>
      <c r="J946">
        <v>827.9</v>
      </c>
      <c r="K946" s="1">
        <v>37.5</v>
      </c>
      <c r="L946" s="1">
        <v>827.9</v>
      </c>
      <c r="M946" s="1" t="s">
        <v>10</v>
      </c>
      <c r="N946" s="1">
        <f>IF(Sales_Data[[#This Row],[Sales with Discount]]&lt;Sales_Data[[#This Row],[Sales with Free Shipping]],Sales_Data[[#This Row],[Sales with Discount]],Sales_Data[[#This Row],[Sales with Free Shipping]])</f>
        <v>827.9</v>
      </c>
      <c r="O946" s="1" t="str">
        <f>TEXT(Sales_Data[[#This Row],[Order Date]], "MM-YYYY")</f>
        <v>11-2019</v>
      </c>
    </row>
    <row r="947" spans="1:15" x14ac:dyDescent="0.3">
      <c r="A947" s="1">
        <v>2497</v>
      </c>
      <c r="B947" s="2">
        <v>43703</v>
      </c>
      <c r="C947" s="1" t="s">
        <v>12</v>
      </c>
      <c r="D947" s="1">
        <v>21</v>
      </c>
      <c r="E947" t="s">
        <v>14</v>
      </c>
      <c r="F947" t="s">
        <v>14</v>
      </c>
      <c r="G947" s="1">
        <v>3883.16</v>
      </c>
      <c r="H947">
        <v>0</v>
      </c>
      <c r="I947">
        <f>Sales_Data[[#This Row],[Sales]]*Sales_Data[[#This Row],[Discount]]</f>
        <v>0</v>
      </c>
      <c r="J947">
        <v>3883.16</v>
      </c>
      <c r="K947" s="1">
        <v>5.6</v>
      </c>
      <c r="L947" s="1">
        <v>3883.16</v>
      </c>
      <c r="M947" s="1" t="s">
        <v>10</v>
      </c>
      <c r="N947" s="1">
        <f>IF(Sales_Data[[#This Row],[Sales with Discount]]&lt;Sales_Data[[#This Row],[Sales with Free Shipping]],Sales_Data[[#This Row],[Sales with Discount]],Sales_Data[[#This Row],[Sales with Free Shipping]])</f>
        <v>3883.16</v>
      </c>
      <c r="O947" s="1" t="str">
        <f>TEXT(Sales_Data[[#This Row],[Order Date]], "MM-YYYY")</f>
        <v>08-2019</v>
      </c>
    </row>
    <row r="948" spans="1:15" x14ac:dyDescent="0.3">
      <c r="A948" s="1">
        <v>29216</v>
      </c>
      <c r="B948" s="2">
        <v>43828</v>
      </c>
      <c r="C948" s="1" t="s">
        <v>12</v>
      </c>
      <c r="D948" s="1">
        <v>17</v>
      </c>
      <c r="E948" t="s">
        <v>19</v>
      </c>
      <c r="F948" t="s">
        <v>19</v>
      </c>
      <c r="G948" s="1">
        <v>3970.81</v>
      </c>
      <c r="H948">
        <v>0</v>
      </c>
      <c r="I948">
        <f>Sales_Data[[#This Row],[Sales]]*Sales_Data[[#This Row],[Discount]]</f>
        <v>0</v>
      </c>
      <c r="J948">
        <v>3970.81</v>
      </c>
      <c r="K948" s="1">
        <v>74.5</v>
      </c>
      <c r="L948" s="1">
        <v>3970.81</v>
      </c>
      <c r="M948" s="1" t="s">
        <v>13</v>
      </c>
      <c r="N948" s="1">
        <f>IF(Sales_Data[[#This Row],[Sales with Discount]]&lt;Sales_Data[[#This Row],[Sales with Free Shipping]],Sales_Data[[#This Row],[Sales with Discount]],Sales_Data[[#This Row],[Sales with Free Shipping]])</f>
        <v>3970.81</v>
      </c>
      <c r="O948" s="1" t="str">
        <f>TEXT(Sales_Data[[#This Row],[Order Date]], "MM-YYYY")</f>
        <v>12-2019</v>
      </c>
    </row>
    <row r="949" spans="1:15" x14ac:dyDescent="0.3">
      <c r="A949" s="1">
        <v>25797</v>
      </c>
      <c r="B949" s="2">
        <v>43709</v>
      </c>
      <c r="C949" s="1" t="s">
        <v>11</v>
      </c>
      <c r="D949" s="1">
        <v>28</v>
      </c>
      <c r="E949" t="s">
        <v>20</v>
      </c>
      <c r="F949" t="s">
        <v>20</v>
      </c>
      <c r="G949" s="1">
        <v>990.21</v>
      </c>
      <c r="H949">
        <v>0</v>
      </c>
      <c r="I949">
        <f>Sales_Data[[#This Row],[Sales]]*Sales_Data[[#This Row],[Discount]]</f>
        <v>0</v>
      </c>
      <c r="J949">
        <v>990.21</v>
      </c>
      <c r="K949" s="1">
        <v>2.1</v>
      </c>
      <c r="L949" s="1">
        <v>990.21</v>
      </c>
      <c r="M949" s="1" t="s">
        <v>10</v>
      </c>
      <c r="N949" s="1">
        <f>IF(Sales_Data[[#This Row],[Sales with Discount]]&lt;Sales_Data[[#This Row],[Sales with Free Shipping]],Sales_Data[[#This Row],[Sales with Discount]],Sales_Data[[#This Row],[Sales with Free Shipping]])</f>
        <v>990.21</v>
      </c>
      <c r="O949" s="1" t="str">
        <f>TEXT(Sales_Data[[#This Row],[Order Date]], "MM-YYYY")</f>
        <v>09-2019</v>
      </c>
    </row>
    <row r="950" spans="1:15" x14ac:dyDescent="0.3">
      <c r="A950" s="1">
        <v>59685</v>
      </c>
      <c r="B950" s="2">
        <v>43809</v>
      </c>
      <c r="C950" s="1" t="s">
        <v>12</v>
      </c>
      <c r="D950" s="1">
        <v>46</v>
      </c>
      <c r="E950" t="s">
        <v>24</v>
      </c>
      <c r="F950" t="s">
        <v>24</v>
      </c>
      <c r="G950" s="1">
        <v>602.30999999999995</v>
      </c>
      <c r="H950">
        <v>0.01</v>
      </c>
      <c r="I950">
        <f>Sales_Data[[#This Row],[Sales]]*Sales_Data[[#This Row],[Discount]]</f>
        <v>6.0230999999999995</v>
      </c>
      <c r="J950">
        <v>596.28689999999995</v>
      </c>
      <c r="K950" s="1">
        <v>15.4</v>
      </c>
      <c r="L950" s="1">
        <v>586.91</v>
      </c>
      <c r="M950" s="1" t="s">
        <v>10</v>
      </c>
      <c r="N950" s="1">
        <f>IF(Sales_Data[[#This Row],[Sales with Discount]]&lt;Sales_Data[[#This Row],[Sales with Free Shipping]],Sales_Data[[#This Row],[Sales with Discount]],Sales_Data[[#This Row],[Sales with Free Shipping]])</f>
        <v>586.91</v>
      </c>
      <c r="O950" s="1" t="str">
        <f>TEXT(Sales_Data[[#This Row],[Order Date]], "MM-YYYY")</f>
        <v>12-2019</v>
      </c>
    </row>
    <row r="951" spans="1:15" x14ac:dyDescent="0.3">
      <c r="A951" s="1">
        <v>32966</v>
      </c>
      <c r="B951" s="2">
        <v>43490</v>
      </c>
      <c r="C951" s="1" t="s">
        <v>7</v>
      </c>
      <c r="D951" s="1">
        <v>43</v>
      </c>
      <c r="E951" t="s">
        <v>23</v>
      </c>
      <c r="F951" t="s">
        <v>23</v>
      </c>
      <c r="G951" s="1">
        <v>79.36</v>
      </c>
      <c r="H951">
        <v>0.01</v>
      </c>
      <c r="I951">
        <f>Sales_Data[[#This Row],[Sales]]*Sales_Data[[#This Row],[Discount]]</f>
        <v>0.79359999999999997</v>
      </c>
      <c r="J951">
        <v>78.566400000000002</v>
      </c>
      <c r="K951" s="1">
        <v>1.4</v>
      </c>
      <c r="L951" s="1">
        <v>77.959999999999994</v>
      </c>
      <c r="M951" s="1" t="s">
        <v>10</v>
      </c>
      <c r="N951" s="1">
        <f>IF(Sales_Data[[#This Row],[Sales with Discount]]&lt;Sales_Data[[#This Row],[Sales with Free Shipping]],Sales_Data[[#This Row],[Sales with Discount]],Sales_Data[[#This Row],[Sales with Free Shipping]])</f>
        <v>77.959999999999994</v>
      </c>
      <c r="O951" s="1" t="str">
        <f>TEXT(Sales_Data[[#This Row],[Order Date]], "MM-YYYY")</f>
        <v>01-2019</v>
      </c>
    </row>
    <row r="952" spans="1:15" x14ac:dyDescent="0.3">
      <c r="A952" s="1">
        <v>21607</v>
      </c>
      <c r="B952" s="2">
        <v>43539</v>
      </c>
      <c r="C952" s="1" t="s">
        <v>11</v>
      </c>
      <c r="D952" s="1">
        <v>17</v>
      </c>
      <c r="E952" t="s">
        <v>19</v>
      </c>
      <c r="F952" t="s">
        <v>19</v>
      </c>
      <c r="G952" s="1">
        <v>662.22</v>
      </c>
      <c r="H952">
        <v>0</v>
      </c>
      <c r="I952">
        <f>Sales_Data[[#This Row],[Sales]]*Sales_Data[[#This Row],[Discount]]</f>
        <v>0</v>
      </c>
      <c r="J952">
        <v>662.22</v>
      </c>
      <c r="K952" s="1">
        <v>14.9</v>
      </c>
      <c r="L952" s="1">
        <v>662.22</v>
      </c>
      <c r="M952" s="1" t="s">
        <v>10</v>
      </c>
      <c r="N952" s="1">
        <f>IF(Sales_Data[[#This Row],[Sales with Discount]]&lt;Sales_Data[[#This Row],[Sales with Free Shipping]],Sales_Data[[#This Row],[Sales with Discount]],Sales_Data[[#This Row],[Sales with Free Shipping]])</f>
        <v>662.22</v>
      </c>
      <c r="O952" s="1" t="str">
        <f>TEXT(Sales_Data[[#This Row],[Order Date]], "MM-YYYY")</f>
        <v>03-2019</v>
      </c>
    </row>
    <row r="953" spans="1:15" x14ac:dyDescent="0.3">
      <c r="A953" s="1">
        <v>33606</v>
      </c>
      <c r="B953" s="2">
        <v>43525</v>
      </c>
      <c r="C953" s="1" t="s">
        <v>9</v>
      </c>
      <c r="D953" s="1">
        <v>46</v>
      </c>
      <c r="E953" t="s">
        <v>24</v>
      </c>
      <c r="F953" t="s">
        <v>24</v>
      </c>
      <c r="G953" s="1">
        <v>438.7321</v>
      </c>
      <c r="H953">
        <v>0.01</v>
      </c>
      <c r="I953">
        <f>Sales_Data[[#This Row],[Sales]]*Sales_Data[[#This Row],[Discount]]</f>
        <v>4.387321</v>
      </c>
      <c r="J953">
        <v>434.34477900000002</v>
      </c>
      <c r="K953" s="1">
        <v>9.1</v>
      </c>
      <c r="L953" s="1">
        <v>429.63209999999998</v>
      </c>
      <c r="M953" s="1" t="s">
        <v>10</v>
      </c>
      <c r="N953" s="1">
        <f>IF(Sales_Data[[#This Row],[Sales with Discount]]&lt;Sales_Data[[#This Row],[Sales with Free Shipping]],Sales_Data[[#This Row],[Sales with Discount]],Sales_Data[[#This Row],[Sales with Free Shipping]])</f>
        <v>429.63209999999998</v>
      </c>
      <c r="O953" s="1" t="str">
        <f>TEXT(Sales_Data[[#This Row],[Order Date]], "MM-YYYY")</f>
        <v>03-2019</v>
      </c>
    </row>
    <row r="954" spans="1:15" x14ac:dyDescent="0.3">
      <c r="A954" s="1">
        <v>52039</v>
      </c>
      <c r="B954" s="2">
        <v>43679</v>
      </c>
      <c r="C954" s="1" t="s">
        <v>12</v>
      </c>
      <c r="D954" s="1">
        <v>48</v>
      </c>
      <c r="E954" t="s">
        <v>24</v>
      </c>
      <c r="F954" t="s">
        <v>24</v>
      </c>
      <c r="G954" s="1">
        <v>2146.83</v>
      </c>
      <c r="H954">
        <v>0.01</v>
      </c>
      <c r="I954">
        <f>Sales_Data[[#This Row],[Sales]]*Sales_Data[[#This Row],[Discount]]</f>
        <v>21.468299999999999</v>
      </c>
      <c r="J954">
        <v>2125.3616999999999</v>
      </c>
      <c r="K954" s="1">
        <v>2.1</v>
      </c>
      <c r="L954" s="1">
        <v>2144.73</v>
      </c>
      <c r="M954" s="1" t="s">
        <v>10</v>
      </c>
      <c r="N954" s="1">
        <f>IF(Sales_Data[[#This Row],[Sales with Discount]]&lt;Sales_Data[[#This Row],[Sales with Free Shipping]],Sales_Data[[#This Row],[Sales with Discount]],Sales_Data[[#This Row],[Sales with Free Shipping]])</f>
        <v>2125.3616999999999</v>
      </c>
      <c r="O954" s="1" t="str">
        <f>TEXT(Sales_Data[[#This Row],[Order Date]], "MM-YYYY")</f>
        <v>08-2019</v>
      </c>
    </row>
    <row r="955" spans="1:15" x14ac:dyDescent="0.3">
      <c r="A955" s="1">
        <v>4099</v>
      </c>
      <c r="B955" s="2">
        <v>43697</v>
      </c>
      <c r="C955" s="1" t="s">
        <v>12</v>
      </c>
      <c r="D955" s="1">
        <v>4</v>
      </c>
      <c r="E955" t="s">
        <v>16</v>
      </c>
      <c r="F955" t="s">
        <v>16</v>
      </c>
      <c r="G955" s="1">
        <v>51.21</v>
      </c>
      <c r="H955">
        <v>0</v>
      </c>
      <c r="I955">
        <f>Sales_Data[[#This Row],[Sales]]*Sales_Data[[#This Row],[Discount]]</f>
        <v>0</v>
      </c>
      <c r="J955">
        <v>51.21</v>
      </c>
      <c r="K955" s="1">
        <v>7.8</v>
      </c>
      <c r="L955" s="1">
        <v>51.21</v>
      </c>
      <c r="M955" s="1" t="s">
        <v>10</v>
      </c>
      <c r="N955" s="1">
        <f>IF(Sales_Data[[#This Row],[Sales with Discount]]&lt;Sales_Data[[#This Row],[Sales with Free Shipping]],Sales_Data[[#This Row],[Sales with Discount]],Sales_Data[[#This Row],[Sales with Free Shipping]])</f>
        <v>51.21</v>
      </c>
      <c r="O955" s="1" t="str">
        <f>TEXT(Sales_Data[[#This Row],[Order Date]], "MM-YYYY")</f>
        <v>08-2019</v>
      </c>
    </row>
    <row r="956" spans="1:15" x14ac:dyDescent="0.3">
      <c r="A956" s="1">
        <v>17507</v>
      </c>
      <c r="B956" s="2">
        <v>43628</v>
      </c>
      <c r="C956" s="1" t="s">
        <v>14</v>
      </c>
      <c r="D956" s="1">
        <v>27</v>
      </c>
      <c r="E956" t="s">
        <v>20</v>
      </c>
      <c r="F956" t="s">
        <v>20</v>
      </c>
      <c r="G956" s="1">
        <v>427.74</v>
      </c>
      <c r="H956">
        <v>0</v>
      </c>
      <c r="I956">
        <f>Sales_Data[[#This Row],[Sales]]*Sales_Data[[#This Row],[Discount]]</f>
        <v>0</v>
      </c>
      <c r="J956">
        <v>427.74</v>
      </c>
      <c r="K956" s="1">
        <v>3.7</v>
      </c>
      <c r="L956" s="1">
        <v>427.74</v>
      </c>
      <c r="M956" s="1" t="s">
        <v>10</v>
      </c>
      <c r="N956" s="1">
        <f>IF(Sales_Data[[#This Row],[Sales with Discount]]&lt;Sales_Data[[#This Row],[Sales with Free Shipping]],Sales_Data[[#This Row],[Sales with Discount]],Sales_Data[[#This Row],[Sales with Free Shipping]])</f>
        <v>427.74</v>
      </c>
      <c r="O956" s="1" t="str">
        <f>TEXT(Sales_Data[[#This Row],[Order Date]], "MM-YYYY")</f>
        <v>06-2019</v>
      </c>
    </row>
    <row r="957" spans="1:15" x14ac:dyDescent="0.3">
      <c r="A957" s="1">
        <v>43488</v>
      </c>
      <c r="B957" s="2">
        <v>43634</v>
      </c>
      <c r="C957" s="1" t="s">
        <v>12</v>
      </c>
      <c r="D957" s="1">
        <v>13</v>
      </c>
      <c r="E957" t="s">
        <v>18</v>
      </c>
      <c r="F957" t="s">
        <v>18</v>
      </c>
      <c r="G957" s="1">
        <v>205.91</v>
      </c>
      <c r="H957">
        <v>0</v>
      </c>
      <c r="I957">
        <f>Sales_Data[[#This Row],[Sales]]*Sales_Data[[#This Row],[Discount]]</f>
        <v>0</v>
      </c>
      <c r="J957">
        <v>205.91</v>
      </c>
      <c r="K957" s="1">
        <v>6.9</v>
      </c>
      <c r="L957" s="1">
        <v>205.91</v>
      </c>
      <c r="M957" s="1" t="s">
        <v>10</v>
      </c>
      <c r="N957" s="1">
        <f>IF(Sales_Data[[#This Row],[Sales with Discount]]&lt;Sales_Data[[#This Row],[Sales with Free Shipping]],Sales_Data[[#This Row],[Sales with Discount]],Sales_Data[[#This Row],[Sales with Free Shipping]])</f>
        <v>205.91</v>
      </c>
      <c r="O957" s="1" t="str">
        <f>TEXT(Sales_Data[[#This Row],[Order Date]], "MM-YYYY")</f>
        <v>06-2019</v>
      </c>
    </row>
    <row r="958" spans="1:15" x14ac:dyDescent="0.3">
      <c r="A958" s="1">
        <v>27780</v>
      </c>
      <c r="B958" s="2">
        <v>43758</v>
      </c>
      <c r="C958" s="1" t="s">
        <v>12</v>
      </c>
      <c r="D958" s="1">
        <v>18</v>
      </c>
      <c r="E958" t="s">
        <v>19</v>
      </c>
      <c r="F958" t="s">
        <v>19</v>
      </c>
      <c r="G958" s="1">
        <v>60.36</v>
      </c>
      <c r="H958">
        <v>0</v>
      </c>
      <c r="I958">
        <f>Sales_Data[[#This Row],[Sales]]*Sales_Data[[#This Row],[Discount]]</f>
        <v>0</v>
      </c>
      <c r="J958">
        <v>60.36</v>
      </c>
      <c r="K958" s="1">
        <v>1.1000000000000001</v>
      </c>
      <c r="L958" s="1">
        <v>60.36</v>
      </c>
      <c r="M958" s="1" t="s">
        <v>10</v>
      </c>
      <c r="N958" s="1">
        <f>IF(Sales_Data[[#This Row],[Sales with Discount]]&lt;Sales_Data[[#This Row],[Sales with Free Shipping]],Sales_Data[[#This Row],[Sales with Discount]],Sales_Data[[#This Row],[Sales with Free Shipping]])</f>
        <v>60.36</v>
      </c>
      <c r="O958" s="1" t="str">
        <f>TEXT(Sales_Data[[#This Row],[Order Date]], "MM-YYYY")</f>
        <v>10-2019</v>
      </c>
    </row>
    <row r="959" spans="1:15" x14ac:dyDescent="0.3">
      <c r="A959" s="1">
        <v>5028</v>
      </c>
      <c r="B959" s="2">
        <v>43571</v>
      </c>
      <c r="C959" s="1" t="s">
        <v>9</v>
      </c>
      <c r="D959" s="1">
        <v>10</v>
      </c>
      <c r="E959" t="s">
        <v>17</v>
      </c>
      <c r="F959" t="s">
        <v>17</v>
      </c>
      <c r="G959" s="1">
        <v>85.26</v>
      </c>
      <c r="H959">
        <v>0</v>
      </c>
      <c r="I959">
        <f>Sales_Data[[#This Row],[Sales]]*Sales_Data[[#This Row],[Discount]]</f>
        <v>0</v>
      </c>
      <c r="J959">
        <v>85.26</v>
      </c>
      <c r="K959" s="1">
        <v>3.9</v>
      </c>
      <c r="L959" s="1">
        <v>85.26</v>
      </c>
      <c r="M959" s="1" t="s">
        <v>10</v>
      </c>
      <c r="N959" s="1">
        <f>IF(Sales_Data[[#This Row],[Sales with Discount]]&lt;Sales_Data[[#This Row],[Sales with Free Shipping]],Sales_Data[[#This Row],[Sales with Discount]],Sales_Data[[#This Row],[Sales with Free Shipping]])</f>
        <v>85.26</v>
      </c>
      <c r="O959" s="1" t="str">
        <f>TEXT(Sales_Data[[#This Row],[Order Date]], "MM-YYYY")</f>
        <v>04-2019</v>
      </c>
    </row>
    <row r="960" spans="1:15" x14ac:dyDescent="0.3">
      <c r="A960" s="1">
        <v>24546</v>
      </c>
      <c r="B960" s="2">
        <v>43550</v>
      </c>
      <c r="C960" s="1" t="s">
        <v>12</v>
      </c>
      <c r="D960" s="1">
        <v>7</v>
      </c>
      <c r="E960" t="s">
        <v>17</v>
      </c>
      <c r="F960" t="s">
        <v>17</v>
      </c>
      <c r="G960" s="1">
        <v>87.290599999999998</v>
      </c>
      <c r="H960">
        <v>0</v>
      </c>
      <c r="I960">
        <f>Sales_Data[[#This Row],[Sales]]*Sales_Data[[#This Row],[Discount]]</f>
        <v>0</v>
      </c>
      <c r="J960">
        <v>87.290599999999998</v>
      </c>
      <c r="K960" s="1">
        <v>3.6</v>
      </c>
      <c r="L960" s="1">
        <v>87.290599999999998</v>
      </c>
      <c r="M960" s="1" t="s">
        <v>10</v>
      </c>
      <c r="N960" s="1">
        <f>IF(Sales_Data[[#This Row],[Sales with Discount]]&lt;Sales_Data[[#This Row],[Sales with Free Shipping]],Sales_Data[[#This Row],[Sales with Discount]],Sales_Data[[#This Row],[Sales with Free Shipping]])</f>
        <v>87.290599999999998</v>
      </c>
      <c r="O960" s="1" t="str">
        <f>TEXT(Sales_Data[[#This Row],[Order Date]], "MM-YYYY")</f>
        <v>03-2019</v>
      </c>
    </row>
    <row r="961" spans="1:15" x14ac:dyDescent="0.3">
      <c r="A961" s="1">
        <v>25447</v>
      </c>
      <c r="B961" s="2">
        <v>43608</v>
      </c>
      <c r="C961" s="1" t="s">
        <v>11</v>
      </c>
      <c r="D961" s="1">
        <v>25</v>
      </c>
      <c r="E961" t="s">
        <v>14</v>
      </c>
      <c r="F961" t="s">
        <v>14</v>
      </c>
      <c r="G961" s="1">
        <v>573.74</v>
      </c>
      <c r="H961">
        <v>0</v>
      </c>
      <c r="I961">
        <f>Sales_Data[[#This Row],[Sales]]*Sales_Data[[#This Row],[Discount]]</f>
        <v>0</v>
      </c>
      <c r="J961">
        <v>573.74</v>
      </c>
      <c r="K961" s="1">
        <v>9.6</v>
      </c>
      <c r="L961" s="1">
        <v>573.74</v>
      </c>
      <c r="M961" s="1" t="s">
        <v>10</v>
      </c>
      <c r="N961" s="1">
        <f>IF(Sales_Data[[#This Row],[Sales with Discount]]&lt;Sales_Data[[#This Row],[Sales with Free Shipping]],Sales_Data[[#This Row],[Sales with Discount]],Sales_Data[[#This Row],[Sales with Free Shipping]])</f>
        <v>573.74</v>
      </c>
      <c r="O961" s="1" t="str">
        <f>TEXT(Sales_Data[[#This Row],[Order Date]], "MM-YYYY")</f>
        <v>05-2019</v>
      </c>
    </row>
    <row r="962" spans="1:15" x14ac:dyDescent="0.3">
      <c r="A962" s="1">
        <v>41504</v>
      </c>
      <c r="B962" s="2">
        <v>43766</v>
      </c>
      <c r="C962" s="1" t="s">
        <v>12</v>
      </c>
      <c r="D962" s="1">
        <v>20</v>
      </c>
      <c r="E962" t="s">
        <v>19</v>
      </c>
      <c r="F962" t="s">
        <v>19</v>
      </c>
      <c r="G962" s="1">
        <v>324.14999999999998</v>
      </c>
      <c r="H962">
        <v>0</v>
      </c>
      <c r="I962">
        <f>Sales_Data[[#This Row],[Sales]]*Sales_Data[[#This Row],[Discount]]</f>
        <v>0</v>
      </c>
      <c r="J962">
        <v>324.14999999999998</v>
      </c>
      <c r="K962" s="1">
        <v>6.2</v>
      </c>
      <c r="L962" s="1">
        <v>324.14999999999998</v>
      </c>
      <c r="M962" s="1" t="s">
        <v>10</v>
      </c>
      <c r="N962" s="1">
        <f>IF(Sales_Data[[#This Row],[Sales with Discount]]&lt;Sales_Data[[#This Row],[Sales with Free Shipping]],Sales_Data[[#This Row],[Sales with Discount]],Sales_Data[[#This Row],[Sales with Free Shipping]])</f>
        <v>324.14999999999998</v>
      </c>
      <c r="O962" s="1" t="str">
        <f>TEXT(Sales_Data[[#This Row],[Order Date]], "MM-YYYY")</f>
        <v>10-2019</v>
      </c>
    </row>
    <row r="963" spans="1:15" x14ac:dyDescent="0.3">
      <c r="A963" s="1">
        <v>59909</v>
      </c>
      <c r="B963" s="2">
        <v>43682</v>
      </c>
      <c r="C963" s="1" t="s">
        <v>7</v>
      </c>
      <c r="D963" s="1">
        <v>46</v>
      </c>
      <c r="E963" t="s">
        <v>24</v>
      </c>
      <c r="F963" t="s">
        <v>24</v>
      </c>
      <c r="G963" s="1">
        <v>440.37</v>
      </c>
      <c r="H963">
        <v>0.01</v>
      </c>
      <c r="I963">
        <f>Sales_Data[[#This Row],[Sales]]*Sales_Data[[#This Row],[Discount]]</f>
        <v>4.4036999999999997</v>
      </c>
      <c r="J963">
        <v>435.96629999999999</v>
      </c>
      <c r="K963" s="1">
        <v>7.8</v>
      </c>
      <c r="L963" s="1">
        <v>432.57</v>
      </c>
      <c r="M963" s="1" t="s">
        <v>8</v>
      </c>
      <c r="N963" s="1">
        <f>IF(Sales_Data[[#This Row],[Sales with Discount]]&lt;Sales_Data[[#This Row],[Sales with Free Shipping]],Sales_Data[[#This Row],[Sales with Discount]],Sales_Data[[#This Row],[Sales with Free Shipping]])</f>
        <v>432.57</v>
      </c>
      <c r="O963" s="1" t="str">
        <f>TEXT(Sales_Data[[#This Row],[Order Date]], "MM-YYYY")</f>
        <v>08-2019</v>
      </c>
    </row>
    <row r="964" spans="1:15" x14ac:dyDescent="0.3">
      <c r="A964" s="1">
        <v>24450</v>
      </c>
      <c r="B964" s="2">
        <v>43655</v>
      </c>
      <c r="C964" s="1" t="s">
        <v>12</v>
      </c>
      <c r="D964" s="1">
        <v>41</v>
      </c>
      <c r="E964" t="s">
        <v>23</v>
      </c>
      <c r="F964" t="s">
        <v>23</v>
      </c>
      <c r="G964" s="1">
        <v>420.09</v>
      </c>
      <c r="H964">
        <v>0.01</v>
      </c>
      <c r="I964">
        <f>Sales_Data[[#This Row],[Sales]]*Sales_Data[[#This Row],[Discount]]</f>
        <v>4.2008999999999999</v>
      </c>
      <c r="J964">
        <v>415.88909999999998</v>
      </c>
      <c r="K964" s="1">
        <v>7.8</v>
      </c>
      <c r="L964" s="1">
        <v>412.28999999999996</v>
      </c>
      <c r="M964" s="1" t="s">
        <v>8</v>
      </c>
      <c r="N964" s="1">
        <f>IF(Sales_Data[[#This Row],[Sales with Discount]]&lt;Sales_Data[[#This Row],[Sales with Free Shipping]],Sales_Data[[#This Row],[Sales with Discount]],Sales_Data[[#This Row],[Sales with Free Shipping]])</f>
        <v>412.28999999999996</v>
      </c>
      <c r="O964" s="1" t="str">
        <f>TEXT(Sales_Data[[#This Row],[Order Date]], "MM-YYYY")</f>
        <v>07-2019</v>
      </c>
    </row>
    <row r="965" spans="1:15" x14ac:dyDescent="0.3">
      <c r="A965" s="1">
        <v>10470</v>
      </c>
      <c r="B965" s="2">
        <v>43589</v>
      </c>
      <c r="C965" s="1" t="s">
        <v>12</v>
      </c>
      <c r="D965" s="1">
        <v>35</v>
      </c>
      <c r="E965" t="s">
        <v>21</v>
      </c>
      <c r="F965" t="s">
        <v>21</v>
      </c>
      <c r="G965" s="1">
        <v>264.27</v>
      </c>
      <c r="H965">
        <v>0</v>
      </c>
      <c r="I965">
        <f>Sales_Data[[#This Row],[Sales]]*Sales_Data[[#This Row],[Discount]]</f>
        <v>0</v>
      </c>
      <c r="J965">
        <v>264.27</v>
      </c>
      <c r="K965" s="1">
        <v>5.6</v>
      </c>
      <c r="L965" s="1">
        <v>264.27</v>
      </c>
      <c r="M965" s="1" t="s">
        <v>10</v>
      </c>
      <c r="N965" s="1">
        <f>IF(Sales_Data[[#This Row],[Sales with Discount]]&lt;Sales_Data[[#This Row],[Sales with Free Shipping]],Sales_Data[[#This Row],[Sales with Discount]],Sales_Data[[#This Row],[Sales with Free Shipping]])</f>
        <v>264.27</v>
      </c>
      <c r="O965" s="1" t="str">
        <f>TEXT(Sales_Data[[#This Row],[Order Date]], "MM-YYYY")</f>
        <v>05-2019</v>
      </c>
    </row>
    <row r="966" spans="1:15" x14ac:dyDescent="0.3">
      <c r="A966" s="1">
        <v>39686</v>
      </c>
      <c r="B966" s="2">
        <v>43624</v>
      </c>
      <c r="C966" s="1" t="s">
        <v>11</v>
      </c>
      <c r="D966" s="1">
        <v>2</v>
      </c>
      <c r="E966" t="s">
        <v>16</v>
      </c>
      <c r="F966" t="s">
        <v>16</v>
      </c>
      <c r="G966" s="1">
        <v>790.52</v>
      </c>
      <c r="H966">
        <v>0</v>
      </c>
      <c r="I966">
        <f>Sales_Data[[#This Row],[Sales]]*Sales_Data[[#This Row],[Discount]]</f>
        <v>0</v>
      </c>
      <c r="J966">
        <v>790.52</v>
      </c>
      <c r="K966" s="1">
        <v>97.4</v>
      </c>
      <c r="L966" s="1">
        <v>790.52</v>
      </c>
      <c r="M966" s="1" t="s">
        <v>13</v>
      </c>
      <c r="N966" s="1">
        <f>IF(Sales_Data[[#This Row],[Sales with Discount]]&lt;Sales_Data[[#This Row],[Sales with Free Shipping]],Sales_Data[[#This Row],[Sales with Discount]],Sales_Data[[#This Row],[Sales with Free Shipping]])</f>
        <v>790.52</v>
      </c>
      <c r="O966" s="1" t="str">
        <f>TEXT(Sales_Data[[#This Row],[Order Date]], "MM-YYYY")</f>
        <v>06-2019</v>
      </c>
    </row>
    <row r="967" spans="1:15" x14ac:dyDescent="0.3">
      <c r="A967" s="1">
        <v>30499</v>
      </c>
      <c r="B967" s="2">
        <v>43768</v>
      </c>
      <c r="C967" s="1" t="s">
        <v>9</v>
      </c>
      <c r="D967" s="1">
        <v>16</v>
      </c>
      <c r="E967" t="s">
        <v>19</v>
      </c>
      <c r="F967" t="s">
        <v>19</v>
      </c>
      <c r="G967" s="1">
        <v>98.504199999999997</v>
      </c>
      <c r="H967">
        <v>0</v>
      </c>
      <c r="I967">
        <f>Sales_Data[[#This Row],[Sales]]*Sales_Data[[#This Row],[Discount]]</f>
        <v>0</v>
      </c>
      <c r="J967">
        <v>98.504199999999997</v>
      </c>
      <c r="K967" s="1">
        <v>2.7</v>
      </c>
      <c r="L967" s="1">
        <v>98.504199999999997</v>
      </c>
      <c r="M967" s="1" t="s">
        <v>10</v>
      </c>
      <c r="N967" s="1">
        <f>IF(Sales_Data[[#This Row],[Sales with Discount]]&lt;Sales_Data[[#This Row],[Sales with Free Shipping]],Sales_Data[[#This Row],[Sales with Discount]],Sales_Data[[#This Row],[Sales with Free Shipping]])</f>
        <v>98.504199999999997</v>
      </c>
      <c r="O967" s="1" t="str">
        <f>TEXT(Sales_Data[[#This Row],[Order Date]], "MM-YYYY")</f>
        <v>10-2019</v>
      </c>
    </row>
    <row r="968" spans="1:15" x14ac:dyDescent="0.3">
      <c r="A968" s="1">
        <v>19777</v>
      </c>
      <c r="B968" s="2">
        <v>43757</v>
      </c>
      <c r="C968" s="1" t="s">
        <v>11</v>
      </c>
      <c r="D968" s="1">
        <v>2</v>
      </c>
      <c r="E968" t="s">
        <v>16</v>
      </c>
      <c r="F968" t="s">
        <v>16</v>
      </c>
      <c r="G968" s="1">
        <v>142.2672</v>
      </c>
      <c r="H968">
        <v>0</v>
      </c>
      <c r="I968">
        <f>Sales_Data[[#This Row],[Sales]]*Sales_Data[[#This Row],[Discount]]</f>
        <v>0</v>
      </c>
      <c r="J968">
        <v>142.2672</v>
      </c>
      <c r="K968" s="1">
        <v>11</v>
      </c>
      <c r="L968" s="1">
        <v>142.2672</v>
      </c>
      <c r="M968" s="1" t="s">
        <v>10</v>
      </c>
      <c r="N968" s="1">
        <f>IF(Sales_Data[[#This Row],[Sales with Discount]]&lt;Sales_Data[[#This Row],[Sales with Free Shipping]],Sales_Data[[#This Row],[Sales with Discount]],Sales_Data[[#This Row],[Sales with Free Shipping]])</f>
        <v>142.2672</v>
      </c>
      <c r="O968" s="1" t="str">
        <f>TEXT(Sales_Data[[#This Row],[Order Date]], "MM-YYYY")</f>
        <v>10-2019</v>
      </c>
    </row>
    <row r="969" spans="1:15" x14ac:dyDescent="0.3">
      <c r="A969" s="1">
        <v>58145</v>
      </c>
      <c r="B969" s="2">
        <v>43601</v>
      </c>
      <c r="C969" s="1" t="s">
        <v>14</v>
      </c>
      <c r="D969" s="1">
        <v>33</v>
      </c>
      <c r="E969" t="s">
        <v>21</v>
      </c>
      <c r="F969" t="s">
        <v>21</v>
      </c>
      <c r="G969" s="1">
        <v>217.73</v>
      </c>
      <c r="H969">
        <v>0</v>
      </c>
      <c r="I969">
        <f>Sales_Data[[#This Row],[Sales]]*Sales_Data[[#This Row],[Discount]]</f>
        <v>0</v>
      </c>
      <c r="J969">
        <v>217.73</v>
      </c>
      <c r="K969" s="1">
        <v>1.3</v>
      </c>
      <c r="L969" s="1">
        <v>217.73</v>
      </c>
      <c r="M969" s="1" t="s">
        <v>8</v>
      </c>
      <c r="N969" s="1">
        <f>IF(Sales_Data[[#This Row],[Sales with Discount]]&lt;Sales_Data[[#This Row],[Sales with Free Shipping]],Sales_Data[[#This Row],[Sales with Discount]],Sales_Data[[#This Row],[Sales with Free Shipping]])</f>
        <v>217.73</v>
      </c>
      <c r="O969" s="1" t="str">
        <f>TEXT(Sales_Data[[#This Row],[Order Date]], "MM-YYYY")</f>
        <v>05-2019</v>
      </c>
    </row>
    <row r="970" spans="1:15" x14ac:dyDescent="0.3">
      <c r="A970" s="1">
        <v>19745</v>
      </c>
      <c r="B970" s="2">
        <v>43817</v>
      </c>
      <c r="C970" s="1" t="s">
        <v>9</v>
      </c>
      <c r="D970" s="1">
        <v>25</v>
      </c>
      <c r="E970" t="s">
        <v>14</v>
      </c>
      <c r="F970" t="s">
        <v>14</v>
      </c>
      <c r="G970" s="1">
        <v>1146.79</v>
      </c>
      <c r="H970">
        <v>0</v>
      </c>
      <c r="I970">
        <f>Sales_Data[[#This Row],[Sales]]*Sales_Data[[#This Row],[Discount]]</f>
        <v>0</v>
      </c>
      <c r="J970">
        <v>1146.79</v>
      </c>
      <c r="K970" s="1">
        <v>5.0999999999999996</v>
      </c>
      <c r="L970" s="1">
        <v>1146.79</v>
      </c>
      <c r="M970" s="1" t="s">
        <v>10</v>
      </c>
      <c r="N970" s="1">
        <f>IF(Sales_Data[[#This Row],[Sales with Discount]]&lt;Sales_Data[[#This Row],[Sales with Free Shipping]],Sales_Data[[#This Row],[Sales with Discount]],Sales_Data[[#This Row],[Sales with Free Shipping]])</f>
        <v>1146.79</v>
      </c>
      <c r="O970" s="1" t="str">
        <f>TEXT(Sales_Data[[#This Row],[Order Date]], "MM-YYYY")</f>
        <v>12-2019</v>
      </c>
    </row>
    <row r="971" spans="1:15" x14ac:dyDescent="0.3">
      <c r="A971" s="1">
        <v>30660</v>
      </c>
      <c r="B971" s="2">
        <v>43713</v>
      </c>
      <c r="C971" s="1" t="s">
        <v>12</v>
      </c>
      <c r="D971" s="1">
        <v>16</v>
      </c>
      <c r="E971" t="s">
        <v>19</v>
      </c>
      <c r="F971" t="s">
        <v>19</v>
      </c>
      <c r="G971" s="1">
        <v>1055.31</v>
      </c>
      <c r="H971">
        <v>0</v>
      </c>
      <c r="I971">
        <f>Sales_Data[[#This Row],[Sales]]*Sales_Data[[#This Row],[Discount]]</f>
        <v>0</v>
      </c>
      <c r="J971">
        <v>1055.31</v>
      </c>
      <c r="K971" s="1">
        <v>73.8</v>
      </c>
      <c r="L971" s="1">
        <v>1055.31</v>
      </c>
      <c r="M971" s="1" t="s">
        <v>10</v>
      </c>
      <c r="N971" s="1">
        <f>IF(Sales_Data[[#This Row],[Sales with Discount]]&lt;Sales_Data[[#This Row],[Sales with Free Shipping]],Sales_Data[[#This Row],[Sales with Discount]],Sales_Data[[#This Row],[Sales with Free Shipping]])</f>
        <v>1055.31</v>
      </c>
      <c r="O971" s="1" t="str">
        <f>TEXT(Sales_Data[[#This Row],[Order Date]], "MM-YYYY")</f>
        <v>09-2019</v>
      </c>
    </row>
    <row r="972" spans="1:15" x14ac:dyDescent="0.3">
      <c r="A972" s="1">
        <v>23777</v>
      </c>
      <c r="B972" s="2">
        <v>43795</v>
      </c>
      <c r="C972" s="1" t="s">
        <v>11</v>
      </c>
      <c r="D972" s="1">
        <v>16</v>
      </c>
      <c r="E972" t="s">
        <v>19</v>
      </c>
      <c r="F972" t="s">
        <v>19</v>
      </c>
      <c r="G972" s="1">
        <v>521.84</v>
      </c>
      <c r="H972">
        <v>0</v>
      </c>
      <c r="I972">
        <f>Sales_Data[[#This Row],[Sales]]*Sales_Data[[#This Row],[Discount]]</f>
        <v>0</v>
      </c>
      <c r="J972">
        <v>521.84</v>
      </c>
      <c r="K972" s="1">
        <v>7.2</v>
      </c>
      <c r="L972" s="1">
        <v>521.84</v>
      </c>
      <c r="M972" s="1" t="s">
        <v>10</v>
      </c>
      <c r="N972" s="1">
        <f>IF(Sales_Data[[#This Row],[Sales with Discount]]&lt;Sales_Data[[#This Row],[Sales with Free Shipping]],Sales_Data[[#This Row],[Sales with Discount]],Sales_Data[[#This Row],[Sales with Free Shipping]])</f>
        <v>521.84</v>
      </c>
      <c r="O972" s="1" t="str">
        <f>TEXT(Sales_Data[[#This Row],[Order Date]], "MM-YYYY")</f>
        <v>11-2019</v>
      </c>
    </row>
    <row r="973" spans="1:15" x14ac:dyDescent="0.3">
      <c r="A973" s="1">
        <v>31845</v>
      </c>
      <c r="B973" s="2">
        <v>43760</v>
      </c>
      <c r="C973" s="1" t="s">
        <v>7</v>
      </c>
      <c r="D973" s="1">
        <v>11</v>
      </c>
      <c r="E973" t="s">
        <v>18</v>
      </c>
      <c r="F973" t="s">
        <v>18</v>
      </c>
      <c r="G973" s="1">
        <v>122.57</v>
      </c>
      <c r="H973">
        <v>0</v>
      </c>
      <c r="I973">
        <f>Sales_Data[[#This Row],[Sales]]*Sales_Data[[#This Row],[Discount]]</f>
        <v>0</v>
      </c>
      <c r="J973">
        <v>122.57</v>
      </c>
      <c r="K973" s="1">
        <v>2.2000000000000002</v>
      </c>
      <c r="L973" s="1">
        <v>122.57</v>
      </c>
      <c r="M973" s="1" t="s">
        <v>10</v>
      </c>
      <c r="N973" s="1">
        <f>IF(Sales_Data[[#This Row],[Sales with Discount]]&lt;Sales_Data[[#This Row],[Sales with Free Shipping]],Sales_Data[[#This Row],[Sales with Discount]],Sales_Data[[#This Row],[Sales with Free Shipping]])</f>
        <v>122.57</v>
      </c>
      <c r="O973" s="1" t="str">
        <f>TEXT(Sales_Data[[#This Row],[Order Date]], "MM-YYYY")</f>
        <v>10-2019</v>
      </c>
    </row>
    <row r="974" spans="1:15" x14ac:dyDescent="0.3">
      <c r="A974" s="1">
        <v>40132</v>
      </c>
      <c r="B974" s="2">
        <v>43518</v>
      </c>
      <c r="C974" s="1" t="s">
        <v>7</v>
      </c>
      <c r="D974" s="1">
        <v>16</v>
      </c>
      <c r="E974" t="s">
        <v>19</v>
      </c>
      <c r="F974" t="s">
        <v>19</v>
      </c>
      <c r="G974" s="1">
        <v>371.79289999999997</v>
      </c>
      <c r="H974">
        <v>0</v>
      </c>
      <c r="I974">
        <f>Sales_Data[[#This Row],[Sales]]*Sales_Data[[#This Row],[Discount]]</f>
        <v>0</v>
      </c>
      <c r="J974">
        <v>371.79289999999997</v>
      </c>
      <c r="K974" s="1">
        <v>16.2</v>
      </c>
      <c r="L974" s="1">
        <v>371.79289999999997</v>
      </c>
      <c r="M974" s="1" t="s">
        <v>10</v>
      </c>
      <c r="N974" s="1">
        <f>IF(Sales_Data[[#This Row],[Sales with Discount]]&lt;Sales_Data[[#This Row],[Sales with Free Shipping]],Sales_Data[[#This Row],[Sales with Discount]],Sales_Data[[#This Row],[Sales with Free Shipping]])</f>
        <v>371.79289999999997</v>
      </c>
      <c r="O974" s="1" t="str">
        <f>TEXT(Sales_Data[[#This Row],[Order Date]], "MM-YYYY")</f>
        <v>02-2019</v>
      </c>
    </row>
    <row r="975" spans="1:15" x14ac:dyDescent="0.3">
      <c r="A975" s="1">
        <v>36901</v>
      </c>
      <c r="B975" s="2">
        <v>43721</v>
      </c>
      <c r="C975" s="1" t="s">
        <v>12</v>
      </c>
      <c r="D975" s="1">
        <v>30</v>
      </c>
      <c r="E975" t="s">
        <v>20</v>
      </c>
      <c r="F975" t="s">
        <v>20</v>
      </c>
      <c r="G975" s="1">
        <v>215.17</v>
      </c>
      <c r="H975">
        <v>0</v>
      </c>
      <c r="I975">
        <f>Sales_Data[[#This Row],[Sales]]*Sales_Data[[#This Row],[Discount]]</f>
        <v>0</v>
      </c>
      <c r="J975">
        <v>215.17</v>
      </c>
      <c r="K975" s="1">
        <v>6.1</v>
      </c>
      <c r="L975" s="1">
        <v>215.17</v>
      </c>
      <c r="M975" s="1" t="s">
        <v>10</v>
      </c>
      <c r="N975" s="1">
        <f>IF(Sales_Data[[#This Row],[Sales with Discount]]&lt;Sales_Data[[#This Row],[Sales with Free Shipping]],Sales_Data[[#This Row],[Sales with Discount]],Sales_Data[[#This Row],[Sales with Free Shipping]])</f>
        <v>215.17</v>
      </c>
      <c r="O975" s="1" t="str">
        <f>TEXT(Sales_Data[[#This Row],[Order Date]], "MM-YYYY")</f>
        <v>09-2019</v>
      </c>
    </row>
    <row r="976" spans="1:15" x14ac:dyDescent="0.3">
      <c r="A976" s="1">
        <v>43556</v>
      </c>
      <c r="B976" s="2">
        <v>43668</v>
      </c>
      <c r="C976" s="1" t="s">
        <v>7</v>
      </c>
      <c r="D976" s="1">
        <v>31</v>
      </c>
      <c r="E976" t="s">
        <v>21</v>
      </c>
      <c r="F976" t="s">
        <v>21</v>
      </c>
      <c r="G976" s="1">
        <v>510.56</v>
      </c>
      <c r="H976">
        <v>0</v>
      </c>
      <c r="I976">
        <f>Sales_Data[[#This Row],[Sales]]*Sales_Data[[#This Row],[Discount]]</f>
        <v>0</v>
      </c>
      <c r="J976">
        <v>510.56</v>
      </c>
      <c r="K976" s="1">
        <v>2.1</v>
      </c>
      <c r="L976" s="1">
        <v>510.56</v>
      </c>
      <c r="M976" s="1" t="s">
        <v>10</v>
      </c>
      <c r="N976" s="1">
        <f>IF(Sales_Data[[#This Row],[Sales with Discount]]&lt;Sales_Data[[#This Row],[Sales with Free Shipping]],Sales_Data[[#This Row],[Sales with Discount]],Sales_Data[[#This Row],[Sales with Free Shipping]])</f>
        <v>510.56</v>
      </c>
      <c r="O976" s="1" t="str">
        <f>TEXT(Sales_Data[[#This Row],[Order Date]], "MM-YYYY")</f>
        <v>07-2019</v>
      </c>
    </row>
    <row r="977" spans="1:15" x14ac:dyDescent="0.3">
      <c r="A977" s="1">
        <v>40100</v>
      </c>
      <c r="B977" s="2">
        <v>43499</v>
      </c>
      <c r="C977" s="1" t="s">
        <v>7</v>
      </c>
      <c r="D977" s="1">
        <v>47</v>
      </c>
      <c r="E977" t="s">
        <v>24</v>
      </c>
      <c r="F977" t="s">
        <v>24</v>
      </c>
      <c r="G977" s="1">
        <v>1071.25</v>
      </c>
      <c r="H977">
        <v>0.01</v>
      </c>
      <c r="I977">
        <f>Sales_Data[[#This Row],[Sales]]*Sales_Data[[#This Row],[Discount]]</f>
        <v>10.7125</v>
      </c>
      <c r="J977">
        <v>1060.5374999999999</v>
      </c>
      <c r="K977" s="1">
        <v>6.2</v>
      </c>
      <c r="L977" s="1">
        <v>1065.05</v>
      </c>
      <c r="M977" s="1" t="s">
        <v>10</v>
      </c>
      <c r="N977" s="1">
        <f>IF(Sales_Data[[#This Row],[Sales with Discount]]&lt;Sales_Data[[#This Row],[Sales with Free Shipping]],Sales_Data[[#This Row],[Sales with Discount]],Sales_Data[[#This Row],[Sales with Free Shipping]])</f>
        <v>1060.5374999999999</v>
      </c>
      <c r="O977" s="1" t="str">
        <f>TEXT(Sales_Data[[#This Row],[Order Date]], "MM-YYYY")</f>
        <v>02-2019</v>
      </c>
    </row>
    <row r="978" spans="1:15" x14ac:dyDescent="0.3">
      <c r="A978" s="1">
        <v>25895</v>
      </c>
      <c r="B978" s="2">
        <v>43572</v>
      </c>
      <c r="C978" s="1" t="s">
        <v>14</v>
      </c>
      <c r="D978" s="1">
        <v>37</v>
      </c>
      <c r="E978" t="s">
        <v>22</v>
      </c>
      <c r="F978" t="s">
        <v>22</v>
      </c>
      <c r="G978" s="1">
        <v>759.6</v>
      </c>
      <c r="H978">
        <v>0.01</v>
      </c>
      <c r="I978">
        <f>Sales_Data[[#This Row],[Sales]]*Sales_Data[[#This Row],[Discount]]</f>
        <v>7.5960000000000001</v>
      </c>
      <c r="J978">
        <v>752.00400000000002</v>
      </c>
      <c r="K978" s="1">
        <v>13.7</v>
      </c>
      <c r="L978" s="1">
        <v>745.9</v>
      </c>
      <c r="M978" s="1" t="s">
        <v>10</v>
      </c>
      <c r="N978" s="1">
        <f>IF(Sales_Data[[#This Row],[Sales with Discount]]&lt;Sales_Data[[#This Row],[Sales with Free Shipping]],Sales_Data[[#This Row],[Sales with Discount]],Sales_Data[[#This Row],[Sales with Free Shipping]])</f>
        <v>745.9</v>
      </c>
      <c r="O978" s="1" t="str">
        <f>TEXT(Sales_Data[[#This Row],[Order Date]], "MM-YYYY")</f>
        <v>04-2019</v>
      </c>
    </row>
    <row r="979" spans="1:15" x14ac:dyDescent="0.3">
      <c r="A979" s="1">
        <v>52673</v>
      </c>
      <c r="B979" s="2">
        <v>43593</v>
      </c>
      <c r="C979" s="1" t="s">
        <v>14</v>
      </c>
      <c r="D979" s="1">
        <v>4</v>
      </c>
      <c r="E979" t="s">
        <v>16</v>
      </c>
      <c r="F979" t="s">
        <v>16</v>
      </c>
      <c r="G979" s="1">
        <v>28.26</v>
      </c>
      <c r="H979">
        <v>0</v>
      </c>
      <c r="I979">
        <f>Sales_Data[[#This Row],[Sales]]*Sales_Data[[#This Row],[Discount]]</f>
        <v>0</v>
      </c>
      <c r="J979">
        <v>28.26</v>
      </c>
      <c r="K979" s="1">
        <v>6.1</v>
      </c>
      <c r="L979" s="1">
        <v>28.26</v>
      </c>
      <c r="M979" s="1" t="s">
        <v>10</v>
      </c>
      <c r="N979" s="1">
        <f>IF(Sales_Data[[#This Row],[Sales with Discount]]&lt;Sales_Data[[#This Row],[Sales with Free Shipping]],Sales_Data[[#This Row],[Sales with Discount]],Sales_Data[[#This Row],[Sales with Free Shipping]])</f>
        <v>28.26</v>
      </c>
      <c r="O979" s="1" t="str">
        <f>TEXT(Sales_Data[[#This Row],[Order Date]], "MM-YYYY")</f>
        <v>05-2019</v>
      </c>
    </row>
    <row r="980" spans="1:15" x14ac:dyDescent="0.3">
      <c r="A980" s="1">
        <v>1154</v>
      </c>
      <c r="B980" s="2">
        <v>43509</v>
      </c>
      <c r="C980" s="1" t="s">
        <v>12</v>
      </c>
      <c r="D980" s="1">
        <v>23</v>
      </c>
      <c r="E980" t="s">
        <v>14</v>
      </c>
      <c r="F980" t="s">
        <v>14</v>
      </c>
      <c r="G980" s="1">
        <v>123.16</v>
      </c>
      <c r="H980">
        <v>0</v>
      </c>
      <c r="I980">
        <f>Sales_Data[[#This Row],[Sales]]*Sales_Data[[#This Row],[Discount]]</f>
        <v>0</v>
      </c>
      <c r="J980">
        <v>123.16</v>
      </c>
      <c r="K980" s="1">
        <v>0.5</v>
      </c>
      <c r="L980" s="1">
        <v>123.16</v>
      </c>
      <c r="M980" s="1" t="s">
        <v>10</v>
      </c>
      <c r="N980" s="1">
        <f>IF(Sales_Data[[#This Row],[Sales with Discount]]&lt;Sales_Data[[#This Row],[Sales with Free Shipping]],Sales_Data[[#This Row],[Sales with Discount]],Sales_Data[[#This Row],[Sales with Free Shipping]])</f>
        <v>123.16</v>
      </c>
      <c r="O980" s="1" t="str">
        <f>TEXT(Sales_Data[[#This Row],[Order Date]], "MM-YYYY")</f>
        <v>02-2019</v>
      </c>
    </row>
    <row r="981" spans="1:15" x14ac:dyDescent="0.3">
      <c r="A981" s="1">
        <v>55462</v>
      </c>
      <c r="B981" s="2">
        <v>43551</v>
      </c>
      <c r="C981" s="1" t="s">
        <v>14</v>
      </c>
      <c r="D981" s="1">
        <v>31</v>
      </c>
      <c r="E981" t="s">
        <v>21</v>
      </c>
      <c r="F981" t="s">
        <v>21</v>
      </c>
      <c r="G981" s="1">
        <v>1267.45</v>
      </c>
      <c r="H981">
        <v>0</v>
      </c>
      <c r="I981">
        <f>Sales_Data[[#This Row],[Sales]]*Sales_Data[[#This Row],[Discount]]</f>
        <v>0</v>
      </c>
      <c r="J981">
        <v>1267.45</v>
      </c>
      <c r="K981" s="1">
        <v>7.6</v>
      </c>
      <c r="L981" s="1">
        <v>1267.45</v>
      </c>
      <c r="M981" s="1" t="s">
        <v>10</v>
      </c>
      <c r="N981" s="1">
        <f>IF(Sales_Data[[#This Row],[Sales with Discount]]&lt;Sales_Data[[#This Row],[Sales with Free Shipping]],Sales_Data[[#This Row],[Sales with Discount]],Sales_Data[[#This Row],[Sales with Free Shipping]])</f>
        <v>1267.45</v>
      </c>
      <c r="O981" s="1" t="str">
        <f>TEXT(Sales_Data[[#This Row],[Order Date]], "MM-YYYY")</f>
        <v>03-2019</v>
      </c>
    </row>
    <row r="982" spans="1:15" x14ac:dyDescent="0.3">
      <c r="A982" s="1">
        <v>16454</v>
      </c>
      <c r="B982" s="2">
        <v>43596</v>
      </c>
      <c r="C982" s="1" t="s">
        <v>14</v>
      </c>
      <c r="D982" s="1">
        <v>12</v>
      </c>
      <c r="E982" t="s">
        <v>18</v>
      </c>
      <c r="F982" t="s">
        <v>18</v>
      </c>
      <c r="G982" s="1">
        <v>101</v>
      </c>
      <c r="H982">
        <v>0</v>
      </c>
      <c r="I982">
        <f>Sales_Data[[#This Row],[Sales]]*Sales_Data[[#This Row],[Discount]]</f>
        <v>0</v>
      </c>
      <c r="J982">
        <v>101</v>
      </c>
      <c r="K982" s="1">
        <v>6.5</v>
      </c>
      <c r="L982" s="1">
        <v>101</v>
      </c>
      <c r="M982" s="1" t="s">
        <v>10</v>
      </c>
      <c r="N982" s="1">
        <f>IF(Sales_Data[[#This Row],[Sales with Discount]]&lt;Sales_Data[[#This Row],[Sales with Free Shipping]],Sales_Data[[#This Row],[Sales with Discount]],Sales_Data[[#This Row],[Sales with Free Shipping]])</f>
        <v>101</v>
      </c>
      <c r="O982" s="1" t="str">
        <f>TEXT(Sales_Data[[#This Row],[Order Date]], "MM-YYYY")</f>
        <v>05-2019</v>
      </c>
    </row>
    <row r="983" spans="1:15" x14ac:dyDescent="0.3">
      <c r="A983" s="1">
        <v>59456</v>
      </c>
      <c r="B983" s="2">
        <v>43472</v>
      </c>
      <c r="C983" s="1" t="s">
        <v>7</v>
      </c>
      <c r="D983" s="1">
        <v>30</v>
      </c>
      <c r="E983" t="s">
        <v>20</v>
      </c>
      <c r="F983" t="s">
        <v>20</v>
      </c>
      <c r="G983" s="1">
        <v>195.72</v>
      </c>
      <c r="H983">
        <v>0</v>
      </c>
      <c r="I983">
        <f>Sales_Data[[#This Row],[Sales]]*Sales_Data[[#This Row],[Discount]]</f>
        <v>0</v>
      </c>
      <c r="J983">
        <v>195.72</v>
      </c>
      <c r="K983" s="1">
        <v>52.4</v>
      </c>
      <c r="L983" s="1">
        <v>195.72</v>
      </c>
      <c r="M983" s="1" t="s">
        <v>10</v>
      </c>
      <c r="N983" s="1">
        <f>IF(Sales_Data[[#This Row],[Sales with Discount]]&lt;Sales_Data[[#This Row],[Sales with Free Shipping]],Sales_Data[[#This Row],[Sales with Discount]],Sales_Data[[#This Row],[Sales with Free Shipping]])</f>
        <v>195.72</v>
      </c>
      <c r="O983" s="1" t="str">
        <f>TEXT(Sales_Data[[#This Row],[Order Date]], "MM-YYYY")</f>
        <v>01-2019</v>
      </c>
    </row>
    <row r="984" spans="1:15" x14ac:dyDescent="0.3">
      <c r="A984" s="1">
        <v>11782</v>
      </c>
      <c r="B984" s="2">
        <v>43674</v>
      </c>
      <c r="C984" s="1" t="s">
        <v>7</v>
      </c>
      <c r="D984" s="1">
        <v>46</v>
      </c>
      <c r="E984" t="s">
        <v>24</v>
      </c>
      <c r="F984" t="s">
        <v>24</v>
      </c>
      <c r="G984" s="1">
        <v>264.51</v>
      </c>
      <c r="H984">
        <v>0.01</v>
      </c>
      <c r="I984">
        <f>Sales_Data[[#This Row],[Sales]]*Sales_Data[[#This Row],[Discount]]</f>
        <v>2.6450999999999998</v>
      </c>
      <c r="J984">
        <v>261.86489999999998</v>
      </c>
      <c r="K984" s="1">
        <v>5.0999999999999996</v>
      </c>
      <c r="L984" s="1">
        <v>259.40999999999997</v>
      </c>
      <c r="M984" s="1" t="s">
        <v>10</v>
      </c>
      <c r="N984" s="1">
        <f>IF(Sales_Data[[#This Row],[Sales with Discount]]&lt;Sales_Data[[#This Row],[Sales with Free Shipping]],Sales_Data[[#This Row],[Sales with Discount]],Sales_Data[[#This Row],[Sales with Free Shipping]])</f>
        <v>259.40999999999997</v>
      </c>
      <c r="O984" s="1" t="str">
        <f>TEXT(Sales_Data[[#This Row],[Order Date]], "MM-YYYY")</f>
        <v>07-2019</v>
      </c>
    </row>
    <row r="985" spans="1:15" x14ac:dyDescent="0.3">
      <c r="A985" s="1">
        <v>45127</v>
      </c>
      <c r="B985" s="2">
        <v>43829</v>
      </c>
      <c r="C985" s="1" t="s">
        <v>14</v>
      </c>
      <c r="D985" s="1">
        <v>10</v>
      </c>
      <c r="E985" t="s">
        <v>17</v>
      </c>
      <c r="F985" t="s">
        <v>17</v>
      </c>
      <c r="G985" s="1">
        <v>15.140499999999999</v>
      </c>
      <c r="H985">
        <v>0</v>
      </c>
      <c r="I985">
        <f>Sales_Data[[#This Row],[Sales]]*Sales_Data[[#This Row],[Discount]]</f>
        <v>0</v>
      </c>
      <c r="J985">
        <v>15.140499999999999</v>
      </c>
      <c r="K985" s="1">
        <v>0.7</v>
      </c>
      <c r="L985" s="1">
        <v>15.140499999999999</v>
      </c>
      <c r="M985" s="1" t="s">
        <v>10</v>
      </c>
      <c r="N985" s="1">
        <f>IF(Sales_Data[[#This Row],[Sales with Discount]]&lt;Sales_Data[[#This Row],[Sales with Free Shipping]],Sales_Data[[#This Row],[Sales with Discount]],Sales_Data[[#This Row],[Sales with Free Shipping]])</f>
        <v>15.140499999999999</v>
      </c>
      <c r="O985" s="1" t="str">
        <f>TEXT(Sales_Data[[#This Row],[Order Date]], "MM-YYYY")</f>
        <v>12-2019</v>
      </c>
    </row>
    <row r="986" spans="1:15" x14ac:dyDescent="0.3">
      <c r="A986" s="1">
        <v>9409</v>
      </c>
      <c r="B986" s="2">
        <v>43590</v>
      </c>
      <c r="C986" s="1" t="s">
        <v>12</v>
      </c>
      <c r="D986" s="1">
        <v>12</v>
      </c>
      <c r="E986" t="s">
        <v>18</v>
      </c>
      <c r="F986" t="s">
        <v>18</v>
      </c>
      <c r="G986" s="1">
        <v>1832.55</v>
      </c>
      <c r="H986">
        <v>0</v>
      </c>
      <c r="I986">
        <f>Sales_Data[[#This Row],[Sales]]*Sales_Data[[#This Row],[Discount]]</f>
        <v>0</v>
      </c>
      <c r="J986">
        <v>1832.55</v>
      </c>
      <c r="K986" s="1">
        <v>4.3</v>
      </c>
      <c r="L986" s="1">
        <v>1832.55</v>
      </c>
      <c r="M986" s="1" t="s">
        <v>10</v>
      </c>
      <c r="N986" s="1">
        <f>IF(Sales_Data[[#This Row],[Sales with Discount]]&lt;Sales_Data[[#This Row],[Sales with Free Shipping]],Sales_Data[[#This Row],[Sales with Discount]],Sales_Data[[#This Row],[Sales with Free Shipping]])</f>
        <v>1832.55</v>
      </c>
      <c r="O986" s="1" t="str">
        <f>TEXT(Sales_Data[[#This Row],[Order Date]], "MM-YYYY")</f>
        <v>05-2019</v>
      </c>
    </row>
    <row r="987" spans="1:15" x14ac:dyDescent="0.3">
      <c r="A987" s="1">
        <v>36132</v>
      </c>
      <c r="B987" s="2">
        <v>43564</v>
      </c>
      <c r="C987" s="1" t="s">
        <v>7</v>
      </c>
      <c r="D987" s="1">
        <v>3</v>
      </c>
      <c r="E987" t="s">
        <v>16</v>
      </c>
      <c r="F987" t="s">
        <v>16</v>
      </c>
      <c r="G987" s="1">
        <v>646.9</v>
      </c>
      <c r="H987">
        <v>0</v>
      </c>
      <c r="I987">
        <f>Sales_Data[[#This Row],[Sales]]*Sales_Data[[#This Row],[Discount]]</f>
        <v>0</v>
      </c>
      <c r="J987">
        <v>646.9</v>
      </c>
      <c r="K987" s="1">
        <v>63.4</v>
      </c>
      <c r="L987" s="1">
        <v>646.9</v>
      </c>
      <c r="M987" s="1" t="s">
        <v>13</v>
      </c>
      <c r="N987" s="1">
        <f>IF(Sales_Data[[#This Row],[Sales with Discount]]&lt;Sales_Data[[#This Row],[Sales with Free Shipping]],Sales_Data[[#This Row],[Sales with Discount]],Sales_Data[[#This Row],[Sales with Free Shipping]])</f>
        <v>646.9</v>
      </c>
      <c r="O987" s="1" t="str">
        <f>TEXT(Sales_Data[[#This Row],[Order Date]], "MM-YYYY")</f>
        <v>04-2019</v>
      </c>
    </row>
    <row r="988" spans="1:15" x14ac:dyDescent="0.3">
      <c r="A988" s="1">
        <v>30913</v>
      </c>
      <c r="B988" s="2">
        <v>43730</v>
      </c>
      <c r="C988" s="1" t="s">
        <v>14</v>
      </c>
      <c r="D988" s="1">
        <v>36</v>
      </c>
      <c r="E988" t="s">
        <v>22</v>
      </c>
      <c r="F988" t="s">
        <v>22</v>
      </c>
      <c r="G988" s="1">
        <v>851.21</v>
      </c>
      <c r="H988">
        <v>0.01</v>
      </c>
      <c r="I988">
        <f>Sales_Data[[#This Row],[Sales]]*Sales_Data[[#This Row],[Discount]]</f>
        <v>8.5121000000000002</v>
      </c>
      <c r="J988">
        <v>842.6979</v>
      </c>
      <c r="K988" s="1">
        <v>2.1</v>
      </c>
      <c r="L988" s="1">
        <v>849.11</v>
      </c>
      <c r="M988" s="1" t="s">
        <v>10</v>
      </c>
      <c r="N988" s="1">
        <f>IF(Sales_Data[[#This Row],[Sales with Discount]]&lt;Sales_Data[[#This Row],[Sales with Free Shipping]],Sales_Data[[#This Row],[Sales with Discount]],Sales_Data[[#This Row],[Sales with Free Shipping]])</f>
        <v>842.6979</v>
      </c>
      <c r="O988" s="1" t="str">
        <f>TEXT(Sales_Data[[#This Row],[Order Date]], "MM-YYYY")</f>
        <v>09-2019</v>
      </c>
    </row>
    <row r="989" spans="1:15" x14ac:dyDescent="0.3">
      <c r="A989" s="1">
        <v>5767</v>
      </c>
      <c r="B989" s="2">
        <v>43583</v>
      </c>
      <c r="C989" s="1" t="s">
        <v>9</v>
      </c>
      <c r="D989" s="1">
        <v>36</v>
      </c>
      <c r="E989" t="s">
        <v>22</v>
      </c>
      <c r="F989" t="s">
        <v>22</v>
      </c>
      <c r="G989" s="1">
        <v>174.99</v>
      </c>
      <c r="H989">
        <v>0.01</v>
      </c>
      <c r="I989">
        <f>Sales_Data[[#This Row],[Sales]]*Sales_Data[[#This Row],[Discount]]</f>
        <v>1.7499000000000002</v>
      </c>
      <c r="J989">
        <v>173.24010000000001</v>
      </c>
      <c r="K989" s="1">
        <v>5.4</v>
      </c>
      <c r="L989" s="1">
        <v>169.59</v>
      </c>
      <c r="M989" s="1" t="s">
        <v>8</v>
      </c>
      <c r="N989" s="1">
        <f>IF(Sales_Data[[#This Row],[Sales with Discount]]&lt;Sales_Data[[#This Row],[Sales with Free Shipping]],Sales_Data[[#This Row],[Sales with Discount]],Sales_Data[[#This Row],[Sales with Free Shipping]])</f>
        <v>169.59</v>
      </c>
      <c r="O989" s="1" t="str">
        <f>TEXT(Sales_Data[[#This Row],[Order Date]], "MM-YYYY")</f>
        <v>04-2019</v>
      </c>
    </row>
    <row r="990" spans="1:15" x14ac:dyDescent="0.3">
      <c r="A990" s="1">
        <v>36803</v>
      </c>
      <c r="B990" s="2">
        <v>43681</v>
      </c>
      <c r="C990" s="1" t="s">
        <v>11</v>
      </c>
      <c r="D990" s="1">
        <v>2</v>
      </c>
      <c r="E990" t="s">
        <v>16</v>
      </c>
      <c r="F990" t="s">
        <v>16</v>
      </c>
      <c r="G990" s="1">
        <v>20.350000000000001</v>
      </c>
      <c r="H990">
        <v>0</v>
      </c>
      <c r="I990">
        <f>Sales_Data[[#This Row],[Sales]]*Sales_Data[[#This Row],[Discount]]</f>
        <v>0</v>
      </c>
      <c r="J990">
        <v>20.350000000000001</v>
      </c>
      <c r="K990" s="1">
        <v>5.7</v>
      </c>
      <c r="L990" s="1">
        <v>20.350000000000001</v>
      </c>
      <c r="M990" s="1" t="s">
        <v>8</v>
      </c>
      <c r="N990" s="1">
        <f>IF(Sales_Data[[#This Row],[Sales with Discount]]&lt;Sales_Data[[#This Row],[Sales with Free Shipping]],Sales_Data[[#This Row],[Sales with Discount]],Sales_Data[[#This Row],[Sales with Free Shipping]])</f>
        <v>20.350000000000001</v>
      </c>
      <c r="O990" s="1" t="str">
        <f>TEXT(Sales_Data[[#This Row],[Order Date]], "MM-YYYY")</f>
        <v>08-2019</v>
      </c>
    </row>
    <row r="991" spans="1:15" x14ac:dyDescent="0.3">
      <c r="A991" s="1">
        <v>23489</v>
      </c>
      <c r="B991" s="2">
        <v>43705</v>
      </c>
      <c r="C991" s="1" t="s">
        <v>9</v>
      </c>
      <c r="D991" s="1">
        <v>42</v>
      </c>
      <c r="E991" t="s">
        <v>23</v>
      </c>
      <c r="F991" t="s">
        <v>23</v>
      </c>
      <c r="G991" s="1">
        <v>2144.92</v>
      </c>
      <c r="H991">
        <v>0.01</v>
      </c>
      <c r="I991">
        <f>Sales_Data[[#This Row],[Sales]]*Sales_Data[[#This Row],[Discount]]</f>
        <v>21.449200000000001</v>
      </c>
      <c r="J991">
        <v>2123.4708000000001</v>
      </c>
      <c r="K991" s="1">
        <v>3.9</v>
      </c>
      <c r="L991" s="1">
        <v>2141.02</v>
      </c>
      <c r="M991" s="1" t="s">
        <v>8</v>
      </c>
      <c r="N991" s="1">
        <f>IF(Sales_Data[[#This Row],[Sales with Discount]]&lt;Sales_Data[[#This Row],[Sales with Free Shipping]],Sales_Data[[#This Row],[Sales with Discount]],Sales_Data[[#This Row],[Sales with Free Shipping]])</f>
        <v>2123.4708000000001</v>
      </c>
      <c r="O991" s="1" t="str">
        <f>TEXT(Sales_Data[[#This Row],[Order Date]], "MM-YYYY")</f>
        <v>08-2019</v>
      </c>
    </row>
    <row r="992" spans="1:15" x14ac:dyDescent="0.3">
      <c r="A992" s="1">
        <v>19652</v>
      </c>
      <c r="B992" s="2">
        <v>43618</v>
      </c>
      <c r="C992" s="1" t="s">
        <v>12</v>
      </c>
      <c r="D992" s="1">
        <v>28</v>
      </c>
      <c r="E992" t="s">
        <v>20</v>
      </c>
      <c r="F992" t="s">
        <v>20</v>
      </c>
      <c r="G992" s="1">
        <v>2900.92</v>
      </c>
      <c r="H992">
        <v>0</v>
      </c>
      <c r="I992">
        <f>Sales_Data[[#This Row],[Sales]]*Sales_Data[[#This Row],[Discount]]</f>
        <v>0</v>
      </c>
      <c r="J992">
        <v>2900.92</v>
      </c>
      <c r="K992" s="1">
        <v>44.9</v>
      </c>
      <c r="L992" s="1">
        <v>2900.92</v>
      </c>
      <c r="M992" s="1" t="s">
        <v>13</v>
      </c>
      <c r="N992" s="1">
        <f>IF(Sales_Data[[#This Row],[Sales with Discount]]&lt;Sales_Data[[#This Row],[Sales with Free Shipping]],Sales_Data[[#This Row],[Sales with Discount]],Sales_Data[[#This Row],[Sales with Free Shipping]])</f>
        <v>2900.92</v>
      </c>
      <c r="O992" s="1" t="str">
        <f>TEXT(Sales_Data[[#This Row],[Order Date]], "MM-YYYY")</f>
        <v>06-2019</v>
      </c>
    </row>
    <row r="993" spans="1:15" x14ac:dyDescent="0.3">
      <c r="A993" s="1">
        <v>3650</v>
      </c>
      <c r="B993" s="2">
        <v>43612</v>
      </c>
      <c r="C993" s="1" t="s">
        <v>11</v>
      </c>
      <c r="D993" s="1">
        <v>24</v>
      </c>
      <c r="E993" t="s">
        <v>14</v>
      </c>
      <c r="F993" t="s">
        <v>14</v>
      </c>
      <c r="G993" s="1">
        <v>5572.03</v>
      </c>
      <c r="H993">
        <v>0</v>
      </c>
      <c r="I993">
        <f>Sales_Data[[#This Row],[Sales]]*Sales_Data[[#This Row],[Discount]]</f>
        <v>0</v>
      </c>
      <c r="J993">
        <v>5572.03</v>
      </c>
      <c r="K993" s="1">
        <v>68.7</v>
      </c>
      <c r="L993" s="1">
        <v>5572.03</v>
      </c>
      <c r="M993" s="1" t="s">
        <v>13</v>
      </c>
      <c r="N993" s="1">
        <f>IF(Sales_Data[[#This Row],[Sales with Discount]]&lt;Sales_Data[[#This Row],[Sales with Free Shipping]],Sales_Data[[#This Row],[Sales with Discount]],Sales_Data[[#This Row],[Sales with Free Shipping]])</f>
        <v>5572.03</v>
      </c>
      <c r="O993" s="1" t="str">
        <f>TEXT(Sales_Data[[#This Row],[Order Date]], "MM-YYYY")</f>
        <v>05-2019</v>
      </c>
    </row>
    <row r="994" spans="1:15" x14ac:dyDescent="0.3">
      <c r="A994" s="1">
        <v>23648</v>
      </c>
      <c r="B994" s="2">
        <v>43732</v>
      </c>
      <c r="C994" s="1" t="s">
        <v>12</v>
      </c>
      <c r="D994" s="1">
        <v>4</v>
      </c>
      <c r="E994" t="s">
        <v>16</v>
      </c>
      <c r="F994" t="s">
        <v>16</v>
      </c>
      <c r="G994" s="1">
        <v>11.4</v>
      </c>
      <c r="H994">
        <v>0</v>
      </c>
      <c r="I994">
        <f>Sales_Data[[#This Row],[Sales]]*Sales_Data[[#This Row],[Discount]]</f>
        <v>0</v>
      </c>
      <c r="J994">
        <v>11.4</v>
      </c>
      <c r="K994" s="1">
        <v>0.5</v>
      </c>
      <c r="L994" s="1">
        <v>11.4</v>
      </c>
      <c r="M994" s="1" t="s">
        <v>10</v>
      </c>
      <c r="N994" s="1">
        <f>IF(Sales_Data[[#This Row],[Sales with Discount]]&lt;Sales_Data[[#This Row],[Sales with Free Shipping]],Sales_Data[[#This Row],[Sales with Discount]],Sales_Data[[#This Row],[Sales with Free Shipping]])</f>
        <v>11.4</v>
      </c>
      <c r="O994" s="1" t="str">
        <f>TEXT(Sales_Data[[#This Row],[Order Date]], "MM-YYYY")</f>
        <v>09-2019</v>
      </c>
    </row>
    <row r="995" spans="1:15" x14ac:dyDescent="0.3">
      <c r="A995" s="1">
        <v>4230</v>
      </c>
      <c r="B995" s="2">
        <v>43527</v>
      </c>
      <c r="C995" s="1" t="s">
        <v>12</v>
      </c>
      <c r="D995" s="1">
        <v>18</v>
      </c>
      <c r="E995" t="s">
        <v>19</v>
      </c>
      <c r="F995" t="s">
        <v>19</v>
      </c>
      <c r="G995" s="1">
        <v>437.8</v>
      </c>
      <c r="H995">
        <v>0</v>
      </c>
      <c r="I995">
        <f>Sales_Data[[#This Row],[Sales]]*Sales_Data[[#This Row],[Discount]]</f>
        <v>0</v>
      </c>
      <c r="J995">
        <v>437.8</v>
      </c>
      <c r="K995" s="1">
        <v>9.6</v>
      </c>
      <c r="L995" s="1">
        <v>437.8</v>
      </c>
      <c r="M995" s="1" t="s">
        <v>10</v>
      </c>
      <c r="N995" s="1">
        <f>IF(Sales_Data[[#This Row],[Sales with Discount]]&lt;Sales_Data[[#This Row],[Sales with Free Shipping]],Sales_Data[[#This Row],[Sales with Discount]],Sales_Data[[#This Row],[Sales with Free Shipping]])</f>
        <v>437.8</v>
      </c>
      <c r="O995" s="1" t="str">
        <f>TEXT(Sales_Data[[#This Row],[Order Date]], "MM-YYYY")</f>
        <v>03-2019</v>
      </c>
    </row>
    <row r="996" spans="1:15" x14ac:dyDescent="0.3">
      <c r="A996" s="1">
        <v>13158</v>
      </c>
      <c r="B996" s="2">
        <v>43789</v>
      </c>
      <c r="C996" s="1" t="s">
        <v>12</v>
      </c>
      <c r="D996" s="1">
        <v>26</v>
      </c>
      <c r="E996" t="s">
        <v>20</v>
      </c>
      <c r="F996" t="s">
        <v>20</v>
      </c>
      <c r="G996" s="1">
        <v>200.26</v>
      </c>
      <c r="H996">
        <v>0</v>
      </c>
      <c r="I996">
        <f>Sales_Data[[#This Row],[Sales]]*Sales_Data[[#This Row],[Discount]]</f>
        <v>0</v>
      </c>
      <c r="J996">
        <v>200.26</v>
      </c>
      <c r="K996" s="1">
        <v>3.2</v>
      </c>
      <c r="L996" s="1">
        <v>200.26</v>
      </c>
      <c r="M996" s="1" t="s">
        <v>10</v>
      </c>
      <c r="N996" s="1">
        <f>IF(Sales_Data[[#This Row],[Sales with Discount]]&lt;Sales_Data[[#This Row],[Sales with Free Shipping]],Sales_Data[[#This Row],[Sales with Discount]],Sales_Data[[#This Row],[Sales with Free Shipping]])</f>
        <v>200.26</v>
      </c>
      <c r="O996" s="1" t="str">
        <f>TEXT(Sales_Data[[#This Row],[Order Date]], "MM-YYYY")</f>
        <v>11-2019</v>
      </c>
    </row>
    <row r="997" spans="1:15" x14ac:dyDescent="0.3">
      <c r="A997" s="1">
        <v>8039</v>
      </c>
      <c r="B997" s="2">
        <v>43700</v>
      </c>
      <c r="C997" s="1" t="s">
        <v>14</v>
      </c>
      <c r="D997" s="1">
        <v>37</v>
      </c>
      <c r="E997" t="s">
        <v>22</v>
      </c>
      <c r="F997" t="s">
        <v>22</v>
      </c>
      <c r="G997" s="1">
        <v>1283.68</v>
      </c>
      <c r="H997">
        <v>0.01</v>
      </c>
      <c r="I997">
        <f>Sales_Data[[#This Row],[Sales]]*Sales_Data[[#This Row],[Discount]]</f>
        <v>12.8368</v>
      </c>
      <c r="J997">
        <v>1270.8432</v>
      </c>
      <c r="K997" s="1">
        <v>20.9</v>
      </c>
      <c r="L997" s="1">
        <v>1262.78</v>
      </c>
      <c r="M997" s="1" t="s">
        <v>10</v>
      </c>
      <c r="N997" s="1">
        <f>IF(Sales_Data[[#This Row],[Sales with Discount]]&lt;Sales_Data[[#This Row],[Sales with Free Shipping]],Sales_Data[[#This Row],[Sales with Discount]],Sales_Data[[#This Row],[Sales with Free Shipping]])</f>
        <v>1262.78</v>
      </c>
      <c r="O997" s="1" t="str">
        <f>TEXT(Sales_Data[[#This Row],[Order Date]], "MM-YYYY")</f>
        <v>08-2019</v>
      </c>
    </row>
    <row r="998" spans="1:15" x14ac:dyDescent="0.3">
      <c r="A998" s="1">
        <v>7106</v>
      </c>
      <c r="B998" s="2">
        <v>43595</v>
      </c>
      <c r="C998" s="1" t="s">
        <v>7</v>
      </c>
      <c r="D998" s="1">
        <v>8</v>
      </c>
      <c r="E998" t="s">
        <v>17</v>
      </c>
      <c r="F998" t="s">
        <v>17</v>
      </c>
      <c r="G998" s="1">
        <v>127.31</v>
      </c>
      <c r="H998">
        <v>0</v>
      </c>
      <c r="I998">
        <f>Sales_Data[[#This Row],[Sales]]*Sales_Data[[#This Row],[Discount]]</f>
        <v>0</v>
      </c>
      <c r="J998">
        <v>127.31</v>
      </c>
      <c r="K998" s="1">
        <v>7.8</v>
      </c>
      <c r="L998" s="1">
        <v>127.31</v>
      </c>
      <c r="M998" s="1" t="s">
        <v>10</v>
      </c>
      <c r="N998" s="1">
        <f>IF(Sales_Data[[#This Row],[Sales with Discount]]&lt;Sales_Data[[#This Row],[Sales with Free Shipping]],Sales_Data[[#This Row],[Sales with Discount]],Sales_Data[[#This Row],[Sales with Free Shipping]])</f>
        <v>127.31</v>
      </c>
      <c r="O998" s="1" t="str">
        <f>TEXT(Sales_Data[[#This Row],[Order Date]], "MM-YYYY")</f>
        <v>05-2019</v>
      </c>
    </row>
    <row r="999" spans="1:15" x14ac:dyDescent="0.3">
      <c r="A999" s="1">
        <v>29218</v>
      </c>
      <c r="B999" s="2">
        <v>43614</v>
      </c>
      <c r="C999" s="1" t="s">
        <v>7</v>
      </c>
      <c r="D999" s="1">
        <v>26</v>
      </c>
      <c r="E999" t="s">
        <v>20</v>
      </c>
      <c r="F999" t="s">
        <v>20</v>
      </c>
      <c r="G999" s="1">
        <v>79.2</v>
      </c>
      <c r="H999">
        <v>0</v>
      </c>
      <c r="I999">
        <f>Sales_Data[[#This Row],[Sales]]*Sales_Data[[#This Row],[Discount]]</f>
        <v>0</v>
      </c>
      <c r="J999">
        <v>79.2</v>
      </c>
      <c r="K999" s="1">
        <v>0.7</v>
      </c>
      <c r="L999" s="1">
        <v>79.2</v>
      </c>
      <c r="M999" s="1" t="s">
        <v>10</v>
      </c>
      <c r="N999" s="1">
        <f>IF(Sales_Data[[#This Row],[Sales with Discount]]&lt;Sales_Data[[#This Row],[Sales with Free Shipping]],Sales_Data[[#This Row],[Sales with Discount]],Sales_Data[[#This Row],[Sales with Free Shipping]])</f>
        <v>79.2</v>
      </c>
      <c r="O999" s="1" t="str">
        <f>TEXT(Sales_Data[[#This Row],[Order Date]], "MM-YYYY")</f>
        <v>05-2019</v>
      </c>
    </row>
    <row r="1000" spans="1:15" x14ac:dyDescent="0.3">
      <c r="A1000" s="1">
        <v>17543</v>
      </c>
      <c r="B1000" s="2">
        <v>43610</v>
      </c>
      <c r="C1000" s="1" t="s">
        <v>12</v>
      </c>
      <c r="D1000" s="1">
        <v>26</v>
      </c>
      <c r="E1000" t="s">
        <v>20</v>
      </c>
      <c r="F1000" t="s">
        <v>20</v>
      </c>
      <c r="G1000" s="1">
        <v>4601.67</v>
      </c>
      <c r="H1000">
        <v>0</v>
      </c>
      <c r="I1000">
        <f>Sales_Data[[#This Row],[Sales]]*Sales_Data[[#This Row],[Discount]]</f>
        <v>0</v>
      </c>
      <c r="J1000">
        <v>4601.67</v>
      </c>
      <c r="K1000" s="1">
        <v>8.6</v>
      </c>
      <c r="L1000" s="1">
        <v>4601.67</v>
      </c>
      <c r="M1000" s="1" t="s">
        <v>10</v>
      </c>
      <c r="N1000" s="1">
        <f>IF(Sales_Data[[#This Row],[Sales with Discount]]&lt;Sales_Data[[#This Row],[Sales with Free Shipping]],Sales_Data[[#This Row],[Sales with Discount]],Sales_Data[[#This Row],[Sales with Free Shipping]])</f>
        <v>4601.67</v>
      </c>
      <c r="O1000" s="1" t="str">
        <f>TEXT(Sales_Data[[#This Row],[Order Date]], "MM-YYYY")</f>
        <v>05-2019</v>
      </c>
    </row>
    <row r="1001" spans="1:15" x14ac:dyDescent="0.3">
      <c r="A1001" s="1">
        <v>17953</v>
      </c>
      <c r="B1001" s="2">
        <v>43697</v>
      </c>
      <c r="C1001" s="1" t="s">
        <v>9</v>
      </c>
      <c r="D1001" s="1">
        <v>17</v>
      </c>
      <c r="E1001" t="s">
        <v>19</v>
      </c>
      <c r="F1001" t="s">
        <v>19</v>
      </c>
      <c r="G1001" s="1">
        <v>112.82</v>
      </c>
      <c r="H1001">
        <v>0</v>
      </c>
      <c r="I1001">
        <f>Sales_Data[[#This Row],[Sales]]*Sales_Data[[#This Row],[Discount]]</f>
        <v>0</v>
      </c>
      <c r="J1001">
        <v>112.82</v>
      </c>
      <c r="K1001" s="1">
        <v>1.3</v>
      </c>
      <c r="L1001" s="1">
        <v>112.82</v>
      </c>
      <c r="M1001" s="1" t="s">
        <v>10</v>
      </c>
      <c r="N1001" s="1">
        <f>IF(Sales_Data[[#This Row],[Sales with Discount]]&lt;Sales_Data[[#This Row],[Sales with Free Shipping]],Sales_Data[[#This Row],[Sales with Discount]],Sales_Data[[#This Row],[Sales with Free Shipping]])</f>
        <v>112.82</v>
      </c>
      <c r="O1001" s="1" t="str">
        <f>TEXT(Sales_Data[[#This Row],[Order Date]], "MM-YYYY")</f>
        <v>08-2019</v>
      </c>
    </row>
    <row r="1002" spans="1:15" x14ac:dyDescent="0.3">
      <c r="A1002" s="1">
        <v>3361</v>
      </c>
      <c r="B1002" s="2">
        <v>43699</v>
      </c>
      <c r="C1002" s="1" t="s">
        <v>11</v>
      </c>
      <c r="D1002" s="1">
        <v>49</v>
      </c>
      <c r="E1002" t="s">
        <v>24</v>
      </c>
      <c r="F1002" t="s">
        <v>24</v>
      </c>
      <c r="G1002" s="1">
        <v>228.67</v>
      </c>
      <c r="H1002">
        <v>0.01</v>
      </c>
      <c r="I1002">
        <f>Sales_Data[[#This Row],[Sales]]*Sales_Data[[#This Row],[Discount]]</f>
        <v>2.2866999999999997</v>
      </c>
      <c r="J1002">
        <v>226.38329999999999</v>
      </c>
      <c r="K1002" s="1">
        <v>7.2</v>
      </c>
      <c r="L1002" s="1">
        <v>221.47</v>
      </c>
      <c r="M1002" s="1" t="s">
        <v>10</v>
      </c>
      <c r="N1002" s="1">
        <f>IF(Sales_Data[[#This Row],[Sales with Discount]]&lt;Sales_Data[[#This Row],[Sales with Free Shipping]],Sales_Data[[#This Row],[Sales with Discount]],Sales_Data[[#This Row],[Sales with Free Shipping]])</f>
        <v>221.47</v>
      </c>
      <c r="O1002" s="1" t="str">
        <f>TEXT(Sales_Data[[#This Row],[Order Date]], "MM-YYYY")</f>
        <v>08-2019</v>
      </c>
    </row>
    <row r="1003" spans="1:15" x14ac:dyDescent="0.3">
      <c r="A1003" s="1">
        <v>55749</v>
      </c>
      <c r="B1003" s="2">
        <v>43588</v>
      </c>
      <c r="C1003" s="1" t="s">
        <v>12</v>
      </c>
      <c r="D1003" s="1">
        <v>42</v>
      </c>
      <c r="E1003" t="s">
        <v>23</v>
      </c>
      <c r="F1003" t="s">
        <v>23</v>
      </c>
      <c r="G1003" s="1">
        <v>390.34</v>
      </c>
      <c r="H1003">
        <v>0.01</v>
      </c>
      <c r="I1003">
        <f>Sales_Data[[#This Row],[Sales]]*Sales_Data[[#This Row],[Discount]]</f>
        <v>3.9034</v>
      </c>
      <c r="J1003">
        <v>386.4366</v>
      </c>
      <c r="K1003" s="1">
        <v>1.5</v>
      </c>
      <c r="L1003" s="1">
        <v>388.84</v>
      </c>
      <c r="M1003" s="1" t="s">
        <v>10</v>
      </c>
      <c r="N1003" s="1">
        <f>IF(Sales_Data[[#This Row],[Sales with Discount]]&lt;Sales_Data[[#This Row],[Sales with Free Shipping]],Sales_Data[[#This Row],[Sales with Discount]],Sales_Data[[#This Row],[Sales with Free Shipping]])</f>
        <v>386.4366</v>
      </c>
      <c r="O1003" s="1" t="str">
        <f>TEXT(Sales_Data[[#This Row],[Order Date]], "MM-YYYY")</f>
        <v>05-2019</v>
      </c>
    </row>
    <row r="1004" spans="1:15" x14ac:dyDescent="0.3">
      <c r="A1004" s="1">
        <v>56291</v>
      </c>
      <c r="B1004" s="2">
        <v>43725</v>
      </c>
      <c r="C1004" s="1" t="s">
        <v>11</v>
      </c>
      <c r="D1004" s="1">
        <v>22</v>
      </c>
      <c r="E1004" t="s">
        <v>14</v>
      </c>
      <c r="F1004" t="s">
        <v>14</v>
      </c>
      <c r="G1004" s="1">
        <v>11794.11</v>
      </c>
      <c r="H1004">
        <v>0</v>
      </c>
      <c r="I1004">
        <f>Sales_Data[[#This Row],[Sales]]*Sales_Data[[#This Row],[Discount]]</f>
        <v>0</v>
      </c>
      <c r="J1004">
        <v>11794.11</v>
      </c>
      <c r="K1004" s="1">
        <v>17.8</v>
      </c>
      <c r="L1004" s="1">
        <v>11794.11</v>
      </c>
      <c r="M1004" s="1" t="s">
        <v>13</v>
      </c>
      <c r="N1004" s="1">
        <f>IF(Sales_Data[[#This Row],[Sales with Discount]]&lt;Sales_Data[[#This Row],[Sales with Free Shipping]],Sales_Data[[#This Row],[Sales with Discount]],Sales_Data[[#This Row],[Sales with Free Shipping]])</f>
        <v>11794.11</v>
      </c>
      <c r="O1004" s="1" t="str">
        <f>TEXT(Sales_Data[[#This Row],[Order Date]], "MM-YYYY")</f>
        <v>09-2019</v>
      </c>
    </row>
    <row r="1005" spans="1:15" x14ac:dyDescent="0.3">
      <c r="A1005" s="1">
        <v>24450</v>
      </c>
      <c r="B1005" s="2">
        <v>43655</v>
      </c>
      <c r="C1005" s="1" t="s">
        <v>12</v>
      </c>
      <c r="D1005" s="1">
        <v>37</v>
      </c>
      <c r="E1005" t="s">
        <v>22</v>
      </c>
      <c r="F1005" t="s">
        <v>22</v>
      </c>
      <c r="G1005" s="1">
        <v>474.38</v>
      </c>
      <c r="H1005">
        <v>0.01</v>
      </c>
      <c r="I1005">
        <f>Sales_Data[[#This Row],[Sales]]*Sales_Data[[#This Row],[Discount]]</f>
        <v>4.7438000000000002</v>
      </c>
      <c r="J1005">
        <v>469.63619999999997</v>
      </c>
      <c r="K1005" s="1">
        <v>5.3</v>
      </c>
      <c r="L1005" s="1">
        <v>469.08</v>
      </c>
      <c r="M1005" s="1" t="s">
        <v>10</v>
      </c>
      <c r="N1005" s="1">
        <f>IF(Sales_Data[[#This Row],[Sales with Discount]]&lt;Sales_Data[[#This Row],[Sales with Free Shipping]],Sales_Data[[#This Row],[Sales with Discount]],Sales_Data[[#This Row],[Sales with Free Shipping]])</f>
        <v>469.08</v>
      </c>
      <c r="O1005" s="1" t="str">
        <f>TEXT(Sales_Data[[#This Row],[Order Date]], "MM-YYYY")</f>
        <v>07-2019</v>
      </c>
    </row>
    <row r="1006" spans="1:15" x14ac:dyDescent="0.3">
      <c r="A1006" s="1">
        <v>868</v>
      </c>
      <c r="B1006" s="2">
        <v>43624</v>
      </c>
      <c r="C1006" s="1" t="s">
        <v>11</v>
      </c>
      <c r="D1006" s="1">
        <v>31</v>
      </c>
      <c r="E1006" t="s">
        <v>21</v>
      </c>
      <c r="F1006" t="s">
        <v>21</v>
      </c>
      <c r="G1006" s="1">
        <v>1577.5331000000001</v>
      </c>
      <c r="H1006">
        <v>0</v>
      </c>
      <c r="I1006">
        <f>Sales_Data[[#This Row],[Sales]]*Sales_Data[[#This Row],[Discount]]</f>
        <v>0</v>
      </c>
      <c r="J1006">
        <v>1577.5331000000001</v>
      </c>
      <c r="K1006" s="1">
        <v>3.9</v>
      </c>
      <c r="L1006" s="1">
        <v>1577.5331000000001</v>
      </c>
      <c r="M1006" s="1" t="s">
        <v>10</v>
      </c>
      <c r="N1006" s="1">
        <f>IF(Sales_Data[[#This Row],[Sales with Discount]]&lt;Sales_Data[[#This Row],[Sales with Free Shipping]],Sales_Data[[#This Row],[Sales with Discount]],Sales_Data[[#This Row],[Sales with Free Shipping]])</f>
        <v>1577.5331000000001</v>
      </c>
      <c r="O1006" s="1" t="str">
        <f>TEXT(Sales_Data[[#This Row],[Order Date]], "MM-YYYY")</f>
        <v>06-2019</v>
      </c>
    </row>
    <row r="1007" spans="1:15" x14ac:dyDescent="0.3">
      <c r="A1007" s="1">
        <v>134</v>
      </c>
      <c r="B1007" s="2">
        <v>43585</v>
      </c>
      <c r="C1007" s="1" t="s">
        <v>11</v>
      </c>
      <c r="D1007" s="1">
        <v>11</v>
      </c>
      <c r="E1007" t="s">
        <v>18</v>
      </c>
      <c r="F1007" t="s">
        <v>18</v>
      </c>
      <c r="G1007" s="1">
        <v>1211.8800000000001</v>
      </c>
      <c r="H1007">
        <v>0</v>
      </c>
      <c r="I1007">
        <f>Sales_Data[[#This Row],[Sales]]*Sales_Data[[#This Row],[Discount]]</f>
        <v>0</v>
      </c>
      <c r="J1007">
        <v>1211.8800000000001</v>
      </c>
      <c r="K1007" s="1">
        <v>37.5</v>
      </c>
      <c r="L1007" s="1">
        <v>1211.8800000000001</v>
      </c>
      <c r="M1007" s="1" t="s">
        <v>10</v>
      </c>
      <c r="N1007" s="1">
        <f>IF(Sales_Data[[#This Row],[Sales with Discount]]&lt;Sales_Data[[#This Row],[Sales with Free Shipping]],Sales_Data[[#This Row],[Sales with Discount]],Sales_Data[[#This Row],[Sales with Free Shipping]])</f>
        <v>1211.8800000000001</v>
      </c>
      <c r="O1007" s="1" t="str">
        <f>TEXT(Sales_Data[[#This Row],[Order Date]], "MM-YYYY")</f>
        <v>04-2019</v>
      </c>
    </row>
    <row r="1008" spans="1:15" x14ac:dyDescent="0.3">
      <c r="A1008" s="1">
        <v>38912</v>
      </c>
      <c r="B1008" s="2">
        <v>43766</v>
      </c>
      <c r="C1008" s="1" t="s">
        <v>7</v>
      </c>
      <c r="D1008" s="1">
        <v>26</v>
      </c>
      <c r="E1008" t="s">
        <v>20</v>
      </c>
      <c r="F1008" t="s">
        <v>20</v>
      </c>
      <c r="G1008" s="1">
        <v>1621.01</v>
      </c>
      <c r="H1008">
        <v>0</v>
      </c>
      <c r="I1008">
        <f>Sales_Data[[#This Row],[Sales]]*Sales_Data[[#This Row],[Discount]]</f>
        <v>0</v>
      </c>
      <c r="J1008">
        <v>1621.01</v>
      </c>
      <c r="K1008" s="1">
        <v>5.3</v>
      </c>
      <c r="L1008" s="1">
        <v>1621.01</v>
      </c>
      <c r="M1008" s="1" t="s">
        <v>10</v>
      </c>
      <c r="N1008" s="1">
        <f>IF(Sales_Data[[#This Row],[Sales with Discount]]&lt;Sales_Data[[#This Row],[Sales with Free Shipping]],Sales_Data[[#This Row],[Sales with Discount]],Sales_Data[[#This Row],[Sales with Free Shipping]])</f>
        <v>1621.01</v>
      </c>
      <c r="O1008" s="1" t="str">
        <f>TEXT(Sales_Data[[#This Row],[Order Date]], "MM-YYYY")</f>
        <v>10-2019</v>
      </c>
    </row>
    <row r="1009" spans="1:15" x14ac:dyDescent="0.3">
      <c r="A1009" s="1">
        <v>48993</v>
      </c>
      <c r="B1009" s="2">
        <v>43616</v>
      </c>
      <c r="C1009" s="1" t="s">
        <v>7</v>
      </c>
      <c r="D1009" s="1">
        <v>17</v>
      </c>
      <c r="E1009" t="s">
        <v>19</v>
      </c>
      <c r="F1009" t="s">
        <v>19</v>
      </c>
      <c r="G1009" s="1">
        <v>130.99</v>
      </c>
      <c r="H1009">
        <v>0</v>
      </c>
      <c r="I1009">
        <f>Sales_Data[[#This Row],[Sales]]*Sales_Data[[#This Row],[Discount]]</f>
        <v>0</v>
      </c>
      <c r="J1009">
        <v>130.99</v>
      </c>
      <c r="K1009" s="1">
        <v>6.7</v>
      </c>
      <c r="L1009" s="1">
        <v>130.99</v>
      </c>
      <c r="M1009" s="1" t="s">
        <v>8</v>
      </c>
      <c r="N1009" s="1">
        <f>IF(Sales_Data[[#This Row],[Sales with Discount]]&lt;Sales_Data[[#This Row],[Sales with Free Shipping]],Sales_Data[[#This Row],[Sales with Discount]],Sales_Data[[#This Row],[Sales with Free Shipping]])</f>
        <v>130.99</v>
      </c>
      <c r="O1009" s="1" t="str">
        <f>TEXT(Sales_Data[[#This Row],[Order Date]], "MM-YYYY")</f>
        <v>05-2019</v>
      </c>
    </row>
    <row r="1010" spans="1:15" x14ac:dyDescent="0.3">
      <c r="A1010" s="1">
        <v>9347</v>
      </c>
      <c r="B1010" s="2">
        <v>43686</v>
      </c>
      <c r="C1010" s="1" t="s">
        <v>7</v>
      </c>
      <c r="D1010" s="1">
        <v>31</v>
      </c>
      <c r="E1010" t="s">
        <v>21</v>
      </c>
      <c r="F1010" t="s">
        <v>21</v>
      </c>
      <c r="G1010" s="1">
        <v>140.38</v>
      </c>
      <c r="H1010">
        <v>0</v>
      </c>
      <c r="I1010">
        <f>Sales_Data[[#This Row],[Sales]]*Sales_Data[[#This Row],[Discount]]</f>
        <v>0</v>
      </c>
      <c r="J1010">
        <v>140.38</v>
      </c>
      <c r="K1010" s="1">
        <v>5.5</v>
      </c>
      <c r="L1010" s="1">
        <v>140.38</v>
      </c>
      <c r="M1010" s="1" t="s">
        <v>10</v>
      </c>
      <c r="N1010" s="1">
        <f>IF(Sales_Data[[#This Row],[Sales with Discount]]&lt;Sales_Data[[#This Row],[Sales with Free Shipping]],Sales_Data[[#This Row],[Sales with Discount]],Sales_Data[[#This Row],[Sales with Free Shipping]])</f>
        <v>140.38</v>
      </c>
      <c r="O1010" s="1" t="str">
        <f>TEXT(Sales_Data[[#This Row],[Order Date]], "MM-YYYY")</f>
        <v>08-2019</v>
      </c>
    </row>
    <row r="1011" spans="1:15" x14ac:dyDescent="0.3">
      <c r="A1011" s="1">
        <v>42887</v>
      </c>
      <c r="B1011" s="2">
        <v>43626</v>
      </c>
      <c r="C1011" s="1" t="s">
        <v>14</v>
      </c>
      <c r="D1011" s="1">
        <v>3</v>
      </c>
      <c r="E1011" t="s">
        <v>16</v>
      </c>
      <c r="F1011" t="s">
        <v>16</v>
      </c>
      <c r="G1011" s="1">
        <v>38.18</v>
      </c>
      <c r="H1011">
        <v>0</v>
      </c>
      <c r="I1011">
        <f>Sales_Data[[#This Row],[Sales]]*Sales_Data[[#This Row],[Discount]]</f>
        <v>0</v>
      </c>
      <c r="J1011">
        <v>38.18</v>
      </c>
      <c r="K1011" s="1">
        <v>6.2</v>
      </c>
      <c r="L1011" s="1">
        <v>38.18</v>
      </c>
      <c r="M1011" s="1" t="s">
        <v>10</v>
      </c>
      <c r="N1011" s="1">
        <f>IF(Sales_Data[[#This Row],[Sales with Discount]]&lt;Sales_Data[[#This Row],[Sales with Free Shipping]],Sales_Data[[#This Row],[Sales with Discount]],Sales_Data[[#This Row],[Sales with Free Shipping]])</f>
        <v>38.18</v>
      </c>
      <c r="O1011" s="1" t="str">
        <f>TEXT(Sales_Data[[#This Row],[Order Date]], "MM-YYYY")</f>
        <v>06-2019</v>
      </c>
    </row>
    <row r="1012" spans="1:15" x14ac:dyDescent="0.3">
      <c r="A1012" s="1">
        <v>32642</v>
      </c>
      <c r="B1012" s="2">
        <v>43553</v>
      </c>
      <c r="C1012" s="1" t="s">
        <v>14</v>
      </c>
      <c r="D1012" s="1">
        <v>50</v>
      </c>
      <c r="E1012" t="s">
        <v>24</v>
      </c>
      <c r="F1012" t="s">
        <v>24</v>
      </c>
      <c r="G1012" s="1">
        <v>1612.66</v>
      </c>
      <c r="H1012">
        <v>0.01</v>
      </c>
      <c r="I1012">
        <f>Sales_Data[[#This Row],[Sales]]*Sales_Data[[#This Row],[Discount]]</f>
        <v>16.1266</v>
      </c>
      <c r="J1012">
        <v>1596.5334</v>
      </c>
      <c r="K1012" s="1">
        <v>2.1</v>
      </c>
      <c r="L1012" s="1">
        <v>1610.5600000000002</v>
      </c>
      <c r="M1012" s="1" t="s">
        <v>10</v>
      </c>
      <c r="N1012" s="1">
        <f>IF(Sales_Data[[#This Row],[Sales with Discount]]&lt;Sales_Data[[#This Row],[Sales with Free Shipping]],Sales_Data[[#This Row],[Sales with Discount]],Sales_Data[[#This Row],[Sales with Free Shipping]])</f>
        <v>1596.5334</v>
      </c>
      <c r="O1012" s="1" t="str">
        <f>TEXT(Sales_Data[[#This Row],[Order Date]], "MM-YYYY")</f>
        <v>03-2019</v>
      </c>
    </row>
    <row r="1013" spans="1:15" x14ac:dyDescent="0.3">
      <c r="A1013" s="1">
        <v>57574</v>
      </c>
      <c r="B1013" s="2">
        <v>43669</v>
      </c>
      <c r="C1013" s="1" t="s">
        <v>12</v>
      </c>
      <c r="D1013" s="1">
        <v>20</v>
      </c>
      <c r="E1013" t="s">
        <v>19</v>
      </c>
      <c r="F1013" t="s">
        <v>19</v>
      </c>
      <c r="G1013" s="1">
        <v>499.01</v>
      </c>
      <c r="H1013">
        <v>0</v>
      </c>
      <c r="I1013">
        <f>Sales_Data[[#This Row],[Sales]]*Sales_Data[[#This Row],[Discount]]</f>
        <v>0</v>
      </c>
      <c r="J1013">
        <v>499.01</v>
      </c>
      <c r="K1013" s="1">
        <v>16.8</v>
      </c>
      <c r="L1013" s="1">
        <v>499.01</v>
      </c>
      <c r="M1013" s="1" t="s">
        <v>13</v>
      </c>
      <c r="N1013" s="1">
        <f>IF(Sales_Data[[#This Row],[Sales with Discount]]&lt;Sales_Data[[#This Row],[Sales with Free Shipping]],Sales_Data[[#This Row],[Sales with Discount]],Sales_Data[[#This Row],[Sales with Free Shipping]])</f>
        <v>499.01</v>
      </c>
      <c r="O1013" s="1" t="str">
        <f>TEXT(Sales_Data[[#This Row],[Order Date]], "MM-YYYY")</f>
        <v>07-2019</v>
      </c>
    </row>
    <row r="1014" spans="1:15" x14ac:dyDescent="0.3">
      <c r="A1014" s="1">
        <v>9952</v>
      </c>
      <c r="B1014" s="2">
        <v>43586</v>
      </c>
      <c r="C1014" s="1" t="s">
        <v>9</v>
      </c>
      <c r="D1014" s="1">
        <v>47</v>
      </c>
      <c r="E1014" t="s">
        <v>24</v>
      </c>
      <c r="F1014" t="s">
        <v>24</v>
      </c>
      <c r="G1014" s="1">
        <v>8443.25</v>
      </c>
      <c r="H1014">
        <v>0.01</v>
      </c>
      <c r="I1014">
        <f>Sales_Data[[#This Row],[Sales]]*Sales_Data[[#This Row],[Discount]]</f>
        <v>84.432500000000005</v>
      </c>
      <c r="J1014">
        <v>8358.8174999999992</v>
      </c>
      <c r="K1014" s="1">
        <v>37.5</v>
      </c>
      <c r="L1014" s="1">
        <v>8405.75</v>
      </c>
      <c r="M1014" s="1" t="s">
        <v>8</v>
      </c>
      <c r="N1014" s="1">
        <f>IF(Sales_Data[[#This Row],[Sales with Discount]]&lt;Sales_Data[[#This Row],[Sales with Free Shipping]],Sales_Data[[#This Row],[Sales with Discount]],Sales_Data[[#This Row],[Sales with Free Shipping]])</f>
        <v>8358.8174999999992</v>
      </c>
      <c r="O1014" s="1" t="str">
        <f>TEXT(Sales_Data[[#This Row],[Order Date]], "MM-YYYY")</f>
        <v>05-2019</v>
      </c>
    </row>
    <row r="1015" spans="1:15" x14ac:dyDescent="0.3">
      <c r="A1015" s="1">
        <v>2848</v>
      </c>
      <c r="B1015" s="2">
        <v>43533</v>
      </c>
      <c r="C1015" s="1" t="s">
        <v>12</v>
      </c>
      <c r="D1015" s="1">
        <v>8</v>
      </c>
      <c r="E1015" t="s">
        <v>17</v>
      </c>
      <c r="F1015" t="s">
        <v>17</v>
      </c>
      <c r="G1015" s="1">
        <v>924.03</v>
      </c>
      <c r="H1015">
        <v>0</v>
      </c>
      <c r="I1015">
        <f>Sales_Data[[#This Row],[Sales]]*Sales_Data[[#This Row],[Discount]]</f>
        <v>0</v>
      </c>
      <c r="J1015">
        <v>924.03</v>
      </c>
      <c r="K1015" s="1">
        <v>9.6</v>
      </c>
      <c r="L1015" s="1">
        <v>924.03</v>
      </c>
      <c r="M1015" s="1" t="s">
        <v>10</v>
      </c>
      <c r="N1015" s="1">
        <f>IF(Sales_Data[[#This Row],[Sales with Discount]]&lt;Sales_Data[[#This Row],[Sales with Free Shipping]],Sales_Data[[#This Row],[Sales with Discount]],Sales_Data[[#This Row],[Sales with Free Shipping]])</f>
        <v>924.03</v>
      </c>
      <c r="O1015" s="1" t="str">
        <f>TEXT(Sales_Data[[#This Row],[Order Date]], "MM-YYYY")</f>
        <v>03-2019</v>
      </c>
    </row>
    <row r="1016" spans="1:15" x14ac:dyDescent="0.3">
      <c r="A1016" s="1">
        <v>59015</v>
      </c>
      <c r="B1016" s="2">
        <v>43611</v>
      </c>
      <c r="C1016" s="1" t="s">
        <v>14</v>
      </c>
      <c r="D1016" s="1">
        <v>32</v>
      </c>
      <c r="E1016" t="s">
        <v>21</v>
      </c>
      <c r="F1016" t="s">
        <v>21</v>
      </c>
      <c r="G1016" s="1">
        <v>272.27</v>
      </c>
      <c r="H1016">
        <v>0</v>
      </c>
      <c r="I1016">
        <f>Sales_Data[[#This Row],[Sales]]*Sales_Data[[#This Row],[Discount]]</f>
        <v>0</v>
      </c>
      <c r="J1016">
        <v>272.27</v>
      </c>
      <c r="K1016" s="1">
        <v>2.1</v>
      </c>
      <c r="L1016" s="1">
        <v>272.27</v>
      </c>
      <c r="M1016" s="1" t="s">
        <v>10</v>
      </c>
      <c r="N1016" s="1">
        <f>IF(Sales_Data[[#This Row],[Sales with Discount]]&lt;Sales_Data[[#This Row],[Sales with Free Shipping]],Sales_Data[[#This Row],[Sales with Discount]],Sales_Data[[#This Row],[Sales with Free Shipping]])</f>
        <v>272.27</v>
      </c>
      <c r="O1016" s="1" t="str">
        <f>TEXT(Sales_Data[[#This Row],[Order Date]], "MM-YYYY")</f>
        <v>05-2019</v>
      </c>
    </row>
    <row r="1017" spans="1:15" x14ac:dyDescent="0.3">
      <c r="A1017" s="1">
        <v>16359</v>
      </c>
      <c r="B1017" s="2">
        <v>43599</v>
      </c>
      <c r="C1017" s="1" t="s">
        <v>12</v>
      </c>
      <c r="D1017" s="1">
        <v>8</v>
      </c>
      <c r="E1017" t="s">
        <v>17</v>
      </c>
      <c r="F1017" t="s">
        <v>17</v>
      </c>
      <c r="G1017" s="1">
        <v>37.749600000000001</v>
      </c>
      <c r="H1017">
        <v>0</v>
      </c>
      <c r="I1017">
        <f>Sales_Data[[#This Row],[Sales]]*Sales_Data[[#This Row],[Discount]]</f>
        <v>0</v>
      </c>
      <c r="J1017">
        <v>37.749600000000001</v>
      </c>
      <c r="K1017" s="1">
        <v>8</v>
      </c>
      <c r="L1017" s="1">
        <v>37.749600000000001</v>
      </c>
      <c r="M1017" s="1" t="s">
        <v>10</v>
      </c>
      <c r="N1017" s="1">
        <f>IF(Sales_Data[[#This Row],[Sales with Discount]]&lt;Sales_Data[[#This Row],[Sales with Free Shipping]],Sales_Data[[#This Row],[Sales with Discount]],Sales_Data[[#This Row],[Sales with Free Shipping]])</f>
        <v>37.749600000000001</v>
      </c>
      <c r="O1017" s="1" t="str">
        <f>TEXT(Sales_Data[[#This Row],[Order Date]], "MM-YYYY")</f>
        <v>05-2019</v>
      </c>
    </row>
    <row r="1018" spans="1:15" x14ac:dyDescent="0.3">
      <c r="A1018" s="1">
        <v>56224</v>
      </c>
      <c r="B1018" s="2">
        <v>43763</v>
      </c>
      <c r="C1018" s="1" t="s">
        <v>14</v>
      </c>
      <c r="D1018" s="1">
        <v>46</v>
      </c>
      <c r="E1018" t="s">
        <v>24</v>
      </c>
      <c r="F1018" t="s">
        <v>24</v>
      </c>
      <c r="G1018" s="1">
        <v>363.02</v>
      </c>
      <c r="H1018">
        <v>0.01</v>
      </c>
      <c r="I1018">
        <f>Sales_Data[[#This Row],[Sales]]*Sales_Data[[#This Row],[Discount]]</f>
        <v>3.6301999999999999</v>
      </c>
      <c r="J1018">
        <v>359.38979999999998</v>
      </c>
      <c r="K1018" s="1">
        <v>3</v>
      </c>
      <c r="L1018" s="1">
        <v>360.02</v>
      </c>
      <c r="M1018" s="1" t="s">
        <v>10</v>
      </c>
      <c r="N1018" s="1">
        <f>IF(Sales_Data[[#This Row],[Sales with Discount]]&lt;Sales_Data[[#This Row],[Sales with Free Shipping]],Sales_Data[[#This Row],[Sales with Discount]],Sales_Data[[#This Row],[Sales with Free Shipping]])</f>
        <v>359.38979999999998</v>
      </c>
      <c r="O1018" s="1" t="str">
        <f>TEXT(Sales_Data[[#This Row],[Order Date]], "MM-YYYY")</f>
        <v>10-2019</v>
      </c>
    </row>
    <row r="1019" spans="1:15" x14ac:dyDescent="0.3">
      <c r="A1019" s="1">
        <v>59781</v>
      </c>
      <c r="B1019" s="2">
        <v>43811</v>
      </c>
      <c r="C1019" s="1" t="s">
        <v>11</v>
      </c>
      <c r="D1019" s="1">
        <v>24</v>
      </c>
      <c r="E1019" t="s">
        <v>14</v>
      </c>
      <c r="F1019" t="s">
        <v>14</v>
      </c>
      <c r="G1019" s="1">
        <v>4716.8500000000004</v>
      </c>
      <c r="H1019">
        <v>0</v>
      </c>
      <c r="I1019">
        <f>Sales_Data[[#This Row],[Sales]]*Sales_Data[[#This Row],[Discount]]</f>
        <v>0</v>
      </c>
      <c r="J1019">
        <v>4716.8500000000004</v>
      </c>
      <c r="K1019" s="1">
        <v>32.1</v>
      </c>
      <c r="L1019" s="1">
        <v>4716.8500000000004</v>
      </c>
      <c r="M1019" s="1" t="s">
        <v>13</v>
      </c>
      <c r="N1019" s="1">
        <f>IF(Sales_Data[[#This Row],[Sales with Discount]]&lt;Sales_Data[[#This Row],[Sales with Free Shipping]],Sales_Data[[#This Row],[Sales with Discount]],Sales_Data[[#This Row],[Sales with Free Shipping]])</f>
        <v>4716.8500000000004</v>
      </c>
      <c r="O1019" s="1" t="str">
        <f>TEXT(Sales_Data[[#This Row],[Order Date]], "MM-YYYY")</f>
        <v>12-2019</v>
      </c>
    </row>
    <row r="1020" spans="1:15" x14ac:dyDescent="0.3">
      <c r="A1020" s="1">
        <v>43043</v>
      </c>
      <c r="B1020" s="2">
        <v>43569</v>
      </c>
      <c r="C1020" s="1" t="s">
        <v>12</v>
      </c>
      <c r="D1020" s="1">
        <v>4</v>
      </c>
      <c r="E1020" t="s">
        <v>16</v>
      </c>
      <c r="F1020" t="s">
        <v>16</v>
      </c>
      <c r="G1020" s="1">
        <v>967.41</v>
      </c>
      <c r="H1020">
        <v>0</v>
      </c>
      <c r="I1020">
        <f>Sales_Data[[#This Row],[Sales]]*Sales_Data[[#This Row],[Discount]]</f>
        <v>0</v>
      </c>
      <c r="J1020">
        <v>967.41</v>
      </c>
      <c r="K1020" s="1">
        <v>12.6</v>
      </c>
      <c r="L1020" s="1">
        <v>967.41</v>
      </c>
      <c r="M1020" s="1" t="s">
        <v>10</v>
      </c>
      <c r="N1020" s="1">
        <f>IF(Sales_Data[[#This Row],[Sales with Discount]]&lt;Sales_Data[[#This Row],[Sales with Free Shipping]],Sales_Data[[#This Row],[Sales with Discount]],Sales_Data[[#This Row],[Sales with Free Shipping]])</f>
        <v>967.41</v>
      </c>
      <c r="O1020" s="1" t="str">
        <f>TEXT(Sales_Data[[#This Row],[Order Date]], "MM-YYYY")</f>
        <v>04-2019</v>
      </c>
    </row>
    <row r="1021" spans="1:15" x14ac:dyDescent="0.3">
      <c r="A1021" s="1">
        <v>6016</v>
      </c>
      <c r="B1021" s="2">
        <v>43484</v>
      </c>
      <c r="C1021" s="1" t="s">
        <v>9</v>
      </c>
      <c r="D1021" s="1">
        <v>19</v>
      </c>
      <c r="E1021" t="s">
        <v>19</v>
      </c>
      <c r="F1021" t="s">
        <v>19</v>
      </c>
      <c r="G1021" s="1">
        <v>222.8596</v>
      </c>
      <c r="H1021">
        <v>0</v>
      </c>
      <c r="I1021">
        <f>Sales_Data[[#This Row],[Sales]]*Sales_Data[[#This Row],[Discount]]</f>
        <v>0</v>
      </c>
      <c r="J1021">
        <v>222.8596</v>
      </c>
      <c r="K1021" s="1">
        <v>5.8</v>
      </c>
      <c r="L1021" s="1">
        <v>222.8596</v>
      </c>
      <c r="M1021" s="1" t="s">
        <v>10</v>
      </c>
      <c r="N1021" s="1">
        <f>IF(Sales_Data[[#This Row],[Sales with Discount]]&lt;Sales_Data[[#This Row],[Sales with Free Shipping]],Sales_Data[[#This Row],[Sales with Discount]],Sales_Data[[#This Row],[Sales with Free Shipping]])</f>
        <v>222.8596</v>
      </c>
      <c r="O1021" s="1" t="str">
        <f>TEXT(Sales_Data[[#This Row],[Order Date]], "MM-YYYY")</f>
        <v>01-2019</v>
      </c>
    </row>
    <row r="1022" spans="1:15" x14ac:dyDescent="0.3">
      <c r="A1022" s="1">
        <v>54020</v>
      </c>
      <c r="B1022" s="2">
        <v>43495</v>
      </c>
      <c r="C1022" s="1" t="s">
        <v>7</v>
      </c>
      <c r="D1022" s="1">
        <v>43</v>
      </c>
      <c r="E1022" t="s">
        <v>23</v>
      </c>
      <c r="F1022" t="s">
        <v>23</v>
      </c>
      <c r="G1022" s="1">
        <v>289.5</v>
      </c>
      <c r="H1022">
        <v>0.01</v>
      </c>
      <c r="I1022">
        <f>Sales_Data[[#This Row],[Sales]]*Sales_Data[[#This Row],[Discount]]</f>
        <v>2.895</v>
      </c>
      <c r="J1022">
        <v>286.60500000000002</v>
      </c>
      <c r="K1022" s="1">
        <v>7.3</v>
      </c>
      <c r="L1022" s="1">
        <v>282.2</v>
      </c>
      <c r="M1022" s="1" t="s">
        <v>10</v>
      </c>
      <c r="N1022" s="1">
        <f>IF(Sales_Data[[#This Row],[Sales with Discount]]&lt;Sales_Data[[#This Row],[Sales with Free Shipping]],Sales_Data[[#This Row],[Sales with Discount]],Sales_Data[[#This Row],[Sales with Free Shipping]])</f>
        <v>282.2</v>
      </c>
      <c r="O1022" s="1" t="str">
        <f>TEXT(Sales_Data[[#This Row],[Order Date]], "MM-YYYY")</f>
        <v>01-2019</v>
      </c>
    </row>
    <row r="1023" spans="1:15" x14ac:dyDescent="0.3">
      <c r="A1023" s="1">
        <v>57025</v>
      </c>
      <c r="B1023" s="2">
        <v>43642</v>
      </c>
      <c r="C1023" s="1" t="s">
        <v>14</v>
      </c>
      <c r="D1023" s="1">
        <v>8</v>
      </c>
      <c r="E1023" t="s">
        <v>17</v>
      </c>
      <c r="F1023" t="s">
        <v>17</v>
      </c>
      <c r="G1023" s="1">
        <v>76.08</v>
      </c>
      <c r="H1023">
        <v>0</v>
      </c>
      <c r="I1023">
        <f>Sales_Data[[#This Row],[Sales]]*Sales_Data[[#This Row],[Discount]]</f>
        <v>0</v>
      </c>
      <c r="J1023">
        <v>76.08</v>
      </c>
      <c r="K1023" s="1">
        <v>3.2</v>
      </c>
      <c r="L1023" s="1">
        <v>76.08</v>
      </c>
      <c r="M1023" s="1" t="s">
        <v>10</v>
      </c>
      <c r="N1023" s="1">
        <f>IF(Sales_Data[[#This Row],[Sales with Discount]]&lt;Sales_Data[[#This Row],[Sales with Free Shipping]],Sales_Data[[#This Row],[Sales with Discount]],Sales_Data[[#This Row],[Sales with Free Shipping]])</f>
        <v>76.08</v>
      </c>
      <c r="O1023" s="1" t="str">
        <f>TEXT(Sales_Data[[#This Row],[Order Date]], "MM-YYYY")</f>
        <v>06-2019</v>
      </c>
    </row>
    <row r="1024" spans="1:15" x14ac:dyDescent="0.3">
      <c r="A1024" s="1">
        <v>7107</v>
      </c>
      <c r="B1024" s="2">
        <v>43468</v>
      </c>
      <c r="C1024" s="1" t="s">
        <v>11</v>
      </c>
      <c r="D1024" s="1">
        <v>32</v>
      </c>
      <c r="E1024" t="s">
        <v>21</v>
      </c>
      <c r="F1024" t="s">
        <v>21</v>
      </c>
      <c r="G1024" s="1">
        <v>1845.56</v>
      </c>
      <c r="H1024">
        <v>0</v>
      </c>
      <c r="I1024">
        <f>Sales_Data[[#This Row],[Sales]]*Sales_Data[[#This Row],[Discount]]</f>
        <v>0</v>
      </c>
      <c r="J1024">
        <v>1845.56</v>
      </c>
      <c r="K1024" s="1">
        <v>5.4</v>
      </c>
      <c r="L1024" s="1">
        <v>1845.56</v>
      </c>
      <c r="M1024" s="1" t="s">
        <v>10</v>
      </c>
      <c r="N1024" s="1">
        <f>IF(Sales_Data[[#This Row],[Sales with Discount]]&lt;Sales_Data[[#This Row],[Sales with Free Shipping]],Sales_Data[[#This Row],[Sales with Discount]],Sales_Data[[#This Row],[Sales with Free Shipping]])</f>
        <v>1845.56</v>
      </c>
      <c r="O1024" s="1" t="str">
        <f>TEXT(Sales_Data[[#This Row],[Order Date]], "MM-YYYY")</f>
        <v>01-2019</v>
      </c>
    </row>
    <row r="1025" spans="1:15" x14ac:dyDescent="0.3">
      <c r="A1025" s="1">
        <v>7488</v>
      </c>
      <c r="B1025" s="2">
        <v>43588</v>
      </c>
      <c r="C1025" s="1" t="s">
        <v>12</v>
      </c>
      <c r="D1025" s="1">
        <v>9</v>
      </c>
      <c r="E1025" t="s">
        <v>17</v>
      </c>
      <c r="F1025" t="s">
        <v>17</v>
      </c>
      <c r="G1025" s="1">
        <v>27.92</v>
      </c>
      <c r="H1025">
        <v>0</v>
      </c>
      <c r="I1025">
        <f>Sales_Data[[#This Row],[Sales]]*Sales_Data[[#This Row],[Discount]]</f>
        <v>0</v>
      </c>
      <c r="J1025">
        <v>27.92</v>
      </c>
      <c r="K1025" s="1">
        <v>1</v>
      </c>
      <c r="L1025" s="1">
        <v>27.92</v>
      </c>
      <c r="M1025" s="1" t="s">
        <v>10</v>
      </c>
      <c r="N1025" s="1">
        <f>IF(Sales_Data[[#This Row],[Sales with Discount]]&lt;Sales_Data[[#This Row],[Sales with Free Shipping]],Sales_Data[[#This Row],[Sales with Discount]],Sales_Data[[#This Row],[Sales with Free Shipping]])</f>
        <v>27.92</v>
      </c>
      <c r="O1025" s="1" t="str">
        <f>TEXT(Sales_Data[[#This Row],[Order Date]], "MM-YYYY")</f>
        <v>05-2019</v>
      </c>
    </row>
    <row r="1026" spans="1:15" x14ac:dyDescent="0.3">
      <c r="A1026" s="1">
        <v>40357</v>
      </c>
      <c r="B1026" s="2">
        <v>43667</v>
      </c>
      <c r="C1026" s="1" t="s">
        <v>11</v>
      </c>
      <c r="D1026" s="1">
        <v>4</v>
      </c>
      <c r="E1026" t="s">
        <v>16</v>
      </c>
      <c r="F1026" t="s">
        <v>16</v>
      </c>
      <c r="G1026" s="1">
        <v>257.32</v>
      </c>
      <c r="H1026">
        <v>0</v>
      </c>
      <c r="I1026">
        <f>Sales_Data[[#This Row],[Sales]]*Sales_Data[[#This Row],[Discount]]</f>
        <v>0</v>
      </c>
      <c r="J1026">
        <v>257.32</v>
      </c>
      <c r="K1026" s="1">
        <v>14.1</v>
      </c>
      <c r="L1026" s="1">
        <v>257.32</v>
      </c>
      <c r="M1026" s="1" t="s">
        <v>10</v>
      </c>
      <c r="N1026" s="1">
        <f>IF(Sales_Data[[#This Row],[Sales with Discount]]&lt;Sales_Data[[#This Row],[Sales with Free Shipping]],Sales_Data[[#This Row],[Sales with Discount]],Sales_Data[[#This Row],[Sales with Free Shipping]])</f>
        <v>257.32</v>
      </c>
      <c r="O1026" s="1" t="str">
        <f>TEXT(Sales_Data[[#This Row],[Order Date]], "MM-YYYY")</f>
        <v>07-2019</v>
      </c>
    </row>
    <row r="1027" spans="1:15" x14ac:dyDescent="0.3">
      <c r="A1027" s="1">
        <v>11969</v>
      </c>
      <c r="B1027" s="2">
        <v>43483</v>
      </c>
      <c r="C1027" s="1" t="s">
        <v>11</v>
      </c>
      <c r="D1027" s="1">
        <v>9</v>
      </c>
      <c r="E1027" t="s">
        <v>17</v>
      </c>
      <c r="F1027" t="s">
        <v>17</v>
      </c>
      <c r="G1027" s="1">
        <v>1778.39</v>
      </c>
      <c r="H1027">
        <v>0</v>
      </c>
      <c r="I1027">
        <f>Sales_Data[[#This Row],[Sales]]*Sales_Data[[#This Row],[Discount]]</f>
        <v>0</v>
      </c>
      <c r="J1027">
        <v>1778.39</v>
      </c>
      <c r="K1027" s="1">
        <v>117.9</v>
      </c>
      <c r="L1027" s="1">
        <v>1778.39</v>
      </c>
      <c r="M1027" s="1" t="s">
        <v>13</v>
      </c>
      <c r="N1027" s="1">
        <f>IF(Sales_Data[[#This Row],[Sales with Discount]]&lt;Sales_Data[[#This Row],[Sales with Free Shipping]],Sales_Data[[#This Row],[Sales with Discount]],Sales_Data[[#This Row],[Sales with Free Shipping]])</f>
        <v>1778.39</v>
      </c>
      <c r="O1027" s="1" t="str">
        <f>TEXT(Sales_Data[[#This Row],[Order Date]], "MM-YYYY")</f>
        <v>01-2019</v>
      </c>
    </row>
    <row r="1028" spans="1:15" x14ac:dyDescent="0.3">
      <c r="A1028" s="1">
        <v>16134</v>
      </c>
      <c r="B1028" s="2">
        <v>43788</v>
      </c>
      <c r="C1028" s="1" t="s">
        <v>9</v>
      </c>
      <c r="D1028" s="1">
        <v>43</v>
      </c>
      <c r="E1028" t="s">
        <v>23</v>
      </c>
      <c r="F1028" t="s">
        <v>23</v>
      </c>
      <c r="G1028" s="1">
        <v>23455.77</v>
      </c>
      <c r="H1028">
        <v>0.01</v>
      </c>
      <c r="I1028">
        <f>Sales_Data[[#This Row],[Sales]]*Sales_Data[[#This Row],[Discount]]</f>
        <v>234.55770000000001</v>
      </c>
      <c r="J1028">
        <v>23221.212299999999</v>
      </c>
      <c r="K1028" s="1">
        <v>30.1</v>
      </c>
      <c r="L1028" s="1">
        <v>23425.670000000002</v>
      </c>
      <c r="M1028" s="1" t="s">
        <v>13</v>
      </c>
      <c r="N1028" s="1">
        <f>IF(Sales_Data[[#This Row],[Sales with Discount]]&lt;Sales_Data[[#This Row],[Sales with Free Shipping]],Sales_Data[[#This Row],[Sales with Discount]],Sales_Data[[#This Row],[Sales with Free Shipping]])</f>
        <v>23221.212299999999</v>
      </c>
      <c r="O1028" s="1" t="str">
        <f>TEXT(Sales_Data[[#This Row],[Order Date]], "MM-YYYY")</f>
        <v>11-2019</v>
      </c>
    </row>
    <row r="1029" spans="1:15" x14ac:dyDescent="0.3">
      <c r="A1029" s="1">
        <v>28835</v>
      </c>
      <c r="B1029" s="2">
        <v>43555</v>
      </c>
      <c r="C1029" s="1" t="s">
        <v>11</v>
      </c>
      <c r="D1029" s="1">
        <v>1</v>
      </c>
      <c r="E1029" t="s">
        <v>16</v>
      </c>
      <c r="F1029" t="s">
        <v>16</v>
      </c>
      <c r="G1029" s="1">
        <v>197.07</v>
      </c>
      <c r="H1029">
        <v>0</v>
      </c>
      <c r="I1029">
        <f>Sales_Data[[#This Row],[Sales]]*Sales_Data[[#This Row],[Discount]]</f>
        <v>0</v>
      </c>
      <c r="J1029">
        <v>197.07</v>
      </c>
      <c r="K1029" s="1">
        <v>21.4</v>
      </c>
      <c r="L1029" s="1">
        <v>197.07</v>
      </c>
      <c r="M1029" s="1" t="s">
        <v>10</v>
      </c>
      <c r="N1029" s="1">
        <f>IF(Sales_Data[[#This Row],[Sales with Discount]]&lt;Sales_Data[[#This Row],[Sales with Free Shipping]],Sales_Data[[#This Row],[Sales with Discount]],Sales_Data[[#This Row],[Sales with Free Shipping]])</f>
        <v>197.07</v>
      </c>
      <c r="O1029" s="1" t="str">
        <f>TEXT(Sales_Data[[#This Row],[Order Date]], "MM-YYYY")</f>
        <v>03-2019</v>
      </c>
    </row>
    <row r="1030" spans="1:15" x14ac:dyDescent="0.3">
      <c r="A1030" s="1">
        <v>30208</v>
      </c>
      <c r="B1030" s="2">
        <v>43662</v>
      </c>
      <c r="C1030" s="1" t="s">
        <v>7</v>
      </c>
      <c r="D1030" s="1">
        <v>46</v>
      </c>
      <c r="E1030" t="s">
        <v>24</v>
      </c>
      <c r="F1030" t="s">
        <v>24</v>
      </c>
      <c r="G1030" s="1">
        <v>1874.74</v>
      </c>
      <c r="H1030">
        <v>0.01</v>
      </c>
      <c r="I1030">
        <f>Sales_Data[[#This Row],[Sales]]*Sales_Data[[#This Row],[Discount]]</f>
        <v>18.747399999999999</v>
      </c>
      <c r="J1030">
        <v>1855.9926</v>
      </c>
      <c r="K1030" s="1">
        <v>5.3</v>
      </c>
      <c r="L1030" s="1">
        <v>1869.44</v>
      </c>
      <c r="M1030" s="1" t="s">
        <v>10</v>
      </c>
      <c r="N1030" s="1">
        <f>IF(Sales_Data[[#This Row],[Sales with Discount]]&lt;Sales_Data[[#This Row],[Sales with Free Shipping]],Sales_Data[[#This Row],[Sales with Discount]],Sales_Data[[#This Row],[Sales with Free Shipping]])</f>
        <v>1855.9926</v>
      </c>
      <c r="O1030" s="1" t="str">
        <f>TEXT(Sales_Data[[#This Row],[Order Date]], "MM-YYYY")</f>
        <v>07-2019</v>
      </c>
    </row>
    <row r="1031" spans="1:15" x14ac:dyDescent="0.3">
      <c r="A1031" s="1">
        <v>31744</v>
      </c>
      <c r="B1031" s="2">
        <v>43717</v>
      </c>
      <c r="C1031" s="1" t="s">
        <v>14</v>
      </c>
      <c r="D1031" s="1">
        <v>12</v>
      </c>
      <c r="E1031" t="s">
        <v>18</v>
      </c>
      <c r="F1031" t="s">
        <v>18</v>
      </c>
      <c r="G1031" s="1">
        <v>92.76</v>
      </c>
      <c r="H1031">
        <v>0</v>
      </c>
      <c r="I1031">
        <f>Sales_Data[[#This Row],[Sales]]*Sales_Data[[#This Row],[Discount]]</f>
        <v>0</v>
      </c>
      <c r="J1031">
        <v>92.76</v>
      </c>
      <c r="K1031" s="1">
        <v>7.9</v>
      </c>
      <c r="L1031" s="1">
        <v>92.76</v>
      </c>
      <c r="M1031" s="1" t="s">
        <v>10</v>
      </c>
      <c r="N1031" s="1">
        <f>IF(Sales_Data[[#This Row],[Sales with Discount]]&lt;Sales_Data[[#This Row],[Sales with Free Shipping]],Sales_Data[[#This Row],[Sales with Discount]],Sales_Data[[#This Row],[Sales with Free Shipping]])</f>
        <v>92.76</v>
      </c>
      <c r="O1031" s="1" t="str">
        <f>TEXT(Sales_Data[[#This Row],[Order Date]], "MM-YYYY")</f>
        <v>09-2019</v>
      </c>
    </row>
    <row r="1032" spans="1:15" x14ac:dyDescent="0.3">
      <c r="A1032" s="1">
        <v>16164</v>
      </c>
      <c r="B1032" s="2">
        <v>43467</v>
      </c>
      <c r="C1032" s="1" t="s">
        <v>7</v>
      </c>
      <c r="D1032" s="1">
        <v>26</v>
      </c>
      <c r="E1032" t="s">
        <v>20</v>
      </c>
      <c r="F1032" t="s">
        <v>20</v>
      </c>
      <c r="G1032" s="1">
        <v>2518.94</v>
      </c>
      <c r="H1032">
        <v>0</v>
      </c>
      <c r="I1032">
        <f>Sales_Data[[#This Row],[Sales]]*Sales_Data[[#This Row],[Discount]]</f>
        <v>0</v>
      </c>
      <c r="J1032">
        <v>2518.94</v>
      </c>
      <c r="K1032" s="1">
        <v>15</v>
      </c>
      <c r="L1032" s="1">
        <v>2518.94</v>
      </c>
      <c r="M1032" s="1" t="s">
        <v>13</v>
      </c>
      <c r="N1032" s="1">
        <f>IF(Sales_Data[[#This Row],[Sales with Discount]]&lt;Sales_Data[[#This Row],[Sales with Free Shipping]],Sales_Data[[#This Row],[Sales with Discount]],Sales_Data[[#This Row],[Sales with Free Shipping]])</f>
        <v>2518.94</v>
      </c>
      <c r="O1032" s="1" t="str">
        <f>TEXT(Sales_Data[[#This Row],[Order Date]], "MM-YYYY")</f>
        <v>01-2019</v>
      </c>
    </row>
    <row r="1033" spans="1:15" x14ac:dyDescent="0.3">
      <c r="A1033" s="1">
        <v>53667</v>
      </c>
      <c r="B1033" s="2">
        <v>43602</v>
      </c>
      <c r="C1033" s="1" t="s">
        <v>14</v>
      </c>
      <c r="D1033" s="1">
        <v>33</v>
      </c>
      <c r="E1033" t="s">
        <v>21</v>
      </c>
      <c r="F1033" t="s">
        <v>21</v>
      </c>
      <c r="G1033" s="1">
        <v>120.23</v>
      </c>
      <c r="H1033">
        <v>0</v>
      </c>
      <c r="I1033">
        <f>Sales_Data[[#This Row],[Sales]]*Sales_Data[[#This Row],[Discount]]</f>
        <v>0</v>
      </c>
      <c r="J1033">
        <v>120.23</v>
      </c>
      <c r="K1033" s="1">
        <v>6.7</v>
      </c>
      <c r="L1033" s="1">
        <v>120.23</v>
      </c>
      <c r="M1033" s="1" t="s">
        <v>10</v>
      </c>
      <c r="N1033" s="1">
        <f>IF(Sales_Data[[#This Row],[Sales with Discount]]&lt;Sales_Data[[#This Row],[Sales with Free Shipping]],Sales_Data[[#This Row],[Sales with Discount]],Sales_Data[[#This Row],[Sales with Free Shipping]])</f>
        <v>120.23</v>
      </c>
      <c r="O1033" s="1" t="str">
        <f>TEXT(Sales_Data[[#This Row],[Order Date]], "MM-YYYY")</f>
        <v>05-2019</v>
      </c>
    </row>
    <row r="1034" spans="1:15" x14ac:dyDescent="0.3">
      <c r="A1034" s="1">
        <v>43045</v>
      </c>
      <c r="B1034" s="2">
        <v>43630</v>
      </c>
      <c r="C1034" s="1" t="s">
        <v>14</v>
      </c>
      <c r="D1034" s="1">
        <v>12</v>
      </c>
      <c r="E1034" t="s">
        <v>18</v>
      </c>
      <c r="F1034" t="s">
        <v>18</v>
      </c>
      <c r="G1034" s="1">
        <v>447.73</v>
      </c>
      <c r="H1034">
        <v>0</v>
      </c>
      <c r="I1034">
        <f>Sales_Data[[#This Row],[Sales]]*Sales_Data[[#This Row],[Discount]]</f>
        <v>0</v>
      </c>
      <c r="J1034">
        <v>447.73</v>
      </c>
      <c r="K1034" s="1">
        <v>48.7</v>
      </c>
      <c r="L1034" s="1">
        <v>447.73</v>
      </c>
      <c r="M1034" s="1" t="s">
        <v>13</v>
      </c>
      <c r="N1034" s="1">
        <f>IF(Sales_Data[[#This Row],[Sales with Discount]]&lt;Sales_Data[[#This Row],[Sales with Free Shipping]],Sales_Data[[#This Row],[Sales with Discount]],Sales_Data[[#This Row],[Sales with Free Shipping]])</f>
        <v>447.73</v>
      </c>
      <c r="O1034" s="1" t="str">
        <f>TEXT(Sales_Data[[#This Row],[Order Date]], "MM-YYYY")</f>
        <v>06-2019</v>
      </c>
    </row>
    <row r="1035" spans="1:15" x14ac:dyDescent="0.3">
      <c r="A1035" s="1">
        <v>24448</v>
      </c>
      <c r="B1035" s="2">
        <v>43501</v>
      </c>
      <c r="C1035" s="1" t="s">
        <v>9</v>
      </c>
      <c r="D1035" s="1">
        <v>46</v>
      </c>
      <c r="E1035" t="s">
        <v>24</v>
      </c>
      <c r="F1035" t="s">
        <v>24</v>
      </c>
      <c r="G1035" s="1">
        <v>11808.69</v>
      </c>
      <c r="H1035">
        <v>0.01</v>
      </c>
      <c r="I1035">
        <f>Sales_Data[[#This Row],[Sales]]*Sales_Data[[#This Row],[Discount]]</f>
        <v>118.08690000000001</v>
      </c>
      <c r="J1035">
        <v>11690.6031</v>
      </c>
      <c r="K1035" s="1">
        <v>63.4</v>
      </c>
      <c r="L1035" s="1">
        <v>11745.29</v>
      </c>
      <c r="M1035" s="1" t="s">
        <v>13</v>
      </c>
      <c r="N1035" s="1">
        <f>IF(Sales_Data[[#This Row],[Sales with Discount]]&lt;Sales_Data[[#This Row],[Sales with Free Shipping]],Sales_Data[[#This Row],[Sales with Discount]],Sales_Data[[#This Row],[Sales with Free Shipping]])</f>
        <v>11690.6031</v>
      </c>
      <c r="O1035" s="1" t="str">
        <f>TEXT(Sales_Data[[#This Row],[Order Date]], "MM-YYYY")</f>
        <v>02-2019</v>
      </c>
    </row>
    <row r="1036" spans="1:15" x14ac:dyDescent="0.3">
      <c r="A1036" s="1">
        <v>13345</v>
      </c>
      <c r="B1036" s="2">
        <v>43710</v>
      </c>
      <c r="C1036" s="1" t="s">
        <v>11</v>
      </c>
      <c r="D1036" s="1">
        <v>24</v>
      </c>
      <c r="E1036" t="s">
        <v>14</v>
      </c>
      <c r="F1036" t="s">
        <v>14</v>
      </c>
      <c r="G1036" s="1">
        <v>125</v>
      </c>
      <c r="H1036">
        <v>0</v>
      </c>
      <c r="I1036">
        <f>Sales_Data[[#This Row],[Sales]]*Sales_Data[[#This Row],[Discount]]</f>
        <v>0</v>
      </c>
      <c r="J1036">
        <v>125</v>
      </c>
      <c r="K1036" s="1">
        <v>2.6</v>
      </c>
      <c r="L1036" s="1">
        <v>125</v>
      </c>
      <c r="M1036" s="1" t="s">
        <v>10</v>
      </c>
      <c r="N1036" s="1">
        <f>IF(Sales_Data[[#This Row],[Sales with Discount]]&lt;Sales_Data[[#This Row],[Sales with Free Shipping]],Sales_Data[[#This Row],[Sales with Discount]],Sales_Data[[#This Row],[Sales with Free Shipping]])</f>
        <v>125</v>
      </c>
      <c r="O1036" s="1" t="str">
        <f>TEXT(Sales_Data[[#This Row],[Order Date]], "MM-YYYY")</f>
        <v>09-2019</v>
      </c>
    </row>
    <row r="1037" spans="1:15" x14ac:dyDescent="0.3">
      <c r="A1037" s="1">
        <v>51267</v>
      </c>
      <c r="B1037" s="2">
        <v>43588</v>
      </c>
      <c r="C1037" s="1" t="s">
        <v>7</v>
      </c>
      <c r="D1037" s="1">
        <v>46</v>
      </c>
      <c r="E1037" t="s">
        <v>24</v>
      </c>
      <c r="F1037" t="s">
        <v>24</v>
      </c>
      <c r="G1037" s="1">
        <v>4702.41</v>
      </c>
      <c r="H1037">
        <v>0.01</v>
      </c>
      <c r="I1037">
        <f>Sales_Data[[#This Row],[Sales]]*Sales_Data[[#This Row],[Discount]]</f>
        <v>47.024099999999997</v>
      </c>
      <c r="J1037">
        <v>4655.3859000000002</v>
      </c>
      <c r="K1037" s="1">
        <v>38.299999999999997</v>
      </c>
      <c r="L1037" s="1">
        <v>4664.1099999999997</v>
      </c>
      <c r="M1037" s="1" t="s">
        <v>13</v>
      </c>
      <c r="N1037" s="1">
        <f>IF(Sales_Data[[#This Row],[Sales with Discount]]&lt;Sales_Data[[#This Row],[Sales with Free Shipping]],Sales_Data[[#This Row],[Sales with Discount]],Sales_Data[[#This Row],[Sales with Free Shipping]])</f>
        <v>4655.3859000000002</v>
      </c>
      <c r="O1037" s="1" t="str">
        <f>TEXT(Sales_Data[[#This Row],[Order Date]], "MM-YYYY")</f>
        <v>05-2019</v>
      </c>
    </row>
    <row r="1038" spans="1:15" x14ac:dyDescent="0.3">
      <c r="A1038" s="1">
        <v>26272</v>
      </c>
      <c r="B1038" s="2">
        <v>43645</v>
      </c>
      <c r="C1038" s="1" t="s">
        <v>7</v>
      </c>
      <c r="D1038" s="1">
        <v>6</v>
      </c>
      <c r="E1038" t="s">
        <v>17</v>
      </c>
      <c r="F1038" t="s">
        <v>17</v>
      </c>
      <c r="G1038" s="1">
        <v>969.36</v>
      </c>
      <c r="H1038">
        <v>0</v>
      </c>
      <c r="I1038">
        <f>Sales_Data[[#This Row],[Sales]]*Sales_Data[[#This Row],[Discount]]</f>
        <v>0</v>
      </c>
      <c r="J1038">
        <v>969.36</v>
      </c>
      <c r="K1038" s="1">
        <v>26.2</v>
      </c>
      <c r="L1038" s="1">
        <v>969.36</v>
      </c>
      <c r="M1038" s="1" t="s">
        <v>8</v>
      </c>
      <c r="N1038" s="1">
        <f>IF(Sales_Data[[#This Row],[Sales with Discount]]&lt;Sales_Data[[#This Row],[Sales with Free Shipping]],Sales_Data[[#This Row],[Sales with Discount]],Sales_Data[[#This Row],[Sales with Free Shipping]])</f>
        <v>969.36</v>
      </c>
      <c r="O1038" s="1" t="str">
        <f>TEXT(Sales_Data[[#This Row],[Order Date]], "MM-YYYY")</f>
        <v>06-2019</v>
      </c>
    </row>
    <row r="1039" spans="1:15" x14ac:dyDescent="0.3">
      <c r="A1039" s="1">
        <v>13284</v>
      </c>
      <c r="B1039" s="2">
        <v>43689</v>
      </c>
      <c r="C1039" s="1" t="s">
        <v>9</v>
      </c>
      <c r="D1039" s="1">
        <v>22</v>
      </c>
      <c r="E1039" t="s">
        <v>14</v>
      </c>
      <c r="F1039" t="s">
        <v>14</v>
      </c>
      <c r="G1039" s="1">
        <v>9696.81</v>
      </c>
      <c r="H1039">
        <v>0</v>
      </c>
      <c r="I1039">
        <f>Sales_Data[[#This Row],[Sales]]*Sales_Data[[#This Row],[Discount]]</f>
        <v>0</v>
      </c>
      <c r="J1039">
        <v>9696.81</v>
      </c>
      <c r="K1039" s="1">
        <v>21.4</v>
      </c>
      <c r="L1039" s="1">
        <v>9696.81</v>
      </c>
      <c r="M1039" s="1" t="s">
        <v>10</v>
      </c>
      <c r="N1039" s="1">
        <f>IF(Sales_Data[[#This Row],[Sales with Discount]]&lt;Sales_Data[[#This Row],[Sales with Free Shipping]],Sales_Data[[#This Row],[Sales with Discount]],Sales_Data[[#This Row],[Sales with Free Shipping]])</f>
        <v>9696.81</v>
      </c>
      <c r="O1039" s="1" t="str">
        <f>TEXT(Sales_Data[[#This Row],[Order Date]], "MM-YYYY")</f>
        <v>08-2019</v>
      </c>
    </row>
    <row r="1040" spans="1:15" x14ac:dyDescent="0.3">
      <c r="A1040" s="1">
        <v>23745</v>
      </c>
      <c r="B1040" s="2">
        <v>43804</v>
      </c>
      <c r="C1040" s="1" t="s">
        <v>7</v>
      </c>
      <c r="D1040" s="1">
        <v>47</v>
      </c>
      <c r="E1040" t="s">
        <v>24</v>
      </c>
      <c r="F1040" t="s">
        <v>24</v>
      </c>
      <c r="G1040" s="1">
        <v>11707.12</v>
      </c>
      <c r="H1040">
        <v>0.01</v>
      </c>
      <c r="I1040">
        <f>Sales_Data[[#This Row],[Sales]]*Sales_Data[[#This Row],[Discount]]</f>
        <v>117.0712</v>
      </c>
      <c r="J1040">
        <v>11590.0488</v>
      </c>
      <c r="K1040" s="1">
        <v>34.799999999999997</v>
      </c>
      <c r="L1040" s="1">
        <v>11672.320000000002</v>
      </c>
      <c r="M1040" s="1" t="s">
        <v>13</v>
      </c>
      <c r="N1040" s="1">
        <f>IF(Sales_Data[[#This Row],[Sales with Discount]]&lt;Sales_Data[[#This Row],[Sales with Free Shipping]],Sales_Data[[#This Row],[Sales with Discount]],Sales_Data[[#This Row],[Sales with Free Shipping]])</f>
        <v>11590.0488</v>
      </c>
      <c r="O1040" s="1" t="str">
        <f>TEXT(Sales_Data[[#This Row],[Order Date]], "MM-YYYY")</f>
        <v>12-2019</v>
      </c>
    </row>
    <row r="1041" spans="1:15" x14ac:dyDescent="0.3">
      <c r="A1041" s="1">
        <v>26979</v>
      </c>
      <c r="B1041" s="2">
        <v>43552</v>
      </c>
      <c r="C1041" s="1" t="s">
        <v>14</v>
      </c>
      <c r="D1041" s="1">
        <v>43</v>
      </c>
      <c r="E1041" t="s">
        <v>23</v>
      </c>
      <c r="F1041" t="s">
        <v>23</v>
      </c>
      <c r="G1041" s="1">
        <v>360.6</v>
      </c>
      <c r="H1041">
        <v>0.01</v>
      </c>
      <c r="I1041">
        <f>Sales_Data[[#This Row],[Sales]]*Sales_Data[[#This Row],[Discount]]</f>
        <v>3.6060000000000003</v>
      </c>
      <c r="J1041">
        <v>356.99400000000003</v>
      </c>
      <c r="K1041" s="1">
        <v>1.3</v>
      </c>
      <c r="L1041" s="1">
        <v>359.3</v>
      </c>
      <c r="M1041" s="1" t="s">
        <v>10</v>
      </c>
      <c r="N1041" s="1">
        <f>IF(Sales_Data[[#This Row],[Sales with Discount]]&lt;Sales_Data[[#This Row],[Sales with Free Shipping]],Sales_Data[[#This Row],[Sales with Discount]],Sales_Data[[#This Row],[Sales with Free Shipping]])</f>
        <v>356.99400000000003</v>
      </c>
      <c r="O1041" s="1" t="str">
        <f>TEXT(Sales_Data[[#This Row],[Order Date]], "MM-YYYY")</f>
        <v>03-2019</v>
      </c>
    </row>
    <row r="1042" spans="1:15" x14ac:dyDescent="0.3">
      <c r="A1042" s="1">
        <v>55938</v>
      </c>
      <c r="B1042" s="2">
        <v>43648</v>
      </c>
      <c r="C1042" s="1" t="s">
        <v>11</v>
      </c>
      <c r="D1042" s="1">
        <v>42</v>
      </c>
      <c r="E1042" t="s">
        <v>23</v>
      </c>
      <c r="F1042" t="s">
        <v>23</v>
      </c>
      <c r="G1042" s="1">
        <v>858.63</v>
      </c>
      <c r="H1042">
        <v>0.01</v>
      </c>
      <c r="I1042">
        <f>Sales_Data[[#This Row],[Sales]]*Sales_Data[[#This Row],[Discount]]</f>
        <v>8.5862999999999996</v>
      </c>
      <c r="J1042">
        <v>850.04369999999994</v>
      </c>
      <c r="K1042" s="1">
        <v>6.4</v>
      </c>
      <c r="L1042" s="1">
        <v>852.23</v>
      </c>
      <c r="M1042" s="1" t="s">
        <v>8</v>
      </c>
      <c r="N1042" s="1">
        <f>IF(Sales_Data[[#This Row],[Sales with Discount]]&lt;Sales_Data[[#This Row],[Sales with Free Shipping]],Sales_Data[[#This Row],[Sales with Discount]],Sales_Data[[#This Row],[Sales with Free Shipping]])</f>
        <v>850.04369999999994</v>
      </c>
      <c r="O1042" s="1" t="str">
        <f>TEXT(Sales_Data[[#This Row],[Order Date]], "MM-YYYY")</f>
        <v>07-2019</v>
      </c>
    </row>
    <row r="1043" spans="1:15" x14ac:dyDescent="0.3">
      <c r="A1043" s="1">
        <v>33670</v>
      </c>
      <c r="B1043" s="2">
        <v>43582</v>
      </c>
      <c r="C1043" s="1" t="s">
        <v>9</v>
      </c>
      <c r="D1043" s="1">
        <v>4</v>
      </c>
      <c r="E1043" t="s">
        <v>16</v>
      </c>
      <c r="F1043" t="s">
        <v>16</v>
      </c>
      <c r="G1043" s="1">
        <v>18.54</v>
      </c>
      <c r="H1043">
        <v>0</v>
      </c>
      <c r="I1043">
        <f>Sales_Data[[#This Row],[Sales]]*Sales_Data[[#This Row],[Discount]]</f>
        <v>0</v>
      </c>
      <c r="J1043">
        <v>18.54</v>
      </c>
      <c r="K1043" s="1">
        <v>5.4</v>
      </c>
      <c r="L1043" s="1">
        <v>18.54</v>
      </c>
      <c r="M1043" s="1" t="s">
        <v>10</v>
      </c>
      <c r="N1043" s="1">
        <f>IF(Sales_Data[[#This Row],[Sales with Discount]]&lt;Sales_Data[[#This Row],[Sales with Free Shipping]],Sales_Data[[#This Row],[Sales with Discount]],Sales_Data[[#This Row],[Sales with Free Shipping]])</f>
        <v>18.54</v>
      </c>
      <c r="O1043" s="1" t="str">
        <f>TEXT(Sales_Data[[#This Row],[Order Date]], "MM-YYYY")</f>
        <v>04-2019</v>
      </c>
    </row>
    <row r="1044" spans="1:15" x14ac:dyDescent="0.3">
      <c r="A1044" s="1">
        <v>18113</v>
      </c>
      <c r="B1044" s="2">
        <v>43705</v>
      </c>
      <c r="C1044" s="1" t="s">
        <v>11</v>
      </c>
      <c r="D1044" s="1">
        <v>27</v>
      </c>
      <c r="E1044" t="s">
        <v>20</v>
      </c>
      <c r="F1044" t="s">
        <v>20</v>
      </c>
      <c r="G1044" s="1">
        <v>3548.21</v>
      </c>
      <c r="H1044">
        <v>0</v>
      </c>
      <c r="I1044">
        <f>Sales_Data[[#This Row],[Sales]]*Sales_Data[[#This Row],[Discount]]</f>
        <v>0</v>
      </c>
      <c r="J1044">
        <v>3548.21</v>
      </c>
      <c r="K1044" s="1">
        <v>32.1</v>
      </c>
      <c r="L1044" s="1">
        <v>3548.21</v>
      </c>
      <c r="M1044" s="1" t="s">
        <v>13</v>
      </c>
      <c r="N1044" s="1">
        <f>IF(Sales_Data[[#This Row],[Sales with Discount]]&lt;Sales_Data[[#This Row],[Sales with Free Shipping]],Sales_Data[[#This Row],[Sales with Discount]],Sales_Data[[#This Row],[Sales with Free Shipping]])</f>
        <v>3548.21</v>
      </c>
      <c r="O1044" s="1" t="str">
        <f>TEXT(Sales_Data[[#This Row],[Order Date]], "MM-YYYY")</f>
        <v>08-2019</v>
      </c>
    </row>
    <row r="1045" spans="1:15" x14ac:dyDescent="0.3">
      <c r="A1045" s="1">
        <v>9509</v>
      </c>
      <c r="B1045" s="2">
        <v>43745</v>
      </c>
      <c r="C1045" s="1" t="s">
        <v>11</v>
      </c>
      <c r="D1045" s="1">
        <v>5</v>
      </c>
      <c r="E1045" t="s">
        <v>16</v>
      </c>
      <c r="F1045" t="s">
        <v>16</v>
      </c>
      <c r="G1045" s="1">
        <v>108.29</v>
      </c>
      <c r="H1045">
        <v>0</v>
      </c>
      <c r="I1045">
        <f>Sales_Data[[#This Row],[Sales]]*Sales_Data[[#This Row],[Discount]]</f>
        <v>0</v>
      </c>
      <c r="J1045">
        <v>108.29</v>
      </c>
      <c r="K1045" s="1">
        <v>5.6</v>
      </c>
      <c r="L1045" s="1">
        <v>108.29</v>
      </c>
      <c r="M1045" s="1" t="s">
        <v>8</v>
      </c>
      <c r="N1045" s="1">
        <f>IF(Sales_Data[[#This Row],[Sales with Discount]]&lt;Sales_Data[[#This Row],[Sales with Free Shipping]],Sales_Data[[#This Row],[Sales with Discount]],Sales_Data[[#This Row],[Sales with Free Shipping]])</f>
        <v>108.29</v>
      </c>
      <c r="O1045" s="1" t="str">
        <f>TEXT(Sales_Data[[#This Row],[Order Date]], "MM-YYYY")</f>
        <v>10-2019</v>
      </c>
    </row>
    <row r="1046" spans="1:15" x14ac:dyDescent="0.3">
      <c r="A1046" s="1">
        <v>10053</v>
      </c>
      <c r="B1046" s="2">
        <v>43474</v>
      </c>
      <c r="C1046" s="1" t="s">
        <v>9</v>
      </c>
      <c r="D1046" s="1">
        <v>31</v>
      </c>
      <c r="E1046" t="s">
        <v>21</v>
      </c>
      <c r="F1046" t="s">
        <v>21</v>
      </c>
      <c r="G1046" s="1">
        <v>173.96</v>
      </c>
      <c r="H1046">
        <v>0</v>
      </c>
      <c r="I1046">
        <f>Sales_Data[[#This Row],[Sales]]*Sales_Data[[#This Row],[Discount]]</f>
        <v>0</v>
      </c>
      <c r="J1046">
        <v>173.96</v>
      </c>
      <c r="K1046" s="1">
        <v>5.3</v>
      </c>
      <c r="L1046" s="1">
        <v>173.96</v>
      </c>
      <c r="M1046" s="1" t="s">
        <v>10</v>
      </c>
      <c r="N1046" s="1">
        <f>IF(Sales_Data[[#This Row],[Sales with Discount]]&lt;Sales_Data[[#This Row],[Sales with Free Shipping]],Sales_Data[[#This Row],[Sales with Discount]],Sales_Data[[#This Row],[Sales with Free Shipping]])</f>
        <v>173.96</v>
      </c>
      <c r="O1046" s="1" t="str">
        <f>TEXT(Sales_Data[[#This Row],[Order Date]], "MM-YYYY")</f>
        <v>01-2019</v>
      </c>
    </row>
    <row r="1047" spans="1:15" x14ac:dyDescent="0.3">
      <c r="A1047" s="1">
        <v>41760</v>
      </c>
      <c r="B1047" s="2">
        <v>43491</v>
      </c>
      <c r="C1047" s="1" t="s">
        <v>7</v>
      </c>
      <c r="D1047" s="1">
        <v>7</v>
      </c>
      <c r="E1047" t="s">
        <v>17</v>
      </c>
      <c r="F1047" t="s">
        <v>17</v>
      </c>
      <c r="G1047" s="1">
        <v>733.72</v>
      </c>
      <c r="H1047">
        <v>0</v>
      </c>
      <c r="I1047">
        <f>Sales_Data[[#This Row],[Sales]]*Sales_Data[[#This Row],[Discount]]</f>
        <v>0</v>
      </c>
      <c r="J1047">
        <v>733.72</v>
      </c>
      <c r="K1047" s="1">
        <v>2.7</v>
      </c>
      <c r="L1047" s="1">
        <v>733.72</v>
      </c>
      <c r="M1047" s="1" t="s">
        <v>10</v>
      </c>
      <c r="N1047" s="1">
        <f>IF(Sales_Data[[#This Row],[Sales with Discount]]&lt;Sales_Data[[#This Row],[Sales with Free Shipping]],Sales_Data[[#This Row],[Sales with Discount]],Sales_Data[[#This Row],[Sales with Free Shipping]])</f>
        <v>733.72</v>
      </c>
      <c r="O1047" s="1" t="str">
        <f>TEXT(Sales_Data[[#This Row],[Order Date]], "MM-YYYY")</f>
        <v>01-2019</v>
      </c>
    </row>
    <row r="1048" spans="1:15" x14ac:dyDescent="0.3">
      <c r="A1048" s="1">
        <v>56548</v>
      </c>
      <c r="B1048" s="2">
        <v>43713</v>
      </c>
      <c r="C1048" s="1" t="s">
        <v>14</v>
      </c>
      <c r="D1048" s="1">
        <v>7</v>
      </c>
      <c r="E1048" t="s">
        <v>17</v>
      </c>
      <c r="F1048" t="s">
        <v>17</v>
      </c>
      <c r="G1048" s="1">
        <v>1432.76</v>
      </c>
      <c r="H1048">
        <v>0</v>
      </c>
      <c r="I1048">
        <f>Sales_Data[[#This Row],[Sales]]*Sales_Data[[#This Row],[Discount]]</f>
        <v>0</v>
      </c>
      <c r="J1048">
        <v>1432.76</v>
      </c>
      <c r="K1048" s="1">
        <v>74.5</v>
      </c>
      <c r="L1048" s="1">
        <v>1432.76</v>
      </c>
      <c r="M1048" s="1" t="s">
        <v>13</v>
      </c>
      <c r="N1048" s="1">
        <f>IF(Sales_Data[[#This Row],[Sales with Discount]]&lt;Sales_Data[[#This Row],[Sales with Free Shipping]],Sales_Data[[#This Row],[Sales with Discount]],Sales_Data[[#This Row],[Sales with Free Shipping]])</f>
        <v>1432.76</v>
      </c>
      <c r="O1048" s="1" t="str">
        <f>TEXT(Sales_Data[[#This Row],[Order Date]], "MM-YYYY")</f>
        <v>09-2019</v>
      </c>
    </row>
    <row r="1049" spans="1:15" x14ac:dyDescent="0.3">
      <c r="A1049" s="1">
        <v>46055</v>
      </c>
      <c r="B1049" s="2">
        <v>43618</v>
      </c>
      <c r="C1049" s="1" t="s">
        <v>14</v>
      </c>
      <c r="D1049" s="1">
        <v>25</v>
      </c>
      <c r="E1049" t="s">
        <v>14</v>
      </c>
      <c r="F1049" t="s">
        <v>14</v>
      </c>
      <c r="G1049" s="1">
        <v>1381.5840000000001</v>
      </c>
      <c r="H1049">
        <v>0</v>
      </c>
      <c r="I1049">
        <f>Sales_Data[[#This Row],[Sales]]*Sales_Data[[#This Row],[Discount]]</f>
        <v>0</v>
      </c>
      <c r="J1049">
        <v>1381.5840000000001</v>
      </c>
      <c r="K1049" s="1">
        <v>7</v>
      </c>
      <c r="L1049" s="1">
        <v>1381.5840000000001</v>
      </c>
      <c r="M1049" s="1" t="s">
        <v>10</v>
      </c>
      <c r="N1049" s="1">
        <f>IF(Sales_Data[[#This Row],[Sales with Discount]]&lt;Sales_Data[[#This Row],[Sales with Free Shipping]],Sales_Data[[#This Row],[Sales with Discount]],Sales_Data[[#This Row],[Sales with Free Shipping]])</f>
        <v>1381.5840000000001</v>
      </c>
      <c r="O1049" s="1" t="str">
        <f>TEXT(Sales_Data[[#This Row],[Order Date]], "MM-YYYY")</f>
        <v>06-2019</v>
      </c>
    </row>
    <row r="1050" spans="1:15" x14ac:dyDescent="0.3">
      <c r="A1050" s="1">
        <v>43815</v>
      </c>
      <c r="B1050" s="2">
        <v>43629</v>
      </c>
      <c r="C1050" s="1" t="s">
        <v>11</v>
      </c>
      <c r="D1050" s="1">
        <v>45</v>
      </c>
      <c r="E1050" t="s">
        <v>23</v>
      </c>
      <c r="F1050" t="s">
        <v>23</v>
      </c>
      <c r="G1050" s="1">
        <v>3828.26</v>
      </c>
      <c r="H1050">
        <v>0.01</v>
      </c>
      <c r="I1050">
        <f>Sales_Data[[#This Row],[Sales]]*Sales_Data[[#This Row],[Discount]]</f>
        <v>38.282600000000002</v>
      </c>
      <c r="J1050">
        <v>3789.9774000000002</v>
      </c>
      <c r="K1050" s="1">
        <v>37.5</v>
      </c>
      <c r="L1050" s="1">
        <v>3790.76</v>
      </c>
      <c r="M1050" s="1" t="s">
        <v>10</v>
      </c>
      <c r="N1050" s="1">
        <f>IF(Sales_Data[[#This Row],[Sales with Discount]]&lt;Sales_Data[[#This Row],[Sales with Free Shipping]],Sales_Data[[#This Row],[Sales with Discount]],Sales_Data[[#This Row],[Sales with Free Shipping]])</f>
        <v>3789.9774000000002</v>
      </c>
      <c r="O1050" s="1" t="str">
        <f>TEXT(Sales_Data[[#This Row],[Order Date]], "MM-YYYY")</f>
        <v>06-2019</v>
      </c>
    </row>
    <row r="1051" spans="1:15" x14ac:dyDescent="0.3">
      <c r="A1051" s="1">
        <v>2054</v>
      </c>
      <c r="B1051" s="2">
        <v>43623</v>
      </c>
      <c r="C1051" s="1" t="s">
        <v>11</v>
      </c>
      <c r="D1051" s="1">
        <v>1</v>
      </c>
      <c r="E1051" t="s">
        <v>16</v>
      </c>
      <c r="F1051" t="s">
        <v>16</v>
      </c>
      <c r="G1051" s="1">
        <v>367.84</v>
      </c>
      <c r="H1051">
        <v>0</v>
      </c>
      <c r="I1051">
        <f>Sales_Data[[#This Row],[Sales]]*Sales_Data[[#This Row],[Discount]]</f>
        <v>0</v>
      </c>
      <c r="J1051">
        <v>367.84</v>
      </c>
      <c r="K1051" s="1">
        <v>21.4</v>
      </c>
      <c r="L1051" s="1">
        <v>367.84</v>
      </c>
      <c r="M1051" s="1" t="s">
        <v>10</v>
      </c>
      <c r="N1051" s="1">
        <f>IF(Sales_Data[[#This Row],[Sales with Discount]]&lt;Sales_Data[[#This Row],[Sales with Free Shipping]],Sales_Data[[#This Row],[Sales with Discount]],Sales_Data[[#This Row],[Sales with Free Shipping]])</f>
        <v>367.84</v>
      </c>
      <c r="O1051" s="1" t="str">
        <f>TEXT(Sales_Data[[#This Row],[Order Date]], "MM-YYYY")</f>
        <v>06-2019</v>
      </c>
    </row>
    <row r="1052" spans="1:15" x14ac:dyDescent="0.3">
      <c r="A1052" s="1">
        <v>50950</v>
      </c>
      <c r="B1052" s="2">
        <v>43829</v>
      </c>
      <c r="C1052" s="1" t="s">
        <v>11</v>
      </c>
      <c r="D1052" s="1">
        <v>35</v>
      </c>
      <c r="E1052" t="s">
        <v>21</v>
      </c>
      <c r="F1052" t="s">
        <v>21</v>
      </c>
      <c r="G1052" s="1">
        <v>479.46699999999998</v>
      </c>
      <c r="H1052">
        <v>0</v>
      </c>
      <c r="I1052">
        <f>Sales_Data[[#This Row],[Sales]]*Sales_Data[[#This Row],[Discount]]</f>
        <v>0</v>
      </c>
      <c r="J1052">
        <v>479.46699999999998</v>
      </c>
      <c r="K1052" s="1">
        <v>4.8</v>
      </c>
      <c r="L1052" s="1">
        <v>479.46699999999998</v>
      </c>
      <c r="M1052" s="1" t="s">
        <v>8</v>
      </c>
      <c r="N1052" s="1">
        <f>IF(Sales_Data[[#This Row],[Sales with Discount]]&lt;Sales_Data[[#This Row],[Sales with Free Shipping]],Sales_Data[[#This Row],[Sales with Discount]],Sales_Data[[#This Row],[Sales with Free Shipping]])</f>
        <v>479.46699999999998</v>
      </c>
      <c r="O1052" s="1" t="str">
        <f>TEXT(Sales_Data[[#This Row],[Order Date]], "MM-YYYY")</f>
        <v>12-2019</v>
      </c>
    </row>
    <row r="1053" spans="1:15" x14ac:dyDescent="0.3">
      <c r="A1053" s="1">
        <v>22434</v>
      </c>
      <c r="B1053" s="2">
        <v>43706</v>
      </c>
      <c r="C1053" s="1" t="s">
        <v>12</v>
      </c>
      <c r="D1053" s="1">
        <v>39</v>
      </c>
      <c r="E1053" t="s">
        <v>22</v>
      </c>
      <c r="F1053" t="s">
        <v>22</v>
      </c>
      <c r="G1053" s="1">
        <v>150.59</v>
      </c>
      <c r="H1053">
        <v>0.01</v>
      </c>
      <c r="I1053">
        <f>Sales_Data[[#This Row],[Sales]]*Sales_Data[[#This Row],[Discount]]</f>
        <v>1.5059</v>
      </c>
      <c r="J1053">
        <v>149.08410000000001</v>
      </c>
      <c r="K1053" s="1">
        <v>4.2</v>
      </c>
      <c r="L1053" s="1">
        <v>146.39000000000001</v>
      </c>
      <c r="M1053" s="1" t="s">
        <v>10</v>
      </c>
      <c r="N1053" s="1">
        <f>IF(Sales_Data[[#This Row],[Sales with Discount]]&lt;Sales_Data[[#This Row],[Sales with Free Shipping]],Sales_Data[[#This Row],[Sales with Discount]],Sales_Data[[#This Row],[Sales with Free Shipping]])</f>
        <v>146.39000000000001</v>
      </c>
      <c r="O1053" s="1" t="str">
        <f>TEXT(Sales_Data[[#This Row],[Order Date]], "MM-YYYY")</f>
        <v>08-2019</v>
      </c>
    </row>
    <row r="1054" spans="1:15" x14ac:dyDescent="0.3">
      <c r="A1054" s="1">
        <v>54177</v>
      </c>
      <c r="B1054" s="2">
        <v>43489</v>
      </c>
      <c r="C1054" s="1" t="s">
        <v>12</v>
      </c>
      <c r="D1054" s="1">
        <v>12</v>
      </c>
      <c r="E1054" t="s">
        <v>18</v>
      </c>
      <c r="F1054" t="s">
        <v>18</v>
      </c>
      <c r="G1054" s="1">
        <v>514.38</v>
      </c>
      <c r="H1054">
        <v>0</v>
      </c>
      <c r="I1054">
        <f>Sales_Data[[#This Row],[Sales]]*Sales_Data[[#This Row],[Discount]]</f>
        <v>0</v>
      </c>
      <c r="J1054">
        <v>514.38</v>
      </c>
      <c r="K1054" s="1">
        <v>3.2</v>
      </c>
      <c r="L1054" s="1">
        <v>514.38</v>
      </c>
      <c r="M1054" s="1" t="s">
        <v>10</v>
      </c>
      <c r="N1054" s="1">
        <f>IF(Sales_Data[[#This Row],[Sales with Discount]]&lt;Sales_Data[[#This Row],[Sales with Free Shipping]],Sales_Data[[#This Row],[Sales with Discount]],Sales_Data[[#This Row],[Sales with Free Shipping]])</f>
        <v>514.38</v>
      </c>
      <c r="O1054" s="1" t="str">
        <f>TEXT(Sales_Data[[#This Row],[Order Date]], "MM-YYYY")</f>
        <v>01-2019</v>
      </c>
    </row>
    <row r="1055" spans="1:15" x14ac:dyDescent="0.3">
      <c r="A1055" s="1">
        <v>29607</v>
      </c>
      <c r="B1055" s="2">
        <v>43537</v>
      </c>
      <c r="C1055" s="1" t="s">
        <v>14</v>
      </c>
      <c r="D1055" s="1">
        <v>20</v>
      </c>
      <c r="E1055" t="s">
        <v>19</v>
      </c>
      <c r="F1055" t="s">
        <v>19</v>
      </c>
      <c r="G1055" s="1">
        <v>257.58999999999997</v>
      </c>
      <c r="H1055">
        <v>0</v>
      </c>
      <c r="I1055">
        <f>Sales_Data[[#This Row],[Sales]]*Sales_Data[[#This Row],[Discount]]</f>
        <v>0</v>
      </c>
      <c r="J1055">
        <v>257.58999999999997</v>
      </c>
      <c r="K1055" s="1">
        <v>5.4</v>
      </c>
      <c r="L1055" s="1">
        <v>257.58999999999997</v>
      </c>
      <c r="M1055" s="1" t="s">
        <v>10</v>
      </c>
      <c r="N1055" s="1">
        <f>IF(Sales_Data[[#This Row],[Sales with Discount]]&lt;Sales_Data[[#This Row],[Sales with Free Shipping]],Sales_Data[[#This Row],[Sales with Discount]],Sales_Data[[#This Row],[Sales with Free Shipping]])</f>
        <v>257.58999999999997</v>
      </c>
      <c r="O1055" s="1" t="str">
        <f>TEXT(Sales_Data[[#This Row],[Order Date]], "MM-YYYY")</f>
        <v>03-2019</v>
      </c>
    </row>
    <row r="1056" spans="1:15" x14ac:dyDescent="0.3">
      <c r="A1056" s="1">
        <v>12352</v>
      </c>
      <c r="B1056" s="2">
        <v>43547</v>
      </c>
      <c r="C1056" s="1" t="s">
        <v>14</v>
      </c>
      <c r="D1056" s="1">
        <v>5</v>
      </c>
      <c r="E1056" t="s">
        <v>16</v>
      </c>
      <c r="F1056" t="s">
        <v>16</v>
      </c>
      <c r="G1056" s="1">
        <v>39.44</v>
      </c>
      <c r="H1056">
        <v>0</v>
      </c>
      <c r="I1056">
        <f>Sales_Data[[#This Row],[Sales]]*Sales_Data[[#This Row],[Discount]]</f>
        <v>0</v>
      </c>
      <c r="J1056">
        <v>39.44</v>
      </c>
      <c r="K1056" s="1">
        <v>9.1</v>
      </c>
      <c r="L1056" s="1">
        <v>39.44</v>
      </c>
      <c r="M1056" s="1" t="s">
        <v>10</v>
      </c>
      <c r="N1056" s="1">
        <f>IF(Sales_Data[[#This Row],[Sales with Discount]]&lt;Sales_Data[[#This Row],[Sales with Free Shipping]],Sales_Data[[#This Row],[Sales with Discount]],Sales_Data[[#This Row],[Sales with Free Shipping]])</f>
        <v>39.44</v>
      </c>
      <c r="O1056" s="1" t="str">
        <f>TEXT(Sales_Data[[#This Row],[Order Date]], "MM-YYYY")</f>
        <v>03-2019</v>
      </c>
    </row>
    <row r="1057" spans="1:15" x14ac:dyDescent="0.3">
      <c r="A1057" s="1">
        <v>4230</v>
      </c>
      <c r="B1057" s="2">
        <v>43527</v>
      </c>
      <c r="C1057" s="1" t="s">
        <v>12</v>
      </c>
      <c r="D1057" s="1">
        <v>46</v>
      </c>
      <c r="E1057" t="s">
        <v>24</v>
      </c>
      <c r="F1057" t="s">
        <v>24</v>
      </c>
      <c r="G1057" s="1">
        <v>2683.9</v>
      </c>
      <c r="H1057">
        <v>0.01</v>
      </c>
      <c r="I1057">
        <f>Sales_Data[[#This Row],[Sales]]*Sales_Data[[#This Row],[Discount]]</f>
        <v>26.839000000000002</v>
      </c>
      <c r="J1057">
        <v>2657.0610000000001</v>
      </c>
      <c r="K1057" s="1">
        <v>9.6</v>
      </c>
      <c r="L1057" s="1">
        <v>2674.3</v>
      </c>
      <c r="M1057" s="1" t="s">
        <v>8</v>
      </c>
      <c r="N1057" s="1">
        <f>IF(Sales_Data[[#This Row],[Sales with Discount]]&lt;Sales_Data[[#This Row],[Sales with Free Shipping]],Sales_Data[[#This Row],[Sales with Discount]],Sales_Data[[#This Row],[Sales with Free Shipping]])</f>
        <v>2657.0610000000001</v>
      </c>
      <c r="O1057" s="1" t="str">
        <f>TEXT(Sales_Data[[#This Row],[Order Date]], "MM-YYYY")</f>
        <v>03-2019</v>
      </c>
    </row>
    <row r="1058" spans="1:15" x14ac:dyDescent="0.3">
      <c r="A1058" s="1">
        <v>31106</v>
      </c>
      <c r="B1058" s="2">
        <v>43511</v>
      </c>
      <c r="C1058" s="1" t="s">
        <v>7</v>
      </c>
      <c r="D1058" s="1">
        <v>7</v>
      </c>
      <c r="E1058" t="s">
        <v>17</v>
      </c>
      <c r="F1058" t="s">
        <v>17</v>
      </c>
      <c r="G1058" s="1">
        <v>200.44</v>
      </c>
      <c r="H1058">
        <v>0</v>
      </c>
      <c r="I1058">
        <f>Sales_Data[[#This Row],[Sales]]*Sales_Data[[#This Row],[Discount]]</f>
        <v>0</v>
      </c>
      <c r="J1058">
        <v>200.44</v>
      </c>
      <c r="K1058" s="1">
        <v>10.6</v>
      </c>
      <c r="L1058" s="1">
        <v>200.44</v>
      </c>
      <c r="M1058" s="1" t="s">
        <v>10</v>
      </c>
      <c r="N1058" s="1">
        <f>IF(Sales_Data[[#This Row],[Sales with Discount]]&lt;Sales_Data[[#This Row],[Sales with Free Shipping]],Sales_Data[[#This Row],[Sales with Discount]],Sales_Data[[#This Row],[Sales with Free Shipping]])</f>
        <v>200.44</v>
      </c>
      <c r="O1058" s="1" t="str">
        <f>TEXT(Sales_Data[[#This Row],[Order Date]], "MM-YYYY")</f>
        <v>02-2019</v>
      </c>
    </row>
    <row r="1059" spans="1:15" x14ac:dyDescent="0.3">
      <c r="A1059" s="1">
        <v>44000</v>
      </c>
      <c r="B1059" s="2">
        <v>43742</v>
      </c>
      <c r="C1059" s="1" t="s">
        <v>11</v>
      </c>
      <c r="D1059" s="1">
        <v>15</v>
      </c>
      <c r="E1059" t="s">
        <v>18</v>
      </c>
      <c r="F1059" t="s">
        <v>18</v>
      </c>
      <c r="G1059" s="1">
        <v>538</v>
      </c>
      <c r="H1059">
        <v>0</v>
      </c>
      <c r="I1059">
        <f>Sales_Data[[#This Row],[Sales]]*Sales_Data[[#This Row],[Discount]]</f>
        <v>0</v>
      </c>
      <c r="J1059">
        <v>538</v>
      </c>
      <c r="K1059" s="1">
        <v>20.9</v>
      </c>
      <c r="L1059" s="1">
        <v>538</v>
      </c>
      <c r="M1059" s="1" t="s">
        <v>10</v>
      </c>
      <c r="N1059" s="1">
        <f>IF(Sales_Data[[#This Row],[Sales with Discount]]&lt;Sales_Data[[#This Row],[Sales with Free Shipping]],Sales_Data[[#This Row],[Sales with Discount]],Sales_Data[[#This Row],[Sales with Free Shipping]])</f>
        <v>538</v>
      </c>
      <c r="O1059" s="1" t="str">
        <f>TEXT(Sales_Data[[#This Row],[Order Date]], "MM-YYYY")</f>
        <v>10-2019</v>
      </c>
    </row>
    <row r="1060" spans="1:15" x14ac:dyDescent="0.3">
      <c r="A1060" s="1">
        <v>37315</v>
      </c>
      <c r="B1060" s="2">
        <v>43621</v>
      </c>
      <c r="C1060" s="1" t="s">
        <v>7</v>
      </c>
      <c r="D1060" s="1">
        <v>43</v>
      </c>
      <c r="E1060" t="s">
        <v>23</v>
      </c>
      <c r="F1060" t="s">
        <v>23</v>
      </c>
      <c r="G1060" s="1">
        <v>182.77</v>
      </c>
      <c r="H1060">
        <v>0.01</v>
      </c>
      <c r="I1060">
        <f>Sales_Data[[#This Row],[Sales]]*Sales_Data[[#This Row],[Discount]]</f>
        <v>1.8277000000000001</v>
      </c>
      <c r="J1060">
        <v>180.94230000000002</v>
      </c>
      <c r="K1060" s="1">
        <v>5.5</v>
      </c>
      <c r="L1060" s="1">
        <v>177.27</v>
      </c>
      <c r="M1060" s="1" t="s">
        <v>10</v>
      </c>
      <c r="N1060" s="1">
        <f>IF(Sales_Data[[#This Row],[Sales with Discount]]&lt;Sales_Data[[#This Row],[Sales with Free Shipping]],Sales_Data[[#This Row],[Sales with Discount]],Sales_Data[[#This Row],[Sales with Free Shipping]])</f>
        <v>177.27</v>
      </c>
      <c r="O1060" s="1" t="str">
        <f>TEXT(Sales_Data[[#This Row],[Order Date]], "MM-YYYY")</f>
        <v>06-2019</v>
      </c>
    </row>
    <row r="1061" spans="1:15" x14ac:dyDescent="0.3">
      <c r="A1061" s="1">
        <v>16036</v>
      </c>
      <c r="B1061" s="2">
        <v>43469</v>
      </c>
      <c r="C1061" s="1" t="s">
        <v>14</v>
      </c>
      <c r="D1061" s="1">
        <v>28</v>
      </c>
      <c r="E1061" t="s">
        <v>20</v>
      </c>
      <c r="F1061" t="s">
        <v>20</v>
      </c>
      <c r="G1061" s="1">
        <v>181.06540000000001</v>
      </c>
      <c r="H1061">
        <v>0</v>
      </c>
      <c r="I1061">
        <f>Sales_Data[[#This Row],[Sales]]*Sales_Data[[#This Row],[Discount]]</f>
        <v>0</v>
      </c>
      <c r="J1061">
        <v>181.06540000000001</v>
      </c>
      <c r="K1061" s="1">
        <v>9.1</v>
      </c>
      <c r="L1061" s="1">
        <v>181.06540000000001</v>
      </c>
      <c r="M1061" s="1" t="s">
        <v>10</v>
      </c>
      <c r="N1061" s="1">
        <f>IF(Sales_Data[[#This Row],[Sales with Discount]]&lt;Sales_Data[[#This Row],[Sales with Free Shipping]],Sales_Data[[#This Row],[Sales with Discount]],Sales_Data[[#This Row],[Sales with Free Shipping]])</f>
        <v>181.06540000000001</v>
      </c>
      <c r="O1061" s="1" t="str">
        <f>TEXT(Sales_Data[[#This Row],[Order Date]], "MM-YYYY")</f>
        <v>01-2019</v>
      </c>
    </row>
    <row r="1062" spans="1:15" x14ac:dyDescent="0.3">
      <c r="A1062" s="1">
        <v>53445</v>
      </c>
      <c r="B1062" s="2">
        <v>43762</v>
      </c>
      <c r="C1062" s="1" t="s">
        <v>9</v>
      </c>
      <c r="D1062" s="1">
        <v>8</v>
      </c>
      <c r="E1062" t="s">
        <v>17</v>
      </c>
      <c r="F1062" t="s">
        <v>17</v>
      </c>
      <c r="G1062" s="1">
        <v>113.3665</v>
      </c>
      <c r="H1062">
        <v>0</v>
      </c>
      <c r="I1062">
        <f>Sales_Data[[#This Row],[Sales]]*Sales_Data[[#This Row],[Discount]]</f>
        <v>0</v>
      </c>
      <c r="J1062">
        <v>113.3665</v>
      </c>
      <c r="K1062" s="1">
        <v>9.6</v>
      </c>
      <c r="L1062" s="1">
        <v>113.3665</v>
      </c>
      <c r="M1062" s="1" t="s">
        <v>10</v>
      </c>
      <c r="N1062" s="1">
        <f>IF(Sales_Data[[#This Row],[Sales with Discount]]&lt;Sales_Data[[#This Row],[Sales with Free Shipping]],Sales_Data[[#This Row],[Sales with Discount]],Sales_Data[[#This Row],[Sales with Free Shipping]])</f>
        <v>113.3665</v>
      </c>
      <c r="O1062" s="1" t="str">
        <f>TEXT(Sales_Data[[#This Row],[Order Date]], "MM-YYYY")</f>
        <v>10-2019</v>
      </c>
    </row>
    <row r="1063" spans="1:15" x14ac:dyDescent="0.3">
      <c r="A1063" s="1">
        <v>8167</v>
      </c>
      <c r="B1063" s="2">
        <v>43681</v>
      </c>
      <c r="C1063" s="1" t="s">
        <v>12</v>
      </c>
      <c r="D1063" s="1">
        <v>48</v>
      </c>
      <c r="E1063" t="s">
        <v>24</v>
      </c>
      <c r="F1063" t="s">
        <v>24</v>
      </c>
      <c r="G1063" s="1">
        <v>1550.75</v>
      </c>
      <c r="H1063">
        <v>0.01</v>
      </c>
      <c r="I1063">
        <f>Sales_Data[[#This Row],[Sales]]*Sales_Data[[#This Row],[Discount]]</f>
        <v>15.5075</v>
      </c>
      <c r="J1063">
        <v>1535.2425000000001</v>
      </c>
      <c r="K1063" s="1">
        <v>1.3</v>
      </c>
      <c r="L1063" s="1">
        <v>1549.45</v>
      </c>
      <c r="M1063" s="1" t="s">
        <v>10</v>
      </c>
      <c r="N1063" s="1">
        <f>IF(Sales_Data[[#This Row],[Sales with Discount]]&lt;Sales_Data[[#This Row],[Sales with Free Shipping]],Sales_Data[[#This Row],[Sales with Discount]],Sales_Data[[#This Row],[Sales with Free Shipping]])</f>
        <v>1535.2425000000001</v>
      </c>
      <c r="O1063" s="1" t="str">
        <f>TEXT(Sales_Data[[#This Row],[Order Date]], "MM-YYYY")</f>
        <v>08-2019</v>
      </c>
    </row>
    <row r="1064" spans="1:15" x14ac:dyDescent="0.3">
      <c r="A1064" s="1">
        <v>10439</v>
      </c>
      <c r="B1064" s="2">
        <v>43552</v>
      </c>
      <c r="C1064" s="1" t="s">
        <v>11</v>
      </c>
      <c r="D1064" s="1">
        <v>46</v>
      </c>
      <c r="E1064" t="s">
        <v>24</v>
      </c>
      <c r="F1064" t="s">
        <v>24</v>
      </c>
      <c r="G1064" s="1">
        <v>240.89</v>
      </c>
      <c r="H1064">
        <v>0.01</v>
      </c>
      <c r="I1064">
        <f>Sales_Data[[#This Row],[Sales]]*Sales_Data[[#This Row],[Discount]]</f>
        <v>2.4089</v>
      </c>
      <c r="J1064">
        <v>238.4811</v>
      </c>
      <c r="K1064" s="1">
        <v>7.7</v>
      </c>
      <c r="L1064" s="1">
        <v>233.19</v>
      </c>
      <c r="M1064" s="1" t="s">
        <v>8</v>
      </c>
      <c r="N1064" s="1">
        <f>IF(Sales_Data[[#This Row],[Sales with Discount]]&lt;Sales_Data[[#This Row],[Sales with Free Shipping]],Sales_Data[[#This Row],[Sales with Discount]],Sales_Data[[#This Row],[Sales with Free Shipping]])</f>
        <v>233.19</v>
      </c>
      <c r="O1064" s="1" t="str">
        <f>TEXT(Sales_Data[[#This Row],[Order Date]], "MM-YYYY")</f>
        <v>03-2019</v>
      </c>
    </row>
    <row r="1065" spans="1:15" x14ac:dyDescent="0.3">
      <c r="A1065" s="1">
        <v>26310</v>
      </c>
      <c r="B1065" s="2">
        <v>43675</v>
      </c>
      <c r="C1065" s="1" t="s">
        <v>11</v>
      </c>
      <c r="D1065" s="1">
        <v>19</v>
      </c>
      <c r="E1065" t="s">
        <v>19</v>
      </c>
      <c r="F1065" t="s">
        <v>19</v>
      </c>
      <c r="G1065" s="1">
        <v>120.56</v>
      </c>
      <c r="H1065">
        <v>0</v>
      </c>
      <c r="I1065">
        <f>Sales_Data[[#This Row],[Sales]]*Sales_Data[[#This Row],[Discount]]</f>
        <v>0</v>
      </c>
      <c r="J1065">
        <v>120.56</v>
      </c>
      <c r="K1065" s="1">
        <v>5.5</v>
      </c>
      <c r="L1065" s="1">
        <v>120.56</v>
      </c>
      <c r="M1065" s="1" t="s">
        <v>10</v>
      </c>
      <c r="N1065" s="1">
        <f>IF(Sales_Data[[#This Row],[Sales with Discount]]&lt;Sales_Data[[#This Row],[Sales with Free Shipping]],Sales_Data[[#This Row],[Sales with Discount]],Sales_Data[[#This Row],[Sales with Free Shipping]])</f>
        <v>120.56</v>
      </c>
      <c r="O1065" s="1" t="str">
        <f>TEXT(Sales_Data[[#This Row],[Order Date]], "MM-YYYY")</f>
        <v>07-2019</v>
      </c>
    </row>
    <row r="1066" spans="1:15" x14ac:dyDescent="0.3">
      <c r="A1066" s="1">
        <v>33414</v>
      </c>
      <c r="B1066" s="2">
        <v>43505</v>
      </c>
      <c r="C1066" s="1" t="s">
        <v>11</v>
      </c>
      <c r="D1066" s="1">
        <v>9</v>
      </c>
      <c r="E1066" t="s">
        <v>17</v>
      </c>
      <c r="F1066" t="s">
        <v>17</v>
      </c>
      <c r="G1066" s="1">
        <v>39.83</v>
      </c>
      <c r="H1066">
        <v>0</v>
      </c>
      <c r="I1066">
        <f>Sales_Data[[#This Row],[Sales]]*Sales_Data[[#This Row],[Discount]]</f>
        <v>0</v>
      </c>
      <c r="J1066">
        <v>39.83</v>
      </c>
      <c r="K1066" s="1">
        <v>1.3</v>
      </c>
      <c r="L1066" s="1">
        <v>39.83</v>
      </c>
      <c r="M1066" s="1" t="s">
        <v>10</v>
      </c>
      <c r="N1066" s="1">
        <f>IF(Sales_Data[[#This Row],[Sales with Discount]]&lt;Sales_Data[[#This Row],[Sales with Free Shipping]],Sales_Data[[#This Row],[Sales with Discount]],Sales_Data[[#This Row],[Sales with Free Shipping]])</f>
        <v>39.83</v>
      </c>
      <c r="O1066" s="1" t="str">
        <f>TEXT(Sales_Data[[#This Row],[Order Date]], "MM-YYYY")</f>
        <v>02-2019</v>
      </c>
    </row>
    <row r="1067" spans="1:15" x14ac:dyDescent="0.3">
      <c r="A1067" s="1">
        <v>30786</v>
      </c>
      <c r="B1067" s="2">
        <v>43662</v>
      </c>
      <c r="C1067" s="1" t="s">
        <v>14</v>
      </c>
      <c r="D1067" s="1">
        <v>23</v>
      </c>
      <c r="E1067" t="s">
        <v>14</v>
      </c>
      <c r="F1067" t="s">
        <v>14</v>
      </c>
      <c r="G1067" s="1">
        <v>70.523700000000005</v>
      </c>
      <c r="H1067">
        <v>0</v>
      </c>
      <c r="I1067">
        <f>Sales_Data[[#This Row],[Sales]]*Sales_Data[[#This Row],[Discount]]</f>
        <v>0</v>
      </c>
      <c r="J1067">
        <v>70.523700000000005</v>
      </c>
      <c r="K1067" s="1">
        <v>1.4</v>
      </c>
      <c r="L1067" s="1">
        <v>70.523700000000005</v>
      </c>
      <c r="M1067" s="1" t="s">
        <v>10</v>
      </c>
      <c r="N1067" s="1">
        <f>IF(Sales_Data[[#This Row],[Sales with Discount]]&lt;Sales_Data[[#This Row],[Sales with Free Shipping]],Sales_Data[[#This Row],[Sales with Discount]],Sales_Data[[#This Row],[Sales with Free Shipping]])</f>
        <v>70.523700000000005</v>
      </c>
      <c r="O1067" s="1" t="str">
        <f>TEXT(Sales_Data[[#This Row],[Order Date]], "MM-YYYY")</f>
        <v>07-2019</v>
      </c>
    </row>
    <row r="1068" spans="1:15" x14ac:dyDescent="0.3">
      <c r="A1068" s="1">
        <v>46048</v>
      </c>
      <c r="B1068" s="2">
        <v>43810</v>
      </c>
      <c r="C1068" s="1" t="s">
        <v>14</v>
      </c>
      <c r="D1068" s="1">
        <v>10</v>
      </c>
      <c r="E1068" t="s">
        <v>17</v>
      </c>
      <c r="F1068" t="s">
        <v>17</v>
      </c>
      <c r="G1068" s="1">
        <v>145.27000000000001</v>
      </c>
      <c r="H1068">
        <v>0</v>
      </c>
      <c r="I1068">
        <f>Sales_Data[[#This Row],[Sales]]*Sales_Data[[#This Row],[Discount]]</f>
        <v>0</v>
      </c>
      <c r="J1068">
        <v>145.27000000000001</v>
      </c>
      <c r="K1068" s="1">
        <v>3.4</v>
      </c>
      <c r="L1068" s="1">
        <v>145.27000000000001</v>
      </c>
      <c r="M1068" s="1" t="s">
        <v>8</v>
      </c>
      <c r="N1068" s="1">
        <f>IF(Sales_Data[[#This Row],[Sales with Discount]]&lt;Sales_Data[[#This Row],[Sales with Free Shipping]],Sales_Data[[#This Row],[Sales with Discount]],Sales_Data[[#This Row],[Sales with Free Shipping]])</f>
        <v>145.27000000000001</v>
      </c>
      <c r="O1068" s="1" t="str">
        <f>TEXT(Sales_Data[[#This Row],[Order Date]], "MM-YYYY")</f>
        <v>12-2019</v>
      </c>
    </row>
    <row r="1069" spans="1:15" x14ac:dyDescent="0.3">
      <c r="A1069" s="1">
        <v>46979</v>
      </c>
      <c r="B1069" s="2">
        <v>43662</v>
      </c>
      <c r="C1069" s="1" t="s">
        <v>7</v>
      </c>
      <c r="D1069" s="1">
        <v>30</v>
      </c>
      <c r="E1069" t="s">
        <v>20</v>
      </c>
      <c r="F1069" t="s">
        <v>20</v>
      </c>
      <c r="G1069" s="1">
        <v>9328.75</v>
      </c>
      <c r="H1069">
        <v>0</v>
      </c>
      <c r="I1069">
        <f>Sales_Data[[#This Row],[Sales]]*Sales_Data[[#This Row],[Discount]]</f>
        <v>0</v>
      </c>
      <c r="J1069">
        <v>9328.75</v>
      </c>
      <c r="K1069" s="1">
        <v>28.4</v>
      </c>
      <c r="L1069" s="1">
        <v>9328.75</v>
      </c>
      <c r="M1069" s="1" t="s">
        <v>13</v>
      </c>
      <c r="N1069" s="1">
        <f>IF(Sales_Data[[#This Row],[Sales with Discount]]&lt;Sales_Data[[#This Row],[Sales with Free Shipping]],Sales_Data[[#This Row],[Sales with Discount]],Sales_Data[[#This Row],[Sales with Free Shipping]])</f>
        <v>9328.75</v>
      </c>
      <c r="O1069" s="1" t="str">
        <f>TEXT(Sales_Data[[#This Row],[Order Date]], "MM-YYYY")</f>
        <v>07-2019</v>
      </c>
    </row>
    <row r="1070" spans="1:15" x14ac:dyDescent="0.3">
      <c r="A1070" s="1">
        <v>29216</v>
      </c>
      <c r="B1070" s="2">
        <v>43828</v>
      </c>
      <c r="C1070" s="1" t="s">
        <v>12</v>
      </c>
      <c r="D1070" s="1">
        <v>46</v>
      </c>
      <c r="E1070" t="s">
        <v>24</v>
      </c>
      <c r="F1070" t="s">
        <v>24</v>
      </c>
      <c r="G1070" s="1">
        <v>2072</v>
      </c>
      <c r="H1070">
        <v>0.01</v>
      </c>
      <c r="I1070">
        <f>Sales_Data[[#This Row],[Sales]]*Sales_Data[[#This Row],[Discount]]</f>
        <v>20.72</v>
      </c>
      <c r="J1070">
        <v>2051.2800000000002</v>
      </c>
      <c r="K1070" s="1">
        <v>4.3</v>
      </c>
      <c r="L1070" s="1">
        <v>2067.6999999999998</v>
      </c>
      <c r="M1070" s="1" t="s">
        <v>10</v>
      </c>
      <c r="N1070" s="1">
        <f>IF(Sales_Data[[#This Row],[Sales with Discount]]&lt;Sales_Data[[#This Row],[Sales with Free Shipping]],Sales_Data[[#This Row],[Sales with Discount]],Sales_Data[[#This Row],[Sales with Free Shipping]])</f>
        <v>2051.2800000000002</v>
      </c>
      <c r="O1070" s="1" t="str">
        <f>TEXT(Sales_Data[[#This Row],[Order Date]], "MM-YYYY")</f>
        <v>12-2019</v>
      </c>
    </row>
    <row r="1071" spans="1:15" x14ac:dyDescent="0.3">
      <c r="A1071" s="1">
        <v>46852</v>
      </c>
      <c r="B1071" s="2">
        <v>43492</v>
      </c>
      <c r="C1071" s="1" t="s">
        <v>11</v>
      </c>
      <c r="D1071" s="1">
        <v>44</v>
      </c>
      <c r="E1071" t="s">
        <v>23</v>
      </c>
      <c r="F1071" t="s">
        <v>23</v>
      </c>
      <c r="G1071" s="1">
        <v>235.47</v>
      </c>
      <c r="H1071">
        <v>0.01</v>
      </c>
      <c r="I1071">
        <f>Sales_Data[[#This Row],[Sales]]*Sales_Data[[#This Row],[Discount]]</f>
        <v>2.3547000000000002</v>
      </c>
      <c r="J1071">
        <v>233.11529999999999</v>
      </c>
      <c r="K1071" s="1">
        <v>5.3</v>
      </c>
      <c r="L1071" s="1">
        <v>230.17</v>
      </c>
      <c r="M1071" s="1" t="s">
        <v>10</v>
      </c>
      <c r="N1071" s="1">
        <f>IF(Sales_Data[[#This Row],[Sales with Discount]]&lt;Sales_Data[[#This Row],[Sales with Free Shipping]],Sales_Data[[#This Row],[Sales with Discount]],Sales_Data[[#This Row],[Sales with Free Shipping]])</f>
        <v>230.17</v>
      </c>
      <c r="O1071" s="1" t="str">
        <f>TEXT(Sales_Data[[#This Row],[Order Date]], "MM-YYYY")</f>
        <v>01-2019</v>
      </c>
    </row>
    <row r="1072" spans="1:15" x14ac:dyDescent="0.3">
      <c r="A1072" s="1">
        <v>56514</v>
      </c>
      <c r="B1072" s="2">
        <v>43506</v>
      </c>
      <c r="C1072" s="1" t="s">
        <v>7</v>
      </c>
      <c r="D1072" s="1">
        <v>3</v>
      </c>
      <c r="E1072" t="s">
        <v>16</v>
      </c>
      <c r="F1072" t="s">
        <v>16</v>
      </c>
      <c r="G1072" s="1">
        <v>117.7</v>
      </c>
      <c r="H1072">
        <v>0</v>
      </c>
      <c r="I1072">
        <f>Sales_Data[[#This Row],[Sales]]*Sales_Data[[#This Row],[Discount]]</f>
        <v>0</v>
      </c>
      <c r="J1072">
        <v>117.7</v>
      </c>
      <c r="K1072" s="1">
        <v>12.4</v>
      </c>
      <c r="L1072" s="1">
        <v>117.7</v>
      </c>
      <c r="M1072" s="1" t="s">
        <v>10</v>
      </c>
      <c r="N1072" s="1">
        <f>IF(Sales_Data[[#This Row],[Sales with Discount]]&lt;Sales_Data[[#This Row],[Sales with Free Shipping]],Sales_Data[[#This Row],[Sales with Discount]],Sales_Data[[#This Row],[Sales with Free Shipping]])</f>
        <v>117.7</v>
      </c>
      <c r="O1072" s="1" t="str">
        <f>TEXT(Sales_Data[[#This Row],[Order Date]], "MM-YYYY")</f>
        <v>02-2019</v>
      </c>
    </row>
    <row r="1073" spans="1:15" x14ac:dyDescent="0.3">
      <c r="A1073" s="1">
        <v>33731</v>
      </c>
      <c r="B1073" s="2">
        <v>43746</v>
      </c>
      <c r="C1073" s="1" t="s">
        <v>9</v>
      </c>
      <c r="D1073" s="1">
        <v>32</v>
      </c>
      <c r="E1073" t="s">
        <v>21</v>
      </c>
      <c r="F1073" t="s">
        <v>21</v>
      </c>
      <c r="G1073" s="1">
        <v>116.64</v>
      </c>
      <c r="H1073">
        <v>0</v>
      </c>
      <c r="I1073">
        <f>Sales_Data[[#This Row],[Sales]]*Sales_Data[[#This Row],[Discount]]</f>
        <v>0</v>
      </c>
      <c r="J1073">
        <v>116.64</v>
      </c>
      <c r="K1073" s="1">
        <v>1.7</v>
      </c>
      <c r="L1073" s="1">
        <v>116.64</v>
      </c>
      <c r="M1073" s="1" t="s">
        <v>10</v>
      </c>
      <c r="N1073" s="1">
        <f>IF(Sales_Data[[#This Row],[Sales with Discount]]&lt;Sales_Data[[#This Row],[Sales with Free Shipping]],Sales_Data[[#This Row],[Sales with Discount]],Sales_Data[[#This Row],[Sales with Free Shipping]])</f>
        <v>116.64</v>
      </c>
      <c r="O1073" s="1" t="str">
        <f>TEXT(Sales_Data[[#This Row],[Order Date]], "MM-YYYY")</f>
        <v>10-2019</v>
      </c>
    </row>
    <row r="1074" spans="1:15" x14ac:dyDescent="0.3">
      <c r="A1074" s="1">
        <v>30436</v>
      </c>
      <c r="B1074" s="2">
        <v>43653</v>
      </c>
      <c r="C1074" s="1" t="s">
        <v>7</v>
      </c>
      <c r="D1074" s="1">
        <v>30</v>
      </c>
      <c r="E1074" t="s">
        <v>20</v>
      </c>
      <c r="F1074" t="s">
        <v>20</v>
      </c>
      <c r="G1074" s="1">
        <v>129.67330000000001</v>
      </c>
      <c r="H1074">
        <v>0</v>
      </c>
      <c r="I1074">
        <f>Sales_Data[[#This Row],[Sales]]*Sales_Data[[#This Row],[Discount]]</f>
        <v>0</v>
      </c>
      <c r="J1074">
        <v>129.67330000000001</v>
      </c>
      <c r="K1074" s="1">
        <v>7.5</v>
      </c>
      <c r="L1074" s="1">
        <v>129.67330000000001</v>
      </c>
      <c r="M1074" s="1" t="s">
        <v>8</v>
      </c>
      <c r="N1074" s="1">
        <f>IF(Sales_Data[[#This Row],[Sales with Discount]]&lt;Sales_Data[[#This Row],[Sales with Free Shipping]],Sales_Data[[#This Row],[Sales with Discount]],Sales_Data[[#This Row],[Sales with Free Shipping]])</f>
        <v>129.67330000000001</v>
      </c>
      <c r="O1074" s="1" t="str">
        <f>TEXT(Sales_Data[[#This Row],[Order Date]], "MM-YYYY")</f>
        <v>07-2019</v>
      </c>
    </row>
    <row r="1075" spans="1:15" x14ac:dyDescent="0.3">
      <c r="A1075" s="1">
        <v>10982</v>
      </c>
      <c r="B1075" s="2">
        <v>43809</v>
      </c>
      <c r="C1075" s="1" t="s">
        <v>11</v>
      </c>
      <c r="D1075" s="1">
        <v>29</v>
      </c>
      <c r="E1075" t="s">
        <v>20</v>
      </c>
      <c r="F1075" t="s">
        <v>20</v>
      </c>
      <c r="G1075" s="1">
        <v>575.95000000000005</v>
      </c>
      <c r="H1075">
        <v>0</v>
      </c>
      <c r="I1075">
        <f>Sales_Data[[#This Row],[Sales]]*Sales_Data[[#This Row],[Discount]]</f>
        <v>0</v>
      </c>
      <c r="J1075">
        <v>575.95000000000005</v>
      </c>
      <c r="K1075" s="1">
        <v>1.6</v>
      </c>
      <c r="L1075" s="1">
        <v>575.95000000000005</v>
      </c>
      <c r="M1075" s="1" t="s">
        <v>10</v>
      </c>
      <c r="N1075" s="1">
        <f>IF(Sales_Data[[#This Row],[Sales with Discount]]&lt;Sales_Data[[#This Row],[Sales with Free Shipping]],Sales_Data[[#This Row],[Sales with Discount]],Sales_Data[[#This Row],[Sales with Free Shipping]])</f>
        <v>575.95000000000005</v>
      </c>
      <c r="O1075" s="1" t="str">
        <f>TEXT(Sales_Data[[#This Row],[Order Date]], "MM-YYYY")</f>
        <v>12-2019</v>
      </c>
    </row>
    <row r="1076" spans="1:15" x14ac:dyDescent="0.3">
      <c r="A1076" s="1">
        <v>1701</v>
      </c>
      <c r="B1076" s="2">
        <v>43603</v>
      </c>
      <c r="C1076" s="1" t="s">
        <v>9</v>
      </c>
      <c r="D1076" s="1">
        <v>1</v>
      </c>
      <c r="E1076" t="s">
        <v>16</v>
      </c>
      <c r="F1076" t="s">
        <v>16</v>
      </c>
      <c r="G1076" s="1">
        <v>60.57</v>
      </c>
      <c r="H1076">
        <v>0</v>
      </c>
      <c r="I1076">
        <f>Sales_Data[[#This Row],[Sales]]*Sales_Data[[#This Row],[Discount]]</f>
        <v>0</v>
      </c>
      <c r="J1076">
        <v>60.57</v>
      </c>
      <c r="K1076" s="1">
        <v>15.5</v>
      </c>
      <c r="L1076" s="1">
        <v>60.57</v>
      </c>
      <c r="M1076" s="1" t="s">
        <v>10</v>
      </c>
      <c r="N1076" s="1">
        <f>IF(Sales_Data[[#This Row],[Sales with Discount]]&lt;Sales_Data[[#This Row],[Sales with Free Shipping]],Sales_Data[[#This Row],[Sales with Discount]],Sales_Data[[#This Row],[Sales with Free Shipping]])</f>
        <v>60.57</v>
      </c>
      <c r="O1076" s="1" t="str">
        <f>TEXT(Sales_Data[[#This Row],[Order Date]], "MM-YYYY")</f>
        <v>05-2019</v>
      </c>
    </row>
    <row r="1077" spans="1:15" x14ac:dyDescent="0.3">
      <c r="A1077" s="1">
        <v>22432</v>
      </c>
      <c r="B1077" s="2">
        <v>43797</v>
      </c>
      <c r="C1077" s="1" t="s">
        <v>11</v>
      </c>
      <c r="D1077" s="1">
        <v>45</v>
      </c>
      <c r="E1077" t="s">
        <v>23</v>
      </c>
      <c r="F1077" t="s">
        <v>23</v>
      </c>
      <c r="G1077" s="1">
        <v>2919.4094</v>
      </c>
      <c r="H1077">
        <v>0.01</v>
      </c>
      <c r="I1077">
        <f>Sales_Data[[#This Row],[Sales]]*Sales_Data[[#This Row],[Discount]]</f>
        <v>29.194094</v>
      </c>
      <c r="J1077">
        <v>2890.2153060000001</v>
      </c>
      <c r="K1077" s="1">
        <v>21.4</v>
      </c>
      <c r="L1077" s="1">
        <v>2898.0093999999999</v>
      </c>
      <c r="M1077" s="1" t="s">
        <v>10</v>
      </c>
      <c r="N1077" s="1">
        <f>IF(Sales_Data[[#This Row],[Sales with Discount]]&lt;Sales_Data[[#This Row],[Sales with Free Shipping]],Sales_Data[[#This Row],[Sales with Discount]],Sales_Data[[#This Row],[Sales with Free Shipping]])</f>
        <v>2890.2153060000001</v>
      </c>
      <c r="O1077" s="1" t="str">
        <f>TEXT(Sales_Data[[#This Row],[Order Date]], "MM-YYYY")</f>
        <v>11-2019</v>
      </c>
    </row>
    <row r="1078" spans="1:15" x14ac:dyDescent="0.3">
      <c r="A1078" s="1">
        <v>22085</v>
      </c>
      <c r="B1078" s="2">
        <v>43533</v>
      </c>
      <c r="C1078" s="1" t="s">
        <v>7</v>
      </c>
      <c r="D1078" s="1">
        <v>41</v>
      </c>
      <c r="E1078" t="s">
        <v>23</v>
      </c>
      <c r="F1078" t="s">
        <v>23</v>
      </c>
      <c r="G1078" s="1">
        <v>284.2</v>
      </c>
      <c r="H1078">
        <v>0.01</v>
      </c>
      <c r="I1078">
        <f>Sales_Data[[#This Row],[Sales]]*Sales_Data[[#This Row],[Discount]]</f>
        <v>2.8420000000000001</v>
      </c>
      <c r="J1078">
        <v>281.358</v>
      </c>
      <c r="K1078" s="1">
        <v>7.9</v>
      </c>
      <c r="L1078" s="1">
        <v>276.3</v>
      </c>
      <c r="M1078" s="1" t="s">
        <v>10</v>
      </c>
      <c r="N1078" s="1">
        <f>IF(Sales_Data[[#This Row],[Sales with Discount]]&lt;Sales_Data[[#This Row],[Sales with Free Shipping]],Sales_Data[[#This Row],[Sales with Discount]],Sales_Data[[#This Row],[Sales with Free Shipping]])</f>
        <v>276.3</v>
      </c>
      <c r="O1078" s="1" t="str">
        <f>TEXT(Sales_Data[[#This Row],[Order Date]], "MM-YYYY")</f>
        <v>03-2019</v>
      </c>
    </row>
    <row r="1079" spans="1:15" x14ac:dyDescent="0.3">
      <c r="A1079" s="1">
        <v>59685</v>
      </c>
      <c r="B1079" s="2">
        <v>43809</v>
      </c>
      <c r="C1079" s="1" t="s">
        <v>12</v>
      </c>
      <c r="D1079" s="1">
        <v>12</v>
      </c>
      <c r="E1079" t="s">
        <v>18</v>
      </c>
      <c r="F1079" t="s">
        <v>18</v>
      </c>
      <c r="G1079" s="1">
        <v>540.55999999999995</v>
      </c>
      <c r="H1079">
        <v>0</v>
      </c>
      <c r="I1079">
        <f>Sales_Data[[#This Row],[Sales]]*Sales_Data[[#This Row],[Discount]]</f>
        <v>0</v>
      </c>
      <c r="J1079">
        <v>540.55999999999995</v>
      </c>
      <c r="K1079" s="1">
        <v>5.7</v>
      </c>
      <c r="L1079" s="1">
        <v>540.55999999999995</v>
      </c>
      <c r="M1079" s="1" t="s">
        <v>10</v>
      </c>
      <c r="N1079" s="1">
        <f>IF(Sales_Data[[#This Row],[Sales with Discount]]&lt;Sales_Data[[#This Row],[Sales with Free Shipping]],Sales_Data[[#This Row],[Sales with Discount]],Sales_Data[[#This Row],[Sales with Free Shipping]])</f>
        <v>540.55999999999995</v>
      </c>
      <c r="O1079" s="1" t="str">
        <f>TEXT(Sales_Data[[#This Row],[Order Date]], "MM-YYYY")</f>
        <v>12-2019</v>
      </c>
    </row>
    <row r="1080" spans="1:15" x14ac:dyDescent="0.3">
      <c r="A1080" s="1">
        <v>40901</v>
      </c>
      <c r="B1080" s="2">
        <v>43675</v>
      </c>
      <c r="C1080" s="1" t="s">
        <v>14</v>
      </c>
      <c r="D1080" s="1">
        <v>40</v>
      </c>
      <c r="E1080" t="s">
        <v>22</v>
      </c>
      <c r="F1080" t="s">
        <v>22</v>
      </c>
      <c r="G1080" s="1">
        <v>292.25979999999998</v>
      </c>
      <c r="H1080">
        <v>0.01</v>
      </c>
      <c r="I1080">
        <f>Sales_Data[[#This Row],[Sales]]*Sales_Data[[#This Row],[Discount]]</f>
        <v>2.9225979999999998</v>
      </c>
      <c r="J1080">
        <v>289.33720199999999</v>
      </c>
      <c r="K1080" s="1">
        <v>4.4000000000000004</v>
      </c>
      <c r="L1080" s="1">
        <v>287.85980000000001</v>
      </c>
      <c r="M1080" s="1" t="s">
        <v>10</v>
      </c>
      <c r="N1080" s="1">
        <f>IF(Sales_Data[[#This Row],[Sales with Discount]]&lt;Sales_Data[[#This Row],[Sales with Free Shipping]],Sales_Data[[#This Row],[Sales with Discount]],Sales_Data[[#This Row],[Sales with Free Shipping]])</f>
        <v>287.85980000000001</v>
      </c>
      <c r="O1080" s="1" t="str">
        <f>TEXT(Sales_Data[[#This Row],[Order Date]], "MM-YYYY")</f>
        <v>07-2019</v>
      </c>
    </row>
    <row r="1081" spans="1:15" x14ac:dyDescent="0.3">
      <c r="A1081" s="1">
        <v>21223</v>
      </c>
      <c r="B1081" s="2">
        <v>43539</v>
      </c>
      <c r="C1081" s="1" t="s">
        <v>11</v>
      </c>
      <c r="D1081" s="1">
        <v>8</v>
      </c>
      <c r="E1081" t="s">
        <v>17</v>
      </c>
      <c r="F1081" t="s">
        <v>17</v>
      </c>
      <c r="G1081" s="1">
        <v>465.76</v>
      </c>
      <c r="H1081">
        <v>0</v>
      </c>
      <c r="I1081">
        <f>Sales_Data[[#This Row],[Sales]]*Sales_Data[[#This Row],[Discount]]</f>
        <v>0</v>
      </c>
      <c r="J1081">
        <v>465.76</v>
      </c>
      <c r="K1081" s="1">
        <v>19.7</v>
      </c>
      <c r="L1081" s="1">
        <v>465.76</v>
      </c>
      <c r="M1081" s="1" t="s">
        <v>10</v>
      </c>
      <c r="N1081" s="1">
        <f>IF(Sales_Data[[#This Row],[Sales with Discount]]&lt;Sales_Data[[#This Row],[Sales with Free Shipping]],Sales_Data[[#This Row],[Sales with Discount]],Sales_Data[[#This Row],[Sales with Free Shipping]])</f>
        <v>465.76</v>
      </c>
      <c r="O1081" s="1" t="str">
        <f>TEXT(Sales_Data[[#This Row],[Order Date]], "MM-YYYY")</f>
        <v>03-2019</v>
      </c>
    </row>
    <row r="1082" spans="1:15" x14ac:dyDescent="0.3">
      <c r="A1082" s="1">
        <v>57093</v>
      </c>
      <c r="B1082" s="2">
        <v>43587</v>
      </c>
      <c r="C1082" s="1" t="s">
        <v>7</v>
      </c>
      <c r="D1082" s="1">
        <v>3</v>
      </c>
      <c r="E1082" t="s">
        <v>16</v>
      </c>
      <c r="F1082" t="s">
        <v>16</v>
      </c>
      <c r="G1082" s="1">
        <v>20.3</v>
      </c>
      <c r="H1082">
        <v>0</v>
      </c>
      <c r="I1082">
        <f>Sales_Data[[#This Row],[Sales]]*Sales_Data[[#This Row],[Discount]]</f>
        <v>0</v>
      </c>
      <c r="J1082">
        <v>20.3</v>
      </c>
      <c r="K1082" s="1">
        <v>3.2</v>
      </c>
      <c r="L1082" s="1">
        <v>20.3</v>
      </c>
      <c r="M1082" s="1" t="s">
        <v>10</v>
      </c>
      <c r="N1082" s="1">
        <f>IF(Sales_Data[[#This Row],[Sales with Discount]]&lt;Sales_Data[[#This Row],[Sales with Free Shipping]],Sales_Data[[#This Row],[Sales with Discount]],Sales_Data[[#This Row],[Sales with Free Shipping]])</f>
        <v>20.3</v>
      </c>
      <c r="O1082" s="1" t="str">
        <f>TEXT(Sales_Data[[#This Row],[Order Date]], "MM-YYYY")</f>
        <v>05-2019</v>
      </c>
    </row>
    <row r="1083" spans="1:15" x14ac:dyDescent="0.3">
      <c r="A1083" s="1">
        <v>55170</v>
      </c>
      <c r="B1083" s="2">
        <v>43729</v>
      </c>
      <c r="C1083" s="1" t="s">
        <v>12</v>
      </c>
      <c r="D1083" s="1">
        <v>22</v>
      </c>
      <c r="E1083" t="s">
        <v>14</v>
      </c>
      <c r="F1083" t="s">
        <v>14</v>
      </c>
      <c r="G1083" s="1">
        <v>1054.26</v>
      </c>
      <c r="H1083">
        <v>0</v>
      </c>
      <c r="I1083">
        <f>Sales_Data[[#This Row],[Sales]]*Sales_Data[[#This Row],[Discount]]</f>
        <v>0</v>
      </c>
      <c r="J1083">
        <v>1054.26</v>
      </c>
      <c r="K1083" s="1">
        <v>9.6</v>
      </c>
      <c r="L1083" s="1">
        <v>1054.26</v>
      </c>
      <c r="M1083" s="1" t="s">
        <v>8</v>
      </c>
      <c r="N1083" s="1">
        <f>IF(Sales_Data[[#This Row],[Sales with Discount]]&lt;Sales_Data[[#This Row],[Sales with Free Shipping]],Sales_Data[[#This Row],[Sales with Discount]],Sales_Data[[#This Row],[Sales with Free Shipping]])</f>
        <v>1054.26</v>
      </c>
      <c r="O1083" s="1" t="str">
        <f>TEXT(Sales_Data[[#This Row],[Order Date]], "MM-YYYY")</f>
        <v>09-2019</v>
      </c>
    </row>
    <row r="1084" spans="1:15" x14ac:dyDescent="0.3">
      <c r="A1084" s="1">
        <v>55239</v>
      </c>
      <c r="B1084" s="2">
        <v>43802</v>
      </c>
      <c r="C1084" s="1" t="s">
        <v>12</v>
      </c>
      <c r="D1084" s="1">
        <v>13</v>
      </c>
      <c r="E1084" t="s">
        <v>18</v>
      </c>
      <c r="F1084" t="s">
        <v>18</v>
      </c>
      <c r="G1084" s="1">
        <v>102.38</v>
      </c>
      <c r="H1084">
        <v>0</v>
      </c>
      <c r="I1084">
        <f>Sales_Data[[#This Row],[Sales]]*Sales_Data[[#This Row],[Discount]]</f>
        <v>0</v>
      </c>
      <c r="J1084">
        <v>102.38</v>
      </c>
      <c r="K1084" s="1">
        <v>5.5</v>
      </c>
      <c r="L1084" s="1">
        <v>102.38</v>
      </c>
      <c r="M1084" s="1" t="s">
        <v>8</v>
      </c>
      <c r="N1084" s="1">
        <f>IF(Sales_Data[[#This Row],[Sales with Discount]]&lt;Sales_Data[[#This Row],[Sales with Free Shipping]],Sales_Data[[#This Row],[Sales with Discount]],Sales_Data[[#This Row],[Sales with Free Shipping]])</f>
        <v>102.38</v>
      </c>
      <c r="O1084" s="1" t="str">
        <f>TEXT(Sales_Data[[#This Row],[Order Date]], "MM-YYYY")</f>
        <v>12-2019</v>
      </c>
    </row>
    <row r="1085" spans="1:15" x14ac:dyDescent="0.3">
      <c r="A1085" s="1">
        <v>11362</v>
      </c>
      <c r="B1085" s="2">
        <v>43718</v>
      </c>
      <c r="C1085" s="1" t="s">
        <v>7</v>
      </c>
      <c r="D1085" s="1">
        <v>25</v>
      </c>
      <c r="E1085" t="s">
        <v>14</v>
      </c>
      <c r="F1085" t="s">
        <v>14</v>
      </c>
      <c r="G1085" s="1">
        <v>2576.23</v>
      </c>
      <c r="H1085">
        <v>0</v>
      </c>
      <c r="I1085">
        <f>Sales_Data[[#This Row],[Sales]]*Sales_Data[[#This Row],[Discount]]</f>
        <v>0</v>
      </c>
      <c r="J1085">
        <v>2576.23</v>
      </c>
      <c r="K1085" s="1">
        <v>9.6</v>
      </c>
      <c r="L1085" s="1">
        <v>2576.23</v>
      </c>
      <c r="M1085" s="1" t="s">
        <v>10</v>
      </c>
      <c r="N1085" s="1">
        <f>IF(Sales_Data[[#This Row],[Sales with Discount]]&lt;Sales_Data[[#This Row],[Sales with Free Shipping]],Sales_Data[[#This Row],[Sales with Discount]],Sales_Data[[#This Row],[Sales with Free Shipping]])</f>
        <v>2576.23</v>
      </c>
      <c r="O1085" s="1" t="str">
        <f>TEXT(Sales_Data[[#This Row],[Order Date]], "MM-YYYY")</f>
        <v>09-2019</v>
      </c>
    </row>
    <row r="1086" spans="1:15" x14ac:dyDescent="0.3">
      <c r="A1086" s="1">
        <v>15712</v>
      </c>
      <c r="B1086" s="2">
        <v>43803</v>
      </c>
      <c r="C1086" s="1" t="s">
        <v>9</v>
      </c>
      <c r="D1086" s="1">
        <v>1</v>
      </c>
      <c r="E1086" t="s">
        <v>16</v>
      </c>
      <c r="F1086" t="s">
        <v>16</v>
      </c>
      <c r="G1086" s="1">
        <v>110.1</v>
      </c>
      <c r="H1086">
        <v>0</v>
      </c>
      <c r="I1086">
        <f>Sales_Data[[#This Row],[Sales]]*Sales_Data[[#This Row],[Discount]]</f>
        <v>0</v>
      </c>
      <c r="J1086">
        <v>110.1</v>
      </c>
      <c r="K1086" s="1">
        <v>57.9</v>
      </c>
      <c r="L1086" s="1">
        <v>110.1</v>
      </c>
      <c r="M1086" s="1" t="s">
        <v>13</v>
      </c>
      <c r="N1086" s="1">
        <f>IF(Sales_Data[[#This Row],[Sales with Discount]]&lt;Sales_Data[[#This Row],[Sales with Free Shipping]],Sales_Data[[#This Row],[Sales with Discount]],Sales_Data[[#This Row],[Sales with Free Shipping]])</f>
        <v>110.1</v>
      </c>
      <c r="O1086" s="1" t="str">
        <f>TEXT(Sales_Data[[#This Row],[Order Date]], "MM-YYYY")</f>
        <v>12-2019</v>
      </c>
    </row>
    <row r="1087" spans="1:15" x14ac:dyDescent="0.3">
      <c r="A1087" s="1">
        <v>43523</v>
      </c>
      <c r="B1087" s="2">
        <v>43608</v>
      </c>
      <c r="C1087" s="1" t="s">
        <v>14</v>
      </c>
      <c r="D1087" s="1">
        <v>50</v>
      </c>
      <c r="E1087" t="s">
        <v>24</v>
      </c>
      <c r="F1087" t="s">
        <v>24</v>
      </c>
      <c r="G1087" s="1">
        <v>316.05</v>
      </c>
      <c r="H1087">
        <v>0.01</v>
      </c>
      <c r="I1087">
        <f>Sales_Data[[#This Row],[Sales]]*Sales_Data[[#This Row],[Discount]]</f>
        <v>3.1605000000000003</v>
      </c>
      <c r="J1087">
        <v>312.8895</v>
      </c>
      <c r="K1087" s="1">
        <v>5.8</v>
      </c>
      <c r="L1087" s="1">
        <v>310.25</v>
      </c>
      <c r="M1087" s="1" t="s">
        <v>10</v>
      </c>
      <c r="N1087" s="1">
        <f>IF(Sales_Data[[#This Row],[Sales with Discount]]&lt;Sales_Data[[#This Row],[Sales with Free Shipping]],Sales_Data[[#This Row],[Sales with Discount]],Sales_Data[[#This Row],[Sales with Free Shipping]])</f>
        <v>310.25</v>
      </c>
      <c r="O1087" s="1" t="str">
        <f>TEXT(Sales_Data[[#This Row],[Order Date]], "MM-YYYY")</f>
        <v>05-2019</v>
      </c>
    </row>
    <row r="1088" spans="1:15" x14ac:dyDescent="0.3">
      <c r="A1088" s="1">
        <v>5860</v>
      </c>
      <c r="B1088" s="2">
        <v>43514</v>
      </c>
      <c r="C1088" s="1" t="s">
        <v>11</v>
      </c>
      <c r="D1088" s="1">
        <v>12</v>
      </c>
      <c r="E1088" t="s">
        <v>18</v>
      </c>
      <c r="F1088" t="s">
        <v>18</v>
      </c>
      <c r="G1088" s="1">
        <v>60.7</v>
      </c>
      <c r="H1088">
        <v>0</v>
      </c>
      <c r="I1088">
        <f>Sales_Data[[#This Row],[Sales]]*Sales_Data[[#This Row],[Discount]]</f>
        <v>0</v>
      </c>
      <c r="J1088">
        <v>60.7</v>
      </c>
      <c r="K1088" s="1">
        <v>0.8</v>
      </c>
      <c r="L1088" s="1">
        <v>60.7</v>
      </c>
      <c r="M1088" s="1" t="s">
        <v>10</v>
      </c>
      <c r="N1088" s="1">
        <f>IF(Sales_Data[[#This Row],[Sales with Discount]]&lt;Sales_Data[[#This Row],[Sales with Free Shipping]],Sales_Data[[#This Row],[Sales with Discount]],Sales_Data[[#This Row],[Sales with Free Shipping]])</f>
        <v>60.7</v>
      </c>
      <c r="O1088" s="1" t="str">
        <f>TEXT(Sales_Data[[#This Row],[Order Date]], "MM-YYYY")</f>
        <v>02-2019</v>
      </c>
    </row>
    <row r="1089" spans="1:15" x14ac:dyDescent="0.3">
      <c r="A1089" s="1">
        <v>130</v>
      </c>
      <c r="B1089" s="2">
        <v>43592</v>
      </c>
      <c r="C1089" s="1" t="s">
        <v>9</v>
      </c>
      <c r="D1089" s="1">
        <v>3</v>
      </c>
      <c r="E1089" t="s">
        <v>16</v>
      </c>
      <c r="F1089" t="s">
        <v>16</v>
      </c>
      <c r="G1089" s="1">
        <v>494.22</v>
      </c>
      <c r="H1089">
        <v>0</v>
      </c>
      <c r="I1089">
        <f>Sales_Data[[#This Row],[Sales]]*Sales_Data[[#This Row],[Discount]]</f>
        <v>0</v>
      </c>
      <c r="J1089">
        <v>494.22</v>
      </c>
      <c r="K1089" s="1">
        <v>15</v>
      </c>
      <c r="L1089" s="1">
        <v>494.22</v>
      </c>
      <c r="M1089" s="1" t="s">
        <v>8</v>
      </c>
      <c r="N1089" s="1">
        <f>IF(Sales_Data[[#This Row],[Sales with Discount]]&lt;Sales_Data[[#This Row],[Sales with Free Shipping]],Sales_Data[[#This Row],[Sales with Discount]],Sales_Data[[#This Row],[Sales with Free Shipping]])</f>
        <v>494.22</v>
      </c>
      <c r="O1089" s="1" t="str">
        <f>TEXT(Sales_Data[[#This Row],[Order Date]], "MM-YYYY")</f>
        <v>05-2019</v>
      </c>
    </row>
    <row r="1090" spans="1:15" x14ac:dyDescent="0.3">
      <c r="A1090" s="1">
        <v>33541</v>
      </c>
      <c r="B1090" s="2">
        <v>43635</v>
      </c>
      <c r="C1090" s="1" t="s">
        <v>12</v>
      </c>
      <c r="D1090" s="1">
        <v>43</v>
      </c>
      <c r="E1090" t="s">
        <v>23</v>
      </c>
      <c r="F1090" t="s">
        <v>23</v>
      </c>
      <c r="G1090" s="1">
        <v>548.66999999999996</v>
      </c>
      <c r="H1090">
        <v>0.01</v>
      </c>
      <c r="I1090">
        <f>Sales_Data[[#This Row],[Sales]]*Sales_Data[[#This Row],[Discount]]</f>
        <v>5.4866999999999999</v>
      </c>
      <c r="J1090">
        <v>543.18329999999992</v>
      </c>
      <c r="K1090" s="1">
        <v>6.4</v>
      </c>
      <c r="L1090" s="1">
        <v>542.27</v>
      </c>
      <c r="M1090" s="1" t="s">
        <v>10</v>
      </c>
      <c r="N1090" s="1">
        <f>IF(Sales_Data[[#This Row],[Sales with Discount]]&lt;Sales_Data[[#This Row],[Sales with Free Shipping]],Sales_Data[[#This Row],[Sales with Discount]],Sales_Data[[#This Row],[Sales with Free Shipping]])</f>
        <v>542.27</v>
      </c>
      <c r="O1090" s="1" t="str">
        <f>TEXT(Sales_Data[[#This Row],[Order Date]], "MM-YYYY")</f>
        <v>06-2019</v>
      </c>
    </row>
    <row r="1091" spans="1:15" x14ac:dyDescent="0.3">
      <c r="A1091" s="1">
        <v>37895</v>
      </c>
      <c r="B1091" s="2">
        <v>43554</v>
      </c>
      <c r="C1091" s="1" t="s">
        <v>12</v>
      </c>
      <c r="D1091" s="1">
        <v>14</v>
      </c>
      <c r="E1091" t="s">
        <v>18</v>
      </c>
      <c r="F1091" t="s">
        <v>18</v>
      </c>
      <c r="G1091" s="1">
        <v>325.98</v>
      </c>
      <c r="H1091">
        <v>0</v>
      </c>
      <c r="I1091">
        <f>Sales_Data[[#This Row],[Sales]]*Sales_Data[[#This Row],[Discount]]</f>
        <v>0</v>
      </c>
      <c r="J1091">
        <v>325.98</v>
      </c>
      <c r="K1091" s="1">
        <v>8.9</v>
      </c>
      <c r="L1091" s="1">
        <v>325.98</v>
      </c>
      <c r="M1091" s="1" t="s">
        <v>10</v>
      </c>
      <c r="N1091" s="1">
        <f>IF(Sales_Data[[#This Row],[Sales with Discount]]&lt;Sales_Data[[#This Row],[Sales with Free Shipping]],Sales_Data[[#This Row],[Sales with Discount]],Sales_Data[[#This Row],[Sales with Free Shipping]])</f>
        <v>325.98</v>
      </c>
      <c r="O1091" s="1" t="str">
        <f>TEXT(Sales_Data[[#This Row],[Order Date]], "MM-YYYY")</f>
        <v>03-2019</v>
      </c>
    </row>
    <row r="1092" spans="1:15" x14ac:dyDescent="0.3">
      <c r="A1092" s="1">
        <v>46566</v>
      </c>
      <c r="B1092" s="2">
        <v>43564</v>
      </c>
      <c r="C1092" s="1" t="s">
        <v>14</v>
      </c>
      <c r="D1092" s="1">
        <v>49</v>
      </c>
      <c r="E1092" t="s">
        <v>24</v>
      </c>
      <c r="F1092" t="s">
        <v>24</v>
      </c>
      <c r="G1092" s="1">
        <v>1642.13</v>
      </c>
      <c r="H1092">
        <v>0.01</v>
      </c>
      <c r="I1092">
        <f>Sales_Data[[#This Row],[Sales]]*Sales_Data[[#This Row],[Discount]]</f>
        <v>16.421300000000002</v>
      </c>
      <c r="J1092">
        <v>1625.7087000000001</v>
      </c>
      <c r="K1092" s="1">
        <v>3.9</v>
      </c>
      <c r="L1092" s="1">
        <v>1638.23</v>
      </c>
      <c r="M1092" s="1" t="s">
        <v>10</v>
      </c>
      <c r="N1092" s="1">
        <f>IF(Sales_Data[[#This Row],[Sales with Discount]]&lt;Sales_Data[[#This Row],[Sales with Free Shipping]],Sales_Data[[#This Row],[Sales with Discount]],Sales_Data[[#This Row],[Sales with Free Shipping]])</f>
        <v>1625.7087000000001</v>
      </c>
      <c r="O1092" s="1" t="str">
        <f>TEXT(Sales_Data[[#This Row],[Order Date]], "MM-YYYY")</f>
        <v>04-2019</v>
      </c>
    </row>
    <row r="1093" spans="1:15" x14ac:dyDescent="0.3">
      <c r="A1093" s="1">
        <v>4705</v>
      </c>
      <c r="B1093" s="2">
        <v>43545</v>
      </c>
      <c r="C1093" s="1" t="s">
        <v>11</v>
      </c>
      <c r="D1093" s="1">
        <v>16</v>
      </c>
      <c r="E1093" t="s">
        <v>19</v>
      </c>
      <c r="F1093" t="s">
        <v>19</v>
      </c>
      <c r="G1093" s="1">
        <v>132.52000000000001</v>
      </c>
      <c r="H1093">
        <v>0</v>
      </c>
      <c r="I1093">
        <f>Sales_Data[[#This Row],[Sales]]*Sales_Data[[#This Row],[Discount]]</f>
        <v>0</v>
      </c>
      <c r="J1093">
        <v>132.52000000000001</v>
      </c>
      <c r="K1093" s="1">
        <v>7</v>
      </c>
      <c r="L1093" s="1">
        <v>132.52000000000001</v>
      </c>
      <c r="M1093" s="1" t="s">
        <v>10</v>
      </c>
      <c r="N1093" s="1">
        <f>IF(Sales_Data[[#This Row],[Sales with Discount]]&lt;Sales_Data[[#This Row],[Sales with Free Shipping]],Sales_Data[[#This Row],[Sales with Discount]],Sales_Data[[#This Row],[Sales with Free Shipping]])</f>
        <v>132.52000000000001</v>
      </c>
      <c r="O1093" s="1" t="str">
        <f>TEXT(Sales_Data[[#This Row],[Order Date]], "MM-YYYY")</f>
        <v>03-2019</v>
      </c>
    </row>
    <row r="1094" spans="1:15" x14ac:dyDescent="0.3">
      <c r="A1094" s="1">
        <v>27780</v>
      </c>
      <c r="B1094" s="2">
        <v>43758</v>
      </c>
      <c r="C1094" s="1" t="s">
        <v>12</v>
      </c>
      <c r="D1094" s="1">
        <v>39</v>
      </c>
      <c r="E1094" t="s">
        <v>22</v>
      </c>
      <c r="F1094" t="s">
        <v>22</v>
      </c>
      <c r="G1094" s="1">
        <v>1795.82</v>
      </c>
      <c r="H1094">
        <v>0.01</v>
      </c>
      <c r="I1094">
        <f>Sales_Data[[#This Row],[Sales]]*Sales_Data[[#This Row],[Discount]]</f>
        <v>17.958200000000001</v>
      </c>
      <c r="J1094">
        <v>1777.8617999999999</v>
      </c>
      <c r="K1094" s="1">
        <v>2.1</v>
      </c>
      <c r="L1094" s="1">
        <v>1793.72</v>
      </c>
      <c r="M1094" s="1" t="s">
        <v>10</v>
      </c>
      <c r="N1094" s="1">
        <f>IF(Sales_Data[[#This Row],[Sales with Discount]]&lt;Sales_Data[[#This Row],[Sales with Free Shipping]],Sales_Data[[#This Row],[Sales with Discount]],Sales_Data[[#This Row],[Sales with Free Shipping]])</f>
        <v>1777.8617999999999</v>
      </c>
      <c r="O1094" s="1" t="str">
        <f>TEXT(Sales_Data[[#This Row],[Order Date]], "MM-YYYY")</f>
        <v>10-2019</v>
      </c>
    </row>
    <row r="1095" spans="1:15" x14ac:dyDescent="0.3">
      <c r="A1095" s="1">
        <v>2630</v>
      </c>
      <c r="B1095" s="2">
        <v>43761</v>
      </c>
      <c r="C1095" s="1" t="s">
        <v>7</v>
      </c>
      <c r="D1095" s="1">
        <v>31</v>
      </c>
      <c r="E1095" t="s">
        <v>21</v>
      </c>
      <c r="F1095" t="s">
        <v>21</v>
      </c>
      <c r="G1095" s="1">
        <v>156.77000000000001</v>
      </c>
      <c r="H1095">
        <v>0</v>
      </c>
      <c r="I1095">
        <f>Sales_Data[[#This Row],[Sales]]*Sales_Data[[#This Row],[Discount]]</f>
        <v>0</v>
      </c>
      <c r="J1095">
        <v>156.77000000000001</v>
      </c>
      <c r="K1095" s="1">
        <v>1.6</v>
      </c>
      <c r="L1095" s="1">
        <v>156.77000000000001</v>
      </c>
      <c r="M1095" s="1" t="s">
        <v>10</v>
      </c>
      <c r="N1095" s="1">
        <f>IF(Sales_Data[[#This Row],[Sales with Discount]]&lt;Sales_Data[[#This Row],[Sales with Free Shipping]],Sales_Data[[#This Row],[Sales with Discount]],Sales_Data[[#This Row],[Sales with Free Shipping]])</f>
        <v>156.77000000000001</v>
      </c>
      <c r="O1095" s="1" t="str">
        <f>TEXT(Sales_Data[[#This Row],[Order Date]], "MM-YYYY")</f>
        <v>10-2019</v>
      </c>
    </row>
    <row r="1096" spans="1:15" x14ac:dyDescent="0.3">
      <c r="A1096" s="1">
        <v>50532</v>
      </c>
      <c r="B1096" s="2">
        <v>43691</v>
      </c>
      <c r="C1096" s="1" t="s">
        <v>14</v>
      </c>
      <c r="D1096" s="1">
        <v>10</v>
      </c>
      <c r="E1096" t="s">
        <v>17</v>
      </c>
      <c r="F1096" t="s">
        <v>17</v>
      </c>
      <c r="G1096" s="1">
        <v>285.75</v>
      </c>
      <c r="H1096">
        <v>0</v>
      </c>
      <c r="I1096">
        <f>Sales_Data[[#This Row],[Sales]]*Sales_Data[[#This Row],[Discount]]</f>
        <v>0</v>
      </c>
      <c r="J1096">
        <v>285.75</v>
      </c>
      <c r="K1096" s="1">
        <v>3.2</v>
      </c>
      <c r="L1096" s="1">
        <v>285.75</v>
      </c>
      <c r="M1096" s="1" t="s">
        <v>10</v>
      </c>
      <c r="N1096" s="1">
        <f>IF(Sales_Data[[#This Row],[Sales with Discount]]&lt;Sales_Data[[#This Row],[Sales with Free Shipping]],Sales_Data[[#This Row],[Sales with Discount]],Sales_Data[[#This Row],[Sales with Free Shipping]])</f>
        <v>285.75</v>
      </c>
      <c r="O1096" s="1" t="str">
        <f>TEXT(Sales_Data[[#This Row],[Order Date]], "MM-YYYY")</f>
        <v>08-2019</v>
      </c>
    </row>
    <row r="1097" spans="1:15" x14ac:dyDescent="0.3">
      <c r="A1097" s="1">
        <v>23649</v>
      </c>
      <c r="B1097" s="2">
        <v>43713</v>
      </c>
      <c r="C1097" s="1" t="s">
        <v>11</v>
      </c>
      <c r="D1097" s="1">
        <v>30</v>
      </c>
      <c r="E1097" t="s">
        <v>20</v>
      </c>
      <c r="F1097" t="s">
        <v>20</v>
      </c>
      <c r="G1097" s="1">
        <v>4909.08</v>
      </c>
      <c r="H1097">
        <v>0</v>
      </c>
      <c r="I1097">
        <f>Sales_Data[[#This Row],[Sales]]*Sales_Data[[#This Row],[Discount]]</f>
        <v>0</v>
      </c>
      <c r="J1097">
        <v>4909.08</v>
      </c>
      <c r="K1097" s="1">
        <v>4.5</v>
      </c>
      <c r="L1097" s="1">
        <v>4909.08</v>
      </c>
      <c r="M1097" s="1" t="s">
        <v>10</v>
      </c>
      <c r="N1097" s="1">
        <f>IF(Sales_Data[[#This Row],[Sales with Discount]]&lt;Sales_Data[[#This Row],[Sales with Free Shipping]],Sales_Data[[#This Row],[Sales with Discount]],Sales_Data[[#This Row],[Sales with Free Shipping]])</f>
        <v>4909.08</v>
      </c>
      <c r="O1097" s="1" t="str">
        <f>TEXT(Sales_Data[[#This Row],[Order Date]], "MM-YYYY")</f>
        <v>09-2019</v>
      </c>
    </row>
    <row r="1098" spans="1:15" x14ac:dyDescent="0.3">
      <c r="A1098" s="1">
        <v>1221</v>
      </c>
      <c r="B1098" s="2">
        <v>43573</v>
      </c>
      <c r="C1098" s="1" t="s">
        <v>11</v>
      </c>
      <c r="D1098" s="1">
        <v>16</v>
      </c>
      <c r="E1098" t="s">
        <v>19</v>
      </c>
      <c r="F1098" t="s">
        <v>19</v>
      </c>
      <c r="G1098" s="1">
        <v>73.239999999999995</v>
      </c>
      <c r="H1098">
        <v>0</v>
      </c>
      <c r="I1098">
        <f>Sales_Data[[#This Row],[Sales]]*Sales_Data[[#This Row],[Discount]]</f>
        <v>0</v>
      </c>
      <c r="J1098">
        <v>73.239999999999995</v>
      </c>
      <c r="K1098" s="1">
        <v>5.8</v>
      </c>
      <c r="L1098" s="1">
        <v>73.239999999999995</v>
      </c>
      <c r="M1098" s="1" t="s">
        <v>10</v>
      </c>
      <c r="N1098" s="1">
        <f>IF(Sales_Data[[#This Row],[Sales with Discount]]&lt;Sales_Data[[#This Row],[Sales with Free Shipping]],Sales_Data[[#This Row],[Sales with Discount]],Sales_Data[[#This Row],[Sales with Free Shipping]])</f>
        <v>73.239999999999995</v>
      </c>
      <c r="O1098" s="1" t="str">
        <f>TEXT(Sales_Data[[#This Row],[Order Date]], "MM-YYYY")</f>
        <v>04-2019</v>
      </c>
    </row>
    <row r="1099" spans="1:15" x14ac:dyDescent="0.3">
      <c r="A1099" s="1">
        <v>39686</v>
      </c>
      <c r="B1099" s="2">
        <v>43624</v>
      </c>
      <c r="C1099" s="1" t="s">
        <v>11</v>
      </c>
      <c r="D1099" s="1">
        <v>48</v>
      </c>
      <c r="E1099" t="s">
        <v>24</v>
      </c>
      <c r="F1099" t="s">
        <v>24</v>
      </c>
      <c r="G1099" s="1">
        <v>2943.26</v>
      </c>
      <c r="H1099">
        <v>0.01</v>
      </c>
      <c r="I1099">
        <f>Sales_Data[[#This Row],[Sales]]*Sales_Data[[#This Row],[Discount]]</f>
        <v>29.432600000000004</v>
      </c>
      <c r="J1099">
        <v>2913.8274000000001</v>
      </c>
      <c r="K1099" s="1">
        <v>5.6</v>
      </c>
      <c r="L1099" s="1">
        <v>2937.6600000000003</v>
      </c>
      <c r="M1099" s="1" t="s">
        <v>10</v>
      </c>
      <c r="N1099" s="1">
        <f>IF(Sales_Data[[#This Row],[Sales with Discount]]&lt;Sales_Data[[#This Row],[Sales with Free Shipping]],Sales_Data[[#This Row],[Sales with Discount]],Sales_Data[[#This Row],[Sales with Free Shipping]])</f>
        <v>2913.8274000000001</v>
      </c>
      <c r="O1099" s="1" t="str">
        <f>TEXT(Sales_Data[[#This Row],[Order Date]], "MM-YYYY")</f>
        <v>06-2019</v>
      </c>
    </row>
    <row r="1100" spans="1:15" x14ac:dyDescent="0.3">
      <c r="A1100" s="1">
        <v>16231</v>
      </c>
      <c r="B1100" s="2">
        <v>43712</v>
      </c>
      <c r="C1100" s="1" t="s">
        <v>7</v>
      </c>
      <c r="D1100" s="1">
        <v>20</v>
      </c>
      <c r="E1100" t="s">
        <v>19</v>
      </c>
      <c r="F1100" t="s">
        <v>19</v>
      </c>
      <c r="G1100" s="1">
        <v>2681.83</v>
      </c>
      <c r="H1100">
        <v>0</v>
      </c>
      <c r="I1100">
        <f>Sales_Data[[#This Row],[Sales]]*Sales_Data[[#This Row],[Discount]]</f>
        <v>0</v>
      </c>
      <c r="J1100">
        <v>2681.83</v>
      </c>
      <c r="K1100" s="1">
        <v>55.6</v>
      </c>
      <c r="L1100" s="1">
        <v>2681.83</v>
      </c>
      <c r="M1100" s="1" t="s">
        <v>13</v>
      </c>
      <c r="N1100" s="1">
        <f>IF(Sales_Data[[#This Row],[Sales with Discount]]&lt;Sales_Data[[#This Row],[Sales with Free Shipping]],Sales_Data[[#This Row],[Sales with Discount]],Sales_Data[[#This Row],[Sales with Free Shipping]])</f>
        <v>2681.83</v>
      </c>
      <c r="O1100" s="1" t="str">
        <f>TEXT(Sales_Data[[#This Row],[Order Date]], "MM-YYYY")</f>
        <v>09-2019</v>
      </c>
    </row>
    <row r="1101" spans="1:15" x14ac:dyDescent="0.3">
      <c r="A1101" s="1">
        <v>45767</v>
      </c>
      <c r="B1101" s="2">
        <v>43656</v>
      </c>
      <c r="C1101" s="1" t="s">
        <v>9</v>
      </c>
      <c r="D1101" s="1">
        <v>49</v>
      </c>
      <c r="E1101" t="s">
        <v>24</v>
      </c>
      <c r="F1101" t="s">
        <v>24</v>
      </c>
      <c r="G1101" s="1">
        <v>900.42</v>
      </c>
      <c r="H1101">
        <v>0.01</v>
      </c>
      <c r="I1101">
        <f>Sales_Data[[#This Row],[Sales]]*Sales_Data[[#This Row],[Discount]]</f>
        <v>9.0041999999999991</v>
      </c>
      <c r="J1101">
        <v>891.41579999999999</v>
      </c>
      <c r="K1101" s="1">
        <v>6.7</v>
      </c>
      <c r="L1101" s="1">
        <v>893.71999999999991</v>
      </c>
      <c r="M1101" s="1" t="s">
        <v>8</v>
      </c>
      <c r="N1101" s="1">
        <f>IF(Sales_Data[[#This Row],[Sales with Discount]]&lt;Sales_Data[[#This Row],[Sales with Free Shipping]],Sales_Data[[#This Row],[Sales with Discount]],Sales_Data[[#This Row],[Sales with Free Shipping]])</f>
        <v>891.41579999999999</v>
      </c>
      <c r="O1101" s="1" t="str">
        <f>TEXT(Sales_Data[[#This Row],[Order Date]], "MM-YYYY")</f>
        <v>07-2019</v>
      </c>
    </row>
    <row r="1102" spans="1:15" x14ac:dyDescent="0.3">
      <c r="A1102" s="1">
        <v>6</v>
      </c>
      <c r="B1102" s="2">
        <v>43515</v>
      </c>
      <c r="C1102" s="1" t="s">
        <v>11</v>
      </c>
      <c r="D1102" s="1">
        <v>2</v>
      </c>
      <c r="E1102" t="s">
        <v>16</v>
      </c>
      <c r="F1102" t="s">
        <v>16</v>
      </c>
      <c r="G1102" s="1">
        <v>7.4150999999999998</v>
      </c>
      <c r="H1102">
        <v>0</v>
      </c>
      <c r="I1102">
        <f>Sales_Data[[#This Row],[Sales]]*Sales_Data[[#This Row],[Discount]]</f>
        <v>0</v>
      </c>
      <c r="J1102">
        <v>7.4150999999999998</v>
      </c>
      <c r="K1102" s="1">
        <v>2.7</v>
      </c>
      <c r="L1102" s="1">
        <v>7.4150999999999998</v>
      </c>
      <c r="M1102" s="1" t="s">
        <v>10</v>
      </c>
      <c r="N1102" s="1">
        <f>IF(Sales_Data[[#This Row],[Sales with Discount]]&lt;Sales_Data[[#This Row],[Sales with Free Shipping]],Sales_Data[[#This Row],[Sales with Discount]],Sales_Data[[#This Row],[Sales with Free Shipping]])</f>
        <v>7.4150999999999998</v>
      </c>
      <c r="O1102" s="1" t="str">
        <f>TEXT(Sales_Data[[#This Row],[Order Date]], "MM-YYYY")</f>
        <v>02-2019</v>
      </c>
    </row>
    <row r="1103" spans="1:15" x14ac:dyDescent="0.3">
      <c r="A1103" s="1">
        <v>37313</v>
      </c>
      <c r="B1103" s="2">
        <v>43648</v>
      </c>
      <c r="C1103" s="1" t="s">
        <v>11</v>
      </c>
      <c r="D1103" s="1">
        <v>17</v>
      </c>
      <c r="E1103" t="s">
        <v>19</v>
      </c>
      <c r="F1103" t="s">
        <v>19</v>
      </c>
      <c r="G1103" s="1">
        <v>972</v>
      </c>
      <c r="H1103">
        <v>0</v>
      </c>
      <c r="I1103">
        <f>Sales_Data[[#This Row],[Sales]]*Sales_Data[[#This Row],[Discount]]</f>
        <v>0</v>
      </c>
      <c r="J1103">
        <v>972</v>
      </c>
      <c r="K1103" s="1">
        <v>9.6</v>
      </c>
      <c r="L1103" s="1">
        <v>972</v>
      </c>
      <c r="M1103" s="1" t="s">
        <v>8</v>
      </c>
      <c r="N1103" s="1">
        <f>IF(Sales_Data[[#This Row],[Sales with Discount]]&lt;Sales_Data[[#This Row],[Sales with Free Shipping]],Sales_Data[[#This Row],[Sales with Discount]],Sales_Data[[#This Row],[Sales with Free Shipping]])</f>
        <v>972</v>
      </c>
      <c r="O1103" s="1" t="str">
        <f>TEXT(Sales_Data[[#This Row],[Order Date]], "MM-YYYY")</f>
        <v>07-2019</v>
      </c>
    </row>
    <row r="1104" spans="1:15" x14ac:dyDescent="0.3">
      <c r="A1104" s="1">
        <v>24039</v>
      </c>
      <c r="B1104" s="2">
        <v>43663</v>
      </c>
      <c r="C1104" s="1" t="s">
        <v>11</v>
      </c>
      <c r="D1104" s="1">
        <v>5</v>
      </c>
      <c r="E1104" t="s">
        <v>16</v>
      </c>
      <c r="F1104" t="s">
        <v>16</v>
      </c>
      <c r="G1104" s="1">
        <v>213.10120000000001</v>
      </c>
      <c r="H1104">
        <v>0</v>
      </c>
      <c r="I1104">
        <f>Sales_Data[[#This Row],[Sales]]*Sales_Data[[#This Row],[Discount]]</f>
        <v>0</v>
      </c>
      <c r="J1104">
        <v>213.10120000000001</v>
      </c>
      <c r="K1104" s="1">
        <v>2.1</v>
      </c>
      <c r="L1104" s="1">
        <v>213.10120000000001</v>
      </c>
      <c r="M1104" s="1" t="s">
        <v>10</v>
      </c>
      <c r="N1104" s="1">
        <f>IF(Sales_Data[[#This Row],[Sales with Discount]]&lt;Sales_Data[[#This Row],[Sales with Free Shipping]],Sales_Data[[#This Row],[Sales with Discount]],Sales_Data[[#This Row],[Sales with Free Shipping]])</f>
        <v>213.10120000000001</v>
      </c>
      <c r="O1104" s="1" t="str">
        <f>TEXT(Sales_Data[[#This Row],[Order Date]], "MM-YYYY")</f>
        <v>07-2019</v>
      </c>
    </row>
    <row r="1105" spans="1:15" x14ac:dyDescent="0.3">
      <c r="A1105" s="1">
        <v>59425</v>
      </c>
      <c r="B1105" s="2">
        <v>43602</v>
      </c>
      <c r="C1105" s="1" t="s">
        <v>14</v>
      </c>
      <c r="D1105" s="1">
        <v>24</v>
      </c>
      <c r="E1105" t="s">
        <v>14</v>
      </c>
      <c r="F1105" t="s">
        <v>14</v>
      </c>
      <c r="G1105" s="1">
        <v>2240.7084</v>
      </c>
      <c r="H1105">
        <v>0</v>
      </c>
      <c r="I1105">
        <f>Sales_Data[[#This Row],[Sales]]*Sales_Data[[#This Row],[Discount]]</f>
        <v>0</v>
      </c>
      <c r="J1105">
        <v>2240.7084</v>
      </c>
      <c r="K1105" s="1">
        <v>6.6</v>
      </c>
      <c r="L1105" s="1">
        <v>2240.7084</v>
      </c>
      <c r="M1105" s="1" t="s">
        <v>10</v>
      </c>
      <c r="N1105" s="1">
        <f>IF(Sales_Data[[#This Row],[Sales with Discount]]&lt;Sales_Data[[#This Row],[Sales with Free Shipping]],Sales_Data[[#This Row],[Sales with Discount]],Sales_Data[[#This Row],[Sales with Free Shipping]])</f>
        <v>2240.7084</v>
      </c>
      <c r="O1105" s="1" t="str">
        <f>TEXT(Sales_Data[[#This Row],[Order Date]], "MM-YYYY")</f>
        <v>05-2019</v>
      </c>
    </row>
    <row r="1106" spans="1:15" x14ac:dyDescent="0.3">
      <c r="A1106" s="1">
        <v>46053</v>
      </c>
      <c r="B1106" s="2">
        <v>43721</v>
      </c>
      <c r="C1106" s="1" t="s">
        <v>9</v>
      </c>
      <c r="D1106" s="1">
        <v>25</v>
      </c>
      <c r="E1106" t="s">
        <v>14</v>
      </c>
      <c r="F1106" t="s">
        <v>14</v>
      </c>
      <c r="G1106" s="1">
        <v>1560.95</v>
      </c>
      <c r="H1106">
        <v>0</v>
      </c>
      <c r="I1106">
        <f>Sales_Data[[#This Row],[Sales]]*Sales_Data[[#This Row],[Discount]]</f>
        <v>0</v>
      </c>
      <c r="J1106">
        <v>1560.95</v>
      </c>
      <c r="K1106" s="1">
        <v>3.7</v>
      </c>
      <c r="L1106" s="1">
        <v>1560.95</v>
      </c>
      <c r="M1106" s="1" t="s">
        <v>10</v>
      </c>
      <c r="N1106" s="1">
        <f>IF(Sales_Data[[#This Row],[Sales with Discount]]&lt;Sales_Data[[#This Row],[Sales with Free Shipping]],Sales_Data[[#This Row],[Sales with Discount]],Sales_Data[[#This Row],[Sales with Free Shipping]])</f>
        <v>1560.95</v>
      </c>
      <c r="O1106" s="1" t="str">
        <f>TEXT(Sales_Data[[#This Row],[Order Date]], "MM-YYYY")</f>
        <v>09-2019</v>
      </c>
    </row>
    <row r="1107" spans="1:15" x14ac:dyDescent="0.3">
      <c r="A1107" s="1">
        <v>41830</v>
      </c>
      <c r="B1107" s="2">
        <v>43512</v>
      </c>
      <c r="C1107" s="1" t="s">
        <v>7</v>
      </c>
      <c r="D1107" s="1">
        <v>42</v>
      </c>
      <c r="E1107" t="s">
        <v>23</v>
      </c>
      <c r="F1107" t="s">
        <v>23</v>
      </c>
      <c r="G1107" s="1">
        <v>5736.3555999999999</v>
      </c>
      <c r="H1107">
        <v>0.01</v>
      </c>
      <c r="I1107">
        <f>Sales_Data[[#This Row],[Sales]]*Sales_Data[[#This Row],[Discount]]</f>
        <v>57.363556000000003</v>
      </c>
      <c r="J1107">
        <v>5678.9920439999996</v>
      </c>
      <c r="K1107" s="1">
        <v>28.1</v>
      </c>
      <c r="L1107" s="1">
        <v>5708.2555999999995</v>
      </c>
      <c r="M1107" s="1" t="s">
        <v>13</v>
      </c>
      <c r="N1107" s="1">
        <f>IF(Sales_Data[[#This Row],[Sales with Discount]]&lt;Sales_Data[[#This Row],[Sales with Free Shipping]],Sales_Data[[#This Row],[Sales with Discount]],Sales_Data[[#This Row],[Sales with Free Shipping]])</f>
        <v>5678.9920439999996</v>
      </c>
      <c r="O1107" s="1" t="str">
        <f>TEXT(Sales_Data[[#This Row],[Order Date]], "MM-YYYY")</f>
        <v>02-2019</v>
      </c>
    </row>
    <row r="1108" spans="1:15" x14ac:dyDescent="0.3">
      <c r="A1108" s="1">
        <v>15329</v>
      </c>
      <c r="B1108" s="2">
        <v>43582</v>
      </c>
      <c r="C1108" s="1" t="s">
        <v>9</v>
      </c>
      <c r="D1108" s="1">
        <v>34</v>
      </c>
      <c r="E1108" t="s">
        <v>21</v>
      </c>
      <c r="F1108" t="s">
        <v>21</v>
      </c>
      <c r="G1108" s="1">
        <v>1085.9100000000001</v>
      </c>
      <c r="H1108">
        <v>0</v>
      </c>
      <c r="I1108">
        <f>Sales_Data[[#This Row],[Sales]]*Sales_Data[[#This Row],[Discount]]</f>
        <v>0</v>
      </c>
      <c r="J1108">
        <v>1085.9100000000001</v>
      </c>
      <c r="K1108" s="1">
        <v>2.1</v>
      </c>
      <c r="L1108" s="1">
        <v>1085.9100000000001</v>
      </c>
      <c r="M1108" s="1" t="s">
        <v>8</v>
      </c>
      <c r="N1108" s="1">
        <f>IF(Sales_Data[[#This Row],[Sales with Discount]]&lt;Sales_Data[[#This Row],[Sales with Free Shipping]],Sales_Data[[#This Row],[Sales with Discount]],Sales_Data[[#This Row],[Sales with Free Shipping]])</f>
        <v>1085.9100000000001</v>
      </c>
      <c r="O1108" s="1" t="str">
        <f>TEXT(Sales_Data[[#This Row],[Order Date]], "MM-YYYY")</f>
        <v>04-2019</v>
      </c>
    </row>
    <row r="1109" spans="1:15" x14ac:dyDescent="0.3">
      <c r="A1109" s="1">
        <v>11168</v>
      </c>
      <c r="B1109" s="2">
        <v>43759</v>
      </c>
      <c r="C1109" s="1" t="s">
        <v>12</v>
      </c>
      <c r="D1109" s="1">
        <v>35</v>
      </c>
      <c r="E1109" t="s">
        <v>21</v>
      </c>
      <c r="F1109" t="s">
        <v>21</v>
      </c>
      <c r="G1109" s="1">
        <v>195.66</v>
      </c>
      <c r="H1109">
        <v>0</v>
      </c>
      <c r="I1109">
        <f>Sales_Data[[#This Row],[Sales]]*Sales_Data[[#This Row],[Discount]]</f>
        <v>0</v>
      </c>
      <c r="J1109">
        <v>195.66</v>
      </c>
      <c r="K1109" s="1">
        <v>6.1</v>
      </c>
      <c r="L1109" s="1">
        <v>195.66</v>
      </c>
      <c r="M1109" s="1" t="s">
        <v>10</v>
      </c>
      <c r="N1109" s="1">
        <f>IF(Sales_Data[[#This Row],[Sales with Discount]]&lt;Sales_Data[[#This Row],[Sales with Free Shipping]],Sales_Data[[#This Row],[Sales with Discount]],Sales_Data[[#This Row],[Sales with Free Shipping]])</f>
        <v>195.66</v>
      </c>
      <c r="O1109" s="1" t="str">
        <f>TEXT(Sales_Data[[#This Row],[Order Date]], "MM-YYYY")</f>
        <v>10-2019</v>
      </c>
    </row>
    <row r="1110" spans="1:15" x14ac:dyDescent="0.3">
      <c r="A1110" s="1">
        <v>56069</v>
      </c>
      <c r="B1110" s="2">
        <v>43752</v>
      </c>
      <c r="C1110" s="1" t="s">
        <v>7</v>
      </c>
      <c r="D1110" s="1">
        <v>10</v>
      </c>
      <c r="E1110" t="s">
        <v>17</v>
      </c>
      <c r="F1110" t="s">
        <v>17</v>
      </c>
      <c r="G1110" s="1">
        <v>59.56</v>
      </c>
      <c r="H1110">
        <v>0</v>
      </c>
      <c r="I1110">
        <f>Sales_Data[[#This Row],[Sales]]*Sales_Data[[#This Row],[Discount]]</f>
        <v>0</v>
      </c>
      <c r="J1110">
        <v>59.56</v>
      </c>
      <c r="K1110" s="1">
        <v>1.5</v>
      </c>
      <c r="L1110" s="1">
        <v>59.56</v>
      </c>
      <c r="M1110" s="1" t="s">
        <v>10</v>
      </c>
      <c r="N1110" s="1">
        <f>IF(Sales_Data[[#This Row],[Sales with Discount]]&lt;Sales_Data[[#This Row],[Sales with Free Shipping]],Sales_Data[[#This Row],[Sales with Discount]],Sales_Data[[#This Row],[Sales with Free Shipping]])</f>
        <v>59.56</v>
      </c>
      <c r="O1110" s="1" t="str">
        <f>TEXT(Sales_Data[[#This Row],[Order Date]], "MM-YYYY")</f>
        <v>10-2019</v>
      </c>
    </row>
    <row r="1111" spans="1:15" x14ac:dyDescent="0.3">
      <c r="A1111" s="1">
        <v>16164</v>
      </c>
      <c r="B1111" s="2">
        <v>43467</v>
      </c>
      <c r="C1111" s="1" t="s">
        <v>7</v>
      </c>
      <c r="D1111" s="1">
        <v>26</v>
      </c>
      <c r="E1111" t="s">
        <v>20</v>
      </c>
      <c r="F1111" t="s">
        <v>20</v>
      </c>
      <c r="G1111" s="1">
        <v>74.239999999999995</v>
      </c>
      <c r="H1111">
        <v>0</v>
      </c>
      <c r="I1111">
        <f>Sales_Data[[#This Row],[Sales]]*Sales_Data[[#This Row],[Discount]]</f>
        <v>0</v>
      </c>
      <c r="J1111">
        <v>74.239999999999995</v>
      </c>
      <c r="K1111" s="1">
        <v>4.5999999999999996</v>
      </c>
      <c r="L1111" s="1">
        <v>74.239999999999995</v>
      </c>
      <c r="M1111" s="1" t="s">
        <v>10</v>
      </c>
      <c r="N1111" s="1">
        <f>IF(Sales_Data[[#This Row],[Sales with Discount]]&lt;Sales_Data[[#This Row],[Sales with Free Shipping]],Sales_Data[[#This Row],[Sales with Discount]],Sales_Data[[#This Row],[Sales with Free Shipping]])</f>
        <v>74.239999999999995</v>
      </c>
      <c r="O1111" s="1" t="str">
        <f>TEXT(Sales_Data[[#This Row],[Order Date]], "MM-YYYY")</f>
        <v>01-2019</v>
      </c>
    </row>
    <row r="1112" spans="1:15" x14ac:dyDescent="0.3">
      <c r="A1112" s="1">
        <v>58278</v>
      </c>
      <c r="B1112" s="2">
        <v>43718</v>
      </c>
      <c r="C1112" s="1" t="s">
        <v>9</v>
      </c>
      <c r="D1112" s="1">
        <v>37</v>
      </c>
      <c r="E1112" t="s">
        <v>22</v>
      </c>
      <c r="F1112" t="s">
        <v>22</v>
      </c>
      <c r="G1112" s="1">
        <v>3758.8</v>
      </c>
      <c r="H1112">
        <v>0.01</v>
      </c>
      <c r="I1112">
        <f>Sales_Data[[#This Row],[Sales]]*Sales_Data[[#This Row],[Discount]]</f>
        <v>37.588000000000001</v>
      </c>
      <c r="J1112">
        <v>3721.212</v>
      </c>
      <c r="K1112" s="1">
        <v>9.6</v>
      </c>
      <c r="L1112" s="1">
        <v>3749.2000000000003</v>
      </c>
      <c r="M1112" s="1" t="s">
        <v>10</v>
      </c>
      <c r="N1112" s="1">
        <f>IF(Sales_Data[[#This Row],[Sales with Discount]]&lt;Sales_Data[[#This Row],[Sales with Free Shipping]],Sales_Data[[#This Row],[Sales with Discount]],Sales_Data[[#This Row],[Sales with Free Shipping]])</f>
        <v>3721.212</v>
      </c>
      <c r="O1112" s="1" t="str">
        <f>TEXT(Sales_Data[[#This Row],[Order Date]], "MM-YYYY")</f>
        <v>09-2019</v>
      </c>
    </row>
    <row r="1113" spans="1:15" x14ac:dyDescent="0.3">
      <c r="A1113" s="1">
        <v>16036</v>
      </c>
      <c r="B1113" s="2">
        <v>43469</v>
      </c>
      <c r="C1113" s="1" t="s">
        <v>14</v>
      </c>
      <c r="D1113" s="1">
        <v>28</v>
      </c>
      <c r="E1113" t="s">
        <v>20</v>
      </c>
      <c r="F1113" t="s">
        <v>20</v>
      </c>
      <c r="G1113" s="1">
        <v>2311.4899999999998</v>
      </c>
      <c r="H1113">
        <v>0</v>
      </c>
      <c r="I1113">
        <f>Sales_Data[[#This Row],[Sales]]*Sales_Data[[#This Row],[Discount]]</f>
        <v>0</v>
      </c>
      <c r="J1113">
        <v>2311.4899999999998</v>
      </c>
      <c r="K1113" s="1">
        <v>37.5</v>
      </c>
      <c r="L1113" s="1">
        <v>2311.4899999999998</v>
      </c>
      <c r="M1113" s="1" t="s">
        <v>10</v>
      </c>
      <c r="N1113" s="1">
        <f>IF(Sales_Data[[#This Row],[Sales with Discount]]&lt;Sales_Data[[#This Row],[Sales with Free Shipping]],Sales_Data[[#This Row],[Sales with Discount]],Sales_Data[[#This Row],[Sales with Free Shipping]])</f>
        <v>2311.4899999999998</v>
      </c>
      <c r="O1113" s="1" t="str">
        <f>TEXT(Sales_Data[[#This Row],[Order Date]], "MM-YYYY")</f>
        <v>01-2019</v>
      </c>
    </row>
    <row r="1114" spans="1:15" x14ac:dyDescent="0.3">
      <c r="A1114" s="1">
        <v>25635</v>
      </c>
      <c r="B1114" s="2">
        <v>43614</v>
      </c>
      <c r="C1114" s="1" t="s">
        <v>12</v>
      </c>
      <c r="D1114" s="1">
        <v>14</v>
      </c>
      <c r="E1114" t="s">
        <v>18</v>
      </c>
      <c r="F1114" t="s">
        <v>18</v>
      </c>
      <c r="G1114" s="1">
        <v>677.39559999999994</v>
      </c>
      <c r="H1114">
        <v>0</v>
      </c>
      <c r="I1114">
        <f>Sales_Data[[#This Row],[Sales]]*Sales_Data[[#This Row],[Discount]]</f>
        <v>0</v>
      </c>
      <c r="J1114">
        <v>677.39559999999994</v>
      </c>
      <c r="K1114" s="1">
        <v>4.9000000000000004</v>
      </c>
      <c r="L1114" s="1">
        <v>677.39559999999994</v>
      </c>
      <c r="M1114" s="1" t="s">
        <v>8</v>
      </c>
      <c r="N1114" s="1">
        <f>IF(Sales_Data[[#This Row],[Sales with Discount]]&lt;Sales_Data[[#This Row],[Sales with Free Shipping]],Sales_Data[[#This Row],[Sales with Discount]],Sales_Data[[#This Row],[Sales with Free Shipping]])</f>
        <v>677.39559999999994</v>
      </c>
      <c r="O1114" s="1" t="str">
        <f>TEXT(Sales_Data[[#This Row],[Order Date]], "MM-YYYY")</f>
        <v>05-2019</v>
      </c>
    </row>
    <row r="1115" spans="1:15" x14ac:dyDescent="0.3">
      <c r="A1115" s="1">
        <v>56418</v>
      </c>
      <c r="B1115" s="2">
        <v>43567</v>
      </c>
      <c r="C1115" s="1" t="s">
        <v>12</v>
      </c>
      <c r="D1115" s="1">
        <v>47</v>
      </c>
      <c r="E1115" t="s">
        <v>24</v>
      </c>
      <c r="F1115" t="s">
        <v>24</v>
      </c>
      <c r="G1115" s="1">
        <v>1726.81</v>
      </c>
      <c r="H1115">
        <v>0.01</v>
      </c>
      <c r="I1115">
        <f>Sales_Data[[#This Row],[Sales]]*Sales_Data[[#This Row],[Discount]]</f>
        <v>17.2681</v>
      </c>
      <c r="J1115">
        <v>1709.5418999999999</v>
      </c>
      <c r="K1115" s="1">
        <v>8.8000000000000007</v>
      </c>
      <c r="L1115" s="1">
        <v>1718.01</v>
      </c>
      <c r="M1115" s="1" t="s">
        <v>10</v>
      </c>
      <c r="N1115" s="1">
        <f>IF(Sales_Data[[#This Row],[Sales with Discount]]&lt;Sales_Data[[#This Row],[Sales with Free Shipping]],Sales_Data[[#This Row],[Sales with Discount]],Sales_Data[[#This Row],[Sales with Free Shipping]])</f>
        <v>1709.5418999999999</v>
      </c>
      <c r="O1115" s="1" t="str">
        <f>TEXT(Sales_Data[[#This Row],[Order Date]], "MM-YYYY")</f>
        <v>04-2019</v>
      </c>
    </row>
    <row r="1116" spans="1:15" x14ac:dyDescent="0.3">
      <c r="A1116" s="1">
        <v>57058</v>
      </c>
      <c r="B1116" s="2">
        <v>43594</v>
      </c>
      <c r="C1116" s="1" t="s">
        <v>14</v>
      </c>
      <c r="D1116" s="1">
        <v>28</v>
      </c>
      <c r="E1116" t="s">
        <v>20</v>
      </c>
      <c r="F1116" t="s">
        <v>20</v>
      </c>
      <c r="G1116" s="1">
        <v>219.81</v>
      </c>
      <c r="H1116">
        <v>0</v>
      </c>
      <c r="I1116">
        <f>Sales_Data[[#This Row],[Sales]]*Sales_Data[[#This Row],[Discount]]</f>
        <v>0</v>
      </c>
      <c r="J1116">
        <v>219.81</v>
      </c>
      <c r="K1116" s="1">
        <v>5.6</v>
      </c>
      <c r="L1116" s="1">
        <v>219.81</v>
      </c>
      <c r="M1116" s="1" t="s">
        <v>8</v>
      </c>
      <c r="N1116" s="1">
        <f>IF(Sales_Data[[#This Row],[Sales with Discount]]&lt;Sales_Data[[#This Row],[Sales with Free Shipping]],Sales_Data[[#This Row],[Sales with Discount]],Sales_Data[[#This Row],[Sales with Free Shipping]])</f>
        <v>219.81</v>
      </c>
      <c r="O1116" s="1" t="str">
        <f>TEXT(Sales_Data[[#This Row],[Order Date]], "MM-YYYY")</f>
        <v>05-2019</v>
      </c>
    </row>
    <row r="1117" spans="1:15" x14ac:dyDescent="0.3">
      <c r="A1117" s="1">
        <v>53698</v>
      </c>
      <c r="B1117" s="2">
        <v>43632</v>
      </c>
      <c r="C1117" s="1" t="s">
        <v>14</v>
      </c>
      <c r="D1117" s="1">
        <v>10</v>
      </c>
      <c r="E1117" t="s">
        <v>17</v>
      </c>
      <c r="F1117" t="s">
        <v>17</v>
      </c>
      <c r="G1117" s="1">
        <v>59.2</v>
      </c>
      <c r="H1117">
        <v>0</v>
      </c>
      <c r="I1117">
        <f>Sales_Data[[#This Row],[Sales]]*Sales_Data[[#This Row],[Discount]]</f>
        <v>0</v>
      </c>
      <c r="J1117">
        <v>59.2</v>
      </c>
      <c r="K1117" s="1">
        <v>0.8</v>
      </c>
      <c r="L1117" s="1">
        <v>59.2</v>
      </c>
      <c r="M1117" s="1" t="s">
        <v>8</v>
      </c>
      <c r="N1117" s="1">
        <f>IF(Sales_Data[[#This Row],[Sales with Discount]]&lt;Sales_Data[[#This Row],[Sales with Free Shipping]],Sales_Data[[#This Row],[Sales with Discount]],Sales_Data[[#This Row],[Sales with Free Shipping]])</f>
        <v>59.2</v>
      </c>
      <c r="O1117" s="1" t="str">
        <f>TEXT(Sales_Data[[#This Row],[Order Date]], "MM-YYYY")</f>
        <v>06-2019</v>
      </c>
    </row>
    <row r="1118" spans="1:15" x14ac:dyDescent="0.3">
      <c r="A1118" s="1">
        <v>44000</v>
      </c>
      <c r="B1118" s="2">
        <v>43742</v>
      </c>
      <c r="C1118" s="1" t="s">
        <v>11</v>
      </c>
      <c r="D1118" s="1">
        <v>19</v>
      </c>
      <c r="E1118" t="s">
        <v>19</v>
      </c>
      <c r="F1118" t="s">
        <v>19</v>
      </c>
      <c r="G1118" s="1">
        <v>355.64659999999998</v>
      </c>
      <c r="H1118">
        <v>0</v>
      </c>
      <c r="I1118">
        <f>Sales_Data[[#This Row],[Sales]]*Sales_Data[[#This Row],[Discount]]</f>
        <v>0</v>
      </c>
      <c r="J1118">
        <v>355.64659999999998</v>
      </c>
      <c r="K1118" s="1">
        <v>5.4</v>
      </c>
      <c r="L1118" s="1">
        <v>355.64659999999998</v>
      </c>
      <c r="M1118" s="1" t="s">
        <v>10</v>
      </c>
      <c r="N1118" s="1">
        <f>IF(Sales_Data[[#This Row],[Sales with Discount]]&lt;Sales_Data[[#This Row],[Sales with Free Shipping]],Sales_Data[[#This Row],[Sales with Discount]],Sales_Data[[#This Row],[Sales with Free Shipping]])</f>
        <v>355.64659999999998</v>
      </c>
      <c r="O1118" s="1" t="str">
        <f>TEXT(Sales_Data[[#This Row],[Order Date]], "MM-YYYY")</f>
        <v>10-2019</v>
      </c>
    </row>
    <row r="1119" spans="1:15" x14ac:dyDescent="0.3">
      <c r="A1119" s="1">
        <v>39266</v>
      </c>
      <c r="B1119" s="2">
        <v>43704</v>
      </c>
      <c r="C1119" s="1" t="s">
        <v>9</v>
      </c>
      <c r="D1119" s="1">
        <v>14</v>
      </c>
      <c r="E1119" t="s">
        <v>18</v>
      </c>
      <c r="F1119" t="s">
        <v>18</v>
      </c>
      <c r="G1119" s="1">
        <v>38.96</v>
      </c>
      <c r="H1119">
        <v>0</v>
      </c>
      <c r="I1119">
        <f>Sales_Data[[#This Row],[Sales]]*Sales_Data[[#This Row],[Discount]]</f>
        <v>0</v>
      </c>
      <c r="J1119">
        <v>38.96</v>
      </c>
      <c r="K1119" s="1">
        <v>0.5</v>
      </c>
      <c r="L1119" s="1">
        <v>38.96</v>
      </c>
      <c r="M1119" s="1" t="s">
        <v>10</v>
      </c>
      <c r="N1119" s="1">
        <f>IF(Sales_Data[[#This Row],[Sales with Discount]]&lt;Sales_Data[[#This Row],[Sales with Free Shipping]],Sales_Data[[#This Row],[Sales with Discount]],Sales_Data[[#This Row],[Sales with Free Shipping]])</f>
        <v>38.96</v>
      </c>
      <c r="O1119" s="1" t="str">
        <f>TEXT(Sales_Data[[#This Row],[Order Date]], "MM-YYYY")</f>
        <v>08-2019</v>
      </c>
    </row>
    <row r="1120" spans="1:15" x14ac:dyDescent="0.3">
      <c r="A1120" s="1">
        <v>22182</v>
      </c>
      <c r="B1120" s="2">
        <v>43713</v>
      </c>
      <c r="C1120" s="1" t="s">
        <v>14</v>
      </c>
      <c r="D1120" s="1">
        <v>9</v>
      </c>
      <c r="E1120" t="s">
        <v>17</v>
      </c>
      <c r="F1120" t="s">
        <v>17</v>
      </c>
      <c r="G1120" s="1">
        <v>186.95</v>
      </c>
      <c r="H1120">
        <v>0</v>
      </c>
      <c r="I1120">
        <f>Sales_Data[[#This Row],[Sales]]*Sales_Data[[#This Row],[Discount]]</f>
        <v>0</v>
      </c>
      <c r="J1120">
        <v>186.95</v>
      </c>
      <c r="K1120" s="1">
        <v>4.3</v>
      </c>
      <c r="L1120" s="1">
        <v>186.95</v>
      </c>
      <c r="M1120" s="1" t="s">
        <v>10</v>
      </c>
      <c r="N1120" s="1">
        <f>IF(Sales_Data[[#This Row],[Sales with Discount]]&lt;Sales_Data[[#This Row],[Sales with Free Shipping]],Sales_Data[[#This Row],[Sales with Discount]],Sales_Data[[#This Row],[Sales with Free Shipping]])</f>
        <v>186.95</v>
      </c>
      <c r="O1120" s="1" t="str">
        <f>TEXT(Sales_Data[[#This Row],[Order Date]], "MM-YYYY")</f>
        <v>09-2019</v>
      </c>
    </row>
    <row r="1121" spans="1:15" x14ac:dyDescent="0.3">
      <c r="A1121" s="1">
        <v>13988</v>
      </c>
      <c r="B1121" s="2">
        <v>43678</v>
      </c>
      <c r="C1121" s="1" t="s">
        <v>11</v>
      </c>
      <c r="D1121" s="1">
        <v>18</v>
      </c>
      <c r="E1121" t="s">
        <v>19</v>
      </c>
      <c r="F1121" t="s">
        <v>19</v>
      </c>
      <c r="G1121" s="1">
        <v>252.85</v>
      </c>
      <c r="H1121">
        <v>0</v>
      </c>
      <c r="I1121">
        <f>Sales_Data[[#This Row],[Sales]]*Sales_Data[[#This Row],[Discount]]</f>
        <v>0</v>
      </c>
      <c r="J1121">
        <v>252.85</v>
      </c>
      <c r="K1121" s="1">
        <v>5.3</v>
      </c>
      <c r="L1121" s="1">
        <v>252.85</v>
      </c>
      <c r="M1121" s="1" t="s">
        <v>8</v>
      </c>
      <c r="N1121" s="1">
        <f>IF(Sales_Data[[#This Row],[Sales with Discount]]&lt;Sales_Data[[#This Row],[Sales with Free Shipping]],Sales_Data[[#This Row],[Sales with Discount]],Sales_Data[[#This Row],[Sales with Free Shipping]])</f>
        <v>252.85</v>
      </c>
      <c r="O1121" s="1" t="str">
        <f>TEXT(Sales_Data[[#This Row],[Order Date]], "MM-YYYY")</f>
        <v>08-2019</v>
      </c>
    </row>
    <row r="1122" spans="1:15" x14ac:dyDescent="0.3">
      <c r="A1122" s="1">
        <v>32610</v>
      </c>
      <c r="B1122" s="2">
        <v>43696</v>
      </c>
      <c r="C1122" s="1" t="s">
        <v>11</v>
      </c>
      <c r="D1122" s="1">
        <v>20</v>
      </c>
      <c r="E1122" t="s">
        <v>19</v>
      </c>
      <c r="F1122" t="s">
        <v>19</v>
      </c>
      <c r="G1122" s="1">
        <v>2131.3314</v>
      </c>
      <c r="H1122">
        <v>0</v>
      </c>
      <c r="I1122">
        <f>Sales_Data[[#This Row],[Sales]]*Sales_Data[[#This Row],[Discount]]</f>
        <v>0</v>
      </c>
      <c r="J1122">
        <v>2131.3314</v>
      </c>
      <c r="K1122" s="1">
        <v>8.1999999999999993</v>
      </c>
      <c r="L1122" s="1">
        <v>2131.3314</v>
      </c>
      <c r="M1122" s="1" t="s">
        <v>10</v>
      </c>
      <c r="N1122" s="1">
        <f>IF(Sales_Data[[#This Row],[Sales with Discount]]&lt;Sales_Data[[#This Row],[Sales with Free Shipping]],Sales_Data[[#This Row],[Sales with Discount]],Sales_Data[[#This Row],[Sales with Free Shipping]])</f>
        <v>2131.3314</v>
      </c>
      <c r="O1122" s="1" t="str">
        <f>TEXT(Sales_Data[[#This Row],[Order Date]], "MM-YYYY")</f>
        <v>08-2019</v>
      </c>
    </row>
    <row r="1123" spans="1:15" x14ac:dyDescent="0.3">
      <c r="A1123" s="1">
        <v>17543</v>
      </c>
      <c r="B1123" s="2">
        <v>43610</v>
      </c>
      <c r="C1123" s="1" t="s">
        <v>12</v>
      </c>
      <c r="D1123" s="1">
        <v>1</v>
      </c>
      <c r="E1123" t="s">
        <v>16</v>
      </c>
      <c r="F1123" t="s">
        <v>16</v>
      </c>
      <c r="G1123" s="1">
        <v>16.829999999999998</v>
      </c>
      <c r="H1123">
        <v>0</v>
      </c>
      <c r="I1123">
        <f>Sales_Data[[#This Row],[Sales]]*Sales_Data[[#This Row],[Discount]]</f>
        <v>0</v>
      </c>
      <c r="J1123">
        <v>16.829999999999998</v>
      </c>
      <c r="K1123" s="1">
        <v>10.199999999999999</v>
      </c>
      <c r="L1123" s="1">
        <v>16.829999999999998</v>
      </c>
      <c r="M1123" s="1" t="s">
        <v>10</v>
      </c>
      <c r="N1123" s="1">
        <f>IF(Sales_Data[[#This Row],[Sales with Discount]]&lt;Sales_Data[[#This Row],[Sales with Free Shipping]],Sales_Data[[#This Row],[Sales with Discount]],Sales_Data[[#This Row],[Sales with Free Shipping]])</f>
        <v>16.829999999999998</v>
      </c>
      <c r="O1123" s="1" t="str">
        <f>TEXT(Sales_Data[[#This Row],[Order Date]], "MM-YYYY")</f>
        <v>05-2019</v>
      </c>
    </row>
    <row r="1124" spans="1:15" x14ac:dyDescent="0.3">
      <c r="A1124" s="1">
        <v>4706</v>
      </c>
      <c r="B1124" s="2">
        <v>43827</v>
      </c>
      <c r="C1124" s="1" t="s">
        <v>11</v>
      </c>
      <c r="D1124" s="1">
        <v>30</v>
      </c>
      <c r="E1124" t="s">
        <v>20</v>
      </c>
      <c r="F1124" t="s">
        <v>20</v>
      </c>
      <c r="G1124" s="1">
        <v>2264.87</v>
      </c>
      <c r="H1124">
        <v>0</v>
      </c>
      <c r="I1124">
        <f>Sales_Data[[#This Row],[Sales]]*Sales_Data[[#This Row],[Discount]]</f>
        <v>0</v>
      </c>
      <c r="J1124">
        <v>2264.87</v>
      </c>
      <c r="K1124" s="1">
        <v>21.4</v>
      </c>
      <c r="L1124" s="1">
        <v>2264.87</v>
      </c>
      <c r="M1124" s="1" t="s">
        <v>10</v>
      </c>
      <c r="N1124" s="1">
        <f>IF(Sales_Data[[#This Row],[Sales with Discount]]&lt;Sales_Data[[#This Row],[Sales with Free Shipping]],Sales_Data[[#This Row],[Sales with Discount]],Sales_Data[[#This Row],[Sales with Free Shipping]])</f>
        <v>2264.87</v>
      </c>
      <c r="O1124" s="1" t="str">
        <f>TEXT(Sales_Data[[#This Row],[Order Date]], "MM-YYYY")</f>
        <v>12-2019</v>
      </c>
    </row>
    <row r="1125" spans="1:15" x14ac:dyDescent="0.3">
      <c r="A1125" s="1">
        <v>13894</v>
      </c>
      <c r="B1125" s="2">
        <v>43565</v>
      </c>
      <c r="C1125" s="1" t="s">
        <v>14</v>
      </c>
      <c r="D1125" s="1">
        <v>31</v>
      </c>
      <c r="E1125" t="s">
        <v>21</v>
      </c>
      <c r="F1125" t="s">
        <v>21</v>
      </c>
      <c r="G1125" s="1">
        <v>95.42</v>
      </c>
      <c r="H1125">
        <v>0</v>
      </c>
      <c r="I1125">
        <f>Sales_Data[[#This Row],[Sales]]*Sales_Data[[#This Row],[Discount]]</f>
        <v>0</v>
      </c>
      <c r="J1125">
        <v>95.42</v>
      </c>
      <c r="K1125" s="1">
        <v>0.9</v>
      </c>
      <c r="L1125" s="1">
        <v>95.42</v>
      </c>
      <c r="M1125" s="1" t="s">
        <v>10</v>
      </c>
      <c r="N1125" s="1">
        <f>IF(Sales_Data[[#This Row],[Sales with Discount]]&lt;Sales_Data[[#This Row],[Sales with Free Shipping]],Sales_Data[[#This Row],[Sales with Discount]],Sales_Data[[#This Row],[Sales with Free Shipping]])</f>
        <v>95.42</v>
      </c>
      <c r="O1125" s="1" t="str">
        <f>TEXT(Sales_Data[[#This Row],[Order Date]], "MM-YYYY")</f>
        <v>04-2019</v>
      </c>
    </row>
    <row r="1126" spans="1:15" x14ac:dyDescent="0.3">
      <c r="A1126" s="1">
        <v>6885</v>
      </c>
      <c r="B1126" s="2">
        <v>43635</v>
      </c>
      <c r="C1126" s="1" t="s">
        <v>7</v>
      </c>
      <c r="D1126" s="1">
        <v>40</v>
      </c>
      <c r="E1126" t="s">
        <v>22</v>
      </c>
      <c r="F1126" t="s">
        <v>22</v>
      </c>
      <c r="G1126" s="1">
        <v>941.11</v>
      </c>
      <c r="H1126">
        <v>0.01</v>
      </c>
      <c r="I1126">
        <f>Sales_Data[[#This Row],[Sales]]*Sales_Data[[#This Row],[Discount]]</f>
        <v>9.4111000000000011</v>
      </c>
      <c r="J1126">
        <v>931.69889999999998</v>
      </c>
      <c r="K1126" s="1">
        <v>6.7</v>
      </c>
      <c r="L1126" s="1">
        <v>934.41</v>
      </c>
      <c r="M1126" s="1" t="s">
        <v>10</v>
      </c>
      <c r="N1126" s="1">
        <f>IF(Sales_Data[[#This Row],[Sales with Discount]]&lt;Sales_Data[[#This Row],[Sales with Free Shipping]],Sales_Data[[#This Row],[Sales with Discount]],Sales_Data[[#This Row],[Sales with Free Shipping]])</f>
        <v>931.69889999999998</v>
      </c>
      <c r="O1126" s="1" t="str">
        <f>TEXT(Sales_Data[[#This Row],[Order Date]], "MM-YYYY")</f>
        <v>06-2019</v>
      </c>
    </row>
    <row r="1127" spans="1:15" x14ac:dyDescent="0.3">
      <c r="A1127" s="1">
        <v>19652</v>
      </c>
      <c r="B1127" s="2">
        <v>43618</v>
      </c>
      <c r="C1127" s="1" t="s">
        <v>12</v>
      </c>
      <c r="D1127" s="1">
        <v>34</v>
      </c>
      <c r="E1127" t="s">
        <v>21</v>
      </c>
      <c r="F1127" t="s">
        <v>21</v>
      </c>
      <c r="G1127" s="1">
        <v>1957.96</v>
      </c>
      <c r="H1127">
        <v>0</v>
      </c>
      <c r="I1127">
        <f>Sales_Data[[#This Row],[Sales]]*Sales_Data[[#This Row],[Discount]]</f>
        <v>0</v>
      </c>
      <c r="J1127">
        <v>1957.96</v>
      </c>
      <c r="K1127" s="1">
        <v>4.3</v>
      </c>
      <c r="L1127" s="1">
        <v>1957.96</v>
      </c>
      <c r="M1127" s="1" t="s">
        <v>10</v>
      </c>
      <c r="N1127" s="1">
        <f>IF(Sales_Data[[#This Row],[Sales with Discount]]&lt;Sales_Data[[#This Row],[Sales with Free Shipping]],Sales_Data[[#This Row],[Sales with Discount]],Sales_Data[[#This Row],[Sales with Free Shipping]])</f>
        <v>1957.96</v>
      </c>
      <c r="O1127" s="1" t="str">
        <f>TEXT(Sales_Data[[#This Row],[Order Date]], "MM-YYYY")</f>
        <v>06-2019</v>
      </c>
    </row>
    <row r="1128" spans="1:15" x14ac:dyDescent="0.3">
      <c r="A1128" s="1">
        <v>21028</v>
      </c>
      <c r="B1128" s="2">
        <v>43623</v>
      </c>
      <c r="C1128" s="1" t="s">
        <v>12</v>
      </c>
      <c r="D1128" s="1">
        <v>38</v>
      </c>
      <c r="E1128" t="s">
        <v>22</v>
      </c>
      <c r="F1128" t="s">
        <v>22</v>
      </c>
      <c r="G1128" s="1">
        <v>468.5102</v>
      </c>
      <c r="H1128">
        <v>0.01</v>
      </c>
      <c r="I1128">
        <f>Sales_Data[[#This Row],[Sales]]*Sales_Data[[#This Row],[Discount]]</f>
        <v>4.6851019999999997</v>
      </c>
      <c r="J1128">
        <v>463.82509799999997</v>
      </c>
      <c r="K1128" s="1">
        <v>7.5</v>
      </c>
      <c r="L1128" s="1">
        <v>461.0102</v>
      </c>
      <c r="M1128" s="1" t="s">
        <v>10</v>
      </c>
      <c r="N1128" s="1">
        <f>IF(Sales_Data[[#This Row],[Sales with Discount]]&lt;Sales_Data[[#This Row],[Sales with Free Shipping]],Sales_Data[[#This Row],[Sales with Discount]],Sales_Data[[#This Row],[Sales with Free Shipping]])</f>
        <v>461.0102</v>
      </c>
      <c r="O1128" s="1" t="str">
        <f>TEXT(Sales_Data[[#This Row],[Order Date]], "MM-YYYY")</f>
        <v>06-2019</v>
      </c>
    </row>
    <row r="1129" spans="1:15" x14ac:dyDescent="0.3">
      <c r="A1129" s="1">
        <v>47846</v>
      </c>
      <c r="B1129" s="2">
        <v>43688</v>
      </c>
      <c r="C1129" s="1" t="s">
        <v>9</v>
      </c>
      <c r="D1129" s="1">
        <v>5</v>
      </c>
      <c r="E1129" t="s">
        <v>16</v>
      </c>
      <c r="F1129" t="s">
        <v>16</v>
      </c>
      <c r="G1129" s="1">
        <v>71.08</v>
      </c>
      <c r="H1129">
        <v>0</v>
      </c>
      <c r="I1129">
        <f>Sales_Data[[#This Row],[Sales]]*Sales_Data[[#This Row],[Discount]]</f>
        <v>0</v>
      </c>
      <c r="J1129">
        <v>71.08</v>
      </c>
      <c r="K1129" s="1">
        <v>14</v>
      </c>
      <c r="L1129" s="1">
        <v>71.08</v>
      </c>
      <c r="M1129" s="1" t="s">
        <v>10</v>
      </c>
      <c r="N1129" s="1">
        <f>IF(Sales_Data[[#This Row],[Sales with Discount]]&lt;Sales_Data[[#This Row],[Sales with Free Shipping]],Sales_Data[[#This Row],[Sales with Discount]],Sales_Data[[#This Row],[Sales with Free Shipping]])</f>
        <v>71.08</v>
      </c>
      <c r="O1129" s="1" t="str">
        <f>TEXT(Sales_Data[[#This Row],[Order Date]], "MM-YYYY")</f>
        <v>08-2019</v>
      </c>
    </row>
    <row r="1130" spans="1:15" x14ac:dyDescent="0.3">
      <c r="A1130" s="1">
        <v>38661</v>
      </c>
      <c r="B1130" s="2">
        <v>43507</v>
      </c>
      <c r="C1130" s="1" t="s">
        <v>9</v>
      </c>
      <c r="D1130" s="1">
        <v>6</v>
      </c>
      <c r="E1130" t="s">
        <v>17</v>
      </c>
      <c r="F1130" t="s">
        <v>17</v>
      </c>
      <c r="G1130" s="1">
        <v>182.3</v>
      </c>
      <c r="H1130">
        <v>0</v>
      </c>
      <c r="I1130">
        <f>Sales_Data[[#This Row],[Sales]]*Sales_Data[[#This Row],[Discount]]</f>
        <v>0</v>
      </c>
      <c r="J1130">
        <v>182.3</v>
      </c>
      <c r="K1130" s="1">
        <v>1.1000000000000001</v>
      </c>
      <c r="L1130" s="1">
        <v>182.3</v>
      </c>
      <c r="M1130" s="1" t="s">
        <v>10</v>
      </c>
      <c r="N1130" s="1">
        <f>IF(Sales_Data[[#This Row],[Sales with Discount]]&lt;Sales_Data[[#This Row],[Sales with Free Shipping]],Sales_Data[[#This Row],[Sales with Discount]],Sales_Data[[#This Row],[Sales with Free Shipping]])</f>
        <v>182.3</v>
      </c>
      <c r="O1130" s="1" t="str">
        <f>TEXT(Sales_Data[[#This Row],[Order Date]], "MM-YYYY")</f>
        <v>02-2019</v>
      </c>
    </row>
    <row r="1131" spans="1:15" x14ac:dyDescent="0.3">
      <c r="A1131" s="1">
        <v>55458</v>
      </c>
      <c r="B1131" s="2">
        <v>43540</v>
      </c>
      <c r="C1131" s="1" t="s">
        <v>9</v>
      </c>
      <c r="D1131" s="1">
        <v>13</v>
      </c>
      <c r="E1131" t="s">
        <v>18</v>
      </c>
      <c r="F1131" t="s">
        <v>18</v>
      </c>
      <c r="G1131" s="1">
        <v>224.94</v>
      </c>
      <c r="H1131">
        <v>0</v>
      </c>
      <c r="I1131">
        <f>Sales_Data[[#This Row],[Sales]]*Sales_Data[[#This Row],[Discount]]</f>
        <v>0</v>
      </c>
      <c r="J1131">
        <v>224.94</v>
      </c>
      <c r="K1131" s="1">
        <v>8.1999999999999993</v>
      </c>
      <c r="L1131" s="1">
        <v>224.94</v>
      </c>
      <c r="M1131" s="1" t="s">
        <v>10</v>
      </c>
      <c r="N1131" s="1">
        <f>IF(Sales_Data[[#This Row],[Sales with Discount]]&lt;Sales_Data[[#This Row],[Sales with Free Shipping]],Sales_Data[[#This Row],[Sales with Discount]],Sales_Data[[#This Row],[Sales with Free Shipping]])</f>
        <v>224.94</v>
      </c>
      <c r="O1131" s="1" t="str">
        <f>TEXT(Sales_Data[[#This Row],[Order Date]], "MM-YYYY")</f>
        <v>03-2019</v>
      </c>
    </row>
    <row r="1132" spans="1:15" x14ac:dyDescent="0.3">
      <c r="A1132" s="1">
        <v>50977</v>
      </c>
      <c r="B1132" s="2">
        <v>43627</v>
      </c>
      <c r="C1132" s="1" t="s">
        <v>7</v>
      </c>
      <c r="D1132" s="1">
        <v>1</v>
      </c>
      <c r="E1132" t="s">
        <v>16</v>
      </c>
      <c r="F1132" t="s">
        <v>16</v>
      </c>
      <c r="G1132" s="1">
        <v>36.479999999999997</v>
      </c>
      <c r="H1132">
        <v>0</v>
      </c>
      <c r="I1132">
        <f>Sales_Data[[#This Row],[Sales]]*Sales_Data[[#This Row],[Discount]]</f>
        <v>0</v>
      </c>
      <c r="J1132">
        <v>36.479999999999997</v>
      </c>
      <c r="K1132" s="1">
        <v>9.6999999999999993</v>
      </c>
      <c r="L1132" s="1">
        <v>36.479999999999997</v>
      </c>
      <c r="M1132" s="1" t="s">
        <v>8</v>
      </c>
      <c r="N1132" s="1">
        <f>IF(Sales_Data[[#This Row],[Sales with Discount]]&lt;Sales_Data[[#This Row],[Sales with Free Shipping]],Sales_Data[[#This Row],[Sales with Discount]],Sales_Data[[#This Row],[Sales with Free Shipping]])</f>
        <v>36.479999999999997</v>
      </c>
      <c r="O1132" s="1" t="str">
        <f>TEXT(Sales_Data[[#This Row],[Order Date]], "MM-YYYY")</f>
        <v>06-2019</v>
      </c>
    </row>
    <row r="1133" spans="1:15" x14ac:dyDescent="0.3">
      <c r="A1133" s="1">
        <v>38178</v>
      </c>
      <c r="B1133" s="2">
        <v>43706</v>
      </c>
      <c r="C1133" s="1" t="s">
        <v>14</v>
      </c>
      <c r="D1133" s="1">
        <v>32</v>
      </c>
      <c r="E1133" t="s">
        <v>21</v>
      </c>
      <c r="F1133" t="s">
        <v>21</v>
      </c>
      <c r="G1133" s="1">
        <v>164.76</v>
      </c>
      <c r="H1133">
        <v>0</v>
      </c>
      <c r="I1133">
        <f>Sales_Data[[#This Row],[Sales]]*Sales_Data[[#This Row],[Discount]]</f>
        <v>0</v>
      </c>
      <c r="J1133">
        <v>164.76</v>
      </c>
      <c r="K1133" s="1">
        <v>0.5</v>
      </c>
      <c r="L1133" s="1">
        <v>164.76</v>
      </c>
      <c r="M1133" s="1" t="s">
        <v>10</v>
      </c>
      <c r="N1133" s="1">
        <f>IF(Sales_Data[[#This Row],[Sales with Discount]]&lt;Sales_Data[[#This Row],[Sales with Free Shipping]],Sales_Data[[#This Row],[Sales with Discount]],Sales_Data[[#This Row],[Sales with Free Shipping]])</f>
        <v>164.76</v>
      </c>
      <c r="O1133" s="1" t="str">
        <f>TEXT(Sales_Data[[#This Row],[Order Date]], "MM-YYYY")</f>
        <v>08-2019</v>
      </c>
    </row>
    <row r="1134" spans="1:15" x14ac:dyDescent="0.3">
      <c r="A1134" s="1">
        <v>51107</v>
      </c>
      <c r="B1134" s="2">
        <v>43733</v>
      </c>
      <c r="C1134" s="1" t="s">
        <v>11</v>
      </c>
      <c r="D1134" s="1">
        <v>36</v>
      </c>
      <c r="E1134" t="s">
        <v>22</v>
      </c>
      <c r="F1134" t="s">
        <v>22</v>
      </c>
      <c r="G1134" s="1">
        <v>826.76</v>
      </c>
      <c r="H1134">
        <v>0.01</v>
      </c>
      <c r="I1134">
        <f>Sales_Data[[#This Row],[Sales]]*Sales_Data[[#This Row],[Discount]]</f>
        <v>8.2675999999999998</v>
      </c>
      <c r="J1134">
        <v>818.49239999999998</v>
      </c>
      <c r="K1134" s="1">
        <v>3.2</v>
      </c>
      <c r="L1134" s="1">
        <v>823.56</v>
      </c>
      <c r="M1134" s="1" t="s">
        <v>10</v>
      </c>
      <c r="N1134" s="1">
        <f>IF(Sales_Data[[#This Row],[Sales with Discount]]&lt;Sales_Data[[#This Row],[Sales with Free Shipping]],Sales_Data[[#This Row],[Sales with Discount]],Sales_Data[[#This Row],[Sales with Free Shipping]])</f>
        <v>818.49239999999998</v>
      </c>
      <c r="O1134" s="1" t="str">
        <f>TEXT(Sales_Data[[#This Row],[Order Date]], "MM-YYYY")</f>
        <v>09-2019</v>
      </c>
    </row>
    <row r="1135" spans="1:15" x14ac:dyDescent="0.3">
      <c r="A1135" s="1">
        <v>26919</v>
      </c>
      <c r="B1135" s="2">
        <v>43809</v>
      </c>
      <c r="C1135" s="1" t="s">
        <v>7</v>
      </c>
      <c r="D1135" s="1">
        <v>32</v>
      </c>
      <c r="E1135" t="s">
        <v>21</v>
      </c>
      <c r="F1135" t="s">
        <v>21</v>
      </c>
      <c r="G1135" s="1">
        <v>166.14</v>
      </c>
      <c r="H1135">
        <v>0</v>
      </c>
      <c r="I1135">
        <f>Sales_Data[[#This Row],[Sales]]*Sales_Data[[#This Row],[Discount]]</f>
        <v>0</v>
      </c>
      <c r="J1135">
        <v>166.14</v>
      </c>
      <c r="K1135" s="1">
        <v>8.1</v>
      </c>
      <c r="L1135" s="1">
        <v>166.14</v>
      </c>
      <c r="M1135" s="1" t="s">
        <v>10</v>
      </c>
      <c r="N1135" s="1">
        <f>IF(Sales_Data[[#This Row],[Sales with Discount]]&lt;Sales_Data[[#This Row],[Sales with Free Shipping]],Sales_Data[[#This Row],[Sales with Discount]],Sales_Data[[#This Row],[Sales with Free Shipping]])</f>
        <v>166.14</v>
      </c>
      <c r="O1135" s="1" t="str">
        <f>TEXT(Sales_Data[[#This Row],[Order Date]], "MM-YYYY")</f>
        <v>12-2019</v>
      </c>
    </row>
    <row r="1136" spans="1:15" x14ac:dyDescent="0.3">
      <c r="A1136" s="1">
        <v>32100</v>
      </c>
      <c r="B1136" s="2">
        <v>43608</v>
      </c>
      <c r="C1136" s="1" t="s">
        <v>14</v>
      </c>
      <c r="D1136" s="1">
        <v>29</v>
      </c>
      <c r="E1136" t="s">
        <v>20</v>
      </c>
      <c r="F1136" t="s">
        <v>20</v>
      </c>
      <c r="G1136" s="1">
        <v>1181.58</v>
      </c>
      <c r="H1136">
        <v>0</v>
      </c>
      <c r="I1136">
        <f>Sales_Data[[#This Row],[Sales]]*Sales_Data[[#This Row],[Discount]]</f>
        <v>0</v>
      </c>
      <c r="J1136">
        <v>1181.58</v>
      </c>
      <c r="K1136" s="1">
        <v>2.1</v>
      </c>
      <c r="L1136" s="1">
        <v>1181.58</v>
      </c>
      <c r="M1136" s="1" t="s">
        <v>10</v>
      </c>
      <c r="N1136" s="1">
        <f>IF(Sales_Data[[#This Row],[Sales with Discount]]&lt;Sales_Data[[#This Row],[Sales with Free Shipping]],Sales_Data[[#This Row],[Sales with Discount]],Sales_Data[[#This Row],[Sales with Free Shipping]])</f>
        <v>1181.58</v>
      </c>
      <c r="O1136" s="1" t="str">
        <f>TEXT(Sales_Data[[#This Row],[Order Date]], "MM-YYYY")</f>
        <v>05-2019</v>
      </c>
    </row>
    <row r="1137" spans="1:15" x14ac:dyDescent="0.3">
      <c r="A1137" s="1">
        <v>50017</v>
      </c>
      <c r="B1137" s="2">
        <v>43789</v>
      </c>
      <c r="C1137" s="1" t="s">
        <v>7</v>
      </c>
      <c r="D1137" s="1">
        <v>24</v>
      </c>
      <c r="E1137" t="s">
        <v>14</v>
      </c>
      <c r="F1137" t="s">
        <v>14</v>
      </c>
      <c r="G1137" s="1">
        <v>2155.12</v>
      </c>
      <c r="H1137">
        <v>0</v>
      </c>
      <c r="I1137">
        <f>Sales_Data[[#This Row],[Sales]]*Sales_Data[[#This Row],[Discount]]</f>
        <v>0</v>
      </c>
      <c r="J1137">
        <v>2155.12</v>
      </c>
      <c r="K1137" s="1">
        <v>37.5</v>
      </c>
      <c r="L1137" s="1">
        <v>2155.12</v>
      </c>
      <c r="M1137" s="1" t="s">
        <v>10</v>
      </c>
      <c r="N1137" s="1">
        <f>IF(Sales_Data[[#This Row],[Sales with Discount]]&lt;Sales_Data[[#This Row],[Sales with Free Shipping]],Sales_Data[[#This Row],[Sales with Discount]],Sales_Data[[#This Row],[Sales with Free Shipping]])</f>
        <v>2155.12</v>
      </c>
      <c r="O1137" s="1" t="str">
        <f>TEXT(Sales_Data[[#This Row],[Order Date]], "MM-YYYY")</f>
        <v>11-2019</v>
      </c>
    </row>
    <row r="1138" spans="1:15" x14ac:dyDescent="0.3">
      <c r="A1138" s="1">
        <v>2209</v>
      </c>
      <c r="B1138" s="2">
        <v>43655</v>
      </c>
      <c r="C1138" s="1" t="s">
        <v>9</v>
      </c>
      <c r="D1138" s="1">
        <v>27</v>
      </c>
      <c r="E1138" t="s">
        <v>20</v>
      </c>
      <c r="F1138" t="s">
        <v>20</v>
      </c>
      <c r="G1138" s="1">
        <v>10078.040000000001</v>
      </c>
      <c r="H1138">
        <v>0</v>
      </c>
      <c r="I1138">
        <f>Sales_Data[[#This Row],[Sales]]*Sales_Data[[#This Row],[Discount]]</f>
        <v>0</v>
      </c>
      <c r="J1138">
        <v>10078.040000000001</v>
      </c>
      <c r="K1138" s="1">
        <v>63.1</v>
      </c>
      <c r="L1138" s="1">
        <v>10078.040000000001</v>
      </c>
      <c r="M1138" s="1" t="s">
        <v>13</v>
      </c>
      <c r="N1138" s="1">
        <f>IF(Sales_Data[[#This Row],[Sales with Discount]]&lt;Sales_Data[[#This Row],[Sales with Free Shipping]],Sales_Data[[#This Row],[Sales with Discount]],Sales_Data[[#This Row],[Sales with Free Shipping]])</f>
        <v>10078.040000000001</v>
      </c>
      <c r="O1138" s="1" t="str">
        <f>TEXT(Sales_Data[[#This Row],[Order Date]], "MM-YYYY")</f>
        <v>07-2019</v>
      </c>
    </row>
    <row r="1139" spans="1:15" x14ac:dyDescent="0.3">
      <c r="A1139" s="1">
        <v>57798</v>
      </c>
      <c r="B1139" s="2">
        <v>43723</v>
      </c>
      <c r="C1139" s="1" t="s">
        <v>9</v>
      </c>
      <c r="D1139" s="1">
        <v>20</v>
      </c>
      <c r="E1139" t="s">
        <v>19</v>
      </c>
      <c r="F1139" t="s">
        <v>19</v>
      </c>
      <c r="G1139" s="1">
        <v>3264.37</v>
      </c>
      <c r="H1139">
        <v>0</v>
      </c>
      <c r="I1139">
        <f>Sales_Data[[#This Row],[Sales]]*Sales_Data[[#This Row],[Discount]]</f>
        <v>0</v>
      </c>
      <c r="J1139">
        <v>3264.37</v>
      </c>
      <c r="K1139" s="1">
        <v>38.6</v>
      </c>
      <c r="L1139" s="1">
        <v>3264.37</v>
      </c>
      <c r="M1139" s="1" t="s">
        <v>13</v>
      </c>
      <c r="N1139" s="1">
        <f>IF(Sales_Data[[#This Row],[Sales with Discount]]&lt;Sales_Data[[#This Row],[Sales with Free Shipping]],Sales_Data[[#This Row],[Sales with Discount]],Sales_Data[[#This Row],[Sales with Free Shipping]])</f>
        <v>3264.37</v>
      </c>
      <c r="O1139" s="1" t="str">
        <f>TEXT(Sales_Data[[#This Row],[Order Date]], "MM-YYYY")</f>
        <v>09-2019</v>
      </c>
    </row>
    <row r="1140" spans="1:15" x14ac:dyDescent="0.3">
      <c r="A1140" s="1">
        <v>47682</v>
      </c>
      <c r="B1140" s="2">
        <v>43785</v>
      </c>
      <c r="C1140" s="1" t="s">
        <v>11</v>
      </c>
      <c r="D1140" s="1">
        <v>38</v>
      </c>
      <c r="E1140" t="s">
        <v>22</v>
      </c>
      <c r="F1140" t="s">
        <v>22</v>
      </c>
      <c r="G1140" s="1">
        <v>3414.6268</v>
      </c>
      <c r="H1140">
        <v>0.01</v>
      </c>
      <c r="I1140">
        <f>Sales_Data[[#This Row],[Sales]]*Sales_Data[[#This Row],[Discount]]</f>
        <v>34.146267999999999</v>
      </c>
      <c r="J1140">
        <v>3380.480532</v>
      </c>
      <c r="K1140" s="1">
        <v>5.4</v>
      </c>
      <c r="L1140" s="1">
        <v>3409.2267999999999</v>
      </c>
      <c r="M1140" s="1" t="s">
        <v>10</v>
      </c>
      <c r="N1140" s="1">
        <f>IF(Sales_Data[[#This Row],[Sales with Discount]]&lt;Sales_Data[[#This Row],[Sales with Free Shipping]],Sales_Data[[#This Row],[Sales with Discount]],Sales_Data[[#This Row],[Sales with Free Shipping]])</f>
        <v>3380.480532</v>
      </c>
      <c r="O1140" s="1" t="str">
        <f>TEXT(Sales_Data[[#This Row],[Order Date]], "MM-YYYY")</f>
        <v>11-2019</v>
      </c>
    </row>
    <row r="1141" spans="1:15" x14ac:dyDescent="0.3">
      <c r="A1141" s="1">
        <v>20642</v>
      </c>
      <c r="B1141" s="2">
        <v>43604</v>
      </c>
      <c r="C1141" s="1" t="s">
        <v>9</v>
      </c>
      <c r="D1141" s="1">
        <v>47</v>
      </c>
      <c r="E1141" t="s">
        <v>24</v>
      </c>
      <c r="F1141" t="s">
        <v>24</v>
      </c>
      <c r="G1141" s="1">
        <v>1154.51</v>
      </c>
      <c r="H1141">
        <v>0.01</v>
      </c>
      <c r="I1141">
        <f>Sales_Data[[#This Row],[Sales]]*Sales_Data[[#This Row],[Discount]]</f>
        <v>11.5451</v>
      </c>
      <c r="J1141">
        <v>1142.9648999999999</v>
      </c>
      <c r="K1141" s="1">
        <v>48.2</v>
      </c>
      <c r="L1141" s="1">
        <v>1106.31</v>
      </c>
      <c r="M1141" s="1" t="s">
        <v>13</v>
      </c>
      <c r="N1141" s="1">
        <f>IF(Sales_Data[[#This Row],[Sales with Discount]]&lt;Sales_Data[[#This Row],[Sales with Free Shipping]],Sales_Data[[#This Row],[Sales with Discount]],Sales_Data[[#This Row],[Sales with Free Shipping]])</f>
        <v>1106.31</v>
      </c>
      <c r="O1141" s="1" t="str">
        <f>TEXT(Sales_Data[[#This Row],[Order Date]], "MM-YYYY")</f>
        <v>05-2019</v>
      </c>
    </row>
    <row r="1142" spans="1:15" x14ac:dyDescent="0.3">
      <c r="A1142" s="1">
        <v>56453</v>
      </c>
      <c r="B1142" s="2">
        <v>43566</v>
      </c>
      <c r="C1142" s="1" t="s">
        <v>12</v>
      </c>
      <c r="D1142" s="1">
        <v>1</v>
      </c>
      <c r="E1142" t="s">
        <v>16</v>
      </c>
      <c r="F1142" t="s">
        <v>16</v>
      </c>
      <c r="G1142" s="1">
        <v>2919.66</v>
      </c>
      <c r="H1142">
        <v>0</v>
      </c>
      <c r="I1142">
        <f>Sales_Data[[#This Row],[Sales]]*Sales_Data[[#This Row],[Discount]]</f>
        <v>0</v>
      </c>
      <c r="J1142">
        <v>2919.66</v>
      </c>
      <c r="K1142" s="1">
        <v>31.8</v>
      </c>
      <c r="L1142" s="1">
        <v>2919.66</v>
      </c>
      <c r="M1142" s="1" t="s">
        <v>13</v>
      </c>
      <c r="N1142" s="1">
        <f>IF(Sales_Data[[#This Row],[Sales with Discount]]&lt;Sales_Data[[#This Row],[Sales with Free Shipping]],Sales_Data[[#This Row],[Sales with Discount]],Sales_Data[[#This Row],[Sales with Free Shipping]])</f>
        <v>2919.66</v>
      </c>
      <c r="O1142" s="1" t="str">
        <f>TEXT(Sales_Data[[#This Row],[Order Date]], "MM-YYYY")</f>
        <v>04-2019</v>
      </c>
    </row>
    <row r="1143" spans="1:15" x14ac:dyDescent="0.3">
      <c r="A1143" s="1">
        <v>59680</v>
      </c>
      <c r="B1143" s="2">
        <v>43634</v>
      </c>
      <c r="C1143" s="1" t="s">
        <v>12</v>
      </c>
      <c r="D1143" s="1">
        <v>15</v>
      </c>
      <c r="E1143" t="s">
        <v>18</v>
      </c>
      <c r="F1143" t="s">
        <v>18</v>
      </c>
      <c r="G1143" s="1">
        <v>19.010000000000002</v>
      </c>
      <c r="H1143">
        <v>0</v>
      </c>
      <c r="I1143">
        <f>Sales_Data[[#This Row],[Sales]]*Sales_Data[[#This Row],[Discount]]</f>
        <v>0</v>
      </c>
      <c r="J1143">
        <v>19.010000000000002</v>
      </c>
      <c r="K1143" s="1">
        <v>3.2</v>
      </c>
      <c r="L1143" s="1">
        <v>19.010000000000002</v>
      </c>
      <c r="M1143" s="1" t="s">
        <v>10</v>
      </c>
      <c r="N1143" s="1">
        <f>IF(Sales_Data[[#This Row],[Sales with Discount]]&lt;Sales_Data[[#This Row],[Sales with Free Shipping]],Sales_Data[[#This Row],[Sales with Discount]],Sales_Data[[#This Row],[Sales with Free Shipping]])</f>
        <v>19.010000000000002</v>
      </c>
      <c r="O1143" s="1" t="str">
        <f>TEXT(Sales_Data[[#This Row],[Order Date]], "MM-YYYY")</f>
        <v>06-2019</v>
      </c>
    </row>
    <row r="1144" spans="1:15" x14ac:dyDescent="0.3">
      <c r="A1144" s="1">
        <v>15651</v>
      </c>
      <c r="B1144" s="2">
        <v>43742</v>
      </c>
      <c r="C1144" s="1" t="s">
        <v>12</v>
      </c>
      <c r="D1144" s="1">
        <v>14</v>
      </c>
      <c r="E1144" t="s">
        <v>18</v>
      </c>
      <c r="F1144" t="s">
        <v>18</v>
      </c>
      <c r="G1144" s="1">
        <v>1224.45</v>
      </c>
      <c r="H1144">
        <v>0</v>
      </c>
      <c r="I1144">
        <f>Sales_Data[[#This Row],[Sales]]*Sales_Data[[#This Row],[Discount]]</f>
        <v>0</v>
      </c>
      <c r="J1144">
        <v>1224.45</v>
      </c>
      <c r="K1144" s="1">
        <v>37.5</v>
      </c>
      <c r="L1144" s="1">
        <v>1224.45</v>
      </c>
      <c r="M1144" s="1" t="s">
        <v>10</v>
      </c>
      <c r="N1144" s="1">
        <f>IF(Sales_Data[[#This Row],[Sales with Discount]]&lt;Sales_Data[[#This Row],[Sales with Free Shipping]],Sales_Data[[#This Row],[Sales with Discount]],Sales_Data[[#This Row],[Sales with Free Shipping]])</f>
        <v>1224.45</v>
      </c>
      <c r="O1144" s="1" t="str">
        <f>TEXT(Sales_Data[[#This Row],[Order Date]], "MM-YYYY")</f>
        <v>10-2019</v>
      </c>
    </row>
    <row r="1145" spans="1:15" x14ac:dyDescent="0.3">
      <c r="A1145" s="1">
        <v>51559</v>
      </c>
      <c r="B1145" s="2">
        <v>43528</v>
      </c>
      <c r="C1145" s="1" t="s">
        <v>7</v>
      </c>
      <c r="D1145" s="1">
        <v>34</v>
      </c>
      <c r="E1145" t="s">
        <v>21</v>
      </c>
      <c r="F1145" t="s">
        <v>21</v>
      </c>
      <c r="G1145" s="1">
        <v>881.66</v>
      </c>
      <c r="H1145">
        <v>0</v>
      </c>
      <c r="I1145">
        <f>Sales_Data[[#This Row],[Sales]]*Sales_Data[[#This Row],[Discount]]</f>
        <v>0</v>
      </c>
      <c r="J1145">
        <v>881.66</v>
      </c>
      <c r="K1145" s="1">
        <v>4.4000000000000004</v>
      </c>
      <c r="L1145" s="1">
        <v>881.66</v>
      </c>
      <c r="M1145" s="1" t="s">
        <v>10</v>
      </c>
      <c r="N1145" s="1">
        <f>IF(Sales_Data[[#This Row],[Sales with Discount]]&lt;Sales_Data[[#This Row],[Sales with Free Shipping]],Sales_Data[[#This Row],[Sales with Discount]],Sales_Data[[#This Row],[Sales with Free Shipping]])</f>
        <v>881.66</v>
      </c>
      <c r="O1145" s="1" t="str">
        <f>TEXT(Sales_Data[[#This Row],[Order Date]], "MM-YYYY")</f>
        <v>03-2019</v>
      </c>
    </row>
    <row r="1146" spans="1:15" x14ac:dyDescent="0.3">
      <c r="A1146" s="1">
        <v>19936</v>
      </c>
      <c r="B1146" s="2">
        <v>43782</v>
      </c>
      <c r="C1146" s="1" t="s">
        <v>12</v>
      </c>
      <c r="D1146" s="1">
        <v>41</v>
      </c>
      <c r="E1146" t="s">
        <v>23</v>
      </c>
      <c r="F1146" t="s">
        <v>23</v>
      </c>
      <c r="G1146" s="1">
        <v>1193.26</v>
      </c>
      <c r="H1146">
        <v>0.01</v>
      </c>
      <c r="I1146">
        <f>Sales_Data[[#This Row],[Sales]]*Sales_Data[[#This Row],[Discount]]</f>
        <v>11.932600000000001</v>
      </c>
      <c r="J1146">
        <v>1181.3273999999999</v>
      </c>
      <c r="K1146" s="1">
        <v>2.1</v>
      </c>
      <c r="L1146" s="1">
        <v>1191.1600000000001</v>
      </c>
      <c r="M1146" s="1" t="s">
        <v>10</v>
      </c>
      <c r="N1146" s="1">
        <f>IF(Sales_Data[[#This Row],[Sales with Discount]]&lt;Sales_Data[[#This Row],[Sales with Free Shipping]],Sales_Data[[#This Row],[Sales with Discount]],Sales_Data[[#This Row],[Sales with Free Shipping]])</f>
        <v>1181.3273999999999</v>
      </c>
      <c r="O1146" s="1" t="str">
        <f>TEXT(Sales_Data[[#This Row],[Order Date]], "MM-YYYY")</f>
        <v>11-2019</v>
      </c>
    </row>
    <row r="1147" spans="1:15" x14ac:dyDescent="0.3">
      <c r="A1147" s="1">
        <v>26407</v>
      </c>
      <c r="B1147" s="2">
        <v>43635</v>
      </c>
      <c r="C1147" s="1" t="s">
        <v>12</v>
      </c>
      <c r="D1147" s="1">
        <v>34</v>
      </c>
      <c r="E1147" t="s">
        <v>21</v>
      </c>
      <c r="F1147" t="s">
        <v>21</v>
      </c>
      <c r="G1147" s="1">
        <v>10188.67</v>
      </c>
      <c r="H1147">
        <v>0</v>
      </c>
      <c r="I1147">
        <f>Sales_Data[[#This Row],[Sales]]*Sales_Data[[#This Row],[Discount]]</f>
        <v>0</v>
      </c>
      <c r="J1147">
        <v>10188.67</v>
      </c>
      <c r="K1147" s="1">
        <v>37.5</v>
      </c>
      <c r="L1147" s="1">
        <v>10188.67</v>
      </c>
      <c r="M1147" s="1" t="s">
        <v>10</v>
      </c>
      <c r="N1147" s="1">
        <f>IF(Sales_Data[[#This Row],[Sales with Discount]]&lt;Sales_Data[[#This Row],[Sales with Free Shipping]],Sales_Data[[#This Row],[Sales with Discount]],Sales_Data[[#This Row],[Sales with Free Shipping]])</f>
        <v>10188.67</v>
      </c>
      <c r="O1147" s="1" t="str">
        <f>TEXT(Sales_Data[[#This Row],[Order Date]], "MM-YYYY")</f>
        <v>06-2019</v>
      </c>
    </row>
    <row r="1148" spans="1:15" x14ac:dyDescent="0.3">
      <c r="A1148" s="1">
        <v>34182</v>
      </c>
      <c r="B1148" s="2">
        <v>43755</v>
      </c>
      <c r="C1148" s="1" t="s">
        <v>12</v>
      </c>
      <c r="D1148" s="1">
        <v>31</v>
      </c>
      <c r="E1148" t="s">
        <v>21</v>
      </c>
      <c r="F1148" t="s">
        <v>21</v>
      </c>
      <c r="G1148" s="1">
        <v>359.88</v>
      </c>
      <c r="H1148">
        <v>0</v>
      </c>
      <c r="I1148">
        <f>Sales_Data[[#This Row],[Sales]]*Sales_Data[[#This Row],[Discount]]</f>
        <v>0</v>
      </c>
      <c r="J1148">
        <v>359.88</v>
      </c>
      <c r="K1148" s="1">
        <v>8.5</v>
      </c>
      <c r="L1148" s="1">
        <v>359.88</v>
      </c>
      <c r="M1148" s="1" t="s">
        <v>10</v>
      </c>
      <c r="N1148" s="1">
        <f>IF(Sales_Data[[#This Row],[Sales with Discount]]&lt;Sales_Data[[#This Row],[Sales with Free Shipping]],Sales_Data[[#This Row],[Sales with Discount]],Sales_Data[[#This Row],[Sales with Free Shipping]])</f>
        <v>359.88</v>
      </c>
      <c r="O1148" s="1" t="str">
        <f>TEXT(Sales_Data[[#This Row],[Order Date]], "MM-YYYY")</f>
        <v>10-2019</v>
      </c>
    </row>
    <row r="1149" spans="1:15" x14ac:dyDescent="0.3">
      <c r="A1149" s="1">
        <v>54053</v>
      </c>
      <c r="B1149" s="2">
        <v>43509</v>
      </c>
      <c r="C1149" s="1" t="s">
        <v>9</v>
      </c>
      <c r="D1149" s="1">
        <v>34</v>
      </c>
      <c r="E1149" t="s">
        <v>21</v>
      </c>
      <c r="F1149" t="s">
        <v>21</v>
      </c>
      <c r="G1149" s="1">
        <v>6028.76</v>
      </c>
      <c r="H1149">
        <v>0</v>
      </c>
      <c r="I1149">
        <f>Sales_Data[[#This Row],[Sales]]*Sales_Data[[#This Row],[Discount]]</f>
        <v>0</v>
      </c>
      <c r="J1149">
        <v>6028.76</v>
      </c>
      <c r="K1149" s="1">
        <v>8.6</v>
      </c>
      <c r="L1149" s="1">
        <v>6028.76</v>
      </c>
      <c r="M1149" s="1" t="s">
        <v>10</v>
      </c>
      <c r="N1149" s="1">
        <f>IF(Sales_Data[[#This Row],[Sales with Discount]]&lt;Sales_Data[[#This Row],[Sales with Free Shipping]],Sales_Data[[#This Row],[Sales with Discount]],Sales_Data[[#This Row],[Sales with Free Shipping]])</f>
        <v>6028.76</v>
      </c>
      <c r="O1149" s="1" t="str">
        <f>TEXT(Sales_Data[[#This Row],[Order Date]], "MM-YYYY")</f>
        <v>02-2019</v>
      </c>
    </row>
    <row r="1150" spans="1:15" x14ac:dyDescent="0.3">
      <c r="A1150" s="1">
        <v>52320</v>
      </c>
      <c r="B1150" s="2">
        <v>43732</v>
      </c>
      <c r="C1150" s="1" t="s">
        <v>7</v>
      </c>
      <c r="D1150" s="1">
        <v>41</v>
      </c>
      <c r="E1150" t="s">
        <v>23</v>
      </c>
      <c r="F1150" t="s">
        <v>23</v>
      </c>
      <c r="G1150" s="1">
        <v>120.48</v>
      </c>
      <c r="H1150">
        <v>0.01</v>
      </c>
      <c r="I1150">
        <f>Sales_Data[[#This Row],[Sales]]*Sales_Data[[#This Row],[Discount]]</f>
        <v>1.2048000000000001</v>
      </c>
      <c r="J1150">
        <v>119.2752</v>
      </c>
      <c r="K1150" s="1">
        <v>1.1000000000000001</v>
      </c>
      <c r="L1150" s="1">
        <v>119.38000000000001</v>
      </c>
      <c r="M1150" s="1" t="s">
        <v>10</v>
      </c>
      <c r="N1150" s="1">
        <f>IF(Sales_Data[[#This Row],[Sales with Discount]]&lt;Sales_Data[[#This Row],[Sales with Free Shipping]],Sales_Data[[#This Row],[Sales with Discount]],Sales_Data[[#This Row],[Sales with Free Shipping]])</f>
        <v>119.2752</v>
      </c>
      <c r="O1150" s="1" t="str">
        <f>TEXT(Sales_Data[[#This Row],[Order Date]], "MM-YYYY")</f>
        <v>09-2019</v>
      </c>
    </row>
    <row r="1151" spans="1:15" x14ac:dyDescent="0.3">
      <c r="A1151" s="1">
        <v>24613</v>
      </c>
      <c r="B1151" s="2">
        <v>43662</v>
      </c>
      <c r="C1151" s="1" t="s">
        <v>7</v>
      </c>
      <c r="D1151" s="1">
        <v>16</v>
      </c>
      <c r="E1151" t="s">
        <v>19</v>
      </c>
      <c r="F1151" t="s">
        <v>19</v>
      </c>
      <c r="G1151" s="1">
        <v>10374.549999999999</v>
      </c>
      <c r="H1151">
        <v>0</v>
      </c>
      <c r="I1151">
        <f>Sales_Data[[#This Row],[Sales]]*Sales_Data[[#This Row],[Discount]]</f>
        <v>0</v>
      </c>
      <c r="J1151">
        <v>10374.549999999999</v>
      </c>
      <c r="K1151" s="1">
        <v>26.2</v>
      </c>
      <c r="L1151" s="1">
        <v>10374.549999999999</v>
      </c>
      <c r="M1151" s="1" t="s">
        <v>10</v>
      </c>
      <c r="N1151" s="1">
        <f>IF(Sales_Data[[#This Row],[Sales with Discount]]&lt;Sales_Data[[#This Row],[Sales with Free Shipping]],Sales_Data[[#This Row],[Sales with Discount]],Sales_Data[[#This Row],[Sales with Free Shipping]])</f>
        <v>10374.549999999999</v>
      </c>
      <c r="O1151" s="1" t="str">
        <f>TEXT(Sales_Data[[#This Row],[Order Date]], "MM-YYYY")</f>
        <v>07-2019</v>
      </c>
    </row>
    <row r="1152" spans="1:15" x14ac:dyDescent="0.3">
      <c r="A1152" s="1">
        <v>42944</v>
      </c>
      <c r="B1152" s="2">
        <v>43787</v>
      </c>
      <c r="C1152" s="1" t="s">
        <v>12</v>
      </c>
      <c r="D1152" s="1">
        <v>43</v>
      </c>
      <c r="E1152" t="s">
        <v>23</v>
      </c>
      <c r="F1152" t="s">
        <v>23</v>
      </c>
      <c r="G1152" s="1">
        <v>10433.09</v>
      </c>
      <c r="H1152">
        <v>0.01</v>
      </c>
      <c r="I1152">
        <f>Sales_Data[[#This Row],[Sales]]*Sales_Data[[#This Row],[Discount]]</f>
        <v>104.3309</v>
      </c>
      <c r="J1152">
        <v>10328.759099999999</v>
      </c>
      <c r="K1152" s="1">
        <v>68.7</v>
      </c>
      <c r="L1152" s="1">
        <v>10364.39</v>
      </c>
      <c r="M1152" s="1" t="s">
        <v>13</v>
      </c>
      <c r="N1152" s="1">
        <f>IF(Sales_Data[[#This Row],[Sales with Discount]]&lt;Sales_Data[[#This Row],[Sales with Free Shipping]],Sales_Data[[#This Row],[Sales with Discount]],Sales_Data[[#This Row],[Sales with Free Shipping]])</f>
        <v>10328.759099999999</v>
      </c>
      <c r="O1152" s="1" t="str">
        <f>TEXT(Sales_Data[[#This Row],[Order Date]], "MM-YYYY")</f>
        <v>11-2019</v>
      </c>
    </row>
    <row r="1153" spans="1:15" x14ac:dyDescent="0.3">
      <c r="A1153" s="1">
        <v>57638</v>
      </c>
      <c r="B1153" s="2">
        <v>43577</v>
      </c>
      <c r="C1153" s="1" t="s">
        <v>7</v>
      </c>
      <c r="D1153" s="1">
        <v>49</v>
      </c>
      <c r="E1153" t="s">
        <v>24</v>
      </c>
      <c r="F1153" t="s">
        <v>24</v>
      </c>
      <c r="G1153" s="1">
        <v>107.09</v>
      </c>
      <c r="H1153">
        <v>0.01</v>
      </c>
      <c r="I1153">
        <f>Sales_Data[[#This Row],[Sales]]*Sales_Data[[#This Row],[Discount]]</f>
        <v>1.0709</v>
      </c>
      <c r="J1153">
        <v>106.01910000000001</v>
      </c>
      <c r="K1153" s="1">
        <v>2.7</v>
      </c>
      <c r="L1153" s="1">
        <v>104.39</v>
      </c>
      <c r="M1153" s="1" t="s">
        <v>10</v>
      </c>
      <c r="N1153" s="1">
        <f>IF(Sales_Data[[#This Row],[Sales with Discount]]&lt;Sales_Data[[#This Row],[Sales with Free Shipping]],Sales_Data[[#This Row],[Sales with Discount]],Sales_Data[[#This Row],[Sales with Free Shipping]])</f>
        <v>104.39</v>
      </c>
      <c r="O1153" s="1" t="str">
        <f>TEXT(Sales_Data[[#This Row],[Order Date]], "MM-YYYY")</f>
        <v>04-2019</v>
      </c>
    </row>
    <row r="1154" spans="1:15" x14ac:dyDescent="0.3">
      <c r="A1154" s="1">
        <v>14210</v>
      </c>
      <c r="B1154" s="2">
        <v>43642</v>
      </c>
      <c r="C1154" s="1" t="s">
        <v>11</v>
      </c>
      <c r="D1154" s="1">
        <v>19</v>
      </c>
      <c r="E1154" t="s">
        <v>19</v>
      </c>
      <c r="F1154" t="s">
        <v>19</v>
      </c>
      <c r="G1154" s="1">
        <v>724.17</v>
      </c>
      <c r="H1154">
        <v>0</v>
      </c>
      <c r="I1154">
        <f>Sales_Data[[#This Row],[Sales]]*Sales_Data[[#This Row],[Discount]]</f>
        <v>0</v>
      </c>
      <c r="J1154">
        <v>724.17</v>
      </c>
      <c r="K1154" s="1">
        <v>2.1</v>
      </c>
      <c r="L1154" s="1">
        <v>724.17</v>
      </c>
      <c r="M1154" s="1" t="s">
        <v>10</v>
      </c>
      <c r="N1154" s="1">
        <f>IF(Sales_Data[[#This Row],[Sales with Discount]]&lt;Sales_Data[[#This Row],[Sales with Free Shipping]],Sales_Data[[#This Row],[Sales with Discount]],Sales_Data[[#This Row],[Sales with Free Shipping]])</f>
        <v>724.17</v>
      </c>
      <c r="O1154" s="1" t="str">
        <f>TEXT(Sales_Data[[#This Row],[Order Date]], "MM-YYYY")</f>
        <v>06-2019</v>
      </c>
    </row>
    <row r="1155" spans="1:15" x14ac:dyDescent="0.3">
      <c r="A1155" s="1">
        <v>55655</v>
      </c>
      <c r="B1155" s="2">
        <v>43732</v>
      </c>
      <c r="C1155" s="1" t="s">
        <v>7</v>
      </c>
      <c r="D1155" s="1">
        <v>33</v>
      </c>
      <c r="E1155" t="s">
        <v>21</v>
      </c>
      <c r="F1155" t="s">
        <v>21</v>
      </c>
      <c r="G1155" s="1">
        <v>3928.12</v>
      </c>
      <c r="H1155">
        <v>0</v>
      </c>
      <c r="I1155">
        <f>Sales_Data[[#This Row],[Sales]]*Sales_Data[[#This Row],[Discount]]</f>
        <v>0</v>
      </c>
      <c r="J1155">
        <v>3928.12</v>
      </c>
      <c r="K1155" s="1">
        <v>9.6</v>
      </c>
      <c r="L1155" s="1">
        <v>3928.12</v>
      </c>
      <c r="M1155" s="1" t="s">
        <v>10</v>
      </c>
      <c r="N1155" s="1">
        <f>IF(Sales_Data[[#This Row],[Sales with Discount]]&lt;Sales_Data[[#This Row],[Sales with Free Shipping]],Sales_Data[[#This Row],[Sales with Discount]],Sales_Data[[#This Row],[Sales with Free Shipping]])</f>
        <v>3928.12</v>
      </c>
      <c r="O1155" s="1" t="str">
        <f>TEXT(Sales_Data[[#This Row],[Order Date]], "MM-YYYY")</f>
        <v>09-2019</v>
      </c>
    </row>
    <row r="1156" spans="1:15" x14ac:dyDescent="0.3">
      <c r="A1156" s="1">
        <v>6535</v>
      </c>
      <c r="B1156" s="2">
        <v>43628</v>
      </c>
      <c r="C1156" s="1" t="s">
        <v>12</v>
      </c>
      <c r="D1156" s="1">
        <v>11</v>
      </c>
      <c r="E1156" t="s">
        <v>18</v>
      </c>
      <c r="F1156" t="s">
        <v>18</v>
      </c>
      <c r="G1156" s="1">
        <v>334.23</v>
      </c>
      <c r="H1156">
        <v>0</v>
      </c>
      <c r="I1156">
        <f>Sales_Data[[#This Row],[Sales]]*Sales_Data[[#This Row],[Discount]]</f>
        <v>0</v>
      </c>
      <c r="J1156">
        <v>334.23</v>
      </c>
      <c r="K1156" s="1">
        <v>9.6</v>
      </c>
      <c r="L1156" s="1">
        <v>334.23</v>
      </c>
      <c r="M1156" s="1" t="s">
        <v>8</v>
      </c>
      <c r="N1156" s="1">
        <f>IF(Sales_Data[[#This Row],[Sales with Discount]]&lt;Sales_Data[[#This Row],[Sales with Free Shipping]],Sales_Data[[#This Row],[Sales with Discount]],Sales_Data[[#This Row],[Sales with Free Shipping]])</f>
        <v>334.23</v>
      </c>
      <c r="O1156" s="1" t="str">
        <f>TEXT(Sales_Data[[#This Row],[Order Date]], "MM-YYYY")</f>
        <v>06-2019</v>
      </c>
    </row>
    <row r="1157" spans="1:15" x14ac:dyDescent="0.3">
      <c r="A1157" s="1">
        <v>49953</v>
      </c>
      <c r="B1157" s="2">
        <v>43541</v>
      </c>
      <c r="C1157" s="1" t="s">
        <v>11</v>
      </c>
      <c r="D1157" s="1">
        <v>36</v>
      </c>
      <c r="E1157" t="s">
        <v>22</v>
      </c>
      <c r="F1157" t="s">
        <v>22</v>
      </c>
      <c r="G1157" s="1">
        <v>259.08</v>
      </c>
      <c r="H1157">
        <v>0.01</v>
      </c>
      <c r="I1157">
        <f>Sales_Data[[#This Row],[Sales]]*Sales_Data[[#This Row],[Discount]]</f>
        <v>2.5907999999999998</v>
      </c>
      <c r="J1157">
        <v>256.48919999999998</v>
      </c>
      <c r="K1157" s="1">
        <v>7.1</v>
      </c>
      <c r="L1157" s="1">
        <v>251.98</v>
      </c>
      <c r="M1157" s="1" t="s">
        <v>8</v>
      </c>
      <c r="N1157" s="1">
        <f>IF(Sales_Data[[#This Row],[Sales with Discount]]&lt;Sales_Data[[#This Row],[Sales with Free Shipping]],Sales_Data[[#This Row],[Sales with Discount]],Sales_Data[[#This Row],[Sales with Free Shipping]])</f>
        <v>251.98</v>
      </c>
      <c r="O1157" s="1" t="str">
        <f>TEXT(Sales_Data[[#This Row],[Order Date]], "MM-YYYY")</f>
        <v>03-2019</v>
      </c>
    </row>
    <row r="1158" spans="1:15" x14ac:dyDescent="0.3">
      <c r="A1158" s="1">
        <v>43460</v>
      </c>
      <c r="B1158" s="2">
        <v>43627</v>
      </c>
      <c r="C1158" s="1" t="s">
        <v>14</v>
      </c>
      <c r="D1158" s="1">
        <v>2</v>
      </c>
      <c r="E1158" t="s">
        <v>16</v>
      </c>
      <c r="F1158" t="s">
        <v>16</v>
      </c>
      <c r="G1158" s="1">
        <v>26.85</v>
      </c>
      <c r="H1158">
        <v>0</v>
      </c>
      <c r="I1158">
        <f>Sales_Data[[#This Row],[Sales]]*Sales_Data[[#This Row],[Discount]]</f>
        <v>0</v>
      </c>
      <c r="J1158">
        <v>26.85</v>
      </c>
      <c r="K1158" s="1">
        <v>9.6</v>
      </c>
      <c r="L1158" s="1">
        <v>26.85</v>
      </c>
      <c r="M1158" s="1" t="s">
        <v>10</v>
      </c>
      <c r="N1158" s="1">
        <f>IF(Sales_Data[[#This Row],[Sales with Discount]]&lt;Sales_Data[[#This Row],[Sales with Free Shipping]],Sales_Data[[#This Row],[Sales with Discount]],Sales_Data[[#This Row],[Sales with Free Shipping]])</f>
        <v>26.85</v>
      </c>
      <c r="O1158" s="1" t="str">
        <f>TEXT(Sales_Data[[#This Row],[Order Date]], "MM-YYYY")</f>
        <v>06-2019</v>
      </c>
    </row>
    <row r="1159" spans="1:15" x14ac:dyDescent="0.3">
      <c r="A1159" s="1">
        <v>36832</v>
      </c>
      <c r="B1159" s="2">
        <v>43617</v>
      </c>
      <c r="C1159" s="1" t="s">
        <v>7</v>
      </c>
      <c r="D1159" s="1">
        <v>43</v>
      </c>
      <c r="E1159" t="s">
        <v>23</v>
      </c>
      <c r="F1159" t="s">
        <v>23</v>
      </c>
      <c r="G1159" s="1">
        <v>570.19000000000005</v>
      </c>
      <c r="H1159">
        <v>0.01</v>
      </c>
      <c r="I1159">
        <f>Sales_Data[[#This Row],[Sales]]*Sales_Data[[#This Row],[Discount]]</f>
        <v>5.7019000000000011</v>
      </c>
      <c r="J1159">
        <v>564.48810000000003</v>
      </c>
      <c r="K1159" s="1">
        <v>1.6</v>
      </c>
      <c r="L1159" s="1">
        <v>568.59</v>
      </c>
      <c r="M1159" s="1" t="s">
        <v>10</v>
      </c>
      <c r="N1159" s="1">
        <f>IF(Sales_Data[[#This Row],[Sales with Discount]]&lt;Sales_Data[[#This Row],[Sales with Free Shipping]],Sales_Data[[#This Row],[Sales with Discount]],Sales_Data[[#This Row],[Sales with Free Shipping]])</f>
        <v>564.48810000000003</v>
      </c>
      <c r="O1159" s="1" t="str">
        <f>TEXT(Sales_Data[[#This Row],[Order Date]], "MM-YYYY")</f>
        <v>06-2019</v>
      </c>
    </row>
    <row r="1160" spans="1:15" x14ac:dyDescent="0.3">
      <c r="A1160" s="1">
        <v>43203</v>
      </c>
      <c r="B1160" s="2">
        <v>43509</v>
      </c>
      <c r="C1160" s="1" t="s">
        <v>11</v>
      </c>
      <c r="D1160" s="1">
        <v>32</v>
      </c>
      <c r="E1160" t="s">
        <v>21</v>
      </c>
      <c r="F1160" t="s">
        <v>21</v>
      </c>
      <c r="G1160" s="1">
        <v>240.92</v>
      </c>
      <c r="H1160">
        <v>0</v>
      </c>
      <c r="I1160">
        <f>Sales_Data[[#This Row],[Sales]]*Sales_Data[[#This Row],[Discount]]</f>
        <v>0</v>
      </c>
      <c r="J1160">
        <v>240.92</v>
      </c>
      <c r="K1160" s="1">
        <v>5.6</v>
      </c>
      <c r="L1160" s="1">
        <v>240.92</v>
      </c>
      <c r="M1160" s="1" t="s">
        <v>10</v>
      </c>
      <c r="N1160" s="1">
        <f>IF(Sales_Data[[#This Row],[Sales with Discount]]&lt;Sales_Data[[#This Row],[Sales with Free Shipping]],Sales_Data[[#This Row],[Sales with Discount]],Sales_Data[[#This Row],[Sales with Free Shipping]])</f>
        <v>240.92</v>
      </c>
      <c r="O1160" s="1" t="str">
        <f>TEXT(Sales_Data[[#This Row],[Order Date]], "MM-YYYY")</f>
        <v>02-2019</v>
      </c>
    </row>
    <row r="1161" spans="1:15" x14ac:dyDescent="0.3">
      <c r="A1161" s="1">
        <v>32325</v>
      </c>
      <c r="B1161" s="2">
        <v>43770</v>
      </c>
      <c r="C1161" s="1" t="s">
        <v>12</v>
      </c>
      <c r="D1161" s="1">
        <v>45</v>
      </c>
      <c r="E1161" t="s">
        <v>23</v>
      </c>
      <c r="F1161" t="s">
        <v>23</v>
      </c>
      <c r="G1161" s="1">
        <v>1180.99</v>
      </c>
      <c r="H1161">
        <v>0.01</v>
      </c>
      <c r="I1161">
        <f>Sales_Data[[#This Row],[Sales]]*Sales_Data[[#This Row],[Discount]]</f>
        <v>11.809900000000001</v>
      </c>
      <c r="J1161">
        <v>1169.1801</v>
      </c>
      <c r="K1161" s="1">
        <v>8.1</v>
      </c>
      <c r="L1161" s="1">
        <v>1172.8900000000001</v>
      </c>
      <c r="M1161" s="1" t="s">
        <v>10</v>
      </c>
      <c r="N1161" s="1">
        <f>IF(Sales_Data[[#This Row],[Sales with Discount]]&lt;Sales_Data[[#This Row],[Sales with Free Shipping]],Sales_Data[[#This Row],[Sales with Discount]],Sales_Data[[#This Row],[Sales with Free Shipping]])</f>
        <v>1169.1801</v>
      </c>
      <c r="O1161" s="1" t="str">
        <f>TEXT(Sales_Data[[#This Row],[Order Date]], "MM-YYYY")</f>
        <v>11-2019</v>
      </c>
    </row>
    <row r="1162" spans="1:15" x14ac:dyDescent="0.3">
      <c r="A1162" s="1">
        <v>22465</v>
      </c>
      <c r="B1162" s="2">
        <v>43667</v>
      </c>
      <c r="C1162" s="1" t="s">
        <v>11</v>
      </c>
      <c r="D1162" s="1">
        <v>4</v>
      </c>
      <c r="E1162" t="s">
        <v>16</v>
      </c>
      <c r="F1162" t="s">
        <v>16</v>
      </c>
      <c r="G1162" s="1">
        <v>1200.3</v>
      </c>
      <c r="H1162">
        <v>0</v>
      </c>
      <c r="I1162">
        <f>Sales_Data[[#This Row],[Sales]]*Sales_Data[[#This Row],[Discount]]</f>
        <v>0</v>
      </c>
      <c r="J1162">
        <v>1200.3</v>
      </c>
      <c r="K1162" s="1">
        <v>53.5</v>
      </c>
      <c r="L1162" s="1">
        <v>1200.3</v>
      </c>
      <c r="M1162" s="1" t="s">
        <v>13</v>
      </c>
      <c r="N1162" s="1">
        <f>IF(Sales_Data[[#This Row],[Sales with Discount]]&lt;Sales_Data[[#This Row],[Sales with Free Shipping]],Sales_Data[[#This Row],[Sales with Discount]],Sales_Data[[#This Row],[Sales with Free Shipping]])</f>
        <v>1200.3</v>
      </c>
      <c r="O1162" s="1" t="str">
        <f>TEXT(Sales_Data[[#This Row],[Order Date]], "MM-YYYY")</f>
        <v>07-2019</v>
      </c>
    </row>
    <row r="1163" spans="1:15" x14ac:dyDescent="0.3">
      <c r="A1163" s="1">
        <v>5095</v>
      </c>
      <c r="B1163" s="2">
        <v>43576</v>
      </c>
      <c r="C1163" s="1" t="s">
        <v>9</v>
      </c>
      <c r="D1163" s="1">
        <v>7</v>
      </c>
      <c r="E1163" t="s">
        <v>17</v>
      </c>
      <c r="F1163" t="s">
        <v>17</v>
      </c>
      <c r="G1163" s="1">
        <v>841.74</v>
      </c>
      <c r="H1163">
        <v>0</v>
      </c>
      <c r="I1163">
        <f>Sales_Data[[#This Row],[Sales]]*Sales_Data[[#This Row],[Discount]]</f>
        <v>0</v>
      </c>
      <c r="J1163">
        <v>841.74</v>
      </c>
      <c r="K1163" s="1">
        <v>9.4</v>
      </c>
      <c r="L1163" s="1">
        <v>841.74</v>
      </c>
      <c r="M1163" s="1" t="s">
        <v>10</v>
      </c>
      <c r="N1163" s="1">
        <f>IF(Sales_Data[[#This Row],[Sales with Discount]]&lt;Sales_Data[[#This Row],[Sales with Free Shipping]],Sales_Data[[#This Row],[Sales with Discount]],Sales_Data[[#This Row],[Sales with Free Shipping]])</f>
        <v>841.74</v>
      </c>
      <c r="O1163" s="1" t="str">
        <f>TEXT(Sales_Data[[#This Row],[Order Date]], "MM-YYYY")</f>
        <v>04-2019</v>
      </c>
    </row>
    <row r="1164" spans="1:15" x14ac:dyDescent="0.3">
      <c r="A1164" s="1">
        <v>21634</v>
      </c>
      <c r="B1164" s="2">
        <v>43766</v>
      </c>
      <c r="C1164" s="1" t="s">
        <v>11</v>
      </c>
      <c r="D1164" s="1">
        <v>8</v>
      </c>
      <c r="E1164" t="s">
        <v>17</v>
      </c>
      <c r="F1164" t="s">
        <v>17</v>
      </c>
      <c r="G1164" s="1">
        <v>1724.5510999999999</v>
      </c>
      <c r="H1164">
        <v>0</v>
      </c>
      <c r="I1164">
        <f>Sales_Data[[#This Row],[Sales]]*Sales_Data[[#This Row],[Discount]]</f>
        <v>0</v>
      </c>
      <c r="J1164">
        <v>1724.5510999999999</v>
      </c>
      <c r="K1164" s="1">
        <v>72.8</v>
      </c>
      <c r="L1164" s="1">
        <v>1724.5510999999999</v>
      </c>
      <c r="M1164" s="1" t="s">
        <v>13</v>
      </c>
      <c r="N1164" s="1">
        <f>IF(Sales_Data[[#This Row],[Sales with Discount]]&lt;Sales_Data[[#This Row],[Sales with Free Shipping]],Sales_Data[[#This Row],[Sales with Discount]],Sales_Data[[#This Row],[Sales with Free Shipping]])</f>
        <v>1724.5510999999999</v>
      </c>
      <c r="O1164" s="1" t="str">
        <f>TEXT(Sales_Data[[#This Row],[Order Date]], "MM-YYYY")</f>
        <v>10-2019</v>
      </c>
    </row>
    <row r="1165" spans="1:15" x14ac:dyDescent="0.3">
      <c r="A1165" s="1">
        <v>38848</v>
      </c>
      <c r="B1165" s="2">
        <v>43815</v>
      </c>
      <c r="C1165" s="1" t="s">
        <v>9</v>
      </c>
      <c r="D1165" s="1">
        <v>6</v>
      </c>
      <c r="E1165" t="s">
        <v>17</v>
      </c>
      <c r="F1165" t="s">
        <v>17</v>
      </c>
      <c r="G1165" s="1">
        <v>277.69</v>
      </c>
      <c r="H1165">
        <v>0</v>
      </c>
      <c r="I1165">
        <f>Sales_Data[[#This Row],[Sales]]*Sales_Data[[#This Row],[Discount]]</f>
        <v>0</v>
      </c>
      <c r="J1165">
        <v>277.69</v>
      </c>
      <c r="K1165" s="1">
        <v>3.2</v>
      </c>
      <c r="L1165" s="1">
        <v>277.69</v>
      </c>
      <c r="M1165" s="1" t="s">
        <v>10</v>
      </c>
      <c r="N1165" s="1">
        <f>IF(Sales_Data[[#This Row],[Sales with Discount]]&lt;Sales_Data[[#This Row],[Sales with Free Shipping]],Sales_Data[[#This Row],[Sales with Discount]],Sales_Data[[#This Row],[Sales with Free Shipping]])</f>
        <v>277.69</v>
      </c>
      <c r="O1165" s="1" t="str">
        <f>TEXT(Sales_Data[[#This Row],[Order Date]], "MM-YYYY")</f>
        <v>12-2019</v>
      </c>
    </row>
    <row r="1166" spans="1:15" x14ac:dyDescent="0.3">
      <c r="A1166" s="1">
        <v>15399</v>
      </c>
      <c r="B1166" s="2">
        <v>43598</v>
      </c>
      <c r="C1166" s="1" t="s">
        <v>12</v>
      </c>
      <c r="D1166" s="1">
        <v>46</v>
      </c>
      <c r="E1166" t="s">
        <v>24</v>
      </c>
      <c r="F1166" t="s">
        <v>24</v>
      </c>
      <c r="G1166" s="1">
        <v>2690.53</v>
      </c>
      <c r="H1166">
        <v>0.01</v>
      </c>
      <c r="I1166">
        <f>Sales_Data[[#This Row],[Sales]]*Sales_Data[[#This Row],[Discount]]</f>
        <v>26.905300000000004</v>
      </c>
      <c r="J1166">
        <v>2663.6247000000003</v>
      </c>
      <c r="K1166" s="1">
        <v>5.3</v>
      </c>
      <c r="L1166" s="1">
        <v>2685.23</v>
      </c>
      <c r="M1166" s="1" t="s">
        <v>8</v>
      </c>
      <c r="N1166" s="1">
        <f>IF(Sales_Data[[#This Row],[Sales with Discount]]&lt;Sales_Data[[#This Row],[Sales with Free Shipping]],Sales_Data[[#This Row],[Sales with Discount]],Sales_Data[[#This Row],[Sales with Free Shipping]])</f>
        <v>2663.6247000000003</v>
      </c>
      <c r="O1166" s="1" t="str">
        <f>TEXT(Sales_Data[[#This Row],[Order Date]], "MM-YYYY")</f>
        <v>05-2019</v>
      </c>
    </row>
    <row r="1167" spans="1:15" x14ac:dyDescent="0.3">
      <c r="A1167" s="1">
        <v>37253</v>
      </c>
      <c r="B1167" s="2">
        <v>43709</v>
      </c>
      <c r="C1167" s="1" t="s">
        <v>9</v>
      </c>
      <c r="D1167" s="1">
        <v>46</v>
      </c>
      <c r="E1167" t="s">
        <v>24</v>
      </c>
      <c r="F1167" t="s">
        <v>24</v>
      </c>
      <c r="G1167" s="1">
        <v>1267.22</v>
      </c>
      <c r="H1167">
        <v>0.01</v>
      </c>
      <c r="I1167">
        <f>Sales_Data[[#This Row],[Sales]]*Sales_Data[[#This Row],[Discount]]</f>
        <v>12.6722</v>
      </c>
      <c r="J1167">
        <v>1254.5478000000001</v>
      </c>
      <c r="K1167" s="1">
        <v>6.3</v>
      </c>
      <c r="L1167" s="1">
        <v>1260.92</v>
      </c>
      <c r="M1167" s="1" t="s">
        <v>10</v>
      </c>
      <c r="N1167" s="1">
        <f>IF(Sales_Data[[#This Row],[Sales with Discount]]&lt;Sales_Data[[#This Row],[Sales with Free Shipping]],Sales_Data[[#This Row],[Sales with Discount]],Sales_Data[[#This Row],[Sales with Free Shipping]])</f>
        <v>1254.5478000000001</v>
      </c>
      <c r="O1167" s="1" t="str">
        <f>TEXT(Sales_Data[[#This Row],[Order Date]], "MM-YYYY")</f>
        <v>09-2019</v>
      </c>
    </row>
    <row r="1168" spans="1:15" x14ac:dyDescent="0.3">
      <c r="A1168" s="1">
        <v>21729</v>
      </c>
      <c r="B1168" s="2">
        <v>43805</v>
      </c>
      <c r="C1168" s="1" t="s">
        <v>7</v>
      </c>
      <c r="D1168" s="1">
        <v>28</v>
      </c>
      <c r="E1168" t="s">
        <v>20</v>
      </c>
      <c r="F1168" t="s">
        <v>20</v>
      </c>
      <c r="G1168" s="1">
        <v>129.44999999999999</v>
      </c>
      <c r="H1168">
        <v>0</v>
      </c>
      <c r="I1168">
        <f>Sales_Data[[#This Row],[Sales]]*Sales_Data[[#This Row],[Discount]]</f>
        <v>0</v>
      </c>
      <c r="J1168">
        <v>129.44999999999999</v>
      </c>
      <c r="K1168" s="1">
        <v>5.7</v>
      </c>
      <c r="L1168" s="1">
        <v>129.44999999999999</v>
      </c>
      <c r="M1168" s="1" t="s">
        <v>10</v>
      </c>
      <c r="N1168" s="1">
        <f>IF(Sales_Data[[#This Row],[Sales with Discount]]&lt;Sales_Data[[#This Row],[Sales with Free Shipping]],Sales_Data[[#This Row],[Sales with Discount]],Sales_Data[[#This Row],[Sales with Free Shipping]])</f>
        <v>129.44999999999999</v>
      </c>
      <c r="O1168" s="1" t="str">
        <f>TEXT(Sales_Data[[#This Row],[Order Date]], "MM-YYYY")</f>
        <v>12-2019</v>
      </c>
    </row>
    <row r="1169" spans="1:15" x14ac:dyDescent="0.3">
      <c r="A1169" s="1">
        <v>32966</v>
      </c>
      <c r="B1169" s="2">
        <v>43490</v>
      </c>
      <c r="C1169" s="1" t="s">
        <v>7</v>
      </c>
      <c r="D1169" s="1">
        <v>4</v>
      </c>
      <c r="E1169" t="s">
        <v>16</v>
      </c>
      <c r="F1169" t="s">
        <v>16</v>
      </c>
      <c r="G1169" s="1">
        <v>1107.664</v>
      </c>
      <c r="H1169">
        <v>0</v>
      </c>
      <c r="I1169">
        <f>Sales_Data[[#This Row],[Sales]]*Sales_Data[[#This Row],[Discount]]</f>
        <v>0</v>
      </c>
      <c r="J1169">
        <v>1107.664</v>
      </c>
      <c r="K1169" s="1">
        <v>30</v>
      </c>
      <c r="L1169" s="1">
        <v>1107.664</v>
      </c>
      <c r="M1169" s="1" t="s">
        <v>13</v>
      </c>
      <c r="N1169" s="1">
        <f>IF(Sales_Data[[#This Row],[Sales with Discount]]&lt;Sales_Data[[#This Row],[Sales with Free Shipping]],Sales_Data[[#This Row],[Sales with Discount]],Sales_Data[[#This Row],[Sales with Free Shipping]])</f>
        <v>1107.664</v>
      </c>
      <c r="O1169" s="1" t="str">
        <f>TEXT(Sales_Data[[#This Row],[Order Date]], "MM-YYYY")</f>
        <v>01-2019</v>
      </c>
    </row>
    <row r="1170" spans="1:15" x14ac:dyDescent="0.3">
      <c r="A1170" s="1">
        <v>51424</v>
      </c>
      <c r="B1170" s="2">
        <v>43473</v>
      </c>
      <c r="C1170" s="1" t="s">
        <v>11</v>
      </c>
      <c r="D1170" s="1">
        <v>5</v>
      </c>
      <c r="E1170" t="s">
        <v>16</v>
      </c>
      <c r="F1170" t="s">
        <v>16</v>
      </c>
      <c r="G1170" s="1">
        <v>95.165800000000004</v>
      </c>
      <c r="H1170">
        <v>0</v>
      </c>
      <c r="I1170">
        <f>Sales_Data[[#This Row],[Sales]]*Sales_Data[[#This Row],[Discount]]</f>
        <v>0</v>
      </c>
      <c r="J1170">
        <v>95.165800000000004</v>
      </c>
      <c r="K1170" s="1">
        <v>7.5</v>
      </c>
      <c r="L1170" s="1">
        <v>95.165800000000004</v>
      </c>
      <c r="M1170" s="1" t="s">
        <v>10</v>
      </c>
      <c r="N1170" s="1">
        <f>IF(Sales_Data[[#This Row],[Sales with Discount]]&lt;Sales_Data[[#This Row],[Sales with Free Shipping]],Sales_Data[[#This Row],[Sales with Discount]],Sales_Data[[#This Row],[Sales with Free Shipping]])</f>
        <v>95.165800000000004</v>
      </c>
      <c r="O1170" s="1" t="str">
        <f>TEXT(Sales_Data[[#This Row],[Order Date]], "MM-YYYY")</f>
        <v>01-2019</v>
      </c>
    </row>
    <row r="1171" spans="1:15" x14ac:dyDescent="0.3">
      <c r="A1171" s="1">
        <v>8803</v>
      </c>
      <c r="B1171" s="2">
        <v>43819</v>
      </c>
      <c r="C1171" s="1" t="s">
        <v>11</v>
      </c>
      <c r="D1171" s="1">
        <v>17</v>
      </c>
      <c r="E1171" t="s">
        <v>19</v>
      </c>
      <c r="F1171" t="s">
        <v>19</v>
      </c>
      <c r="G1171" s="1">
        <v>550.21540000000005</v>
      </c>
      <c r="H1171">
        <v>0</v>
      </c>
      <c r="I1171">
        <f>Sales_Data[[#This Row],[Sales]]*Sales_Data[[#This Row],[Discount]]</f>
        <v>0</v>
      </c>
      <c r="J1171">
        <v>550.21540000000005</v>
      </c>
      <c r="K1171" s="1">
        <v>3.2</v>
      </c>
      <c r="L1171" s="1">
        <v>550.21540000000005</v>
      </c>
      <c r="M1171" s="1" t="s">
        <v>10</v>
      </c>
      <c r="N1171" s="1">
        <f>IF(Sales_Data[[#This Row],[Sales with Discount]]&lt;Sales_Data[[#This Row],[Sales with Free Shipping]],Sales_Data[[#This Row],[Sales with Discount]],Sales_Data[[#This Row],[Sales with Free Shipping]])</f>
        <v>550.21540000000005</v>
      </c>
      <c r="O1171" s="1" t="str">
        <f>TEXT(Sales_Data[[#This Row],[Order Date]], "MM-YYYY")</f>
        <v>12-2019</v>
      </c>
    </row>
    <row r="1172" spans="1:15" x14ac:dyDescent="0.3">
      <c r="A1172" s="1">
        <v>43713</v>
      </c>
      <c r="B1172" s="2">
        <v>43715</v>
      </c>
      <c r="C1172" s="1" t="s">
        <v>14</v>
      </c>
      <c r="D1172" s="1">
        <v>12</v>
      </c>
      <c r="E1172" t="s">
        <v>18</v>
      </c>
      <c r="F1172" t="s">
        <v>18</v>
      </c>
      <c r="G1172" s="1">
        <v>36.8187</v>
      </c>
      <c r="H1172">
        <v>0</v>
      </c>
      <c r="I1172">
        <f>Sales_Data[[#This Row],[Sales]]*Sales_Data[[#This Row],[Discount]]</f>
        <v>0</v>
      </c>
      <c r="J1172">
        <v>36.8187</v>
      </c>
      <c r="K1172" s="1">
        <v>2.6</v>
      </c>
      <c r="L1172" s="1">
        <v>36.8187</v>
      </c>
      <c r="M1172" s="1" t="s">
        <v>10</v>
      </c>
      <c r="N1172" s="1">
        <f>IF(Sales_Data[[#This Row],[Sales with Discount]]&lt;Sales_Data[[#This Row],[Sales with Free Shipping]],Sales_Data[[#This Row],[Sales with Discount]],Sales_Data[[#This Row],[Sales with Free Shipping]])</f>
        <v>36.8187</v>
      </c>
      <c r="O1172" s="1" t="str">
        <f>TEXT(Sales_Data[[#This Row],[Order Date]], "MM-YYYY")</f>
        <v>09-2019</v>
      </c>
    </row>
    <row r="1173" spans="1:15" x14ac:dyDescent="0.3">
      <c r="A1173" s="1">
        <v>14851</v>
      </c>
      <c r="B1173" s="2">
        <v>43596</v>
      </c>
      <c r="C1173" s="1" t="s">
        <v>11</v>
      </c>
      <c r="D1173" s="1">
        <v>6</v>
      </c>
      <c r="E1173" t="s">
        <v>17</v>
      </c>
      <c r="F1173" t="s">
        <v>17</v>
      </c>
      <c r="G1173" s="1">
        <v>3614.65</v>
      </c>
      <c r="H1173">
        <v>0</v>
      </c>
      <c r="I1173">
        <f>Sales_Data[[#This Row],[Sales]]*Sales_Data[[#This Row],[Discount]]</f>
        <v>0</v>
      </c>
      <c r="J1173">
        <v>3614.65</v>
      </c>
      <c r="K1173" s="1">
        <v>26.2</v>
      </c>
      <c r="L1173" s="1">
        <v>3614.65</v>
      </c>
      <c r="M1173" s="1" t="s">
        <v>10</v>
      </c>
      <c r="N1173" s="1">
        <f>IF(Sales_Data[[#This Row],[Sales with Discount]]&lt;Sales_Data[[#This Row],[Sales with Free Shipping]],Sales_Data[[#This Row],[Sales with Discount]],Sales_Data[[#This Row],[Sales with Free Shipping]])</f>
        <v>3614.65</v>
      </c>
      <c r="O1173" s="1" t="str">
        <f>TEXT(Sales_Data[[#This Row],[Order Date]], "MM-YYYY")</f>
        <v>05-2019</v>
      </c>
    </row>
    <row r="1174" spans="1:15" x14ac:dyDescent="0.3">
      <c r="A1174" s="1">
        <v>8034</v>
      </c>
      <c r="B1174" s="2">
        <v>43483</v>
      </c>
      <c r="C1174" s="1" t="s">
        <v>9</v>
      </c>
      <c r="D1174" s="1">
        <v>31</v>
      </c>
      <c r="E1174" t="s">
        <v>21</v>
      </c>
      <c r="F1174" t="s">
        <v>21</v>
      </c>
      <c r="G1174" s="1">
        <v>379.26</v>
      </c>
      <c r="H1174">
        <v>0</v>
      </c>
      <c r="I1174">
        <f>Sales_Data[[#This Row],[Sales]]*Sales_Data[[#This Row],[Discount]]</f>
        <v>0</v>
      </c>
      <c r="J1174">
        <v>379.26</v>
      </c>
      <c r="K1174" s="1">
        <v>4.3</v>
      </c>
      <c r="L1174" s="1">
        <v>379.26</v>
      </c>
      <c r="M1174" s="1" t="s">
        <v>10</v>
      </c>
      <c r="N1174" s="1">
        <f>IF(Sales_Data[[#This Row],[Sales with Discount]]&lt;Sales_Data[[#This Row],[Sales with Free Shipping]],Sales_Data[[#This Row],[Sales with Discount]],Sales_Data[[#This Row],[Sales with Free Shipping]])</f>
        <v>379.26</v>
      </c>
      <c r="O1174" s="1" t="str">
        <f>TEXT(Sales_Data[[#This Row],[Order Date]], "MM-YYYY")</f>
        <v>01-2019</v>
      </c>
    </row>
    <row r="1175" spans="1:15" x14ac:dyDescent="0.3">
      <c r="A1175" s="1">
        <v>3521</v>
      </c>
      <c r="B1175" s="2">
        <v>43763</v>
      </c>
      <c r="C1175" s="1" t="s">
        <v>7</v>
      </c>
      <c r="D1175" s="1">
        <v>50</v>
      </c>
      <c r="E1175" t="s">
        <v>24</v>
      </c>
      <c r="F1175" t="s">
        <v>24</v>
      </c>
      <c r="G1175" s="1">
        <v>218.4</v>
      </c>
      <c r="H1175">
        <v>0.01</v>
      </c>
      <c r="I1175">
        <f>Sales_Data[[#This Row],[Sales]]*Sales_Data[[#This Row],[Discount]]</f>
        <v>2.1840000000000002</v>
      </c>
      <c r="J1175">
        <v>216.21600000000001</v>
      </c>
      <c r="K1175" s="1">
        <v>1</v>
      </c>
      <c r="L1175" s="1">
        <v>217.4</v>
      </c>
      <c r="M1175" s="1" t="s">
        <v>10</v>
      </c>
      <c r="N1175" s="1">
        <f>IF(Sales_Data[[#This Row],[Sales with Discount]]&lt;Sales_Data[[#This Row],[Sales with Free Shipping]],Sales_Data[[#This Row],[Sales with Discount]],Sales_Data[[#This Row],[Sales with Free Shipping]])</f>
        <v>216.21600000000001</v>
      </c>
      <c r="O1175" s="1" t="str">
        <f>TEXT(Sales_Data[[#This Row],[Order Date]], "MM-YYYY")</f>
        <v>10-2019</v>
      </c>
    </row>
    <row r="1176" spans="1:15" x14ac:dyDescent="0.3">
      <c r="A1176" s="1">
        <v>40839</v>
      </c>
      <c r="B1176" s="2">
        <v>43555</v>
      </c>
      <c r="C1176" s="1" t="s">
        <v>14</v>
      </c>
      <c r="D1176" s="1">
        <v>23</v>
      </c>
      <c r="E1176" t="s">
        <v>14</v>
      </c>
      <c r="F1176" t="s">
        <v>14</v>
      </c>
      <c r="G1176" s="1">
        <v>2923.25</v>
      </c>
      <c r="H1176">
        <v>0</v>
      </c>
      <c r="I1176">
        <f>Sales_Data[[#This Row],[Sales]]*Sales_Data[[#This Row],[Discount]]</f>
        <v>0</v>
      </c>
      <c r="J1176">
        <v>2923.25</v>
      </c>
      <c r="K1176" s="1">
        <v>60.1</v>
      </c>
      <c r="L1176" s="1">
        <v>2923.25</v>
      </c>
      <c r="M1176" s="1" t="s">
        <v>13</v>
      </c>
      <c r="N1176" s="1">
        <f>IF(Sales_Data[[#This Row],[Sales with Discount]]&lt;Sales_Data[[#This Row],[Sales with Free Shipping]],Sales_Data[[#This Row],[Sales with Discount]],Sales_Data[[#This Row],[Sales with Free Shipping]])</f>
        <v>2923.25</v>
      </c>
      <c r="O1176" s="1" t="str">
        <f>TEXT(Sales_Data[[#This Row],[Order Date]], "MM-YYYY")</f>
        <v>03-2019</v>
      </c>
    </row>
    <row r="1177" spans="1:15" x14ac:dyDescent="0.3">
      <c r="A1177" s="1">
        <v>44071</v>
      </c>
      <c r="B1177" s="2">
        <v>43570</v>
      </c>
      <c r="C1177" s="1" t="s">
        <v>11</v>
      </c>
      <c r="D1177" s="1">
        <v>20</v>
      </c>
      <c r="E1177" t="s">
        <v>19</v>
      </c>
      <c r="F1177" t="s">
        <v>19</v>
      </c>
      <c r="G1177" s="1">
        <v>1244.54</v>
      </c>
      <c r="H1177">
        <v>0</v>
      </c>
      <c r="I1177">
        <f>Sales_Data[[#This Row],[Sales]]*Sales_Data[[#This Row],[Discount]]</f>
        <v>0</v>
      </c>
      <c r="J1177">
        <v>1244.54</v>
      </c>
      <c r="K1177" s="1">
        <v>9.6</v>
      </c>
      <c r="L1177" s="1">
        <v>1244.54</v>
      </c>
      <c r="M1177" s="1" t="s">
        <v>10</v>
      </c>
      <c r="N1177" s="1">
        <f>IF(Sales_Data[[#This Row],[Sales with Discount]]&lt;Sales_Data[[#This Row],[Sales with Free Shipping]],Sales_Data[[#This Row],[Sales with Discount]],Sales_Data[[#This Row],[Sales with Free Shipping]])</f>
        <v>1244.54</v>
      </c>
      <c r="O1177" s="1" t="str">
        <f>TEXT(Sales_Data[[#This Row],[Order Date]], "MM-YYYY")</f>
        <v>04-2019</v>
      </c>
    </row>
    <row r="1178" spans="1:15" x14ac:dyDescent="0.3">
      <c r="A1178" s="1">
        <v>59683</v>
      </c>
      <c r="B1178" s="2">
        <v>43751</v>
      </c>
      <c r="C1178" s="1" t="s">
        <v>11</v>
      </c>
      <c r="D1178" s="1">
        <v>37</v>
      </c>
      <c r="E1178" t="s">
        <v>22</v>
      </c>
      <c r="F1178" t="s">
        <v>22</v>
      </c>
      <c r="G1178" s="1">
        <v>204.7552</v>
      </c>
      <c r="H1178">
        <v>0.01</v>
      </c>
      <c r="I1178">
        <f>Sales_Data[[#This Row],[Sales]]*Sales_Data[[#This Row],[Discount]]</f>
        <v>2.047552</v>
      </c>
      <c r="J1178">
        <v>202.70764800000001</v>
      </c>
      <c r="K1178" s="1">
        <v>5.3</v>
      </c>
      <c r="L1178" s="1">
        <v>199.45519999999999</v>
      </c>
      <c r="M1178" s="1" t="s">
        <v>10</v>
      </c>
      <c r="N1178" s="1">
        <f>IF(Sales_Data[[#This Row],[Sales with Discount]]&lt;Sales_Data[[#This Row],[Sales with Free Shipping]],Sales_Data[[#This Row],[Sales with Discount]],Sales_Data[[#This Row],[Sales with Free Shipping]])</f>
        <v>199.45519999999999</v>
      </c>
      <c r="O1178" s="1" t="str">
        <f>TEXT(Sales_Data[[#This Row],[Order Date]], "MM-YYYY")</f>
        <v>10-2019</v>
      </c>
    </row>
    <row r="1179" spans="1:15" x14ac:dyDescent="0.3">
      <c r="A1179" s="1">
        <v>17698</v>
      </c>
      <c r="B1179" s="2">
        <v>43598</v>
      </c>
      <c r="C1179" s="1" t="s">
        <v>9</v>
      </c>
      <c r="D1179" s="1">
        <v>43</v>
      </c>
      <c r="E1179" t="s">
        <v>23</v>
      </c>
      <c r="F1179" t="s">
        <v>23</v>
      </c>
      <c r="G1179" s="1">
        <v>2015.69</v>
      </c>
      <c r="H1179">
        <v>0.01</v>
      </c>
      <c r="I1179">
        <f>Sales_Data[[#This Row],[Sales]]*Sales_Data[[#This Row],[Discount]]</f>
        <v>20.1569</v>
      </c>
      <c r="J1179">
        <v>1995.5331000000001</v>
      </c>
      <c r="K1179" s="1">
        <v>3.7</v>
      </c>
      <c r="L1179" s="1">
        <v>2011.99</v>
      </c>
      <c r="M1179" s="1" t="s">
        <v>10</v>
      </c>
      <c r="N1179" s="1">
        <f>IF(Sales_Data[[#This Row],[Sales with Discount]]&lt;Sales_Data[[#This Row],[Sales with Free Shipping]],Sales_Data[[#This Row],[Sales with Discount]],Sales_Data[[#This Row],[Sales with Free Shipping]])</f>
        <v>1995.5331000000001</v>
      </c>
      <c r="O1179" s="1" t="str">
        <f>TEXT(Sales_Data[[#This Row],[Order Date]], "MM-YYYY")</f>
        <v>05-2019</v>
      </c>
    </row>
    <row r="1180" spans="1:15" x14ac:dyDescent="0.3">
      <c r="A1180" s="1">
        <v>40901</v>
      </c>
      <c r="B1180" s="2">
        <v>43675</v>
      </c>
      <c r="C1180" s="1" t="s">
        <v>14</v>
      </c>
      <c r="D1180" s="1">
        <v>22</v>
      </c>
      <c r="E1180" t="s">
        <v>14</v>
      </c>
      <c r="F1180" t="s">
        <v>14</v>
      </c>
      <c r="G1180" s="1">
        <v>3317.12</v>
      </c>
      <c r="H1180">
        <v>0</v>
      </c>
      <c r="I1180">
        <f>Sales_Data[[#This Row],[Sales]]*Sales_Data[[#This Row],[Discount]]</f>
        <v>0</v>
      </c>
      <c r="J1180">
        <v>3317.12</v>
      </c>
      <c r="K1180" s="1">
        <v>8.6</v>
      </c>
      <c r="L1180" s="1">
        <v>3317.12</v>
      </c>
      <c r="M1180" s="1" t="s">
        <v>8</v>
      </c>
      <c r="N1180" s="1">
        <f>IF(Sales_Data[[#This Row],[Sales with Discount]]&lt;Sales_Data[[#This Row],[Sales with Free Shipping]],Sales_Data[[#This Row],[Sales with Discount]],Sales_Data[[#This Row],[Sales with Free Shipping]])</f>
        <v>3317.12</v>
      </c>
      <c r="O1180" s="1" t="str">
        <f>TEXT(Sales_Data[[#This Row],[Order Date]], "MM-YYYY")</f>
        <v>07-2019</v>
      </c>
    </row>
    <row r="1181" spans="1:15" x14ac:dyDescent="0.3">
      <c r="A1181" s="1">
        <v>30343</v>
      </c>
      <c r="B1181" s="2">
        <v>43606</v>
      </c>
      <c r="C1181" s="1" t="s">
        <v>12</v>
      </c>
      <c r="D1181" s="1">
        <v>8</v>
      </c>
      <c r="E1181" t="s">
        <v>17</v>
      </c>
      <c r="F1181" t="s">
        <v>17</v>
      </c>
      <c r="G1181" s="1">
        <v>44237.23</v>
      </c>
      <c r="H1181">
        <v>0</v>
      </c>
      <c r="I1181">
        <f>Sales_Data[[#This Row],[Sales]]*Sales_Data[[#This Row],[Discount]]</f>
        <v>0</v>
      </c>
      <c r="J1181">
        <v>44237.23</v>
      </c>
      <c r="K1181" s="1">
        <v>26.2</v>
      </c>
      <c r="L1181" s="1">
        <v>44237.23</v>
      </c>
      <c r="M1181" s="1" t="s">
        <v>10</v>
      </c>
      <c r="N1181" s="1">
        <f>IF(Sales_Data[[#This Row],[Sales with Discount]]&lt;Sales_Data[[#This Row],[Sales with Free Shipping]],Sales_Data[[#This Row],[Sales with Discount]],Sales_Data[[#This Row],[Sales with Free Shipping]])</f>
        <v>44237.23</v>
      </c>
      <c r="O1181" s="1" t="str">
        <f>TEXT(Sales_Data[[#This Row],[Order Date]], "MM-YYYY")</f>
        <v>05-2019</v>
      </c>
    </row>
    <row r="1182" spans="1:15" x14ac:dyDescent="0.3">
      <c r="A1182" s="1">
        <v>30051</v>
      </c>
      <c r="B1182" s="2">
        <v>43544</v>
      </c>
      <c r="C1182" s="1" t="s">
        <v>11</v>
      </c>
      <c r="D1182" s="1">
        <v>42</v>
      </c>
      <c r="E1182" t="s">
        <v>23</v>
      </c>
      <c r="F1182" t="s">
        <v>23</v>
      </c>
      <c r="G1182" s="1">
        <v>260.07</v>
      </c>
      <c r="H1182">
        <v>0.01</v>
      </c>
      <c r="I1182">
        <f>Sales_Data[[#This Row],[Sales]]*Sales_Data[[#This Row],[Discount]]</f>
        <v>2.6006999999999998</v>
      </c>
      <c r="J1182">
        <v>257.46929999999998</v>
      </c>
      <c r="K1182" s="1">
        <v>2.4</v>
      </c>
      <c r="L1182" s="1">
        <v>257.67</v>
      </c>
      <c r="M1182" s="1" t="s">
        <v>10</v>
      </c>
      <c r="N1182" s="1">
        <f>IF(Sales_Data[[#This Row],[Sales with Discount]]&lt;Sales_Data[[#This Row],[Sales with Free Shipping]],Sales_Data[[#This Row],[Sales with Discount]],Sales_Data[[#This Row],[Sales with Free Shipping]])</f>
        <v>257.46929999999998</v>
      </c>
      <c r="O1182" s="1" t="str">
        <f>TEXT(Sales_Data[[#This Row],[Order Date]], "MM-YYYY")</f>
        <v>03-2019</v>
      </c>
    </row>
    <row r="1183" spans="1:15" x14ac:dyDescent="0.3">
      <c r="A1183" s="1">
        <v>27392</v>
      </c>
      <c r="B1183" s="2">
        <v>43526</v>
      </c>
      <c r="C1183" s="1" t="s">
        <v>7</v>
      </c>
      <c r="D1183" s="1">
        <v>37</v>
      </c>
      <c r="E1183" t="s">
        <v>22</v>
      </c>
      <c r="F1183" t="s">
        <v>22</v>
      </c>
      <c r="G1183" s="1">
        <v>6156.62</v>
      </c>
      <c r="H1183">
        <v>0.01</v>
      </c>
      <c r="I1183">
        <f>Sales_Data[[#This Row],[Sales]]*Sales_Data[[#This Row],[Discount]]</f>
        <v>61.566200000000002</v>
      </c>
      <c r="J1183">
        <v>6095.0537999999997</v>
      </c>
      <c r="K1183" s="1">
        <v>15</v>
      </c>
      <c r="L1183" s="1">
        <v>6141.62</v>
      </c>
      <c r="M1183" s="1" t="s">
        <v>10</v>
      </c>
      <c r="N1183" s="1">
        <f>IF(Sales_Data[[#This Row],[Sales with Discount]]&lt;Sales_Data[[#This Row],[Sales with Free Shipping]],Sales_Data[[#This Row],[Sales with Discount]],Sales_Data[[#This Row],[Sales with Free Shipping]])</f>
        <v>6095.0537999999997</v>
      </c>
      <c r="O1183" s="1" t="str">
        <f>TEXT(Sales_Data[[#This Row],[Order Date]], "MM-YYYY")</f>
        <v>03-2019</v>
      </c>
    </row>
    <row r="1184" spans="1:15" x14ac:dyDescent="0.3">
      <c r="A1184" s="1">
        <v>4581</v>
      </c>
      <c r="B1184" s="2">
        <v>43711</v>
      </c>
      <c r="C1184" s="1" t="s">
        <v>11</v>
      </c>
      <c r="D1184" s="1">
        <v>25</v>
      </c>
      <c r="E1184" t="s">
        <v>14</v>
      </c>
      <c r="F1184" t="s">
        <v>14</v>
      </c>
      <c r="G1184" s="1">
        <v>2488.1994</v>
      </c>
      <c r="H1184">
        <v>0</v>
      </c>
      <c r="I1184">
        <f>Sales_Data[[#This Row],[Sales]]*Sales_Data[[#This Row],[Discount]]</f>
        <v>0</v>
      </c>
      <c r="J1184">
        <v>2488.1994</v>
      </c>
      <c r="K1184" s="1">
        <v>21.4</v>
      </c>
      <c r="L1184" s="1">
        <v>2488.1994</v>
      </c>
      <c r="M1184" s="1" t="s">
        <v>10</v>
      </c>
      <c r="N1184" s="1">
        <f>IF(Sales_Data[[#This Row],[Sales with Discount]]&lt;Sales_Data[[#This Row],[Sales with Free Shipping]],Sales_Data[[#This Row],[Sales with Discount]],Sales_Data[[#This Row],[Sales with Free Shipping]])</f>
        <v>2488.1994</v>
      </c>
      <c r="O1184" s="1" t="str">
        <f>TEXT(Sales_Data[[#This Row],[Order Date]], "MM-YYYY")</f>
        <v>09-2019</v>
      </c>
    </row>
    <row r="1185" spans="1:15" x14ac:dyDescent="0.3">
      <c r="A1185" s="1">
        <v>55618</v>
      </c>
      <c r="B1185" s="2">
        <v>43485</v>
      </c>
      <c r="C1185" s="1" t="s">
        <v>14</v>
      </c>
      <c r="D1185" s="1">
        <v>48</v>
      </c>
      <c r="E1185" t="s">
        <v>24</v>
      </c>
      <c r="F1185" t="s">
        <v>24</v>
      </c>
      <c r="G1185" s="1">
        <v>1598.83</v>
      </c>
      <c r="H1185">
        <v>0.01</v>
      </c>
      <c r="I1185">
        <f>Sales_Data[[#This Row],[Sales]]*Sales_Data[[#This Row],[Discount]]</f>
        <v>15.988299999999999</v>
      </c>
      <c r="J1185">
        <v>1582.8416999999999</v>
      </c>
      <c r="K1185" s="1">
        <v>1.3</v>
      </c>
      <c r="L1185" s="1">
        <v>1597.53</v>
      </c>
      <c r="M1185" s="1" t="s">
        <v>10</v>
      </c>
      <c r="N1185" s="1">
        <f>IF(Sales_Data[[#This Row],[Sales with Discount]]&lt;Sales_Data[[#This Row],[Sales with Free Shipping]],Sales_Data[[#This Row],[Sales with Discount]],Sales_Data[[#This Row],[Sales with Free Shipping]])</f>
        <v>1582.8416999999999</v>
      </c>
      <c r="O1185" s="1" t="str">
        <f>TEXT(Sales_Data[[#This Row],[Order Date]], "MM-YYYY")</f>
        <v>01-2019</v>
      </c>
    </row>
    <row r="1186" spans="1:15" x14ac:dyDescent="0.3">
      <c r="A1186" s="1">
        <v>18464</v>
      </c>
      <c r="B1186" s="2">
        <v>43552</v>
      </c>
      <c r="C1186" s="1" t="s">
        <v>9</v>
      </c>
      <c r="D1186" s="1">
        <v>31</v>
      </c>
      <c r="E1186" t="s">
        <v>21</v>
      </c>
      <c r="F1186" t="s">
        <v>21</v>
      </c>
      <c r="G1186" s="1">
        <v>220.94</v>
      </c>
      <c r="H1186">
        <v>0</v>
      </c>
      <c r="I1186">
        <f>Sales_Data[[#This Row],[Sales]]*Sales_Data[[#This Row],[Discount]]</f>
        <v>0</v>
      </c>
      <c r="J1186">
        <v>220.94</v>
      </c>
      <c r="K1186" s="1">
        <v>1.4</v>
      </c>
      <c r="L1186" s="1">
        <v>220.94</v>
      </c>
      <c r="M1186" s="1" t="s">
        <v>10</v>
      </c>
      <c r="N1186" s="1">
        <f>IF(Sales_Data[[#This Row],[Sales with Discount]]&lt;Sales_Data[[#This Row],[Sales with Free Shipping]],Sales_Data[[#This Row],[Sales with Discount]],Sales_Data[[#This Row],[Sales with Free Shipping]])</f>
        <v>220.94</v>
      </c>
      <c r="O1186" s="1" t="str">
        <f>TEXT(Sales_Data[[#This Row],[Order Date]], "MM-YYYY")</f>
        <v>03-2019</v>
      </c>
    </row>
    <row r="1187" spans="1:15" x14ac:dyDescent="0.3">
      <c r="A1187" s="1">
        <v>3202</v>
      </c>
      <c r="B1187" s="2">
        <v>43822</v>
      </c>
      <c r="C1187" s="1" t="s">
        <v>7</v>
      </c>
      <c r="D1187" s="1">
        <v>10</v>
      </c>
      <c r="E1187" t="s">
        <v>17</v>
      </c>
      <c r="F1187" t="s">
        <v>17</v>
      </c>
      <c r="G1187" s="1">
        <v>593</v>
      </c>
      <c r="H1187">
        <v>0</v>
      </c>
      <c r="I1187">
        <f>Sales_Data[[#This Row],[Sales]]*Sales_Data[[#This Row],[Discount]]</f>
        <v>0</v>
      </c>
      <c r="J1187">
        <v>593</v>
      </c>
      <c r="K1187" s="1">
        <v>5.9</v>
      </c>
      <c r="L1187" s="1">
        <v>593</v>
      </c>
      <c r="M1187" s="1" t="s">
        <v>10</v>
      </c>
      <c r="N1187" s="1">
        <f>IF(Sales_Data[[#This Row],[Sales with Discount]]&lt;Sales_Data[[#This Row],[Sales with Free Shipping]],Sales_Data[[#This Row],[Sales with Discount]],Sales_Data[[#This Row],[Sales with Free Shipping]])</f>
        <v>593</v>
      </c>
      <c r="O1187" s="1" t="str">
        <f>TEXT(Sales_Data[[#This Row],[Order Date]], "MM-YYYY")</f>
        <v>12-2019</v>
      </c>
    </row>
    <row r="1188" spans="1:15" x14ac:dyDescent="0.3">
      <c r="A1188" s="1">
        <v>30597</v>
      </c>
      <c r="B1188" s="2">
        <v>43682</v>
      </c>
      <c r="C1188" s="1" t="s">
        <v>9</v>
      </c>
      <c r="D1188" s="1">
        <v>42</v>
      </c>
      <c r="E1188" t="s">
        <v>23</v>
      </c>
      <c r="F1188" t="s">
        <v>23</v>
      </c>
      <c r="G1188" s="1">
        <v>684.62879999999996</v>
      </c>
      <c r="H1188">
        <v>0.01</v>
      </c>
      <c r="I1188">
        <f>Sales_Data[[#This Row],[Sales]]*Sales_Data[[#This Row],[Discount]]</f>
        <v>6.8462879999999995</v>
      </c>
      <c r="J1188">
        <v>677.782512</v>
      </c>
      <c r="K1188" s="1">
        <v>4.8</v>
      </c>
      <c r="L1188" s="1">
        <v>679.8288</v>
      </c>
      <c r="M1188" s="1" t="s">
        <v>10</v>
      </c>
      <c r="N1188" s="1">
        <f>IF(Sales_Data[[#This Row],[Sales with Discount]]&lt;Sales_Data[[#This Row],[Sales with Free Shipping]],Sales_Data[[#This Row],[Sales with Discount]],Sales_Data[[#This Row],[Sales with Free Shipping]])</f>
        <v>677.782512</v>
      </c>
      <c r="O1188" s="1" t="str">
        <f>TEXT(Sales_Data[[#This Row],[Order Date]], "MM-YYYY")</f>
        <v>08-2019</v>
      </c>
    </row>
    <row r="1189" spans="1:15" x14ac:dyDescent="0.3">
      <c r="A1189" s="1">
        <v>44486</v>
      </c>
      <c r="B1189" s="2">
        <v>43655</v>
      </c>
      <c r="C1189" s="1" t="s">
        <v>12</v>
      </c>
      <c r="D1189" s="1">
        <v>36</v>
      </c>
      <c r="E1189" t="s">
        <v>22</v>
      </c>
      <c r="F1189" t="s">
        <v>22</v>
      </c>
      <c r="G1189" s="1">
        <v>211.97</v>
      </c>
      <c r="H1189">
        <v>0.01</v>
      </c>
      <c r="I1189">
        <f>Sales_Data[[#This Row],[Sales]]*Sales_Data[[#This Row],[Discount]]</f>
        <v>2.1196999999999999</v>
      </c>
      <c r="J1189">
        <v>209.8503</v>
      </c>
      <c r="K1189" s="1">
        <v>5.3</v>
      </c>
      <c r="L1189" s="1">
        <v>206.67</v>
      </c>
      <c r="M1189" s="1" t="s">
        <v>10</v>
      </c>
      <c r="N1189" s="1">
        <f>IF(Sales_Data[[#This Row],[Sales with Discount]]&lt;Sales_Data[[#This Row],[Sales with Free Shipping]],Sales_Data[[#This Row],[Sales with Discount]],Sales_Data[[#This Row],[Sales with Free Shipping]])</f>
        <v>206.67</v>
      </c>
      <c r="O1189" s="1" t="str">
        <f>TEXT(Sales_Data[[#This Row],[Order Date]], "MM-YYYY")</f>
        <v>07-2019</v>
      </c>
    </row>
    <row r="1190" spans="1:15" x14ac:dyDescent="0.3">
      <c r="A1190" s="1">
        <v>53477</v>
      </c>
      <c r="B1190" s="2">
        <v>43590</v>
      </c>
      <c r="C1190" s="1" t="s">
        <v>9</v>
      </c>
      <c r="D1190" s="1">
        <v>28</v>
      </c>
      <c r="E1190" t="s">
        <v>20</v>
      </c>
      <c r="F1190" t="s">
        <v>20</v>
      </c>
      <c r="G1190" s="1">
        <v>4792.7012000000004</v>
      </c>
      <c r="H1190">
        <v>0</v>
      </c>
      <c r="I1190">
        <f>Sales_Data[[#This Row],[Sales]]*Sales_Data[[#This Row],[Discount]]</f>
        <v>0</v>
      </c>
      <c r="J1190">
        <v>4792.7012000000004</v>
      </c>
      <c r="K1190" s="1">
        <v>21.4</v>
      </c>
      <c r="L1190" s="1">
        <v>4792.7012000000004</v>
      </c>
      <c r="M1190" s="1" t="s">
        <v>10</v>
      </c>
      <c r="N1190" s="1">
        <f>IF(Sales_Data[[#This Row],[Sales with Discount]]&lt;Sales_Data[[#This Row],[Sales with Free Shipping]],Sales_Data[[#This Row],[Sales with Discount]],Sales_Data[[#This Row],[Sales with Free Shipping]])</f>
        <v>4792.7012000000004</v>
      </c>
      <c r="O1190" s="1" t="str">
        <f>TEXT(Sales_Data[[#This Row],[Order Date]], "MM-YYYY")</f>
        <v>05-2019</v>
      </c>
    </row>
    <row r="1191" spans="1:15" x14ac:dyDescent="0.3">
      <c r="A1191" s="1">
        <v>49351</v>
      </c>
      <c r="B1191" s="2">
        <v>43554</v>
      </c>
      <c r="C1191" s="1" t="s">
        <v>7</v>
      </c>
      <c r="D1191" s="1">
        <v>27</v>
      </c>
      <c r="E1191" t="s">
        <v>20</v>
      </c>
      <c r="F1191" t="s">
        <v>20</v>
      </c>
      <c r="G1191" s="1">
        <v>117.61</v>
      </c>
      <c r="H1191">
        <v>0</v>
      </c>
      <c r="I1191">
        <f>Sales_Data[[#This Row],[Sales]]*Sales_Data[[#This Row],[Discount]]</f>
        <v>0</v>
      </c>
      <c r="J1191">
        <v>117.61</v>
      </c>
      <c r="K1191" s="1">
        <v>0.9</v>
      </c>
      <c r="L1191" s="1">
        <v>117.61</v>
      </c>
      <c r="M1191" s="1" t="s">
        <v>10</v>
      </c>
      <c r="N1191" s="1">
        <f>IF(Sales_Data[[#This Row],[Sales with Discount]]&lt;Sales_Data[[#This Row],[Sales with Free Shipping]],Sales_Data[[#This Row],[Sales with Discount]],Sales_Data[[#This Row],[Sales with Free Shipping]])</f>
        <v>117.61</v>
      </c>
      <c r="O1191" s="1" t="str">
        <f>TEXT(Sales_Data[[#This Row],[Order Date]], "MM-YYYY")</f>
        <v>03-2019</v>
      </c>
    </row>
    <row r="1192" spans="1:15" x14ac:dyDescent="0.3">
      <c r="A1192" s="1">
        <v>34406</v>
      </c>
      <c r="B1192" s="2">
        <v>43736</v>
      </c>
      <c r="C1192" s="1" t="s">
        <v>14</v>
      </c>
      <c r="D1192" s="1">
        <v>29</v>
      </c>
      <c r="E1192" t="s">
        <v>20</v>
      </c>
      <c r="F1192" t="s">
        <v>20</v>
      </c>
      <c r="G1192" s="1">
        <v>152.57</v>
      </c>
      <c r="H1192">
        <v>0</v>
      </c>
      <c r="I1192">
        <f>Sales_Data[[#This Row],[Sales]]*Sales_Data[[#This Row],[Discount]]</f>
        <v>0</v>
      </c>
      <c r="J1192">
        <v>152.57</v>
      </c>
      <c r="K1192" s="1">
        <v>0.7</v>
      </c>
      <c r="L1192" s="1">
        <v>152.57</v>
      </c>
      <c r="M1192" s="1" t="s">
        <v>10</v>
      </c>
      <c r="N1192" s="1">
        <f>IF(Sales_Data[[#This Row],[Sales with Discount]]&lt;Sales_Data[[#This Row],[Sales with Free Shipping]],Sales_Data[[#This Row],[Sales with Discount]],Sales_Data[[#This Row],[Sales with Free Shipping]])</f>
        <v>152.57</v>
      </c>
      <c r="O1192" s="1" t="str">
        <f>TEXT(Sales_Data[[#This Row],[Order Date]], "MM-YYYY")</f>
        <v>09-2019</v>
      </c>
    </row>
    <row r="1193" spans="1:15" x14ac:dyDescent="0.3">
      <c r="A1193" s="1">
        <v>54339</v>
      </c>
      <c r="B1193" s="2">
        <v>43587</v>
      </c>
      <c r="C1193" s="1" t="s">
        <v>7</v>
      </c>
      <c r="D1193" s="1">
        <v>48</v>
      </c>
      <c r="E1193" t="s">
        <v>24</v>
      </c>
      <c r="F1193" t="s">
        <v>24</v>
      </c>
      <c r="G1193" s="1">
        <v>3216.14</v>
      </c>
      <c r="H1193">
        <v>0.01</v>
      </c>
      <c r="I1193">
        <f>Sales_Data[[#This Row],[Sales]]*Sales_Data[[#This Row],[Discount]]</f>
        <v>32.1614</v>
      </c>
      <c r="J1193">
        <v>3183.9785999999999</v>
      </c>
      <c r="K1193" s="1">
        <v>4.3</v>
      </c>
      <c r="L1193" s="1">
        <v>3211.8399999999997</v>
      </c>
      <c r="M1193" s="1" t="s">
        <v>8</v>
      </c>
      <c r="N1193" s="1">
        <f>IF(Sales_Data[[#This Row],[Sales with Discount]]&lt;Sales_Data[[#This Row],[Sales with Free Shipping]],Sales_Data[[#This Row],[Sales with Discount]],Sales_Data[[#This Row],[Sales with Free Shipping]])</f>
        <v>3183.9785999999999</v>
      </c>
      <c r="O1193" s="1" t="str">
        <f>TEXT(Sales_Data[[#This Row],[Order Date]], "MM-YYYY")</f>
        <v>05-2019</v>
      </c>
    </row>
    <row r="1194" spans="1:15" x14ac:dyDescent="0.3">
      <c r="A1194" s="1">
        <v>43874</v>
      </c>
      <c r="B1194" s="2">
        <v>43626</v>
      </c>
      <c r="C1194" s="1" t="s">
        <v>9</v>
      </c>
      <c r="D1194" s="1">
        <v>46</v>
      </c>
      <c r="E1194" t="s">
        <v>24</v>
      </c>
      <c r="F1194" t="s">
        <v>24</v>
      </c>
      <c r="G1194" s="1">
        <v>164.01</v>
      </c>
      <c r="H1194">
        <v>0.01</v>
      </c>
      <c r="I1194">
        <f>Sales_Data[[#This Row],[Sales]]*Sales_Data[[#This Row],[Discount]]</f>
        <v>1.6400999999999999</v>
      </c>
      <c r="J1194">
        <v>162.3699</v>
      </c>
      <c r="K1194" s="1">
        <v>5.4</v>
      </c>
      <c r="L1194" s="1">
        <v>158.60999999999999</v>
      </c>
      <c r="M1194" s="1" t="s">
        <v>10</v>
      </c>
      <c r="N1194" s="1">
        <f>IF(Sales_Data[[#This Row],[Sales with Discount]]&lt;Sales_Data[[#This Row],[Sales with Free Shipping]],Sales_Data[[#This Row],[Sales with Discount]],Sales_Data[[#This Row],[Sales with Free Shipping]])</f>
        <v>158.60999999999999</v>
      </c>
      <c r="O1194" s="1" t="str">
        <f>TEXT(Sales_Data[[#This Row],[Order Date]], "MM-YYYY")</f>
        <v>06-2019</v>
      </c>
    </row>
    <row r="1195" spans="1:15" x14ac:dyDescent="0.3">
      <c r="A1195" s="1">
        <v>57280</v>
      </c>
      <c r="B1195" s="2">
        <v>43495</v>
      </c>
      <c r="C1195" s="1" t="s">
        <v>14</v>
      </c>
      <c r="D1195" s="1">
        <v>44</v>
      </c>
      <c r="E1195" t="s">
        <v>23</v>
      </c>
      <c r="F1195" t="s">
        <v>23</v>
      </c>
      <c r="G1195" s="1">
        <v>320.83999999999997</v>
      </c>
      <c r="H1195">
        <v>0.01</v>
      </c>
      <c r="I1195">
        <f>Sales_Data[[#This Row],[Sales]]*Sales_Data[[#This Row],[Discount]]</f>
        <v>3.2083999999999997</v>
      </c>
      <c r="J1195">
        <v>317.63159999999999</v>
      </c>
      <c r="K1195" s="1">
        <v>10.8</v>
      </c>
      <c r="L1195" s="1">
        <v>310.03999999999996</v>
      </c>
      <c r="M1195" s="1" t="s">
        <v>8</v>
      </c>
      <c r="N1195" s="1">
        <f>IF(Sales_Data[[#This Row],[Sales with Discount]]&lt;Sales_Data[[#This Row],[Sales with Free Shipping]],Sales_Data[[#This Row],[Sales with Discount]],Sales_Data[[#This Row],[Sales with Free Shipping]])</f>
        <v>310.03999999999996</v>
      </c>
      <c r="O1195" s="1" t="str">
        <f>TEXT(Sales_Data[[#This Row],[Order Date]], "MM-YYYY")</f>
        <v>01-2019</v>
      </c>
    </row>
    <row r="1196" spans="1:15" x14ac:dyDescent="0.3">
      <c r="A1196" s="1">
        <v>17091</v>
      </c>
      <c r="B1196" s="2">
        <v>43667</v>
      </c>
      <c r="C1196" s="1" t="s">
        <v>14</v>
      </c>
      <c r="D1196" s="1">
        <v>45</v>
      </c>
      <c r="E1196" t="s">
        <v>23</v>
      </c>
      <c r="F1196" t="s">
        <v>23</v>
      </c>
      <c r="G1196" s="1">
        <v>2786.6170999999999</v>
      </c>
      <c r="H1196">
        <v>0.01</v>
      </c>
      <c r="I1196">
        <f>Sales_Data[[#This Row],[Sales]]*Sales_Data[[#This Row],[Discount]]</f>
        <v>27.866171000000001</v>
      </c>
      <c r="J1196">
        <v>2758.7509289999998</v>
      </c>
      <c r="K1196" s="1">
        <v>5.6</v>
      </c>
      <c r="L1196" s="1">
        <v>2781.0171</v>
      </c>
      <c r="M1196" s="1" t="s">
        <v>10</v>
      </c>
      <c r="N1196" s="1">
        <f>IF(Sales_Data[[#This Row],[Sales with Discount]]&lt;Sales_Data[[#This Row],[Sales with Free Shipping]],Sales_Data[[#This Row],[Sales with Discount]],Sales_Data[[#This Row],[Sales with Free Shipping]])</f>
        <v>2758.7509289999998</v>
      </c>
      <c r="O1196" s="1" t="str">
        <f>TEXT(Sales_Data[[#This Row],[Order Date]], "MM-YYYY")</f>
        <v>07-2019</v>
      </c>
    </row>
    <row r="1197" spans="1:15" x14ac:dyDescent="0.3">
      <c r="A1197" s="1">
        <v>13507</v>
      </c>
      <c r="B1197" s="2">
        <v>43828</v>
      </c>
      <c r="C1197" s="1" t="s">
        <v>14</v>
      </c>
      <c r="D1197" s="1">
        <v>27</v>
      </c>
      <c r="E1197" t="s">
        <v>20</v>
      </c>
      <c r="F1197" t="s">
        <v>20</v>
      </c>
      <c r="G1197" s="1">
        <v>188.43</v>
      </c>
      <c r="H1197">
        <v>0</v>
      </c>
      <c r="I1197">
        <f>Sales_Data[[#This Row],[Sales]]*Sales_Data[[#This Row],[Discount]]</f>
        <v>0</v>
      </c>
      <c r="J1197">
        <v>188.43</v>
      </c>
      <c r="K1197" s="1">
        <v>6.6</v>
      </c>
      <c r="L1197" s="1">
        <v>188.43</v>
      </c>
      <c r="M1197" s="1" t="s">
        <v>10</v>
      </c>
      <c r="N1197" s="1">
        <f>IF(Sales_Data[[#This Row],[Sales with Discount]]&lt;Sales_Data[[#This Row],[Sales with Free Shipping]],Sales_Data[[#This Row],[Sales with Discount]],Sales_Data[[#This Row],[Sales with Free Shipping]])</f>
        <v>188.43</v>
      </c>
      <c r="O1197" s="1" t="str">
        <f>TEXT(Sales_Data[[#This Row],[Order Date]], "MM-YYYY")</f>
        <v>12-2019</v>
      </c>
    </row>
    <row r="1198" spans="1:15" x14ac:dyDescent="0.3">
      <c r="A1198" s="1">
        <v>53378</v>
      </c>
      <c r="B1198" s="2">
        <v>43659</v>
      </c>
      <c r="C1198" s="1" t="s">
        <v>14</v>
      </c>
      <c r="D1198" s="1">
        <v>38</v>
      </c>
      <c r="E1198" t="s">
        <v>22</v>
      </c>
      <c r="F1198" t="s">
        <v>22</v>
      </c>
      <c r="G1198" s="1">
        <v>1320.12</v>
      </c>
      <c r="H1198">
        <v>0.01</v>
      </c>
      <c r="I1198">
        <f>Sales_Data[[#This Row],[Sales]]*Sales_Data[[#This Row],[Discount]]</f>
        <v>13.2012</v>
      </c>
      <c r="J1198">
        <v>1306.9187999999999</v>
      </c>
      <c r="K1198" s="1">
        <v>21.4</v>
      </c>
      <c r="L1198" s="1">
        <v>1298.7199999999998</v>
      </c>
      <c r="M1198" s="1" t="s">
        <v>10</v>
      </c>
      <c r="N1198" s="1">
        <f>IF(Sales_Data[[#This Row],[Sales with Discount]]&lt;Sales_Data[[#This Row],[Sales with Free Shipping]],Sales_Data[[#This Row],[Sales with Discount]],Sales_Data[[#This Row],[Sales with Free Shipping]])</f>
        <v>1298.7199999999998</v>
      </c>
      <c r="O1198" s="1" t="str">
        <f>TEXT(Sales_Data[[#This Row],[Order Date]], "MM-YYYY")</f>
        <v>07-2019</v>
      </c>
    </row>
    <row r="1199" spans="1:15" x14ac:dyDescent="0.3">
      <c r="A1199" s="1">
        <v>59969</v>
      </c>
      <c r="B1199" s="2">
        <v>43475</v>
      </c>
      <c r="C1199" s="1" t="s">
        <v>9</v>
      </c>
      <c r="D1199" s="1">
        <v>42</v>
      </c>
      <c r="E1199" t="s">
        <v>23</v>
      </c>
      <c r="F1199" t="s">
        <v>23</v>
      </c>
      <c r="G1199" s="1">
        <v>468.37</v>
      </c>
      <c r="H1199">
        <v>0.01</v>
      </c>
      <c r="I1199">
        <f>Sales_Data[[#This Row],[Sales]]*Sales_Data[[#This Row],[Discount]]</f>
        <v>4.6837</v>
      </c>
      <c r="J1199">
        <v>463.68630000000002</v>
      </c>
      <c r="K1199" s="1">
        <v>1.5</v>
      </c>
      <c r="L1199" s="1">
        <v>466.87</v>
      </c>
      <c r="M1199" s="1" t="s">
        <v>10</v>
      </c>
      <c r="N1199" s="1">
        <f>IF(Sales_Data[[#This Row],[Sales with Discount]]&lt;Sales_Data[[#This Row],[Sales with Free Shipping]],Sales_Data[[#This Row],[Sales with Discount]],Sales_Data[[#This Row],[Sales with Free Shipping]])</f>
        <v>463.68630000000002</v>
      </c>
      <c r="O1199" s="1" t="str">
        <f>TEXT(Sales_Data[[#This Row],[Order Date]], "MM-YYYY")</f>
        <v>01-2019</v>
      </c>
    </row>
    <row r="1200" spans="1:15" x14ac:dyDescent="0.3">
      <c r="A1200" s="1">
        <v>28387</v>
      </c>
      <c r="B1200" s="2">
        <v>43645</v>
      </c>
      <c r="C1200" s="1" t="s">
        <v>11</v>
      </c>
      <c r="D1200" s="1">
        <v>13</v>
      </c>
      <c r="E1200" t="s">
        <v>18</v>
      </c>
      <c r="F1200" t="s">
        <v>18</v>
      </c>
      <c r="G1200" s="1">
        <v>313.45999999999998</v>
      </c>
      <c r="H1200">
        <v>0</v>
      </c>
      <c r="I1200">
        <f>Sales_Data[[#This Row],[Sales]]*Sales_Data[[#This Row],[Discount]]</f>
        <v>0</v>
      </c>
      <c r="J1200">
        <v>313.45999999999998</v>
      </c>
      <c r="K1200" s="1">
        <v>5.9</v>
      </c>
      <c r="L1200" s="1">
        <v>313.45999999999998</v>
      </c>
      <c r="M1200" s="1" t="s">
        <v>10</v>
      </c>
      <c r="N1200" s="1">
        <f>IF(Sales_Data[[#This Row],[Sales with Discount]]&lt;Sales_Data[[#This Row],[Sales with Free Shipping]],Sales_Data[[#This Row],[Sales with Discount]],Sales_Data[[#This Row],[Sales with Free Shipping]])</f>
        <v>313.45999999999998</v>
      </c>
      <c r="O1200" s="1" t="str">
        <f>TEXT(Sales_Data[[#This Row],[Order Date]], "MM-YYYY")</f>
        <v>06-2019</v>
      </c>
    </row>
    <row r="1201" spans="1:15" x14ac:dyDescent="0.3">
      <c r="A1201" s="1">
        <v>549</v>
      </c>
      <c r="B1201" s="2">
        <v>43658</v>
      </c>
      <c r="C1201" s="1" t="s">
        <v>12</v>
      </c>
      <c r="D1201" s="1">
        <v>5</v>
      </c>
      <c r="E1201" t="s">
        <v>16</v>
      </c>
      <c r="F1201" t="s">
        <v>16</v>
      </c>
      <c r="G1201" s="1">
        <v>43.6</v>
      </c>
      <c r="H1201">
        <v>0</v>
      </c>
      <c r="I1201">
        <f>Sales_Data[[#This Row],[Sales]]*Sales_Data[[#This Row],[Discount]]</f>
        <v>0</v>
      </c>
      <c r="J1201">
        <v>43.6</v>
      </c>
      <c r="K1201" s="1">
        <v>9.4</v>
      </c>
      <c r="L1201" s="1">
        <v>43.6</v>
      </c>
      <c r="M1201" s="1" t="s">
        <v>10</v>
      </c>
      <c r="N1201" s="1">
        <f>IF(Sales_Data[[#This Row],[Sales with Discount]]&lt;Sales_Data[[#This Row],[Sales with Free Shipping]],Sales_Data[[#This Row],[Sales with Discount]],Sales_Data[[#This Row],[Sales with Free Shipping]])</f>
        <v>43.6</v>
      </c>
      <c r="O1201" s="1" t="str">
        <f>TEXT(Sales_Data[[#This Row],[Order Date]], "MM-YYYY")</f>
        <v>07-2019</v>
      </c>
    </row>
    <row r="1202" spans="1:15" x14ac:dyDescent="0.3">
      <c r="A1202" s="1">
        <v>32902</v>
      </c>
      <c r="B1202" s="2">
        <v>43527</v>
      </c>
      <c r="C1202" s="1" t="s">
        <v>9</v>
      </c>
      <c r="D1202" s="1">
        <v>34</v>
      </c>
      <c r="E1202" t="s">
        <v>21</v>
      </c>
      <c r="F1202" t="s">
        <v>21</v>
      </c>
      <c r="G1202" s="1">
        <v>155.66</v>
      </c>
      <c r="H1202">
        <v>0</v>
      </c>
      <c r="I1202">
        <f>Sales_Data[[#This Row],[Sales]]*Sales_Data[[#This Row],[Discount]]</f>
        <v>0</v>
      </c>
      <c r="J1202">
        <v>155.66</v>
      </c>
      <c r="K1202" s="1">
        <v>1.3</v>
      </c>
      <c r="L1202" s="1">
        <v>155.66</v>
      </c>
      <c r="M1202" s="1" t="s">
        <v>8</v>
      </c>
      <c r="N1202" s="1">
        <f>IF(Sales_Data[[#This Row],[Sales with Discount]]&lt;Sales_Data[[#This Row],[Sales with Free Shipping]],Sales_Data[[#This Row],[Sales with Discount]],Sales_Data[[#This Row],[Sales with Free Shipping]])</f>
        <v>155.66</v>
      </c>
      <c r="O1202" s="1" t="str">
        <f>TEXT(Sales_Data[[#This Row],[Order Date]], "MM-YYYY")</f>
        <v>03-2019</v>
      </c>
    </row>
    <row r="1203" spans="1:15" x14ac:dyDescent="0.3">
      <c r="A1203" s="1">
        <v>51940</v>
      </c>
      <c r="B1203" s="2">
        <v>43755</v>
      </c>
      <c r="C1203" s="1" t="s">
        <v>9</v>
      </c>
      <c r="D1203" s="1">
        <v>11</v>
      </c>
      <c r="E1203" t="s">
        <v>18</v>
      </c>
      <c r="F1203" t="s">
        <v>18</v>
      </c>
      <c r="G1203" s="1">
        <v>70.09</v>
      </c>
      <c r="H1203">
        <v>0</v>
      </c>
      <c r="I1203">
        <f>Sales_Data[[#This Row],[Sales]]*Sales_Data[[#This Row],[Discount]]</f>
        <v>0</v>
      </c>
      <c r="J1203">
        <v>70.09</v>
      </c>
      <c r="K1203" s="1">
        <v>4.7</v>
      </c>
      <c r="L1203" s="1">
        <v>70.09</v>
      </c>
      <c r="M1203" s="1" t="s">
        <v>10</v>
      </c>
      <c r="N1203" s="1">
        <f>IF(Sales_Data[[#This Row],[Sales with Discount]]&lt;Sales_Data[[#This Row],[Sales with Free Shipping]],Sales_Data[[#This Row],[Sales with Discount]],Sales_Data[[#This Row],[Sales with Free Shipping]])</f>
        <v>70.09</v>
      </c>
      <c r="O1203" s="1" t="str">
        <f>TEXT(Sales_Data[[#This Row],[Order Date]], "MM-YYYY")</f>
        <v>10-2019</v>
      </c>
    </row>
    <row r="1204" spans="1:15" x14ac:dyDescent="0.3">
      <c r="A1204" s="1">
        <v>31874</v>
      </c>
      <c r="B1204" s="2">
        <v>43723</v>
      </c>
      <c r="C1204" s="1" t="s">
        <v>9</v>
      </c>
      <c r="D1204" s="1">
        <v>39</v>
      </c>
      <c r="E1204" t="s">
        <v>22</v>
      </c>
      <c r="F1204" t="s">
        <v>22</v>
      </c>
      <c r="G1204" s="1">
        <v>14171.12</v>
      </c>
      <c r="H1204">
        <v>0.01</v>
      </c>
      <c r="I1204">
        <f>Sales_Data[[#This Row],[Sales]]*Sales_Data[[#This Row],[Discount]]</f>
        <v>141.71120000000002</v>
      </c>
      <c r="J1204">
        <v>14029.408800000001</v>
      </c>
      <c r="K1204" s="1">
        <v>90.8</v>
      </c>
      <c r="L1204" s="1">
        <v>14080.320000000002</v>
      </c>
      <c r="M1204" s="1" t="s">
        <v>13</v>
      </c>
      <c r="N1204" s="1">
        <f>IF(Sales_Data[[#This Row],[Sales with Discount]]&lt;Sales_Data[[#This Row],[Sales with Free Shipping]],Sales_Data[[#This Row],[Sales with Discount]],Sales_Data[[#This Row],[Sales with Free Shipping]])</f>
        <v>14029.408800000001</v>
      </c>
      <c r="O1204" s="1" t="str">
        <f>TEXT(Sales_Data[[#This Row],[Order Date]], "MM-YYYY")</f>
        <v>09-2019</v>
      </c>
    </row>
    <row r="1205" spans="1:15" x14ac:dyDescent="0.3">
      <c r="A1205" s="1">
        <v>21478</v>
      </c>
      <c r="B1205" s="2">
        <v>43526</v>
      </c>
      <c r="C1205" s="1" t="s">
        <v>7</v>
      </c>
      <c r="D1205" s="1">
        <v>16</v>
      </c>
      <c r="E1205" t="s">
        <v>19</v>
      </c>
      <c r="F1205" t="s">
        <v>19</v>
      </c>
      <c r="G1205" s="1">
        <v>452.68</v>
      </c>
      <c r="H1205">
        <v>0</v>
      </c>
      <c r="I1205">
        <f>Sales_Data[[#This Row],[Sales]]*Sales_Data[[#This Row],[Discount]]</f>
        <v>0</v>
      </c>
      <c r="J1205">
        <v>452.68</v>
      </c>
      <c r="K1205" s="1">
        <v>9.6</v>
      </c>
      <c r="L1205" s="1">
        <v>452.68</v>
      </c>
      <c r="M1205" s="1" t="s">
        <v>10</v>
      </c>
      <c r="N1205" s="1">
        <f>IF(Sales_Data[[#This Row],[Sales with Discount]]&lt;Sales_Data[[#This Row],[Sales with Free Shipping]],Sales_Data[[#This Row],[Sales with Discount]],Sales_Data[[#This Row],[Sales with Free Shipping]])</f>
        <v>452.68</v>
      </c>
      <c r="O1205" s="1" t="str">
        <f>TEXT(Sales_Data[[#This Row],[Order Date]], "MM-YYYY")</f>
        <v>03-2019</v>
      </c>
    </row>
    <row r="1206" spans="1:15" x14ac:dyDescent="0.3">
      <c r="A1206" s="1">
        <v>48577</v>
      </c>
      <c r="B1206" s="2">
        <v>43654</v>
      </c>
      <c r="C1206" s="1" t="s">
        <v>14</v>
      </c>
      <c r="D1206" s="1">
        <v>6</v>
      </c>
      <c r="E1206" t="s">
        <v>17</v>
      </c>
      <c r="F1206" t="s">
        <v>17</v>
      </c>
      <c r="G1206" s="1">
        <v>215.96</v>
      </c>
      <c r="H1206">
        <v>0</v>
      </c>
      <c r="I1206">
        <f>Sales_Data[[#This Row],[Sales]]*Sales_Data[[#This Row],[Discount]]</f>
        <v>0</v>
      </c>
      <c r="J1206">
        <v>215.96</v>
      </c>
      <c r="K1206" s="1">
        <v>5.4</v>
      </c>
      <c r="L1206" s="1">
        <v>215.96</v>
      </c>
      <c r="M1206" s="1" t="s">
        <v>10</v>
      </c>
      <c r="N1206" s="1">
        <f>IF(Sales_Data[[#This Row],[Sales with Discount]]&lt;Sales_Data[[#This Row],[Sales with Free Shipping]],Sales_Data[[#This Row],[Sales with Discount]],Sales_Data[[#This Row],[Sales with Free Shipping]])</f>
        <v>215.96</v>
      </c>
      <c r="O1206" s="1" t="str">
        <f>TEXT(Sales_Data[[#This Row],[Order Date]], "MM-YYYY")</f>
        <v>07-2019</v>
      </c>
    </row>
    <row r="1207" spans="1:15" x14ac:dyDescent="0.3">
      <c r="A1207" s="1">
        <v>6018</v>
      </c>
      <c r="B1207" s="2">
        <v>43695</v>
      </c>
      <c r="C1207" s="1" t="s">
        <v>7</v>
      </c>
      <c r="D1207" s="1">
        <v>2</v>
      </c>
      <c r="E1207" t="s">
        <v>16</v>
      </c>
      <c r="F1207" t="s">
        <v>16</v>
      </c>
      <c r="G1207" s="1">
        <v>132.94999999999999</v>
      </c>
      <c r="H1207">
        <v>0</v>
      </c>
      <c r="I1207">
        <f>Sales_Data[[#This Row],[Sales]]*Sales_Data[[#This Row],[Discount]]</f>
        <v>0</v>
      </c>
      <c r="J1207">
        <v>132.94999999999999</v>
      </c>
      <c r="K1207" s="1">
        <v>14.9</v>
      </c>
      <c r="L1207" s="1">
        <v>132.94999999999999</v>
      </c>
      <c r="M1207" s="1" t="s">
        <v>10</v>
      </c>
      <c r="N1207" s="1">
        <f>IF(Sales_Data[[#This Row],[Sales with Discount]]&lt;Sales_Data[[#This Row],[Sales with Free Shipping]],Sales_Data[[#This Row],[Sales with Discount]],Sales_Data[[#This Row],[Sales with Free Shipping]])</f>
        <v>132.94999999999999</v>
      </c>
      <c r="O1207" s="1" t="str">
        <f>TEXT(Sales_Data[[#This Row],[Order Date]], "MM-YYYY")</f>
        <v>08-2019</v>
      </c>
    </row>
    <row r="1208" spans="1:15" x14ac:dyDescent="0.3">
      <c r="A1208" s="1">
        <v>38437</v>
      </c>
      <c r="B1208" s="2">
        <v>43593</v>
      </c>
      <c r="C1208" s="1" t="s">
        <v>12</v>
      </c>
      <c r="D1208" s="1">
        <v>17</v>
      </c>
      <c r="E1208" t="s">
        <v>19</v>
      </c>
      <c r="F1208" t="s">
        <v>19</v>
      </c>
      <c r="G1208" s="1">
        <v>59.56</v>
      </c>
      <c r="H1208">
        <v>0</v>
      </c>
      <c r="I1208">
        <f>Sales_Data[[#This Row],[Sales]]*Sales_Data[[#This Row],[Discount]]</f>
        <v>0</v>
      </c>
      <c r="J1208">
        <v>59.56</v>
      </c>
      <c r="K1208" s="1">
        <v>2.5</v>
      </c>
      <c r="L1208" s="1">
        <v>59.56</v>
      </c>
      <c r="M1208" s="1" t="s">
        <v>10</v>
      </c>
      <c r="N1208" s="1">
        <f>IF(Sales_Data[[#This Row],[Sales with Discount]]&lt;Sales_Data[[#This Row],[Sales with Free Shipping]],Sales_Data[[#This Row],[Sales with Discount]],Sales_Data[[#This Row],[Sales with Free Shipping]])</f>
        <v>59.56</v>
      </c>
      <c r="O1208" s="1" t="str">
        <f>TEXT(Sales_Data[[#This Row],[Order Date]], "MM-YYYY")</f>
        <v>05-2019</v>
      </c>
    </row>
    <row r="1209" spans="1:15" x14ac:dyDescent="0.3">
      <c r="A1209" s="1">
        <v>6182</v>
      </c>
      <c r="B1209" s="2">
        <v>43667</v>
      </c>
      <c r="C1209" s="1" t="s">
        <v>7</v>
      </c>
      <c r="D1209" s="1">
        <v>18</v>
      </c>
      <c r="E1209" t="s">
        <v>19</v>
      </c>
      <c r="F1209" t="s">
        <v>19</v>
      </c>
      <c r="G1209" s="1">
        <v>139.44</v>
      </c>
      <c r="H1209">
        <v>0</v>
      </c>
      <c r="I1209">
        <f>Sales_Data[[#This Row],[Sales]]*Sales_Data[[#This Row],[Discount]]</f>
        <v>0</v>
      </c>
      <c r="J1209">
        <v>139.44</v>
      </c>
      <c r="K1209" s="1">
        <v>8.4</v>
      </c>
      <c r="L1209" s="1">
        <v>139.44</v>
      </c>
      <c r="M1209" s="1" t="s">
        <v>8</v>
      </c>
      <c r="N1209" s="1">
        <f>IF(Sales_Data[[#This Row],[Sales with Discount]]&lt;Sales_Data[[#This Row],[Sales with Free Shipping]],Sales_Data[[#This Row],[Sales with Discount]],Sales_Data[[#This Row],[Sales with Free Shipping]])</f>
        <v>139.44</v>
      </c>
      <c r="O1209" s="1" t="str">
        <f>TEXT(Sales_Data[[#This Row],[Order Date]], "MM-YYYY")</f>
        <v>07-2019</v>
      </c>
    </row>
    <row r="1210" spans="1:15" x14ac:dyDescent="0.3">
      <c r="A1210" s="1">
        <v>45825</v>
      </c>
      <c r="B1210" s="2">
        <v>43745</v>
      </c>
      <c r="C1210" s="1" t="s">
        <v>14</v>
      </c>
      <c r="D1210" s="1">
        <v>43</v>
      </c>
      <c r="E1210" t="s">
        <v>23</v>
      </c>
      <c r="F1210" t="s">
        <v>23</v>
      </c>
      <c r="G1210" s="1">
        <v>291.70999999999998</v>
      </c>
      <c r="H1210">
        <v>0.01</v>
      </c>
      <c r="I1210">
        <f>Sales_Data[[#This Row],[Sales]]*Sales_Data[[#This Row],[Discount]]</f>
        <v>2.9171</v>
      </c>
      <c r="J1210">
        <v>288.79289999999997</v>
      </c>
      <c r="K1210" s="1">
        <v>5.5</v>
      </c>
      <c r="L1210" s="1">
        <v>286.20999999999998</v>
      </c>
      <c r="M1210" s="1" t="s">
        <v>10</v>
      </c>
      <c r="N1210" s="1">
        <f>IF(Sales_Data[[#This Row],[Sales with Discount]]&lt;Sales_Data[[#This Row],[Sales with Free Shipping]],Sales_Data[[#This Row],[Sales with Discount]],Sales_Data[[#This Row],[Sales with Free Shipping]])</f>
        <v>286.20999999999998</v>
      </c>
      <c r="O1210" s="1" t="str">
        <f>TEXT(Sales_Data[[#This Row],[Order Date]], "MM-YYYY")</f>
        <v>10-2019</v>
      </c>
    </row>
    <row r="1211" spans="1:15" x14ac:dyDescent="0.3">
      <c r="A1211" s="1">
        <v>37763</v>
      </c>
      <c r="B1211" s="2">
        <v>43503</v>
      </c>
      <c r="C1211" s="1" t="s">
        <v>11</v>
      </c>
      <c r="D1211" s="1">
        <v>24</v>
      </c>
      <c r="E1211" t="s">
        <v>14</v>
      </c>
      <c r="F1211" t="s">
        <v>14</v>
      </c>
      <c r="G1211" s="1">
        <v>1335.28</v>
      </c>
      <c r="H1211">
        <v>0</v>
      </c>
      <c r="I1211">
        <f>Sales_Data[[#This Row],[Sales]]*Sales_Data[[#This Row],[Discount]]</f>
        <v>0</v>
      </c>
      <c r="J1211">
        <v>1335.28</v>
      </c>
      <c r="K1211" s="1">
        <v>2.7</v>
      </c>
      <c r="L1211" s="1">
        <v>1335.28</v>
      </c>
      <c r="M1211" s="1" t="s">
        <v>10</v>
      </c>
      <c r="N1211" s="1">
        <f>IF(Sales_Data[[#This Row],[Sales with Discount]]&lt;Sales_Data[[#This Row],[Sales with Free Shipping]],Sales_Data[[#This Row],[Sales with Discount]],Sales_Data[[#This Row],[Sales with Free Shipping]])</f>
        <v>1335.28</v>
      </c>
      <c r="O1211" s="1" t="str">
        <f>TEXT(Sales_Data[[#This Row],[Order Date]], "MM-YYYY")</f>
        <v>02-2019</v>
      </c>
    </row>
    <row r="1212" spans="1:15" x14ac:dyDescent="0.3">
      <c r="A1212" s="1">
        <v>13444</v>
      </c>
      <c r="B1212" s="2">
        <v>43469</v>
      </c>
      <c r="C1212" s="1" t="s">
        <v>9</v>
      </c>
      <c r="D1212" s="1">
        <v>33</v>
      </c>
      <c r="E1212" t="s">
        <v>21</v>
      </c>
      <c r="F1212" t="s">
        <v>21</v>
      </c>
      <c r="G1212" s="1">
        <v>165.2508</v>
      </c>
      <c r="H1212">
        <v>0</v>
      </c>
      <c r="I1212">
        <f>Sales_Data[[#This Row],[Sales]]*Sales_Data[[#This Row],[Discount]]</f>
        <v>0</v>
      </c>
      <c r="J1212">
        <v>165.2508</v>
      </c>
      <c r="K1212" s="1">
        <v>0.9</v>
      </c>
      <c r="L1212" s="1">
        <v>165.2508</v>
      </c>
      <c r="M1212" s="1" t="s">
        <v>10</v>
      </c>
      <c r="N1212" s="1">
        <f>IF(Sales_Data[[#This Row],[Sales with Discount]]&lt;Sales_Data[[#This Row],[Sales with Free Shipping]],Sales_Data[[#This Row],[Sales with Discount]],Sales_Data[[#This Row],[Sales with Free Shipping]])</f>
        <v>165.2508</v>
      </c>
      <c r="O1212" s="1" t="str">
        <f>TEXT(Sales_Data[[#This Row],[Order Date]], "MM-YYYY")</f>
        <v>01-2019</v>
      </c>
    </row>
    <row r="1213" spans="1:15" x14ac:dyDescent="0.3">
      <c r="A1213" s="1">
        <v>44386</v>
      </c>
      <c r="B1213" s="2">
        <v>43564</v>
      </c>
      <c r="C1213" s="1" t="s">
        <v>14</v>
      </c>
      <c r="D1213" s="1">
        <v>43</v>
      </c>
      <c r="E1213" t="s">
        <v>23</v>
      </c>
      <c r="F1213" t="s">
        <v>23</v>
      </c>
      <c r="G1213" s="1">
        <v>1323.2</v>
      </c>
      <c r="H1213">
        <v>0.01</v>
      </c>
      <c r="I1213">
        <f>Sales_Data[[#This Row],[Sales]]*Sales_Data[[#This Row],[Discount]]</f>
        <v>13.232000000000001</v>
      </c>
      <c r="J1213">
        <v>1309.9680000000001</v>
      </c>
      <c r="K1213" s="1">
        <v>2.1</v>
      </c>
      <c r="L1213" s="1">
        <v>1321.1000000000001</v>
      </c>
      <c r="M1213" s="1" t="s">
        <v>10</v>
      </c>
      <c r="N1213" s="1">
        <f>IF(Sales_Data[[#This Row],[Sales with Discount]]&lt;Sales_Data[[#This Row],[Sales with Free Shipping]],Sales_Data[[#This Row],[Sales with Discount]],Sales_Data[[#This Row],[Sales with Free Shipping]])</f>
        <v>1309.9680000000001</v>
      </c>
      <c r="O1213" s="1" t="str">
        <f>TEXT(Sales_Data[[#This Row],[Order Date]], "MM-YYYY")</f>
        <v>04-2019</v>
      </c>
    </row>
    <row r="1214" spans="1:15" x14ac:dyDescent="0.3">
      <c r="A1214" s="1">
        <v>41441</v>
      </c>
      <c r="B1214" s="2">
        <v>43487</v>
      </c>
      <c r="C1214" s="1" t="s">
        <v>14</v>
      </c>
      <c r="D1214" s="1">
        <v>41</v>
      </c>
      <c r="E1214" t="s">
        <v>23</v>
      </c>
      <c r="F1214" t="s">
        <v>23</v>
      </c>
      <c r="G1214" s="1">
        <v>236.56</v>
      </c>
      <c r="H1214">
        <v>0.01</v>
      </c>
      <c r="I1214">
        <f>Sales_Data[[#This Row],[Sales]]*Sales_Data[[#This Row],[Discount]]</f>
        <v>2.3656000000000001</v>
      </c>
      <c r="J1214">
        <v>234.1944</v>
      </c>
      <c r="K1214" s="1">
        <v>6.1</v>
      </c>
      <c r="L1214" s="1">
        <v>230.46</v>
      </c>
      <c r="M1214" s="1" t="s">
        <v>10</v>
      </c>
      <c r="N1214" s="1">
        <f>IF(Sales_Data[[#This Row],[Sales with Discount]]&lt;Sales_Data[[#This Row],[Sales with Free Shipping]],Sales_Data[[#This Row],[Sales with Discount]],Sales_Data[[#This Row],[Sales with Free Shipping]])</f>
        <v>230.46</v>
      </c>
      <c r="O1214" s="1" t="str">
        <f>TEXT(Sales_Data[[#This Row],[Order Date]], "MM-YYYY")</f>
        <v>01-2019</v>
      </c>
    </row>
    <row r="1215" spans="1:15" x14ac:dyDescent="0.3">
      <c r="A1215" s="1">
        <v>48423</v>
      </c>
      <c r="B1215" s="2">
        <v>43769</v>
      </c>
      <c r="C1215" s="1" t="s">
        <v>9</v>
      </c>
      <c r="D1215" s="1">
        <v>49</v>
      </c>
      <c r="E1215" t="s">
        <v>24</v>
      </c>
      <c r="F1215" t="s">
        <v>24</v>
      </c>
      <c r="G1215" s="1">
        <v>443.1</v>
      </c>
      <c r="H1215">
        <v>0.01</v>
      </c>
      <c r="I1215">
        <f>Sales_Data[[#This Row],[Sales]]*Sales_Data[[#This Row],[Discount]]</f>
        <v>4.431</v>
      </c>
      <c r="J1215">
        <v>438.66900000000004</v>
      </c>
      <c r="K1215" s="1">
        <v>8.9</v>
      </c>
      <c r="L1215" s="1">
        <v>434.20000000000005</v>
      </c>
      <c r="M1215" s="1" t="s">
        <v>10</v>
      </c>
      <c r="N1215" s="1">
        <f>IF(Sales_Data[[#This Row],[Sales with Discount]]&lt;Sales_Data[[#This Row],[Sales with Free Shipping]],Sales_Data[[#This Row],[Sales with Discount]],Sales_Data[[#This Row],[Sales with Free Shipping]])</f>
        <v>434.20000000000005</v>
      </c>
      <c r="O1215" s="1" t="str">
        <f>TEXT(Sales_Data[[#This Row],[Order Date]], "MM-YYYY")</f>
        <v>10-2019</v>
      </c>
    </row>
    <row r="1216" spans="1:15" x14ac:dyDescent="0.3">
      <c r="A1216" s="1">
        <v>43109</v>
      </c>
      <c r="B1216" s="2">
        <v>43820</v>
      </c>
      <c r="C1216" s="1" t="s">
        <v>12</v>
      </c>
      <c r="D1216" s="1">
        <v>19</v>
      </c>
      <c r="E1216" t="s">
        <v>19</v>
      </c>
      <c r="F1216" t="s">
        <v>19</v>
      </c>
      <c r="G1216" s="1">
        <v>301.57</v>
      </c>
      <c r="H1216">
        <v>0</v>
      </c>
      <c r="I1216">
        <f>Sales_Data[[#This Row],[Sales]]*Sales_Data[[#This Row],[Discount]]</f>
        <v>0</v>
      </c>
      <c r="J1216">
        <v>301.57</v>
      </c>
      <c r="K1216" s="1">
        <v>9</v>
      </c>
      <c r="L1216" s="1">
        <v>301.57</v>
      </c>
      <c r="M1216" s="1" t="s">
        <v>10</v>
      </c>
      <c r="N1216" s="1">
        <f>IF(Sales_Data[[#This Row],[Sales with Discount]]&lt;Sales_Data[[#This Row],[Sales with Free Shipping]],Sales_Data[[#This Row],[Sales with Discount]],Sales_Data[[#This Row],[Sales with Free Shipping]])</f>
        <v>301.57</v>
      </c>
      <c r="O1216" s="1" t="str">
        <f>TEXT(Sales_Data[[#This Row],[Order Date]], "MM-YYYY")</f>
        <v>12-2019</v>
      </c>
    </row>
    <row r="1217" spans="1:15" x14ac:dyDescent="0.3">
      <c r="A1217" s="1">
        <v>26021</v>
      </c>
      <c r="B1217" s="2">
        <v>43722</v>
      </c>
      <c r="C1217" s="1" t="s">
        <v>12</v>
      </c>
      <c r="D1217" s="1">
        <v>17</v>
      </c>
      <c r="E1217" t="s">
        <v>19</v>
      </c>
      <c r="F1217" t="s">
        <v>19</v>
      </c>
      <c r="G1217" s="1">
        <v>351.63</v>
      </c>
      <c r="H1217">
        <v>0</v>
      </c>
      <c r="I1217">
        <f>Sales_Data[[#This Row],[Sales]]*Sales_Data[[#This Row],[Discount]]</f>
        <v>0</v>
      </c>
      <c r="J1217">
        <v>351.63</v>
      </c>
      <c r="K1217" s="1">
        <v>5.0999999999999996</v>
      </c>
      <c r="L1217" s="1">
        <v>351.63</v>
      </c>
      <c r="M1217" s="1" t="s">
        <v>10</v>
      </c>
      <c r="N1217" s="1">
        <f>IF(Sales_Data[[#This Row],[Sales with Discount]]&lt;Sales_Data[[#This Row],[Sales with Free Shipping]],Sales_Data[[#This Row],[Sales with Discount]],Sales_Data[[#This Row],[Sales with Free Shipping]])</f>
        <v>351.63</v>
      </c>
      <c r="O1217" s="1" t="str">
        <f>TEXT(Sales_Data[[#This Row],[Order Date]], "MM-YYYY")</f>
        <v>09-2019</v>
      </c>
    </row>
    <row r="1218" spans="1:15" x14ac:dyDescent="0.3">
      <c r="A1218" s="1">
        <v>40838</v>
      </c>
      <c r="B1218" s="2">
        <v>43795</v>
      </c>
      <c r="C1218" s="1" t="s">
        <v>11</v>
      </c>
      <c r="D1218" s="1">
        <v>40</v>
      </c>
      <c r="E1218" t="s">
        <v>22</v>
      </c>
      <c r="F1218" t="s">
        <v>22</v>
      </c>
      <c r="G1218" s="1">
        <v>346.64</v>
      </c>
      <c r="H1218">
        <v>0.01</v>
      </c>
      <c r="I1218">
        <f>Sales_Data[[#This Row],[Sales]]*Sales_Data[[#This Row],[Discount]]</f>
        <v>3.4664000000000001</v>
      </c>
      <c r="J1218">
        <v>343.17359999999996</v>
      </c>
      <c r="K1218" s="1">
        <v>8.5</v>
      </c>
      <c r="L1218" s="1">
        <v>338.14</v>
      </c>
      <c r="M1218" s="1" t="s">
        <v>10</v>
      </c>
      <c r="N1218" s="1">
        <f>IF(Sales_Data[[#This Row],[Sales with Discount]]&lt;Sales_Data[[#This Row],[Sales with Free Shipping]],Sales_Data[[#This Row],[Sales with Discount]],Sales_Data[[#This Row],[Sales with Free Shipping]])</f>
        <v>338.14</v>
      </c>
      <c r="O1218" s="1" t="str">
        <f>TEXT(Sales_Data[[#This Row],[Order Date]], "MM-YYYY")</f>
        <v>11-2019</v>
      </c>
    </row>
    <row r="1219" spans="1:15" x14ac:dyDescent="0.3">
      <c r="A1219" s="1">
        <v>48742</v>
      </c>
      <c r="B1219" s="2">
        <v>43572</v>
      </c>
      <c r="C1219" s="1" t="s">
        <v>11</v>
      </c>
      <c r="D1219" s="1">
        <v>42</v>
      </c>
      <c r="E1219" t="s">
        <v>23</v>
      </c>
      <c r="F1219" t="s">
        <v>23</v>
      </c>
      <c r="G1219" s="1">
        <v>883.42</v>
      </c>
      <c r="H1219">
        <v>0.01</v>
      </c>
      <c r="I1219">
        <f>Sales_Data[[#This Row],[Sales]]*Sales_Data[[#This Row],[Discount]]</f>
        <v>8.8341999999999992</v>
      </c>
      <c r="J1219">
        <v>874.58579999999995</v>
      </c>
      <c r="K1219" s="1">
        <v>1.6</v>
      </c>
      <c r="L1219" s="1">
        <v>881.81999999999994</v>
      </c>
      <c r="M1219" s="1" t="s">
        <v>10</v>
      </c>
      <c r="N1219" s="1">
        <f>IF(Sales_Data[[#This Row],[Sales with Discount]]&lt;Sales_Data[[#This Row],[Sales with Free Shipping]],Sales_Data[[#This Row],[Sales with Discount]],Sales_Data[[#This Row],[Sales with Free Shipping]])</f>
        <v>874.58579999999995</v>
      </c>
      <c r="O1219" s="1" t="str">
        <f>TEXT(Sales_Data[[#This Row],[Order Date]], "MM-YYYY")</f>
        <v>04-2019</v>
      </c>
    </row>
    <row r="1220" spans="1:15" x14ac:dyDescent="0.3">
      <c r="A1220" s="1">
        <v>16452</v>
      </c>
      <c r="B1220" s="2">
        <v>43700</v>
      </c>
      <c r="C1220" s="1" t="s">
        <v>14</v>
      </c>
      <c r="D1220" s="1">
        <v>46</v>
      </c>
      <c r="E1220" t="s">
        <v>24</v>
      </c>
      <c r="F1220" t="s">
        <v>24</v>
      </c>
      <c r="G1220" s="1">
        <v>143.83000000000001</v>
      </c>
      <c r="H1220">
        <v>0.01</v>
      </c>
      <c r="I1220">
        <f>Sales_Data[[#This Row],[Sales]]*Sales_Data[[#This Row],[Discount]]</f>
        <v>1.4383000000000001</v>
      </c>
      <c r="J1220">
        <v>142.39170000000001</v>
      </c>
      <c r="K1220" s="1">
        <v>1.1000000000000001</v>
      </c>
      <c r="L1220" s="1">
        <v>142.73000000000002</v>
      </c>
      <c r="M1220" s="1" t="s">
        <v>10</v>
      </c>
      <c r="N1220" s="1">
        <f>IF(Sales_Data[[#This Row],[Sales with Discount]]&lt;Sales_Data[[#This Row],[Sales with Free Shipping]],Sales_Data[[#This Row],[Sales with Discount]],Sales_Data[[#This Row],[Sales with Free Shipping]])</f>
        <v>142.39170000000001</v>
      </c>
      <c r="O1220" s="1" t="str">
        <f>TEXT(Sales_Data[[#This Row],[Order Date]], "MM-YYYY")</f>
        <v>08-2019</v>
      </c>
    </row>
    <row r="1221" spans="1:15" x14ac:dyDescent="0.3">
      <c r="A1221" s="1">
        <v>21509</v>
      </c>
      <c r="B1221" s="2">
        <v>43649</v>
      </c>
      <c r="C1221" s="1" t="s">
        <v>9</v>
      </c>
      <c r="D1221" s="1">
        <v>13</v>
      </c>
      <c r="E1221" t="s">
        <v>18</v>
      </c>
      <c r="F1221" t="s">
        <v>18</v>
      </c>
      <c r="G1221" s="1">
        <v>51.29</v>
      </c>
      <c r="H1221">
        <v>0</v>
      </c>
      <c r="I1221">
        <f>Sales_Data[[#This Row],[Sales]]*Sales_Data[[#This Row],[Discount]]</f>
        <v>0</v>
      </c>
      <c r="J1221">
        <v>51.29</v>
      </c>
      <c r="K1221" s="1">
        <v>0.5</v>
      </c>
      <c r="L1221" s="1">
        <v>51.29</v>
      </c>
      <c r="M1221" s="1" t="s">
        <v>10</v>
      </c>
      <c r="N1221" s="1">
        <f>IF(Sales_Data[[#This Row],[Sales with Discount]]&lt;Sales_Data[[#This Row],[Sales with Free Shipping]],Sales_Data[[#This Row],[Sales with Discount]],Sales_Data[[#This Row],[Sales with Free Shipping]])</f>
        <v>51.29</v>
      </c>
      <c r="O1221" s="1" t="str">
        <f>TEXT(Sales_Data[[#This Row],[Order Date]], "MM-YYYY")</f>
        <v>07-2019</v>
      </c>
    </row>
    <row r="1222" spans="1:15" x14ac:dyDescent="0.3">
      <c r="A1222" s="1">
        <v>33568</v>
      </c>
      <c r="B1222" s="2">
        <v>43667</v>
      </c>
      <c r="C1222" s="1" t="s">
        <v>14</v>
      </c>
      <c r="D1222" s="1">
        <v>23</v>
      </c>
      <c r="E1222" t="s">
        <v>14</v>
      </c>
      <c r="F1222" t="s">
        <v>14</v>
      </c>
      <c r="G1222" s="1">
        <v>412.82</v>
      </c>
      <c r="H1222">
        <v>0</v>
      </c>
      <c r="I1222">
        <f>Sales_Data[[#This Row],[Sales]]*Sales_Data[[#This Row],[Discount]]</f>
        <v>0</v>
      </c>
      <c r="J1222">
        <v>412.82</v>
      </c>
      <c r="K1222" s="1">
        <v>6.2</v>
      </c>
      <c r="L1222" s="1">
        <v>412.82</v>
      </c>
      <c r="M1222" s="1" t="s">
        <v>8</v>
      </c>
      <c r="N1222" s="1">
        <f>IF(Sales_Data[[#This Row],[Sales with Discount]]&lt;Sales_Data[[#This Row],[Sales with Free Shipping]],Sales_Data[[#This Row],[Sales with Discount]],Sales_Data[[#This Row],[Sales with Free Shipping]])</f>
        <v>412.82</v>
      </c>
      <c r="O1222" s="1" t="str">
        <f>TEXT(Sales_Data[[#This Row],[Order Date]], "MM-YYYY")</f>
        <v>07-2019</v>
      </c>
    </row>
    <row r="1223" spans="1:15" x14ac:dyDescent="0.3">
      <c r="A1223" s="1">
        <v>3168</v>
      </c>
      <c r="B1223" s="2">
        <v>43493</v>
      </c>
      <c r="C1223" s="1" t="s">
        <v>7</v>
      </c>
      <c r="D1223" s="1">
        <v>14</v>
      </c>
      <c r="E1223" t="s">
        <v>18</v>
      </c>
      <c r="F1223" t="s">
        <v>18</v>
      </c>
      <c r="G1223" s="1">
        <v>86.242000000000004</v>
      </c>
      <c r="H1223">
        <v>0</v>
      </c>
      <c r="I1223">
        <f>Sales_Data[[#This Row],[Sales]]*Sales_Data[[#This Row],[Discount]]</f>
        <v>0</v>
      </c>
      <c r="J1223">
        <v>86.242000000000004</v>
      </c>
      <c r="K1223" s="1">
        <v>4.2</v>
      </c>
      <c r="L1223" s="1">
        <v>86.242000000000004</v>
      </c>
      <c r="M1223" s="1" t="s">
        <v>10</v>
      </c>
      <c r="N1223" s="1">
        <f>IF(Sales_Data[[#This Row],[Sales with Discount]]&lt;Sales_Data[[#This Row],[Sales with Free Shipping]],Sales_Data[[#This Row],[Sales with Discount]],Sales_Data[[#This Row],[Sales with Free Shipping]])</f>
        <v>86.242000000000004</v>
      </c>
      <c r="O1223" s="1" t="str">
        <f>TEXT(Sales_Data[[#This Row],[Order Date]], "MM-YYYY")</f>
        <v>01-2019</v>
      </c>
    </row>
    <row r="1224" spans="1:15" x14ac:dyDescent="0.3">
      <c r="A1224" s="1">
        <v>45664</v>
      </c>
      <c r="B1224" s="2">
        <v>43625</v>
      </c>
      <c r="C1224" s="1" t="s">
        <v>11</v>
      </c>
      <c r="D1224" s="1">
        <v>24</v>
      </c>
      <c r="E1224" t="s">
        <v>14</v>
      </c>
      <c r="F1224" t="s">
        <v>14</v>
      </c>
      <c r="G1224" s="1">
        <v>506.14</v>
      </c>
      <c r="H1224">
        <v>0</v>
      </c>
      <c r="I1224">
        <f>Sales_Data[[#This Row],[Sales]]*Sales_Data[[#This Row],[Discount]]</f>
        <v>0</v>
      </c>
      <c r="J1224">
        <v>506.14</v>
      </c>
      <c r="K1224" s="1">
        <v>11.2</v>
      </c>
      <c r="L1224" s="1">
        <v>506.14</v>
      </c>
      <c r="M1224" s="1" t="s">
        <v>10</v>
      </c>
      <c r="N1224" s="1">
        <f>IF(Sales_Data[[#This Row],[Sales with Discount]]&lt;Sales_Data[[#This Row],[Sales with Free Shipping]],Sales_Data[[#This Row],[Sales with Discount]],Sales_Data[[#This Row],[Sales with Free Shipping]])</f>
        <v>506.14</v>
      </c>
      <c r="O1224" s="1" t="str">
        <f>TEXT(Sales_Data[[#This Row],[Order Date]], "MM-YYYY")</f>
        <v>06-2019</v>
      </c>
    </row>
    <row r="1225" spans="1:15" x14ac:dyDescent="0.3">
      <c r="A1225" s="1">
        <v>35938</v>
      </c>
      <c r="B1225" s="2">
        <v>43786</v>
      </c>
      <c r="C1225" s="1" t="s">
        <v>11</v>
      </c>
      <c r="D1225" s="1">
        <v>48</v>
      </c>
      <c r="E1225" t="s">
        <v>24</v>
      </c>
      <c r="F1225" t="s">
        <v>24</v>
      </c>
      <c r="G1225" s="1">
        <v>672.31309999999996</v>
      </c>
      <c r="H1225">
        <v>0.01</v>
      </c>
      <c r="I1225">
        <f>Sales_Data[[#This Row],[Sales]]*Sales_Data[[#This Row],[Discount]]</f>
        <v>6.7231309999999995</v>
      </c>
      <c r="J1225">
        <v>665.589969</v>
      </c>
      <c r="K1225" s="1">
        <v>10</v>
      </c>
      <c r="L1225" s="1">
        <v>662.31309999999996</v>
      </c>
      <c r="M1225" s="1" t="s">
        <v>10</v>
      </c>
      <c r="N1225" s="1">
        <f>IF(Sales_Data[[#This Row],[Sales with Discount]]&lt;Sales_Data[[#This Row],[Sales with Free Shipping]],Sales_Data[[#This Row],[Sales with Discount]],Sales_Data[[#This Row],[Sales with Free Shipping]])</f>
        <v>662.31309999999996</v>
      </c>
      <c r="O1225" s="1" t="str">
        <f>TEXT(Sales_Data[[#This Row],[Order Date]], "MM-YYYY")</f>
        <v>11-2019</v>
      </c>
    </row>
    <row r="1226" spans="1:15" x14ac:dyDescent="0.3">
      <c r="A1226" s="1">
        <v>4261</v>
      </c>
      <c r="B1226" s="2">
        <v>43740</v>
      </c>
      <c r="C1226" s="1" t="s">
        <v>12</v>
      </c>
      <c r="D1226" s="1">
        <v>33</v>
      </c>
      <c r="E1226" t="s">
        <v>21</v>
      </c>
      <c r="F1226" t="s">
        <v>21</v>
      </c>
      <c r="G1226" s="1">
        <v>209.7</v>
      </c>
      <c r="H1226">
        <v>0</v>
      </c>
      <c r="I1226">
        <f>Sales_Data[[#This Row],[Sales]]*Sales_Data[[#This Row],[Discount]]</f>
        <v>0</v>
      </c>
      <c r="J1226">
        <v>209.7</v>
      </c>
      <c r="K1226" s="1">
        <v>5.7</v>
      </c>
      <c r="L1226" s="1">
        <v>209.7</v>
      </c>
      <c r="M1226" s="1" t="s">
        <v>10</v>
      </c>
      <c r="N1226" s="1">
        <f>IF(Sales_Data[[#This Row],[Sales with Discount]]&lt;Sales_Data[[#This Row],[Sales with Free Shipping]],Sales_Data[[#This Row],[Sales with Discount]],Sales_Data[[#This Row],[Sales with Free Shipping]])</f>
        <v>209.7</v>
      </c>
      <c r="O1226" s="1" t="str">
        <f>TEXT(Sales_Data[[#This Row],[Order Date]], "MM-YYYY")</f>
        <v>10-2019</v>
      </c>
    </row>
    <row r="1227" spans="1:15" x14ac:dyDescent="0.3">
      <c r="A1227" s="1">
        <v>10053</v>
      </c>
      <c r="B1227" s="2">
        <v>43474</v>
      </c>
      <c r="C1227" s="1" t="s">
        <v>9</v>
      </c>
      <c r="D1227" s="1">
        <v>44</v>
      </c>
      <c r="E1227" t="s">
        <v>23</v>
      </c>
      <c r="F1227" t="s">
        <v>23</v>
      </c>
      <c r="G1227" s="1">
        <v>7292.3</v>
      </c>
      <c r="H1227">
        <v>0.01</v>
      </c>
      <c r="I1227">
        <f>Sales_Data[[#This Row],[Sales]]*Sales_Data[[#This Row],[Discount]]</f>
        <v>72.923000000000002</v>
      </c>
      <c r="J1227">
        <v>7219.3770000000004</v>
      </c>
      <c r="K1227" s="1">
        <v>42</v>
      </c>
      <c r="L1227" s="1">
        <v>7250.3</v>
      </c>
      <c r="M1227" s="1" t="s">
        <v>13</v>
      </c>
      <c r="N1227" s="1">
        <f>IF(Sales_Data[[#This Row],[Sales with Discount]]&lt;Sales_Data[[#This Row],[Sales with Free Shipping]],Sales_Data[[#This Row],[Sales with Discount]],Sales_Data[[#This Row],[Sales with Free Shipping]])</f>
        <v>7219.3770000000004</v>
      </c>
      <c r="O1227" s="1" t="str">
        <f>TEXT(Sales_Data[[#This Row],[Order Date]], "MM-YYYY")</f>
        <v>01-2019</v>
      </c>
    </row>
    <row r="1228" spans="1:15" x14ac:dyDescent="0.3">
      <c r="A1228" s="1">
        <v>20995</v>
      </c>
      <c r="B1228" s="2">
        <v>43551</v>
      </c>
      <c r="C1228" s="1" t="s">
        <v>14</v>
      </c>
      <c r="D1228" s="1">
        <v>37</v>
      </c>
      <c r="E1228" t="s">
        <v>22</v>
      </c>
      <c r="F1228" t="s">
        <v>22</v>
      </c>
      <c r="G1228" s="1">
        <v>6225.13</v>
      </c>
      <c r="H1228">
        <v>0.01</v>
      </c>
      <c r="I1228">
        <f>Sales_Data[[#This Row],[Sales]]*Sales_Data[[#This Row],[Discount]]</f>
        <v>62.251300000000001</v>
      </c>
      <c r="J1228">
        <v>6162.8787000000002</v>
      </c>
      <c r="K1228" s="1">
        <v>70.900000000000006</v>
      </c>
      <c r="L1228" s="1">
        <v>6154.2300000000005</v>
      </c>
      <c r="M1228" s="1" t="s">
        <v>13</v>
      </c>
      <c r="N1228" s="1">
        <f>IF(Sales_Data[[#This Row],[Sales with Discount]]&lt;Sales_Data[[#This Row],[Sales with Free Shipping]],Sales_Data[[#This Row],[Sales with Discount]],Sales_Data[[#This Row],[Sales with Free Shipping]])</f>
        <v>6154.2300000000005</v>
      </c>
      <c r="O1228" s="1" t="str">
        <f>TEXT(Sales_Data[[#This Row],[Order Date]], "MM-YYYY")</f>
        <v>03-2019</v>
      </c>
    </row>
    <row r="1229" spans="1:15" x14ac:dyDescent="0.3">
      <c r="A1229" s="1">
        <v>55431</v>
      </c>
      <c r="B1229" s="2">
        <v>43624</v>
      </c>
      <c r="C1229" s="1" t="s">
        <v>11</v>
      </c>
      <c r="D1229" s="1">
        <v>13</v>
      </c>
      <c r="E1229" t="s">
        <v>18</v>
      </c>
      <c r="F1229" t="s">
        <v>18</v>
      </c>
      <c r="G1229" s="1">
        <v>3984.67</v>
      </c>
      <c r="H1229">
        <v>0</v>
      </c>
      <c r="I1229">
        <f>Sales_Data[[#This Row],[Sales]]*Sales_Data[[#This Row],[Discount]]</f>
        <v>0</v>
      </c>
      <c r="J1229">
        <v>3984.67</v>
      </c>
      <c r="K1229" s="1">
        <v>21.4</v>
      </c>
      <c r="L1229" s="1">
        <v>3984.67</v>
      </c>
      <c r="M1229" s="1" t="s">
        <v>10</v>
      </c>
      <c r="N1229" s="1">
        <f>IF(Sales_Data[[#This Row],[Sales with Discount]]&lt;Sales_Data[[#This Row],[Sales with Free Shipping]],Sales_Data[[#This Row],[Sales with Discount]],Sales_Data[[#This Row],[Sales with Free Shipping]])</f>
        <v>3984.67</v>
      </c>
      <c r="O1229" s="1" t="str">
        <f>TEXT(Sales_Data[[#This Row],[Order Date]], "MM-YYYY")</f>
        <v>06-2019</v>
      </c>
    </row>
    <row r="1230" spans="1:15" x14ac:dyDescent="0.3">
      <c r="A1230" s="1">
        <v>29536</v>
      </c>
      <c r="B1230" s="2">
        <v>43715</v>
      </c>
      <c r="C1230" s="1" t="s">
        <v>14</v>
      </c>
      <c r="D1230" s="1">
        <v>26</v>
      </c>
      <c r="E1230" t="s">
        <v>20</v>
      </c>
      <c r="F1230" t="s">
        <v>20</v>
      </c>
      <c r="G1230" s="1">
        <v>1035.1300000000001</v>
      </c>
      <c r="H1230">
        <v>0</v>
      </c>
      <c r="I1230">
        <f>Sales_Data[[#This Row],[Sales]]*Sales_Data[[#This Row],[Discount]]</f>
        <v>0</v>
      </c>
      <c r="J1230">
        <v>1035.1300000000001</v>
      </c>
      <c r="K1230" s="1">
        <v>21.4</v>
      </c>
      <c r="L1230" s="1">
        <v>1035.1300000000001</v>
      </c>
      <c r="M1230" s="1" t="s">
        <v>10</v>
      </c>
      <c r="N1230" s="1">
        <f>IF(Sales_Data[[#This Row],[Sales with Discount]]&lt;Sales_Data[[#This Row],[Sales with Free Shipping]],Sales_Data[[#This Row],[Sales with Discount]],Sales_Data[[#This Row],[Sales with Free Shipping]])</f>
        <v>1035.1300000000001</v>
      </c>
      <c r="O1230" s="1" t="str">
        <f>TEXT(Sales_Data[[#This Row],[Order Date]], "MM-YYYY")</f>
        <v>09-2019</v>
      </c>
    </row>
    <row r="1231" spans="1:15" x14ac:dyDescent="0.3">
      <c r="A1231" s="1">
        <v>30786</v>
      </c>
      <c r="B1231" s="2">
        <v>43662</v>
      </c>
      <c r="C1231" s="1" t="s">
        <v>14</v>
      </c>
      <c r="D1231" s="1">
        <v>4</v>
      </c>
      <c r="E1231" t="s">
        <v>16</v>
      </c>
      <c r="F1231" t="s">
        <v>16</v>
      </c>
      <c r="G1231" s="1">
        <v>77.81</v>
      </c>
      <c r="H1231">
        <v>0</v>
      </c>
      <c r="I1231">
        <f>Sales_Data[[#This Row],[Sales]]*Sales_Data[[#This Row],[Discount]]</f>
        <v>0</v>
      </c>
      <c r="J1231">
        <v>77.81</v>
      </c>
      <c r="K1231" s="1">
        <v>11.4</v>
      </c>
      <c r="L1231" s="1">
        <v>77.81</v>
      </c>
      <c r="M1231" s="1" t="s">
        <v>10</v>
      </c>
      <c r="N1231" s="1">
        <f>IF(Sales_Data[[#This Row],[Sales with Discount]]&lt;Sales_Data[[#This Row],[Sales with Free Shipping]],Sales_Data[[#This Row],[Sales with Discount]],Sales_Data[[#This Row],[Sales with Free Shipping]])</f>
        <v>77.81</v>
      </c>
      <c r="O1231" s="1" t="str">
        <f>TEXT(Sales_Data[[#This Row],[Order Date]], "MM-YYYY")</f>
        <v>07-2019</v>
      </c>
    </row>
    <row r="1232" spans="1:15" x14ac:dyDescent="0.3">
      <c r="A1232" s="1">
        <v>38182</v>
      </c>
      <c r="B1232" s="2">
        <v>43607</v>
      </c>
      <c r="C1232" s="1" t="s">
        <v>9</v>
      </c>
      <c r="D1232" s="1">
        <v>45</v>
      </c>
      <c r="E1232" t="s">
        <v>23</v>
      </c>
      <c r="F1232" t="s">
        <v>23</v>
      </c>
      <c r="G1232" s="1">
        <v>3048.25</v>
      </c>
      <c r="H1232">
        <v>0.01</v>
      </c>
      <c r="I1232">
        <f>Sales_Data[[#This Row],[Sales]]*Sales_Data[[#This Row],[Discount]]</f>
        <v>30.482500000000002</v>
      </c>
      <c r="J1232">
        <v>3017.7674999999999</v>
      </c>
      <c r="K1232" s="1">
        <v>37.5</v>
      </c>
      <c r="L1232" s="1">
        <v>3010.75</v>
      </c>
      <c r="M1232" s="1" t="s">
        <v>10</v>
      </c>
      <c r="N1232" s="1">
        <f>IF(Sales_Data[[#This Row],[Sales with Discount]]&lt;Sales_Data[[#This Row],[Sales with Free Shipping]],Sales_Data[[#This Row],[Sales with Discount]],Sales_Data[[#This Row],[Sales with Free Shipping]])</f>
        <v>3010.75</v>
      </c>
      <c r="O1232" s="1" t="str">
        <f>TEXT(Sales_Data[[#This Row],[Order Date]], "MM-YYYY")</f>
        <v>05-2019</v>
      </c>
    </row>
    <row r="1233" spans="1:15" x14ac:dyDescent="0.3">
      <c r="A1233" s="1">
        <v>34022</v>
      </c>
      <c r="B1233" s="2">
        <v>43772</v>
      </c>
      <c r="C1233" s="1" t="s">
        <v>11</v>
      </c>
      <c r="D1233" s="1">
        <v>6</v>
      </c>
      <c r="E1233" t="s">
        <v>17</v>
      </c>
      <c r="F1233" t="s">
        <v>17</v>
      </c>
      <c r="G1233" s="1">
        <v>46.97</v>
      </c>
      <c r="H1233">
        <v>0</v>
      </c>
      <c r="I1233">
        <f>Sales_Data[[#This Row],[Sales]]*Sales_Data[[#This Row],[Discount]]</f>
        <v>0</v>
      </c>
      <c r="J1233">
        <v>46.97</v>
      </c>
      <c r="K1233" s="1">
        <v>5.3</v>
      </c>
      <c r="L1233" s="1">
        <v>46.97</v>
      </c>
      <c r="M1233" s="1" t="s">
        <v>10</v>
      </c>
      <c r="N1233" s="1">
        <f>IF(Sales_Data[[#This Row],[Sales with Discount]]&lt;Sales_Data[[#This Row],[Sales with Free Shipping]],Sales_Data[[#This Row],[Sales with Discount]],Sales_Data[[#This Row],[Sales with Free Shipping]])</f>
        <v>46.97</v>
      </c>
      <c r="O1233" s="1" t="str">
        <f>TEXT(Sales_Data[[#This Row],[Order Date]], "MM-YYYY")</f>
        <v>11-2019</v>
      </c>
    </row>
    <row r="1234" spans="1:15" x14ac:dyDescent="0.3">
      <c r="A1234" s="1">
        <v>18849</v>
      </c>
      <c r="B1234" s="2">
        <v>43682</v>
      </c>
      <c r="C1234" s="1" t="s">
        <v>9</v>
      </c>
      <c r="D1234" s="1">
        <v>43</v>
      </c>
      <c r="E1234" t="s">
        <v>23</v>
      </c>
      <c r="F1234" t="s">
        <v>23</v>
      </c>
      <c r="G1234" s="1">
        <v>504.9</v>
      </c>
      <c r="H1234">
        <v>0.01</v>
      </c>
      <c r="I1234">
        <f>Sales_Data[[#This Row],[Sales]]*Sales_Data[[#This Row],[Discount]]</f>
        <v>5.0489999999999995</v>
      </c>
      <c r="J1234">
        <v>499.851</v>
      </c>
      <c r="K1234" s="1">
        <v>5.6</v>
      </c>
      <c r="L1234" s="1">
        <v>499.29999999999995</v>
      </c>
      <c r="M1234" s="1" t="s">
        <v>10</v>
      </c>
      <c r="N1234" s="1">
        <f>IF(Sales_Data[[#This Row],[Sales with Discount]]&lt;Sales_Data[[#This Row],[Sales with Free Shipping]],Sales_Data[[#This Row],[Sales with Discount]],Sales_Data[[#This Row],[Sales with Free Shipping]])</f>
        <v>499.29999999999995</v>
      </c>
      <c r="O1234" s="1" t="str">
        <f>TEXT(Sales_Data[[#This Row],[Order Date]], "MM-YYYY")</f>
        <v>08-2019</v>
      </c>
    </row>
    <row r="1235" spans="1:15" x14ac:dyDescent="0.3">
      <c r="A1235" s="1">
        <v>18112</v>
      </c>
      <c r="B1235" s="2">
        <v>43540</v>
      </c>
      <c r="C1235" s="1" t="s">
        <v>11</v>
      </c>
      <c r="D1235" s="1">
        <v>13</v>
      </c>
      <c r="E1235" t="s">
        <v>18</v>
      </c>
      <c r="F1235" t="s">
        <v>18</v>
      </c>
      <c r="G1235" s="1">
        <v>89.14</v>
      </c>
      <c r="H1235">
        <v>0</v>
      </c>
      <c r="I1235">
        <f>Sales_Data[[#This Row],[Sales]]*Sales_Data[[#This Row],[Discount]]</f>
        <v>0</v>
      </c>
      <c r="J1235">
        <v>89.14</v>
      </c>
      <c r="K1235" s="1">
        <v>1.4</v>
      </c>
      <c r="L1235" s="1">
        <v>89.14</v>
      </c>
      <c r="M1235" s="1" t="s">
        <v>10</v>
      </c>
      <c r="N1235" s="1">
        <f>IF(Sales_Data[[#This Row],[Sales with Discount]]&lt;Sales_Data[[#This Row],[Sales with Free Shipping]],Sales_Data[[#This Row],[Sales with Discount]],Sales_Data[[#This Row],[Sales with Free Shipping]])</f>
        <v>89.14</v>
      </c>
      <c r="O1235" s="1" t="str">
        <f>TEXT(Sales_Data[[#This Row],[Order Date]], "MM-YYYY")</f>
        <v>03-2019</v>
      </c>
    </row>
    <row r="1236" spans="1:15" x14ac:dyDescent="0.3">
      <c r="A1236" s="1">
        <v>58917</v>
      </c>
      <c r="B1236" s="2">
        <v>43526</v>
      </c>
      <c r="C1236" s="1" t="s">
        <v>9</v>
      </c>
      <c r="D1236" s="1">
        <v>3</v>
      </c>
      <c r="E1236" t="s">
        <v>16</v>
      </c>
      <c r="F1236" t="s">
        <v>16</v>
      </c>
      <c r="G1236" s="1">
        <v>67.28</v>
      </c>
      <c r="H1236">
        <v>0</v>
      </c>
      <c r="I1236">
        <f>Sales_Data[[#This Row],[Sales]]*Sales_Data[[#This Row],[Discount]]</f>
        <v>0</v>
      </c>
      <c r="J1236">
        <v>67.28</v>
      </c>
      <c r="K1236" s="1">
        <v>3.1</v>
      </c>
      <c r="L1236" s="1">
        <v>67.28</v>
      </c>
      <c r="M1236" s="1" t="s">
        <v>10</v>
      </c>
      <c r="N1236" s="1">
        <f>IF(Sales_Data[[#This Row],[Sales with Discount]]&lt;Sales_Data[[#This Row],[Sales with Free Shipping]],Sales_Data[[#This Row],[Sales with Discount]],Sales_Data[[#This Row],[Sales with Free Shipping]])</f>
        <v>67.28</v>
      </c>
      <c r="O1236" s="1" t="str">
        <f>TEXT(Sales_Data[[#This Row],[Order Date]], "MM-YYYY")</f>
        <v>03-2019</v>
      </c>
    </row>
    <row r="1237" spans="1:15" x14ac:dyDescent="0.3">
      <c r="A1237" s="1">
        <v>25793</v>
      </c>
      <c r="B1237" s="2">
        <v>43562</v>
      </c>
      <c r="C1237" s="1" t="s">
        <v>7</v>
      </c>
      <c r="D1237" s="1">
        <v>27</v>
      </c>
      <c r="E1237" t="s">
        <v>20</v>
      </c>
      <c r="F1237" t="s">
        <v>20</v>
      </c>
      <c r="G1237" s="1">
        <v>3677.34</v>
      </c>
      <c r="H1237">
        <v>0</v>
      </c>
      <c r="I1237">
        <f>Sales_Data[[#This Row],[Sales]]*Sales_Data[[#This Row],[Discount]]</f>
        <v>0</v>
      </c>
      <c r="J1237">
        <v>3677.34</v>
      </c>
      <c r="K1237" s="1">
        <v>9.6</v>
      </c>
      <c r="L1237" s="1">
        <v>3677.34</v>
      </c>
      <c r="M1237" s="1" t="s">
        <v>10</v>
      </c>
      <c r="N1237" s="1">
        <f>IF(Sales_Data[[#This Row],[Sales with Discount]]&lt;Sales_Data[[#This Row],[Sales with Free Shipping]],Sales_Data[[#This Row],[Sales with Discount]],Sales_Data[[#This Row],[Sales with Free Shipping]])</f>
        <v>3677.34</v>
      </c>
      <c r="O1237" s="1" t="str">
        <f>TEXT(Sales_Data[[#This Row],[Order Date]], "MM-YYYY")</f>
        <v>04-2019</v>
      </c>
    </row>
    <row r="1238" spans="1:15" x14ac:dyDescent="0.3">
      <c r="A1238" s="1">
        <v>44423</v>
      </c>
      <c r="B1238" s="2">
        <v>43675</v>
      </c>
      <c r="C1238" s="1" t="s">
        <v>12</v>
      </c>
      <c r="D1238" s="1">
        <v>39</v>
      </c>
      <c r="E1238" t="s">
        <v>22</v>
      </c>
      <c r="F1238" t="s">
        <v>22</v>
      </c>
      <c r="G1238" s="1">
        <v>266.04000000000002</v>
      </c>
      <c r="H1238">
        <v>0.01</v>
      </c>
      <c r="I1238">
        <f>Sales_Data[[#This Row],[Sales]]*Sales_Data[[#This Row],[Discount]]</f>
        <v>2.6604000000000001</v>
      </c>
      <c r="J1238">
        <v>263.37960000000004</v>
      </c>
      <c r="K1238" s="1">
        <v>5.7</v>
      </c>
      <c r="L1238" s="1">
        <v>260.34000000000003</v>
      </c>
      <c r="M1238" s="1" t="s">
        <v>10</v>
      </c>
      <c r="N1238" s="1">
        <f>IF(Sales_Data[[#This Row],[Sales with Discount]]&lt;Sales_Data[[#This Row],[Sales with Free Shipping]],Sales_Data[[#This Row],[Sales with Discount]],Sales_Data[[#This Row],[Sales with Free Shipping]])</f>
        <v>260.34000000000003</v>
      </c>
      <c r="O1238" s="1" t="str">
        <f>TEXT(Sales_Data[[#This Row],[Order Date]], "MM-YYYY")</f>
        <v>07-2019</v>
      </c>
    </row>
    <row r="1239" spans="1:15" x14ac:dyDescent="0.3">
      <c r="A1239" s="1">
        <v>1701</v>
      </c>
      <c r="B1239" s="2">
        <v>43603</v>
      </c>
      <c r="C1239" s="1" t="s">
        <v>9</v>
      </c>
      <c r="D1239" s="1">
        <v>49</v>
      </c>
      <c r="E1239" t="s">
        <v>24</v>
      </c>
      <c r="F1239" t="s">
        <v>24</v>
      </c>
      <c r="G1239" s="1">
        <v>2190.91</v>
      </c>
      <c r="H1239">
        <v>0.01</v>
      </c>
      <c r="I1239">
        <f>Sales_Data[[#This Row],[Sales]]*Sales_Data[[#This Row],[Discount]]</f>
        <v>21.909099999999999</v>
      </c>
      <c r="J1239">
        <v>2169.0009</v>
      </c>
      <c r="K1239" s="1">
        <v>2.1</v>
      </c>
      <c r="L1239" s="1">
        <v>2188.81</v>
      </c>
      <c r="M1239" s="1" t="s">
        <v>10</v>
      </c>
      <c r="N1239" s="1">
        <f>IF(Sales_Data[[#This Row],[Sales with Discount]]&lt;Sales_Data[[#This Row],[Sales with Free Shipping]],Sales_Data[[#This Row],[Sales with Discount]],Sales_Data[[#This Row],[Sales with Free Shipping]])</f>
        <v>2169.0009</v>
      </c>
      <c r="O1239" s="1" t="str">
        <f>TEXT(Sales_Data[[#This Row],[Order Date]], "MM-YYYY")</f>
        <v>05-2019</v>
      </c>
    </row>
    <row r="1240" spans="1:15" x14ac:dyDescent="0.3">
      <c r="A1240" s="1">
        <v>35713</v>
      </c>
      <c r="B1240" s="2">
        <v>43755</v>
      </c>
      <c r="C1240" s="1" t="s">
        <v>14</v>
      </c>
      <c r="D1240" s="1">
        <v>49</v>
      </c>
      <c r="E1240" t="s">
        <v>24</v>
      </c>
      <c r="F1240" t="s">
        <v>24</v>
      </c>
      <c r="G1240" s="1">
        <v>1450.35</v>
      </c>
      <c r="H1240">
        <v>0.01</v>
      </c>
      <c r="I1240">
        <f>Sales_Data[[#This Row],[Sales]]*Sales_Data[[#This Row],[Discount]]</f>
        <v>14.503499999999999</v>
      </c>
      <c r="J1240">
        <v>1435.8464999999999</v>
      </c>
      <c r="K1240" s="1">
        <v>1.6</v>
      </c>
      <c r="L1240" s="1">
        <v>1448.75</v>
      </c>
      <c r="M1240" s="1" t="s">
        <v>10</v>
      </c>
      <c r="N1240" s="1">
        <f>IF(Sales_Data[[#This Row],[Sales with Discount]]&lt;Sales_Data[[#This Row],[Sales with Free Shipping]],Sales_Data[[#This Row],[Sales with Discount]],Sales_Data[[#This Row],[Sales with Free Shipping]])</f>
        <v>1435.8464999999999</v>
      </c>
      <c r="O1240" s="1" t="str">
        <f>TEXT(Sales_Data[[#This Row],[Order Date]], "MM-YYYY")</f>
        <v>10-2019</v>
      </c>
    </row>
    <row r="1241" spans="1:15" x14ac:dyDescent="0.3">
      <c r="A1241" s="1">
        <v>22688</v>
      </c>
      <c r="B1241" s="2">
        <v>43572</v>
      </c>
      <c r="C1241" s="1" t="s">
        <v>14</v>
      </c>
      <c r="D1241" s="1">
        <v>40</v>
      </c>
      <c r="E1241" t="s">
        <v>22</v>
      </c>
      <c r="F1241" t="s">
        <v>22</v>
      </c>
      <c r="G1241" s="1">
        <v>2187.37</v>
      </c>
      <c r="H1241">
        <v>0.01</v>
      </c>
      <c r="I1241">
        <f>Sales_Data[[#This Row],[Sales]]*Sales_Data[[#This Row],[Discount]]</f>
        <v>21.873699999999999</v>
      </c>
      <c r="J1241">
        <v>2165.4962999999998</v>
      </c>
      <c r="K1241" s="1">
        <v>6</v>
      </c>
      <c r="L1241" s="1">
        <v>2181.37</v>
      </c>
      <c r="M1241" s="1" t="s">
        <v>10</v>
      </c>
      <c r="N1241" s="1">
        <f>IF(Sales_Data[[#This Row],[Sales with Discount]]&lt;Sales_Data[[#This Row],[Sales with Free Shipping]],Sales_Data[[#This Row],[Sales with Discount]],Sales_Data[[#This Row],[Sales with Free Shipping]])</f>
        <v>2165.4962999999998</v>
      </c>
      <c r="O1241" s="1" t="str">
        <f>TEXT(Sales_Data[[#This Row],[Order Date]], "MM-YYYY")</f>
        <v>04-2019</v>
      </c>
    </row>
    <row r="1242" spans="1:15" x14ac:dyDescent="0.3">
      <c r="A1242" s="1">
        <v>57699</v>
      </c>
      <c r="B1242" s="2">
        <v>43779</v>
      </c>
      <c r="C1242" s="1" t="s">
        <v>7</v>
      </c>
      <c r="D1242" s="1">
        <v>36</v>
      </c>
      <c r="E1242" t="s">
        <v>22</v>
      </c>
      <c r="F1242" t="s">
        <v>22</v>
      </c>
      <c r="G1242" s="1">
        <v>2312.0880999999999</v>
      </c>
      <c r="H1242">
        <v>0.01</v>
      </c>
      <c r="I1242">
        <f>Sales_Data[[#This Row],[Sales]]*Sales_Data[[#This Row],[Discount]]</f>
        <v>23.120881000000001</v>
      </c>
      <c r="J1242">
        <v>2288.9672190000001</v>
      </c>
      <c r="K1242" s="1">
        <v>21.4</v>
      </c>
      <c r="L1242" s="1">
        <v>2290.6880999999998</v>
      </c>
      <c r="M1242" s="1" t="s">
        <v>10</v>
      </c>
      <c r="N1242" s="1">
        <f>IF(Sales_Data[[#This Row],[Sales with Discount]]&lt;Sales_Data[[#This Row],[Sales with Free Shipping]],Sales_Data[[#This Row],[Sales with Discount]],Sales_Data[[#This Row],[Sales with Free Shipping]])</f>
        <v>2288.9672190000001</v>
      </c>
      <c r="O1242" s="1" t="str">
        <f>TEXT(Sales_Data[[#This Row],[Order Date]], "MM-YYYY")</f>
        <v>11-2019</v>
      </c>
    </row>
    <row r="1243" spans="1:15" x14ac:dyDescent="0.3">
      <c r="A1243" s="1">
        <v>36229</v>
      </c>
      <c r="B1243" s="2">
        <v>43729</v>
      </c>
      <c r="C1243" s="1" t="s">
        <v>11</v>
      </c>
      <c r="D1243" s="1">
        <v>24</v>
      </c>
      <c r="E1243" t="s">
        <v>14</v>
      </c>
      <c r="F1243" t="s">
        <v>14</v>
      </c>
      <c r="G1243" s="1">
        <v>3841.65</v>
      </c>
      <c r="H1243">
        <v>0</v>
      </c>
      <c r="I1243">
        <f>Sales_Data[[#This Row],[Sales]]*Sales_Data[[#This Row],[Discount]]</f>
        <v>0</v>
      </c>
      <c r="J1243">
        <v>3841.65</v>
      </c>
      <c r="K1243" s="1">
        <v>46.8</v>
      </c>
      <c r="L1243" s="1">
        <v>3841.65</v>
      </c>
      <c r="M1243" s="1" t="s">
        <v>13</v>
      </c>
      <c r="N1243" s="1">
        <f>IF(Sales_Data[[#This Row],[Sales with Discount]]&lt;Sales_Data[[#This Row],[Sales with Free Shipping]],Sales_Data[[#This Row],[Sales with Discount]],Sales_Data[[#This Row],[Sales with Free Shipping]])</f>
        <v>3841.65</v>
      </c>
      <c r="O1243" s="1" t="str">
        <f>TEXT(Sales_Data[[#This Row],[Order Date]], "MM-YYYY")</f>
        <v>09-2019</v>
      </c>
    </row>
    <row r="1244" spans="1:15" x14ac:dyDescent="0.3">
      <c r="A1244" s="1">
        <v>13923</v>
      </c>
      <c r="B1244" s="2">
        <v>43654</v>
      </c>
      <c r="C1244" s="1" t="s">
        <v>9</v>
      </c>
      <c r="D1244" s="1">
        <v>28</v>
      </c>
      <c r="E1244" t="s">
        <v>20</v>
      </c>
      <c r="F1244" t="s">
        <v>20</v>
      </c>
      <c r="G1244" s="1">
        <v>4635.5609999999997</v>
      </c>
      <c r="H1244">
        <v>0</v>
      </c>
      <c r="I1244">
        <f>Sales_Data[[#This Row],[Sales]]*Sales_Data[[#This Row],[Discount]]</f>
        <v>0</v>
      </c>
      <c r="J1244">
        <v>4635.5609999999997</v>
      </c>
      <c r="K1244" s="1">
        <v>16.7</v>
      </c>
      <c r="L1244" s="1">
        <v>4635.5609999999997</v>
      </c>
      <c r="M1244" s="1" t="s">
        <v>13</v>
      </c>
      <c r="N1244" s="1">
        <f>IF(Sales_Data[[#This Row],[Sales with Discount]]&lt;Sales_Data[[#This Row],[Sales with Free Shipping]],Sales_Data[[#This Row],[Sales with Discount]],Sales_Data[[#This Row],[Sales with Free Shipping]])</f>
        <v>4635.5609999999997</v>
      </c>
      <c r="O1244" s="1" t="str">
        <f>TEXT(Sales_Data[[#This Row],[Order Date]], "MM-YYYY")</f>
        <v>07-2019</v>
      </c>
    </row>
    <row r="1245" spans="1:15" x14ac:dyDescent="0.3">
      <c r="A1245" s="1">
        <v>40801</v>
      </c>
      <c r="B1245" s="2">
        <v>43647</v>
      </c>
      <c r="C1245" s="1" t="s">
        <v>11</v>
      </c>
      <c r="D1245" s="1">
        <v>20</v>
      </c>
      <c r="E1245" t="s">
        <v>19</v>
      </c>
      <c r="F1245" t="s">
        <v>19</v>
      </c>
      <c r="G1245" s="1">
        <v>138.19999999999999</v>
      </c>
      <c r="H1245">
        <v>0</v>
      </c>
      <c r="I1245">
        <f>Sales_Data[[#This Row],[Sales]]*Sales_Data[[#This Row],[Discount]]</f>
        <v>0</v>
      </c>
      <c r="J1245">
        <v>138.19999999999999</v>
      </c>
      <c r="K1245" s="1">
        <v>6.7</v>
      </c>
      <c r="L1245" s="1">
        <v>138.19999999999999</v>
      </c>
      <c r="M1245" s="1" t="s">
        <v>10</v>
      </c>
      <c r="N1245" s="1">
        <f>IF(Sales_Data[[#This Row],[Sales with Discount]]&lt;Sales_Data[[#This Row],[Sales with Free Shipping]],Sales_Data[[#This Row],[Sales with Discount]],Sales_Data[[#This Row],[Sales with Free Shipping]])</f>
        <v>138.19999999999999</v>
      </c>
      <c r="O1245" s="1" t="str">
        <f>TEXT(Sales_Data[[#This Row],[Order Date]], "MM-YYYY")</f>
        <v>07-2019</v>
      </c>
    </row>
    <row r="1246" spans="1:15" x14ac:dyDescent="0.3">
      <c r="A1246" s="1">
        <v>22663</v>
      </c>
      <c r="B1246" s="2">
        <v>43475</v>
      </c>
      <c r="C1246" s="1" t="s">
        <v>7</v>
      </c>
      <c r="D1246" s="1">
        <v>15</v>
      </c>
      <c r="E1246" t="s">
        <v>18</v>
      </c>
      <c r="F1246" t="s">
        <v>18</v>
      </c>
      <c r="G1246" s="1">
        <v>7693.3642</v>
      </c>
      <c r="H1246">
        <v>0</v>
      </c>
      <c r="I1246">
        <f>Sales_Data[[#This Row],[Sales]]*Sales_Data[[#This Row],[Discount]]</f>
        <v>0</v>
      </c>
      <c r="J1246">
        <v>7693.3642</v>
      </c>
      <c r="K1246" s="1">
        <v>30.1</v>
      </c>
      <c r="L1246" s="1">
        <v>7693.3642</v>
      </c>
      <c r="M1246" s="1" t="s">
        <v>13</v>
      </c>
      <c r="N1246" s="1">
        <f>IF(Sales_Data[[#This Row],[Sales with Discount]]&lt;Sales_Data[[#This Row],[Sales with Free Shipping]],Sales_Data[[#This Row],[Sales with Discount]],Sales_Data[[#This Row],[Sales with Free Shipping]])</f>
        <v>7693.3642</v>
      </c>
      <c r="O1246" s="1" t="str">
        <f>TEXT(Sales_Data[[#This Row],[Order Date]], "MM-YYYY")</f>
        <v>01-2019</v>
      </c>
    </row>
    <row r="1247" spans="1:15" x14ac:dyDescent="0.3">
      <c r="A1247" s="1">
        <v>4800</v>
      </c>
      <c r="B1247" s="2">
        <v>43469</v>
      </c>
      <c r="C1247" s="1" t="s">
        <v>7</v>
      </c>
      <c r="D1247" s="1">
        <v>7</v>
      </c>
      <c r="E1247" t="s">
        <v>17</v>
      </c>
      <c r="F1247" t="s">
        <v>17</v>
      </c>
      <c r="G1247" s="1">
        <v>85.4</v>
      </c>
      <c r="H1247">
        <v>0</v>
      </c>
      <c r="I1247">
        <f>Sales_Data[[#This Row],[Sales]]*Sales_Data[[#This Row],[Discount]]</f>
        <v>0</v>
      </c>
      <c r="J1247">
        <v>85.4</v>
      </c>
      <c r="K1247" s="1">
        <v>2.5</v>
      </c>
      <c r="L1247" s="1">
        <v>85.4</v>
      </c>
      <c r="M1247" s="1" t="s">
        <v>10</v>
      </c>
      <c r="N1247" s="1">
        <f>IF(Sales_Data[[#This Row],[Sales with Discount]]&lt;Sales_Data[[#This Row],[Sales with Free Shipping]],Sales_Data[[#This Row],[Sales with Discount]],Sales_Data[[#This Row],[Sales with Free Shipping]])</f>
        <v>85.4</v>
      </c>
      <c r="O1247" s="1" t="str">
        <f>TEXT(Sales_Data[[#This Row],[Order Date]], "MM-YYYY")</f>
        <v>01-2019</v>
      </c>
    </row>
    <row r="1248" spans="1:15" x14ac:dyDescent="0.3">
      <c r="A1248" s="1">
        <v>16098</v>
      </c>
      <c r="B1248" s="2">
        <v>43667</v>
      </c>
      <c r="C1248" s="1" t="s">
        <v>7</v>
      </c>
      <c r="D1248" s="1">
        <v>44</v>
      </c>
      <c r="E1248" t="s">
        <v>23</v>
      </c>
      <c r="F1248" t="s">
        <v>23</v>
      </c>
      <c r="G1248" s="1">
        <v>1072.1300000000001</v>
      </c>
      <c r="H1248">
        <v>0.01</v>
      </c>
      <c r="I1248">
        <f>Sales_Data[[#This Row],[Sales]]*Sales_Data[[#This Row],[Discount]]</f>
        <v>10.721300000000001</v>
      </c>
      <c r="J1248">
        <v>1061.4087000000002</v>
      </c>
      <c r="K1248" s="1">
        <v>3.2</v>
      </c>
      <c r="L1248" s="1">
        <v>1068.93</v>
      </c>
      <c r="M1248" s="1" t="s">
        <v>10</v>
      </c>
      <c r="N1248" s="1">
        <f>IF(Sales_Data[[#This Row],[Sales with Discount]]&lt;Sales_Data[[#This Row],[Sales with Free Shipping]],Sales_Data[[#This Row],[Sales with Discount]],Sales_Data[[#This Row],[Sales with Free Shipping]])</f>
        <v>1061.4087000000002</v>
      </c>
      <c r="O1248" s="1" t="str">
        <f>TEXT(Sales_Data[[#This Row],[Order Date]], "MM-YYYY")</f>
        <v>07-2019</v>
      </c>
    </row>
    <row r="1249" spans="1:15" x14ac:dyDescent="0.3">
      <c r="A1249" s="1">
        <v>17414</v>
      </c>
      <c r="B1249" s="2">
        <v>43645</v>
      </c>
      <c r="C1249" s="1" t="s">
        <v>9</v>
      </c>
      <c r="D1249" s="1">
        <v>32</v>
      </c>
      <c r="E1249" t="s">
        <v>21</v>
      </c>
      <c r="F1249" t="s">
        <v>21</v>
      </c>
      <c r="G1249" s="1">
        <v>372.29</v>
      </c>
      <c r="H1249">
        <v>0</v>
      </c>
      <c r="I1249">
        <f>Sales_Data[[#This Row],[Sales]]*Sales_Data[[#This Row],[Discount]]</f>
        <v>0</v>
      </c>
      <c r="J1249">
        <v>372.29</v>
      </c>
      <c r="K1249" s="1">
        <v>5.4</v>
      </c>
      <c r="L1249" s="1">
        <v>372.29</v>
      </c>
      <c r="M1249" s="1" t="s">
        <v>10</v>
      </c>
      <c r="N1249" s="1">
        <f>IF(Sales_Data[[#This Row],[Sales with Discount]]&lt;Sales_Data[[#This Row],[Sales with Free Shipping]],Sales_Data[[#This Row],[Sales with Discount]],Sales_Data[[#This Row],[Sales with Free Shipping]])</f>
        <v>372.29</v>
      </c>
      <c r="O1249" s="1" t="str">
        <f>TEXT(Sales_Data[[#This Row],[Order Date]], "MM-YYYY")</f>
        <v>06-2019</v>
      </c>
    </row>
    <row r="1250" spans="1:15" x14ac:dyDescent="0.3">
      <c r="A1250" s="1">
        <v>54177</v>
      </c>
      <c r="B1250" s="2">
        <v>43489</v>
      </c>
      <c r="C1250" s="1" t="s">
        <v>12</v>
      </c>
      <c r="D1250" s="1">
        <v>25</v>
      </c>
      <c r="E1250" t="s">
        <v>14</v>
      </c>
      <c r="F1250" t="s">
        <v>14</v>
      </c>
      <c r="G1250" s="1">
        <v>170.13</v>
      </c>
      <c r="H1250">
        <v>0</v>
      </c>
      <c r="I1250">
        <f>Sales_Data[[#This Row],[Sales]]*Sales_Data[[#This Row],[Discount]]</f>
        <v>0</v>
      </c>
      <c r="J1250">
        <v>170.13</v>
      </c>
      <c r="K1250" s="1">
        <v>7.9</v>
      </c>
      <c r="L1250" s="1">
        <v>170.13</v>
      </c>
      <c r="M1250" s="1" t="s">
        <v>10</v>
      </c>
      <c r="N1250" s="1">
        <f>IF(Sales_Data[[#This Row],[Sales with Discount]]&lt;Sales_Data[[#This Row],[Sales with Free Shipping]],Sales_Data[[#This Row],[Sales with Discount]],Sales_Data[[#This Row],[Sales with Free Shipping]])</f>
        <v>170.13</v>
      </c>
      <c r="O1250" s="1" t="str">
        <f>TEXT(Sales_Data[[#This Row],[Order Date]], "MM-YYYY")</f>
        <v>01-2019</v>
      </c>
    </row>
    <row r="1251" spans="1:15" x14ac:dyDescent="0.3">
      <c r="A1251" s="1">
        <v>8294</v>
      </c>
      <c r="B1251" s="2">
        <v>43636</v>
      </c>
      <c r="C1251" s="1" t="s">
        <v>14</v>
      </c>
      <c r="D1251" s="1">
        <v>28</v>
      </c>
      <c r="E1251" t="s">
        <v>20</v>
      </c>
      <c r="F1251" t="s">
        <v>20</v>
      </c>
      <c r="G1251" s="1">
        <v>211.4</v>
      </c>
      <c r="H1251">
        <v>0</v>
      </c>
      <c r="I1251">
        <f>Sales_Data[[#This Row],[Sales]]*Sales_Data[[#This Row],[Discount]]</f>
        <v>0</v>
      </c>
      <c r="J1251">
        <v>211.4</v>
      </c>
      <c r="K1251" s="1">
        <v>5.4</v>
      </c>
      <c r="L1251" s="1">
        <v>211.4</v>
      </c>
      <c r="M1251" s="1" t="s">
        <v>10</v>
      </c>
      <c r="N1251" s="1">
        <f>IF(Sales_Data[[#This Row],[Sales with Discount]]&lt;Sales_Data[[#This Row],[Sales with Free Shipping]],Sales_Data[[#This Row],[Sales with Discount]],Sales_Data[[#This Row],[Sales with Free Shipping]])</f>
        <v>211.4</v>
      </c>
      <c r="O1251" s="1" t="str">
        <f>TEXT(Sales_Data[[#This Row],[Order Date]], "MM-YYYY")</f>
        <v>06-2019</v>
      </c>
    </row>
    <row r="1252" spans="1:15" x14ac:dyDescent="0.3">
      <c r="A1252" s="1">
        <v>19874</v>
      </c>
      <c r="B1252" s="2">
        <v>43624</v>
      </c>
      <c r="C1252" s="1" t="s">
        <v>9</v>
      </c>
      <c r="D1252" s="1">
        <v>31</v>
      </c>
      <c r="E1252" t="s">
        <v>21</v>
      </c>
      <c r="F1252" t="s">
        <v>21</v>
      </c>
      <c r="G1252" s="1">
        <v>332.19</v>
      </c>
      <c r="H1252">
        <v>0</v>
      </c>
      <c r="I1252">
        <f>Sales_Data[[#This Row],[Sales]]*Sales_Data[[#This Row],[Discount]]</f>
        <v>0</v>
      </c>
      <c r="J1252">
        <v>332.19</v>
      </c>
      <c r="K1252" s="1">
        <v>10.1</v>
      </c>
      <c r="L1252" s="1">
        <v>332.19</v>
      </c>
      <c r="M1252" s="1" t="s">
        <v>10</v>
      </c>
      <c r="N1252" s="1">
        <f>IF(Sales_Data[[#This Row],[Sales with Discount]]&lt;Sales_Data[[#This Row],[Sales with Free Shipping]],Sales_Data[[#This Row],[Sales with Discount]],Sales_Data[[#This Row],[Sales with Free Shipping]])</f>
        <v>332.19</v>
      </c>
      <c r="O1252" s="1" t="str">
        <f>TEXT(Sales_Data[[#This Row],[Order Date]], "MM-YYYY")</f>
        <v>06-2019</v>
      </c>
    </row>
    <row r="1253" spans="1:15" x14ac:dyDescent="0.3">
      <c r="A1253" s="1">
        <v>58658</v>
      </c>
      <c r="B1253" s="2">
        <v>43627</v>
      </c>
      <c r="C1253" s="1" t="s">
        <v>14</v>
      </c>
      <c r="D1253" s="1">
        <v>7</v>
      </c>
      <c r="E1253" t="s">
        <v>17</v>
      </c>
      <c r="F1253" t="s">
        <v>17</v>
      </c>
      <c r="G1253" s="1">
        <v>945.06</v>
      </c>
      <c r="H1253">
        <v>0</v>
      </c>
      <c r="I1253">
        <f>Sales_Data[[#This Row],[Sales]]*Sales_Data[[#This Row],[Discount]]</f>
        <v>0</v>
      </c>
      <c r="J1253">
        <v>945.06</v>
      </c>
      <c r="K1253" s="1">
        <v>62.7</v>
      </c>
      <c r="L1253" s="1">
        <v>945.06</v>
      </c>
      <c r="M1253" s="1" t="s">
        <v>13</v>
      </c>
      <c r="N1253" s="1">
        <f>IF(Sales_Data[[#This Row],[Sales with Discount]]&lt;Sales_Data[[#This Row],[Sales with Free Shipping]],Sales_Data[[#This Row],[Sales with Discount]],Sales_Data[[#This Row],[Sales with Free Shipping]])</f>
        <v>945.06</v>
      </c>
      <c r="O1253" s="1" t="str">
        <f>TEXT(Sales_Data[[#This Row],[Order Date]], "MM-YYYY")</f>
        <v>06-2019</v>
      </c>
    </row>
    <row r="1254" spans="1:15" x14ac:dyDescent="0.3">
      <c r="A1254" s="1">
        <v>23618</v>
      </c>
      <c r="B1254" s="2">
        <v>43796</v>
      </c>
      <c r="C1254" s="1" t="s">
        <v>14</v>
      </c>
      <c r="D1254" s="1">
        <v>45</v>
      </c>
      <c r="E1254" t="s">
        <v>23</v>
      </c>
      <c r="F1254" t="s">
        <v>23</v>
      </c>
      <c r="G1254" s="1">
        <v>2783.92</v>
      </c>
      <c r="H1254">
        <v>0.01</v>
      </c>
      <c r="I1254">
        <f>Sales_Data[[#This Row],[Sales]]*Sales_Data[[#This Row],[Discount]]</f>
        <v>27.839200000000002</v>
      </c>
      <c r="J1254">
        <v>2756.0808000000002</v>
      </c>
      <c r="K1254" s="1">
        <v>5.6</v>
      </c>
      <c r="L1254" s="1">
        <v>2778.32</v>
      </c>
      <c r="M1254" s="1" t="s">
        <v>10</v>
      </c>
      <c r="N1254" s="1">
        <f>IF(Sales_Data[[#This Row],[Sales with Discount]]&lt;Sales_Data[[#This Row],[Sales with Free Shipping]],Sales_Data[[#This Row],[Sales with Discount]],Sales_Data[[#This Row],[Sales with Free Shipping]])</f>
        <v>2756.0808000000002</v>
      </c>
      <c r="O1254" s="1" t="str">
        <f>TEXT(Sales_Data[[#This Row],[Order Date]], "MM-YYYY")</f>
        <v>11-2019</v>
      </c>
    </row>
    <row r="1255" spans="1:15" x14ac:dyDescent="0.3">
      <c r="A1255" s="1">
        <v>31874</v>
      </c>
      <c r="B1255" s="2">
        <v>43723</v>
      </c>
      <c r="C1255" s="1" t="s">
        <v>9</v>
      </c>
      <c r="D1255" s="1">
        <v>29</v>
      </c>
      <c r="E1255" t="s">
        <v>20</v>
      </c>
      <c r="F1255" t="s">
        <v>20</v>
      </c>
      <c r="G1255" s="1">
        <v>344.48649999999998</v>
      </c>
      <c r="H1255">
        <v>0</v>
      </c>
      <c r="I1255">
        <f>Sales_Data[[#This Row],[Sales]]*Sales_Data[[#This Row],[Discount]]</f>
        <v>0</v>
      </c>
      <c r="J1255">
        <v>344.48649999999998</v>
      </c>
      <c r="K1255" s="1">
        <v>3.6</v>
      </c>
      <c r="L1255" s="1">
        <v>344.48649999999998</v>
      </c>
      <c r="M1255" s="1" t="s">
        <v>8</v>
      </c>
      <c r="N1255" s="1">
        <f>IF(Sales_Data[[#This Row],[Sales with Discount]]&lt;Sales_Data[[#This Row],[Sales with Free Shipping]],Sales_Data[[#This Row],[Sales with Discount]],Sales_Data[[#This Row],[Sales with Free Shipping]])</f>
        <v>344.48649999999998</v>
      </c>
      <c r="O1255" s="1" t="str">
        <f>TEXT(Sales_Data[[#This Row],[Order Date]], "MM-YYYY")</f>
        <v>09-2019</v>
      </c>
    </row>
    <row r="1256" spans="1:15" x14ac:dyDescent="0.3">
      <c r="A1256" s="1">
        <v>21638</v>
      </c>
      <c r="B1256" s="2">
        <v>43571</v>
      </c>
      <c r="C1256" s="1" t="s">
        <v>9</v>
      </c>
      <c r="D1256" s="1">
        <v>13</v>
      </c>
      <c r="E1256" t="s">
        <v>18</v>
      </c>
      <c r="F1256" t="s">
        <v>18</v>
      </c>
      <c r="G1256" s="1">
        <v>448.25510000000003</v>
      </c>
      <c r="H1256">
        <v>0</v>
      </c>
      <c r="I1256">
        <f>Sales_Data[[#This Row],[Sales]]*Sales_Data[[#This Row],[Discount]]</f>
        <v>0</v>
      </c>
      <c r="J1256">
        <v>448.25510000000003</v>
      </c>
      <c r="K1256" s="1">
        <v>9.4</v>
      </c>
      <c r="L1256" s="1">
        <v>448.25510000000003</v>
      </c>
      <c r="M1256" s="1" t="s">
        <v>10</v>
      </c>
      <c r="N1256" s="1">
        <f>IF(Sales_Data[[#This Row],[Sales with Discount]]&lt;Sales_Data[[#This Row],[Sales with Free Shipping]],Sales_Data[[#This Row],[Sales with Discount]],Sales_Data[[#This Row],[Sales with Free Shipping]])</f>
        <v>448.25510000000003</v>
      </c>
      <c r="O1256" s="1" t="str">
        <f>TEXT(Sales_Data[[#This Row],[Order Date]], "MM-YYYY")</f>
        <v>04-2019</v>
      </c>
    </row>
    <row r="1257" spans="1:15" x14ac:dyDescent="0.3">
      <c r="A1257" s="1">
        <v>41063</v>
      </c>
      <c r="B1257" s="2">
        <v>43790</v>
      </c>
      <c r="C1257" s="1" t="s">
        <v>7</v>
      </c>
      <c r="D1257" s="1">
        <v>22</v>
      </c>
      <c r="E1257" t="s">
        <v>14</v>
      </c>
      <c r="F1257" t="s">
        <v>14</v>
      </c>
      <c r="G1257" s="1">
        <v>517.84</v>
      </c>
      <c r="H1257">
        <v>0</v>
      </c>
      <c r="I1257">
        <f>Sales_Data[[#This Row],[Sales]]*Sales_Data[[#This Row],[Discount]]</f>
        <v>0</v>
      </c>
      <c r="J1257">
        <v>517.84</v>
      </c>
      <c r="K1257" s="1">
        <v>9.6</v>
      </c>
      <c r="L1257" s="1">
        <v>517.84</v>
      </c>
      <c r="M1257" s="1" t="s">
        <v>10</v>
      </c>
      <c r="N1257" s="1">
        <f>IF(Sales_Data[[#This Row],[Sales with Discount]]&lt;Sales_Data[[#This Row],[Sales with Free Shipping]],Sales_Data[[#This Row],[Sales with Discount]],Sales_Data[[#This Row],[Sales with Free Shipping]])</f>
        <v>517.84</v>
      </c>
      <c r="O1257" s="1" t="str">
        <f>TEXT(Sales_Data[[#This Row],[Order Date]], "MM-YYYY")</f>
        <v>11-2019</v>
      </c>
    </row>
    <row r="1258" spans="1:15" x14ac:dyDescent="0.3">
      <c r="A1258" s="1">
        <v>44167</v>
      </c>
      <c r="B1258" s="2">
        <v>43494</v>
      </c>
      <c r="C1258" s="1" t="s">
        <v>12</v>
      </c>
      <c r="D1258" s="1">
        <v>23</v>
      </c>
      <c r="E1258" t="s">
        <v>14</v>
      </c>
      <c r="F1258" t="s">
        <v>14</v>
      </c>
      <c r="G1258" s="1">
        <v>3417.63</v>
      </c>
      <c r="H1258">
        <v>0</v>
      </c>
      <c r="I1258">
        <f>Sales_Data[[#This Row],[Sales]]*Sales_Data[[#This Row],[Discount]]</f>
        <v>0</v>
      </c>
      <c r="J1258">
        <v>3417.63</v>
      </c>
      <c r="K1258" s="1">
        <v>21.4</v>
      </c>
      <c r="L1258" s="1">
        <v>3417.63</v>
      </c>
      <c r="M1258" s="1" t="s">
        <v>10</v>
      </c>
      <c r="N1258" s="1">
        <f>IF(Sales_Data[[#This Row],[Sales with Discount]]&lt;Sales_Data[[#This Row],[Sales with Free Shipping]],Sales_Data[[#This Row],[Sales with Discount]],Sales_Data[[#This Row],[Sales with Free Shipping]])</f>
        <v>3417.63</v>
      </c>
      <c r="O1258" s="1" t="str">
        <f>TEXT(Sales_Data[[#This Row],[Order Date]], "MM-YYYY")</f>
        <v>01-2019</v>
      </c>
    </row>
    <row r="1259" spans="1:15" x14ac:dyDescent="0.3">
      <c r="A1259" s="1">
        <v>45346</v>
      </c>
      <c r="B1259" s="2">
        <v>43784</v>
      </c>
      <c r="C1259" s="1" t="s">
        <v>9</v>
      </c>
      <c r="D1259" s="1">
        <v>37</v>
      </c>
      <c r="E1259" t="s">
        <v>22</v>
      </c>
      <c r="F1259" t="s">
        <v>22</v>
      </c>
      <c r="G1259" s="1">
        <v>740.6</v>
      </c>
      <c r="H1259">
        <v>0.01</v>
      </c>
      <c r="I1259">
        <f>Sales_Data[[#This Row],[Sales]]*Sales_Data[[#This Row],[Discount]]</f>
        <v>7.4060000000000006</v>
      </c>
      <c r="J1259">
        <v>733.19399999999996</v>
      </c>
      <c r="K1259" s="1">
        <v>6.4</v>
      </c>
      <c r="L1259" s="1">
        <v>734.2</v>
      </c>
      <c r="M1259" s="1" t="s">
        <v>10</v>
      </c>
      <c r="N1259" s="1">
        <f>IF(Sales_Data[[#This Row],[Sales with Discount]]&lt;Sales_Data[[#This Row],[Sales with Free Shipping]],Sales_Data[[#This Row],[Sales with Discount]],Sales_Data[[#This Row],[Sales with Free Shipping]])</f>
        <v>733.19399999999996</v>
      </c>
      <c r="O1259" s="1" t="str">
        <f>TEXT(Sales_Data[[#This Row],[Order Date]], "MM-YYYY")</f>
        <v>11-2019</v>
      </c>
    </row>
    <row r="1260" spans="1:15" x14ac:dyDescent="0.3">
      <c r="A1260" s="1">
        <v>4804</v>
      </c>
      <c r="B1260" s="2">
        <v>43491</v>
      </c>
      <c r="C1260" s="1" t="s">
        <v>9</v>
      </c>
      <c r="D1260" s="1">
        <v>13</v>
      </c>
      <c r="E1260" t="s">
        <v>18</v>
      </c>
      <c r="F1260" t="s">
        <v>18</v>
      </c>
      <c r="G1260" s="1">
        <v>496.29809999999998</v>
      </c>
      <c r="H1260">
        <v>0</v>
      </c>
      <c r="I1260">
        <f>Sales_Data[[#This Row],[Sales]]*Sales_Data[[#This Row],[Discount]]</f>
        <v>0</v>
      </c>
      <c r="J1260">
        <v>496.29809999999998</v>
      </c>
      <c r="K1260" s="1">
        <v>2.1</v>
      </c>
      <c r="L1260" s="1">
        <v>496.29809999999998</v>
      </c>
      <c r="M1260" s="1" t="s">
        <v>10</v>
      </c>
      <c r="N1260" s="1">
        <f>IF(Sales_Data[[#This Row],[Sales with Discount]]&lt;Sales_Data[[#This Row],[Sales with Free Shipping]],Sales_Data[[#This Row],[Sales with Discount]],Sales_Data[[#This Row],[Sales with Free Shipping]])</f>
        <v>496.29809999999998</v>
      </c>
      <c r="O1260" s="1" t="str">
        <f>TEXT(Sales_Data[[#This Row],[Order Date]], "MM-YYYY")</f>
        <v>01-2019</v>
      </c>
    </row>
    <row r="1261" spans="1:15" x14ac:dyDescent="0.3">
      <c r="A1261" s="1">
        <v>23555</v>
      </c>
      <c r="B1261" s="2">
        <v>43810</v>
      </c>
      <c r="C1261" s="1" t="s">
        <v>9</v>
      </c>
      <c r="D1261" s="1">
        <v>5</v>
      </c>
      <c r="E1261" t="s">
        <v>16</v>
      </c>
      <c r="F1261" t="s">
        <v>16</v>
      </c>
      <c r="G1261" s="1">
        <v>304.36</v>
      </c>
      <c r="H1261">
        <v>0</v>
      </c>
      <c r="I1261">
        <f>Sales_Data[[#This Row],[Sales]]*Sales_Data[[#This Row],[Discount]]</f>
        <v>0</v>
      </c>
      <c r="J1261">
        <v>304.36</v>
      </c>
      <c r="K1261" s="1">
        <v>9.6</v>
      </c>
      <c r="L1261" s="1">
        <v>304.36</v>
      </c>
      <c r="M1261" s="1" t="s">
        <v>10</v>
      </c>
      <c r="N1261" s="1">
        <f>IF(Sales_Data[[#This Row],[Sales with Discount]]&lt;Sales_Data[[#This Row],[Sales with Free Shipping]],Sales_Data[[#This Row],[Sales with Discount]],Sales_Data[[#This Row],[Sales with Free Shipping]])</f>
        <v>304.36</v>
      </c>
      <c r="O1261" s="1" t="str">
        <f>TEXT(Sales_Data[[#This Row],[Order Date]], "MM-YYYY")</f>
        <v>12-2019</v>
      </c>
    </row>
    <row r="1262" spans="1:15" x14ac:dyDescent="0.3">
      <c r="A1262" s="1">
        <v>51876</v>
      </c>
      <c r="B1262" s="2">
        <v>43530</v>
      </c>
      <c r="C1262" s="1" t="s">
        <v>12</v>
      </c>
      <c r="D1262" s="1">
        <v>2</v>
      </c>
      <c r="E1262" t="s">
        <v>16</v>
      </c>
      <c r="F1262" t="s">
        <v>16</v>
      </c>
      <c r="G1262" s="1">
        <v>101.71</v>
      </c>
      <c r="H1262">
        <v>0</v>
      </c>
      <c r="I1262">
        <f>Sales_Data[[#This Row],[Sales]]*Sales_Data[[#This Row],[Discount]]</f>
        <v>0</v>
      </c>
      <c r="J1262">
        <v>101.71</v>
      </c>
      <c r="K1262" s="1">
        <v>5.4</v>
      </c>
      <c r="L1262" s="1">
        <v>101.71</v>
      </c>
      <c r="M1262" s="1" t="s">
        <v>10</v>
      </c>
      <c r="N1262" s="1">
        <f>IF(Sales_Data[[#This Row],[Sales with Discount]]&lt;Sales_Data[[#This Row],[Sales with Free Shipping]],Sales_Data[[#This Row],[Sales with Discount]],Sales_Data[[#This Row],[Sales with Free Shipping]])</f>
        <v>101.71</v>
      </c>
      <c r="O1262" s="1" t="str">
        <f>TEXT(Sales_Data[[#This Row],[Order Date]], "MM-YYYY")</f>
        <v>03-2019</v>
      </c>
    </row>
    <row r="1263" spans="1:15" x14ac:dyDescent="0.3">
      <c r="A1263" s="1">
        <v>59905</v>
      </c>
      <c r="B1263" s="2">
        <v>43569</v>
      </c>
      <c r="C1263" s="1" t="s">
        <v>9</v>
      </c>
      <c r="D1263" s="1">
        <v>19</v>
      </c>
      <c r="E1263" t="s">
        <v>19</v>
      </c>
      <c r="F1263" t="s">
        <v>19</v>
      </c>
      <c r="G1263" s="1">
        <v>170.39</v>
      </c>
      <c r="H1263">
        <v>0</v>
      </c>
      <c r="I1263">
        <f>Sales_Data[[#This Row],[Sales]]*Sales_Data[[#This Row],[Discount]]</f>
        <v>0</v>
      </c>
      <c r="J1263">
        <v>170.39</v>
      </c>
      <c r="K1263" s="1">
        <v>2.1</v>
      </c>
      <c r="L1263" s="1">
        <v>170.39</v>
      </c>
      <c r="M1263" s="1" t="s">
        <v>10</v>
      </c>
      <c r="N1263" s="1">
        <f>IF(Sales_Data[[#This Row],[Sales with Discount]]&lt;Sales_Data[[#This Row],[Sales with Free Shipping]],Sales_Data[[#This Row],[Sales with Discount]],Sales_Data[[#This Row],[Sales with Free Shipping]])</f>
        <v>170.39</v>
      </c>
      <c r="O1263" s="1" t="str">
        <f>TEXT(Sales_Data[[#This Row],[Order Date]], "MM-YYYY")</f>
        <v>04-2019</v>
      </c>
    </row>
    <row r="1264" spans="1:15" x14ac:dyDescent="0.3">
      <c r="A1264" s="1">
        <v>22085</v>
      </c>
      <c r="B1264" s="2">
        <v>43533</v>
      </c>
      <c r="C1264" s="1" t="s">
        <v>7</v>
      </c>
      <c r="D1264" s="1">
        <v>27</v>
      </c>
      <c r="E1264" t="s">
        <v>20</v>
      </c>
      <c r="F1264" t="s">
        <v>20</v>
      </c>
      <c r="G1264" s="1">
        <v>518.98209999999995</v>
      </c>
      <c r="H1264">
        <v>0</v>
      </c>
      <c r="I1264">
        <f>Sales_Data[[#This Row],[Sales]]*Sales_Data[[#This Row],[Discount]]</f>
        <v>0</v>
      </c>
      <c r="J1264">
        <v>518.98209999999995</v>
      </c>
      <c r="K1264" s="1">
        <v>10.1</v>
      </c>
      <c r="L1264" s="1">
        <v>518.98209999999995</v>
      </c>
      <c r="M1264" s="1" t="s">
        <v>10</v>
      </c>
      <c r="N1264" s="1">
        <f>IF(Sales_Data[[#This Row],[Sales with Discount]]&lt;Sales_Data[[#This Row],[Sales with Free Shipping]],Sales_Data[[#This Row],[Sales with Discount]],Sales_Data[[#This Row],[Sales with Free Shipping]])</f>
        <v>518.98209999999995</v>
      </c>
      <c r="O1264" s="1" t="str">
        <f>TEXT(Sales_Data[[#This Row],[Order Date]], "MM-YYYY")</f>
        <v>03-2019</v>
      </c>
    </row>
    <row r="1265" spans="1:15" x14ac:dyDescent="0.3">
      <c r="A1265" s="1">
        <v>9765</v>
      </c>
      <c r="B1265" s="2">
        <v>43750</v>
      </c>
      <c r="C1265" s="1" t="s">
        <v>7</v>
      </c>
      <c r="D1265" s="1">
        <v>26</v>
      </c>
      <c r="E1265" t="s">
        <v>20</v>
      </c>
      <c r="F1265" t="s">
        <v>20</v>
      </c>
      <c r="G1265" s="1">
        <v>3750.99</v>
      </c>
      <c r="H1265">
        <v>0</v>
      </c>
      <c r="I1265">
        <f>Sales_Data[[#This Row],[Sales]]*Sales_Data[[#This Row],[Discount]]</f>
        <v>0</v>
      </c>
      <c r="J1265">
        <v>3750.99</v>
      </c>
      <c r="K1265" s="1">
        <v>13.5</v>
      </c>
      <c r="L1265" s="1">
        <v>3750.99</v>
      </c>
      <c r="M1265" s="1" t="s">
        <v>10</v>
      </c>
      <c r="N1265" s="1">
        <f>IF(Sales_Data[[#This Row],[Sales with Discount]]&lt;Sales_Data[[#This Row],[Sales with Free Shipping]],Sales_Data[[#This Row],[Sales with Discount]],Sales_Data[[#This Row],[Sales with Free Shipping]])</f>
        <v>3750.99</v>
      </c>
      <c r="O1265" s="1" t="str">
        <f>TEXT(Sales_Data[[#This Row],[Order Date]], "MM-YYYY")</f>
        <v>10-2019</v>
      </c>
    </row>
    <row r="1266" spans="1:15" x14ac:dyDescent="0.3">
      <c r="A1266" s="1">
        <v>52706</v>
      </c>
      <c r="B1266" s="2">
        <v>43655</v>
      </c>
      <c r="C1266" s="1" t="s">
        <v>7</v>
      </c>
      <c r="D1266" s="1">
        <v>34</v>
      </c>
      <c r="E1266" t="s">
        <v>21</v>
      </c>
      <c r="F1266" t="s">
        <v>21</v>
      </c>
      <c r="G1266" s="1">
        <v>1114.58</v>
      </c>
      <c r="H1266">
        <v>0</v>
      </c>
      <c r="I1266">
        <f>Sales_Data[[#This Row],[Sales]]*Sales_Data[[#This Row],[Discount]]</f>
        <v>0</v>
      </c>
      <c r="J1266">
        <v>1114.58</v>
      </c>
      <c r="K1266" s="1">
        <v>1.6</v>
      </c>
      <c r="L1266" s="1">
        <v>1114.58</v>
      </c>
      <c r="M1266" s="1" t="s">
        <v>8</v>
      </c>
      <c r="N1266" s="1">
        <f>IF(Sales_Data[[#This Row],[Sales with Discount]]&lt;Sales_Data[[#This Row],[Sales with Free Shipping]],Sales_Data[[#This Row],[Sales with Discount]],Sales_Data[[#This Row],[Sales with Free Shipping]])</f>
        <v>1114.58</v>
      </c>
      <c r="O1266" s="1" t="str">
        <f>TEXT(Sales_Data[[#This Row],[Order Date]], "MM-YYYY")</f>
        <v>07-2019</v>
      </c>
    </row>
    <row r="1267" spans="1:15" x14ac:dyDescent="0.3">
      <c r="A1267" s="1">
        <v>35554</v>
      </c>
      <c r="B1267" s="2">
        <v>43732</v>
      </c>
      <c r="C1267" s="1" t="s">
        <v>11</v>
      </c>
      <c r="D1267" s="1">
        <v>34</v>
      </c>
      <c r="E1267" t="s">
        <v>21</v>
      </c>
      <c r="F1267" t="s">
        <v>21</v>
      </c>
      <c r="G1267" s="1">
        <v>4902.25</v>
      </c>
      <c r="H1267">
        <v>0</v>
      </c>
      <c r="I1267">
        <f>Sales_Data[[#This Row],[Sales]]*Sales_Data[[#This Row],[Discount]]</f>
        <v>0</v>
      </c>
      <c r="J1267">
        <v>4902.25</v>
      </c>
      <c r="K1267" s="1">
        <v>58.6</v>
      </c>
      <c r="L1267" s="1">
        <v>4902.25</v>
      </c>
      <c r="M1267" s="1" t="s">
        <v>13</v>
      </c>
      <c r="N1267" s="1">
        <f>IF(Sales_Data[[#This Row],[Sales with Discount]]&lt;Sales_Data[[#This Row],[Sales with Free Shipping]],Sales_Data[[#This Row],[Sales with Discount]],Sales_Data[[#This Row],[Sales with Free Shipping]])</f>
        <v>4902.25</v>
      </c>
      <c r="O1267" s="1" t="str">
        <f>TEXT(Sales_Data[[#This Row],[Order Date]], "MM-YYYY")</f>
        <v>09-2019</v>
      </c>
    </row>
    <row r="1268" spans="1:15" x14ac:dyDescent="0.3">
      <c r="A1268" s="1">
        <v>11173</v>
      </c>
      <c r="B1268" s="2">
        <v>43554</v>
      </c>
      <c r="C1268" s="1" t="s">
        <v>12</v>
      </c>
      <c r="D1268" s="1">
        <v>37</v>
      </c>
      <c r="E1268" t="s">
        <v>22</v>
      </c>
      <c r="F1268" t="s">
        <v>22</v>
      </c>
      <c r="G1268" s="1">
        <v>237.18</v>
      </c>
      <c r="H1268">
        <v>0.01</v>
      </c>
      <c r="I1268">
        <f>Sales_Data[[#This Row],[Sales]]*Sales_Data[[#This Row],[Discount]]</f>
        <v>2.3717999999999999</v>
      </c>
      <c r="J1268">
        <v>234.8082</v>
      </c>
      <c r="K1268" s="1">
        <v>4.0999999999999996</v>
      </c>
      <c r="L1268" s="1">
        <v>233.08</v>
      </c>
      <c r="M1268" s="1" t="s">
        <v>10</v>
      </c>
      <c r="N1268" s="1">
        <f>IF(Sales_Data[[#This Row],[Sales with Discount]]&lt;Sales_Data[[#This Row],[Sales with Free Shipping]],Sales_Data[[#This Row],[Sales with Discount]],Sales_Data[[#This Row],[Sales with Free Shipping]])</f>
        <v>233.08</v>
      </c>
      <c r="O1268" s="1" t="str">
        <f>TEXT(Sales_Data[[#This Row],[Order Date]], "MM-YYYY")</f>
        <v>03-2019</v>
      </c>
    </row>
    <row r="1269" spans="1:15" x14ac:dyDescent="0.3">
      <c r="A1269" s="1">
        <v>6886</v>
      </c>
      <c r="B1269" s="2">
        <v>43483</v>
      </c>
      <c r="C1269" s="1" t="s">
        <v>9</v>
      </c>
      <c r="D1269" s="1">
        <v>46</v>
      </c>
      <c r="E1269" t="s">
        <v>24</v>
      </c>
      <c r="F1269" t="s">
        <v>24</v>
      </c>
      <c r="G1269" s="1">
        <v>8749.4599999999991</v>
      </c>
      <c r="H1269">
        <v>0.01</v>
      </c>
      <c r="I1269">
        <f>Sales_Data[[#This Row],[Sales]]*Sales_Data[[#This Row],[Discount]]</f>
        <v>87.494599999999991</v>
      </c>
      <c r="J1269">
        <v>8661.9653999999991</v>
      </c>
      <c r="K1269" s="1">
        <v>21.4</v>
      </c>
      <c r="L1269" s="1">
        <v>8728.06</v>
      </c>
      <c r="M1269" s="1" t="s">
        <v>10</v>
      </c>
      <c r="N1269" s="1">
        <f>IF(Sales_Data[[#This Row],[Sales with Discount]]&lt;Sales_Data[[#This Row],[Sales with Free Shipping]],Sales_Data[[#This Row],[Sales with Discount]],Sales_Data[[#This Row],[Sales with Free Shipping]])</f>
        <v>8661.9653999999991</v>
      </c>
      <c r="O1269" s="1" t="str">
        <f>TEXT(Sales_Data[[#This Row],[Order Date]], "MM-YYYY")</f>
        <v>01-2019</v>
      </c>
    </row>
    <row r="1270" spans="1:15" x14ac:dyDescent="0.3">
      <c r="A1270" s="1">
        <v>22663</v>
      </c>
      <c r="B1270" s="2">
        <v>43475</v>
      </c>
      <c r="C1270" s="1" t="s">
        <v>7</v>
      </c>
      <c r="D1270" s="1">
        <v>35</v>
      </c>
      <c r="E1270" t="s">
        <v>21</v>
      </c>
      <c r="F1270" t="s">
        <v>21</v>
      </c>
      <c r="G1270" s="1">
        <v>10532.13</v>
      </c>
      <c r="H1270">
        <v>0</v>
      </c>
      <c r="I1270">
        <f>Sales_Data[[#This Row],[Sales]]*Sales_Data[[#This Row],[Discount]]</f>
        <v>0</v>
      </c>
      <c r="J1270">
        <v>10532.13</v>
      </c>
      <c r="K1270" s="1">
        <v>61</v>
      </c>
      <c r="L1270" s="1">
        <v>10532.13</v>
      </c>
      <c r="M1270" s="1" t="s">
        <v>13</v>
      </c>
      <c r="N1270" s="1">
        <f>IF(Sales_Data[[#This Row],[Sales with Discount]]&lt;Sales_Data[[#This Row],[Sales with Free Shipping]],Sales_Data[[#This Row],[Sales with Discount]],Sales_Data[[#This Row],[Sales with Free Shipping]])</f>
        <v>10532.13</v>
      </c>
      <c r="O1270" s="1" t="str">
        <f>TEXT(Sales_Data[[#This Row],[Order Date]], "MM-YYYY")</f>
        <v>01-2019</v>
      </c>
    </row>
    <row r="1271" spans="1:15" x14ac:dyDescent="0.3">
      <c r="A1271" s="1">
        <v>614</v>
      </c>
      <c r="B1271" s="2">
        <v>43799</v>
      </c>
      <c r="C1271" s="1" t="s">
        <v>9</v>
      </c>
      <c r="D1271" s="1">
        <v>41</v>
      </c>
      <c r="E1271" t="s">
        <v>23</v>
      </c>
      <c r="F1271" t="s">
        <v>23</v>
      </c>
      <c r="G1271" s="1">
        <v>672.2</v>
      </c>
      <c r="H1271">
        <v>0.01</v>
      </c>
      <c r="I1271">
        <f>Sales_Data[[#This Row],[Sales]]*Sales_Data[[#This Row],[Discount]]</f>
        <v>6.7220000000000004</v>
      </c>
      <c r="J1271">
        <v>665.47800000000007</v>
      </c>
      <c r="K1271" s="1">
        <v>5.4</v>
      </c>
      <c r="L1271" s="1">
        <v>666.80000000000007</v>
      </c>
      <c r="M1271" s="1" t="s">
        <v>10</v>
      </c>
      <c r="N1271" s="1">
        <f>IF(Sales_Data[[#This Row],[Sales with Discount]]&lt;Sales_Data[[#This Row],[Sales with Free Shipping]],Sales_Data[[#This Row],[Sales with Discount]],Sales_Data[[#This Row],[Sales with Free Shipping]])</f>
        <v>665.47800000000007</v>
      </c>
      <c r="O1271" s="1" t="str">
        <f>TEXT(Sales_Data[[#This Row],[Order Date]], "MM-YYYY")</f>
        <v>11-2019</v>
      </c>
    </row>
    <row r="1272" spans="1:15" x14ac:dyDescent="0.3">
      <c r="A1272" s="1">
        <v>31681</v>
      </c>
      <c r="B1272" s="2">
        <v>43776</v>
      </c>
      <c r="C1272" s="1" t="s">
        <v>11</v>
      </c>
      <c r="D1272" s="1">
        <v>38</v>
      </c>
      <c r="E1272" t="s">
        <v>22</v>
      </c>
      <c r="F1272" t="s">
        <v>22</v>
      </c>
      <c r="G1272" s="1">
        <v>226.97</v>
      </c>
      <c r="H1272">
        <v>0.01</v>
      </c>
      <c r="I1272">
        <f>Sales_Data[[#This Row],[Sales]]*Sales_Data[[#This Row],[Discount]]</f>
        <v>2.2696999999999998</v>
      </c>
      <c r="J1272">
        <v>224.7003</v>
      </c>
      <c r="K1272" s="1">
        <v>6.1</v>
      </c>
      <c r="L1272" s="1">
        <v>220.87</v>
      </c>
      <c r="M1272" s="1" t="s">
        <v>10</v>
      </c>
      <c r="N1272" s="1">
        <f>IF(Sales_Data[[#This Row],[Sales with Discount]]&lt;Sales_Data[[#This Row],[Sales with Free Shipping]],Sales_Data[[#This Row],[Sales with Discount]],Sales_Data[[#This Row],[Sales with Free Shipping]])</f>
        <v>220.87</v>
      </c>
      <c r="O1272" s="1" t="str">
        <f>TEXT(Sales_Data[[#This Row],[Order Date]], "MM-YYYY")</f>
        <v>11-2019</v>
      </c>
    </row>
    <row r="1273" spans="1:15" x14ac:dyDescent="0.3">
      <c r="A1273" s="1">
        <v>59878</v>
      </c>
      <c r="B1273" s="2">
        <v>43613</v>
      </c>
      <c r="C1273" s="1" t="s">
        <v>9</v>
      </c>
      <c r="D1273" s="1">
        <v>6</v>
      </c>
      <c r="E1273" t="s">
        <v>17</v>
      </c>
      <c r="F1273" t="s">
        <v>17</v>
      </c>
      <c r="G1273" s="1">
        <v>120.27</v>
      </c>
      <c r="H1273">
        <v>0</v>
      </c>
      <c r="I1273">
        <f>Sales_Data[[#This Row],[Sales]]*Sales_Data[[#This Row],[Discount]]</f>
        <v>0</v>
      </c>
      <c r="J1273">
        <v>120.27</v>
      </c>
      <c r="K1273" s="1">
        <v>9.1</v>
      </c>
      <c r="L1273" s="1">
        <v>120.27</v>
      </c>
      <c r="M1273" s="1" t="s">
        <v>10</v>
      </c>
      <c r="N1273" s="1">
        <f>IF(Sales_Data[[#This Row],[Sales with Discount]]&lt;Sales_Data[[#This Row],[Sales with Free Shipping]],Sales_Data[[#This Row],[Sales with Discount]],Sales_Data[[#This Row],[Sales with Free Shipping]])</f>
        <v>120.27</v>
      </c>
      <c r="O1273" s="1" t="str">
        <f>TEXT(Sales_Data[[#This Row],[Order Date]], "MM-YYYY")</f>
        <v>05-2019</v>
      </c>
    </row>
    <row r="1274" spans="1:15" x14ac:dyDescent="0.3">
      <c r="A1274" s="1">
        <v>41831</v>
      </c>
      <c r="B1274" s="2">
        <v>43667</v>
      </c>
      <c r="C1274" s="1" t="s">
        <v>11</v>
      </c>
      <c r="D1274" s="1">
        <v>38</v>
      </c>
      <c r="E1274" t="s">
        <v>22</v>
      </c>
      <c r="F1274" t="s">
        <v>22</v>
      </c>
      <c r="G1274" s="1">
        <v>224.28</v>
      </c>
      <c r="H1274">
        <v>0.01</v>
      </c>
      <c r="I1274">
        <f>Sales_Data[[#This Row],[Sales]]*Sales_Data[[#This Row],[Discount]]</f>
        <v>2.2427999999999999</v>
      </c>
      <c r="J1274">
        <v>222.03720000000001</v>
      </c>
      <c r="K1274" s="1">
        <v>6.1</v>
      </c>
      <c r="L1274" s="1">
        <v>218.18</v>
      </c>
      <c r="M1274" s="1" t="s">
        <v>10</v>
      </c>
      <c r="N1274" s="1">
        <f>IF(Sales_Data[[#This Row],[Sales with Discount]]&lt;Sales_Data[[#This Row],[Sales with Free Shipping]],Sales_Data[[#This Row],[Sales with Discount]],Sales_Data[[#This Row],[Sales with Free Shipping]])</f>
        <v>218.18</v>
      </c>
      <c r="O1274" s="1" t="str">
        <f>TEXT(Sales_Data[[#This Row],[Order Date]], "MM-YYYY")</f>
        <v>07-2019</v>
      </c>
    </row>
    <row r="1275" spans="1:15" x14ac:dyDescent="0.3">
      <c r="A1275" s="1">
        <v>17218</v>
      </c>
      <c r="B1275" s="2">
        <v>43669</v>
      </c>
      <c r="C1275" s="1" t="s">
        <v>12</v>
      </c>
      <c r="D1275" s="1">
        <v>32</v>
      </c>
      <c r="E1275" t="s">
        <v>21</v>
      </c>
      <c r="F1275" t="s">
        <v>21</v>
      </c>
      <c r="G1275" s="1">
        <v>168.9</v>
      </c>
      <c r="H1275">
        <v>0</v>
      </c>
      <c r="I1275">
        <f>Sales_Data[[#This Row],[Sales]]*Sales_Data[[#This Row],[Discount]]</f>
        <v>0</v>
      </c>
      <c r="J1275">
        <v>168.9</v>
      </c>
      <c r="K1275" s="1">
        <v>2.2000000000000002</v>
      </c>
      <c r="L1275" s="1">
        <v>168.9</v>
      </c>
      <c r="M1275" s="1" t="s">
        <v>10</v>
      </c>
      <c r="N1275" s="1">
        <f>IF(Sales_Data[[#This Row],[Sales with Discount]]&lt;Sales_Data[[#This Row],[Sales with Free Shipping]],Sales_Data[[#This Row],[Sales with Discount]],Sales_Data[[#This Row],[Sales with Free Shipping]])</f>
        <v>168.9</v>
      </c>
      <c r="O1275" s="1" t="str">
        <f>TEXT(Sales_Data[[#This Row],[Order Date]], "MM-YYYY")</f>
        <v>07-2019</v>
      </c>
    </row>
    <row r="1276" spans="1:15" x14ac:dyDescent="0.3">
      <c r="A1276" s="1">
        <v>2054</v>
      </c>
      <c r="B1276" s="2">
        <v>43623</v>
      </c>
      <c r="C1276" s="1" t="s">
        <v>11</v>
      </c>
      <c r="D1276" s="1">
        <v>34</v>
      </c>
      <c r="E1276" t="s">
        <v>21</v>
      </c>
      <c r="F1276" t="s">
        <v>21</v>
      </c>
      <c r="G1276" s="1">
        <v>883.91629999999998</v>
      </c>
      <c r="H1276">
        <v>0</v>
      </c>
      <c r="I1276">
        <f>Sales_Data[[#This Row],[Sales]]*Sales_Data[[#This Row],[Discount]]</f>
        <v>0</v>
      </c>
      <c r="J1276">
        <v>883.91629999999998</v>
      </c>
      <c r="K1276" s="1">
        <v>8.1</v>
      </c>
      <c r="L1276" s="1">
        <v>883.91629999999998</v>
      </c>
      <c r="M1276" s="1" t="s">
        <v>10</v>
      </c>
      <c r="N1276" s="1">
        <f>IF(Sales_Data[[#This Row],[Sales with Discount]]&lt;Sales_Data[[#This Row],[Sales with Free Shipping]],Sales_Data[[#This Row],[Sales with Discount]],Sales_Data[[#This Row],[Sales with Free Shipping]])</f>
        <v>883.91629999999998</v>
      </c>
      <c r="O1276" s="1" t="str">
        <f>TEXT(Sales_Data[[#This Row],[Order Date]], "MM-YYYY")</f>
        <v>06-2019</v>
      </c>
    </row>
    <row r="1277" spans="1:15" x14ac:dyDescent="0.3">
      <c r="A1277" s="1">
        <v>48615</v>
      </c>
      <c r="B1277" s="2">
        <v>43802</v>
      </c>
      <c r="C1277" s="1" t="s">
        <v>7</v>
      </c>
      <c r="D1277" s="1">
        <v>4</v>
      </c>
      <c r="E1277" t="s">
        <v>16</v>
      </c>
      <c r="F1277" t="s">
        <v>16</v>
      </c>
      <c r="G1277" s="1">
        <v>18.09</v>
      </c>
      <c r="H1277">
        <v>0</v>
      </c>
      <c r="I1277">
        <f>Sales_Data[[#This Row],[Sales]]*Sales_Data[[#This Row],[Discount]]</f>
        <v>0</v>
      </c>
      <c r="J1277">
        <v>18.09</v>
      </c>
      <c r="K1277" s="1">
        <v>0.5</v>
      </c>
      <c r="L1277" s="1">
        <v>18.09</v>
      </c>
      <c r="M1277" s="1" t="s">
        <v>10</v>
      </c>
      <c r="N1277" s="1">
        <f>IF(Sales_Data[[#This Row],[Sales with Discount]]&lt;Sales_Data[[#This Row],[Sales with Free Shipping]],Sales_Data[[#This Row],[Sales with Discount]],Sales_Data[[#This Row],[Sales with Free Shipping]])</f>
        <v>18.09</v>
      </c>
      <c r="O1277" s="1" t="str">
        <f>TEXT(Sales_Data[[#This Row],[Order Date]], "MM-YYYY")</f>
        <v>12-2019</v>
      </c>
    </row>
    <row r="1278" spans="1:15" x14ac:dyDescent="0.3">
      <c r="A1278" s="1">
        <v>3680</v>
      </c>
      <c r="B1278" s="2">
        <v>43808</v>
      </c>
      <c r="C1278" s="1" t="s">
        <v>11</v>
      </c>
      <c r="D1278" s="1">
        <v>27</v>
      </c>
      <c r="E1278" t="s">
        <v>20</v>
      </c>
      <c r="F1278" t="s">
        <v>20</v>
      </c>
      <c r="G1278" s="1">
        <v>190.41</v>
      </c>
      <c r="H1278">
        <v>0</v>
      </c>
      <c r="I1278">
        <f>Sales_Data[[#This Row],[Sales]]*Sales_Data[[#This Row],[Discount]]</f>
        <v>0</v>
      </c>
      <c r="J1278">
        <v>190.41</v>
      </c>
      <c r="K1278" s="1">
        <v>6.4</v>
      </c>
      <c r="L1278" s="1">
        <v>190.41</v>
      </c>
      <c r="M1278" s="1" t="s">
        <v>10</v>
      </c>
      <c r="N1278" s="1">
        <f>IF(Sales_Data[[#This Row],[Sales with Discount]]&lt;Sales_Data[[#This Row],[Sales with Free Shipping]],Sales_Data[[#This Row],[Sales with Discount]],Sales_Data[[#This Row],[Sales with Free Shipping]])</f>
        <v>190.41</v>
      </c>
      <c r="O1278" s="1" t="str">
        <f>TEXT(Sales_Data[[#This Row],[Order Date]], "MM-YYYY")</f>
        <v>12-2019</v>
      </c>
    </row>
    <row r="1279" spans="1:15" x14ac:dyDescent="0.3">
      <c r="A1279" s="1">
        <v>44737</v>
      </c>
      <c r="B1279" s="2">
        <v>43788</v>
      </c>
      <c r="C1279" s="1" t="s">
        <v>14</v>
      </c>
      <c r="D1279" s="1">
        <v>16</v>
      </c>
      <c r="E1279" t="s">
        <v>19</v>
      </c>
      <c r="F1279" t="s">
        <v>19</v>
      </c>
      <c r="G1279" s="1">
        <v>323.28179999999998</v>
      </c>
      <c r="H1279">
        <v>0</v>
      </c>
      <c r="I1279">
        <f>Sales_Data[[#This Row],[Sales]]*Sales_Data[[#This Row],[Discount]]</f>
        <v>0</v>
      </c>
      <c r="J1279">
        <v>323.28179999999998</v>
      </c>
      <c r="K1279" s="1">
        <v>1.1000000000000001</v>
      </c>
      <c r="L1279" s="1">
        <v>323.28179999999998</v>
      </c>
      <c r="M1279" s="1" t="s">
        <v>10</v>
      </c>
      <c r="N1279" s="1">
        <f>IF(Sales_Data[[#This Row],[Sales with Discount]]&lt;Sales_Data[[#This Row],[Sales with Free Shipping]],Sales_Data[[#This Row],[Sales with Discount]],Sales_Data[[#This Row],[Sales with Free Shipping]])</f>
        <v>323.28179999999998</v>
      </c>
      <c r="O1279" s="1" t="str">
        <f>TEXT(Sales_Data[[#This Row],[Order Date]], "MM-YYYY")</f>
        <v>11-2019</v>
      </c>
    </row>
    <row r="1280" spans="1:15" x14ac:dyDescent="0.3">
      <c r="A1280" s="1">
        <v>56930</v>
      </c>
      <c r="B1280" s="2">
        <v>43694</v>
      </c>
      <c r="C1280" s="1" t="s">
        <v>7</v>
      </c>
      <c r="D1280" s="1">
        <v>10</v>
      </c>
      <c r="E1280" t="s">
        <v>17</v>
      </c>
      <c r="F1280" t="s">
        <v>17</v>
      </c>
      <c r="G1280" s="1">
        <v>1056.67</v>
      </c>
      <c r="H1280">
        <v>0</v>
      </c>
      <c r="I1280">
        <f>Sales_Data[[#This Row],[Sales]]*Sales_Data[[#This Row],[Discount]]</f>
        <v>0</v>
      </c>
      <c r="J1280">
        <v>1056.67</v>
      </c>
      <c r="K1280" s="1">
        <v>37.5</v>
      </c>
      <c r="L1280" s="1">
        <v>1056.67</v>
      </c>
      <c r="M1280" s="1" t="s">
        <v>10</v>
      </c>
      <c r="N1280" s="1">
        <f>IF(Sales_Data[[#This Row],[Sales with Discount]]&lt;Sales_Data[[#This Row],[Sales with Free Shipping]],Sales_Data[[#This Row],[Sales with Discount]],Sales_Data[[#This Row],[Sales with Free Shipping]])</f>
        <v>1056.67</v>
      </c>
      <c r="O1280" s="1" t="str">
        <f>TEXT(Sales_Data[[#This Row],[Order Date]], "MM-YYYY")</f>
        <v>08-2019</v>
      </c>
    </row>
    <row r="1281" spans="1:15" x14ac:dyDescent="0.3">
      <c r="A1281" s="1">
        <v>2688</v>
      </c>
      <c r="B1281" s="2">
        <v>43487</v>
      </c>
      <c r="C1281" s="1" t="s">
        <v>9</v>
      </c>
      <c r="D1281" s="1">
        <v>31</v>
      </c>
      <c r="E1281" t="s">
        <v>21</v>
      </c>
      <c r="F1281" t="s">
        <v>21</v>
      </c>
      <c r="G1281" s="1">
        <v>2225.64</v>
      </c>
      <c r="H1281">
        <v>0</v>
      </c>
      <c r="I1281">
        <f>Sales_Data[[#This Row],[Sales]]*Sales_Data[[#This Row],[Discount]]</f>
        <v>0</v>
      </c>
      <c r="J1281">
        <v>2225.64</v>
      </c>
      <c r="K1281" s="1">
        <v>1.3</v>
      </c>
      <c r="L1281" s="1">
        <v>2225.64</v>
      </c>
      <c r="M1281" s="1" t="s">
        <v>10</v>
      </c>
      <c r="N1281" s="1">
        <f>IF(Sales_Data[[#This Row],[Sales with Discount]]&lt;Sales_Data[[#This Row],[Sales with Free Shipping]],Sales_Data[[#This Row],[Sales with Discount]],Sales_Data[[#This Row],[Sales with Free Shipping]])</f>
        <v>2225.64</v>
      </c>
      <c r="O1281" s="1" t="str">
        <f>TEXT(Sales_Data[[#This Row],[Order Date]], "MM-YYYY")</f>
        <v>01-2019</v>
      </c>
    </row>
    <row r="1282" spans="1:15" x14ac:dyDescent="0.3">
      <c r="A1282" s="1">
        <v>16161</v>
      </c>
      <c r="B1282" s="2">
        <v>43674</v>
      </c>
      <c r="C1282" s="1" t="s">
        <v>14</v>
      </c>
      <c r="D1282" s="1">
        <v>38</v>
      </c>
      <c r="E1282" t="s">
        <v>22</v>
      </c>
      <c r="F1282" t="s">
        <v>22</v>
      </c>
      <c r="G1282" s="1">
        <v>161.77000000000001</v>
      </c>
      <c r="H1282">
        <v>0.01</v>
      </c>
      <c r="I1282">
        <f>Sales_Data[[#This Row],[Sales]]*Sales_Data[[#This Row],[Discount]]</f>
        <v>1.6177000000000001</v>
      </c>
      <c r="J1282">
        <v>160.1523</v>
      </c>
      <c r="K1282" s="1">
        <v>0.8</v>
      </c>
      <c r="L1282" s="1">
        <v>160.97</v>
      </c>
      <c r="M1282" s="1" t="s">
        <v>10</v>
      </c>
      <c r="N1282" s="1">
        <f>IF(Sales_Data[[#This Row],[Sales with Discount]]&lt;Sales_Data[[#This Row],[Sales with Free Shipping]],Sales_Data[[#This Row],[Sales with Discount]],Sales_Data[[#This Row],[Sales with Free Shipping]])</f>
        <v>160.1523</v>
      </c>
      <c r="O1282" s="1" t="str">
        <f>TEXT(Sales_Data[[#This Row],[Order Date]], "MM-YYYY")</f>
        <v>07-2019</v>
      </c>
    </row>
    <row r="1283" spans="1:15" x14ac:dyDescent="0.3">
      <c r="A1283" s="1">
        <v>18500</v>
      </c>
      <c r="B1283" s="2">
        <v>43506</v>
      </c>
      <c r="C1283" s="1" t="s">
        <v>14</v>
      </c>
      <c r="D1283" s="1">
        <v>44</v>
      </c>
      <c r="E1283" t="s">
        <v>23</v>
      </c>
      <c r="F1283" t="s">
        <v>23</v>
      </c>
      <c r="G1283" s="1">
        <v>2683.34</v>
      </c>
      <c r="H1283">
        <v>0.01</v>
      </c>
      <c r="I1283">
        <f>Sales_Data[[#This Row],[Sales]]*Sales_Data[[#This Row],[Discount]]</f>
        <v>26.833400000000001</v>
      </c>
      <c r="J1283">
        <v>2656.5066000000002</v>
      </c>
      <c r="K1283" s="1">
        <v>39.200000000000003</v>
      </c>
      <c r="L1283" s="1">
        <v>2644.1400000000003</v>
      </c>
      <c r="M1283" s="1" t="s">
        <v>13</v>
      </c>
      <c r="N1283" s="1">
        <f>IF(Sales_Data[[#This Row],[Sales with Discount]]&lt;Sales_Data[[#This Row],[Sales with Free Shipping]],Sales_Data[[#This Row],[Sales with Discount]],Sales_Data[[#This Row],[Sales with Free Shipping]])</f>
        <v>2644.1400000000003</v>
      </c>
      <c r="O1283" s="1" t="str">
        <f>TEXT(Sales_Data[[#This Row],[Order Date]], "MM-YYYY")</f>
        <v>02-2019</v>
      </c>
    </row>
    <row r="1284" spans="1:15" x14ac:dyDescent="0.3">
      <c r="A1284" s="1">
        <v>10823</v>
      </c>
      <c r="B1284" s="2">
        <v>43628</v>
      </c>
      <c r="C1284" s="1" t="s">
        <v>7</v>
      </c>
      <c r="D1284" s="1">
        <v>3</v>
      </c>
      <c r="E1284" t="s">
        <v>16</v>
      </c>
      <c r="F1284" t="s">
        <v>16</v>
      </c>
      <c r="G1284" s="1">
        <v>143.27000000000001</v>
      </c>
      <c r="H1284">
        <v>0</v>
      </c>
      <c r="I1284">
        <f>Sales_Data[[#This Row],[Sales]]*Sales_Data[[#This Row],[Discount]]</f>
        <v>0</v>
      </c>
      <c r="J1284">
        <v>143.27000000000001</v>
      </c>
      <c r="K1284" s="1">
        <v>3.2</v>
      </c>
      <c r="L1284" s="1">
        <v>143.27000000000001</v>
      </c>
      <c r="M1284" s="1" t="s">
        <v>10</v>
      </c>
      <c r="N1284" s="1">
        <f>IF(Sales_Data[[#This Row],[Sales with Discount]]&lt;Sales_Data[[#This Row],[Sales with Free Shipping]],Sales_Data[[#This Row],[Sales with Discount]],Sales_Data[[#This Row],[Sales with Free Shipping]])</f>
        <v>143.27000000000001</v>
      </c>
      <c r="O1284" s="1" t="str">
        <f>TEXT(Sales_Data[[#This Row],[Order Date]], "MM-YYYY")</f>
        <v>06-2019</v>
      </c>
    </row>
    <row r="1285" spans="1:15" x14ac:dyDescent="0.3">
      <c r="A1285" s="1">
        <v>13991</v>
      </c>
      <c r="B1285" s="2">
        <v>43530</v>
      </c>
      <c r="C1285" s="1" t="s">
        <v>9</v>
      </c>
      <c r="D1285" s="1">
        <v>24</v>
      </c>
      <c r="E1285" t="s">
        <v>14</v>
      </c>
      <c r="F1285" t="s">
        <v>14</v>
      </c>
      <c r="G1285" s="1">
        <v>182.65</v>
      </c>
      <c r="H1285">
        <v>0</v>
      </c>
      <c r="I1285">
        <f>Sales_Data[[#This Row],[Sales]]*Sales_Data[[#This Row],[Discount]]</f>
        <v>0</v>
      </c>
      <c r="J1285">
        <v>182.65</v>
      </c>
      <c r="K1285" s="1">
        <v>2.9</v>
      </c>
      <c r="L1285" s="1">
        <v>182.65</v>
      </c>
      <c r="M1285" s="1" t="s">
        <v>10</v>
      </c>
      <c r="N1285" s="1">
        <f>IF(Sales_Data[[#This Row],[Sales with Discount]]&lt;Sales_Data[[#This Row],[Sales with Free Shipping]],Sales_Data[[#This Row],[Sales with Discount]],Sales_Data[[#This Row],[Sales with Free Shipping]])</f>
        <v>182.65</v>
      </c>
      <c r="O1285" s="1" t="str">
        <f>TEXT(Sales_Data[[#This Row],[Order Date]], "MM-YYYY")</f>
        <v>03-2019</v>
      </c>
    </row>
    <row r="1286" spans="1:15" x14ac:dyDescent="0.3">
      <c r="A1286" s="1">
        <v>1344</v>
      </c>
      <c r="B1286" s="2">
        <v>43570</v>
      </c>
      <c r="C1286" s="1" t="s">
        <v>7</v>
      </c>
      <c r="D1286" s="1">
        <v>15</v>
      </c>
      <c r="E1286" t="s">
        <v>18</v>
      </c>
      <c r="F1286" t="s">
        <v>18</v>
      </c>
      <c r="G1286" s="1">
        <v>893.35</v>
      </c>
      <c r="H1286">
        <v>0</v>
      </c>
      <c r="I1286">
        <f>Sales_Data[[#This Row],[Sales]]*Sales_Data[[#This Row],[Discount]]</f>
        <v>0</v>
      </c>
      <c r="J1286">
        <v>893.35</v>
      </c>
      <c r="K1286" s="1">
        <v>5.6</v>
      </c>
      <c r="L1286" s="1">
        <v>893.35</v>
      </c>
      <c r="M1286" s="1" t="s">
        <v>10</v>
      </c>
      <c r="N1286" s="1">
        <f>IF(Sales_Data[[#This Row],[Sales with Discount]]&lt;Sales_Data[[#This Row],[Sales with Free Shipping]],Sales_Data[[#This Row],[Sales with Discount]],Sales_Data[[#This Row],[Sales with Free Shipping]])</f>
        <v>893.35</v>
      </c>
      <c r="O1286" s="1" t="str">
        <f>TEXT(Sales_Data[[#This Row],[Order Date]], "MM-YYYY")</f>
        <v>04-2019</v>
      </c>
    </row>
    <row r="1287" spans="1:15" x14ac:dyDescent="0.3">
      <c r="A1287" s="1">
        <v>14272</v>
      </c>
      <c r="B1287" s="2">
        <v>43507</v>
      </c>
      <c r="C1287" s="1" t="s">
        <v>14</v>
      </c>
      <c r="D1287" s="1">
        <v>32</v>
      </c>
      <c r="E1287" t="s">
        <v>21</v>
      </c>
      <c r="F1287" t="s">
        <v>21</v>
      </c>
      <c r="G1287" s="1">
        <v>2578.66</v>
      </c>
      <c r="H1287">
        <v>0</v>
      </c>
      <c r="I1287">
        <f>Sales_Data[[#This Row],[Sales]]*Sales_Data[[#This Row],[Discount]]</f>
        <v>0</v>
      </c>
      <c r="J1287">
        <v>2578.66</v>
      </c>
      <c r="K1287" s="1">
        <v>4.8</v>
      </c>
      <c r="L1287" s="1">
        <v>2578.66</v>
      </c>
      <c r="M1287" s="1" t="s">
        <v>10</v>
      </c>
      <c r="N1287" s="1">
        <f>IF(Sales_Data[[#This Row],[Sales with Discount]]&lt;Sales_Data[[#This Row],[Sales with Free Shipping]],Sales_Data[[#This Row],[Sales with Discount]],Sales_Data[[#This Row],[Sales with Free Shipping]])</f>
        <v>2578.66</v>
      </c>
      <c r="O1287" s="1" t="str">
        <f>TEXT(Sales_Data[[#This Row],[Order Date]], "MM-YYYY")</f>
        <v>02-2019</v>
      </c>
    </row>
    <row r="1288" spans="1:15" x14ac:dyDescent="0.3">
      <c r="A1288" s="1">
        <v>41671</v>
      </c>
      <c r="B1288" s="2">
        <v>43802</v>
      </c>
      <c r="C1288" s="1" t="s">
        <v>12</v>
      </c>
      <c r="D1288" s="1">
        <v>49</v>
      </c>
      <c r="E1288" t="s">
        <v>24</v>
      </c>
      <c r="F1288" t="s">
        <v>24</v>
      </c>
      <c r="G1288" s="1">
        <v>683.63369999999998</v>
      </c>
      <c r="H1288">
        <v>0.01</v>
      </c>
      <c r="I1288">
        <f>Sales_Data[[#This Row],[Sales]]*Sales_Data[[#This Row],[Discount]]</f>
        <v>6.8363370000000003</v>
      </c>
      <c r="J1288">
        <v>676.79736300000002</v>
      </c>
      <c r="K1288" s="1">
        <v>3.4</v>
      </c>
      <c r="L1288" s="1">
        <v>680.2337</v>
      </c>
      <c r="M1288" s="1" t="s">
        <v>10</v>
      </c>
      <c r="N1288" s="1">
        <f>IF(Sales_Data[[#This Row],[Sales with Discount]]&lt;Sales_Data[[#This Row],[Sales with Free Shipping]],Sales_Data[[#This Row],[Sales with Discount]],Sales_Data[[#This Row],[Sales with Free Shipping]])</f>
        <v>676.79736300000002</v>
      </c>
      <c r="O1288" s="1" t="str">
        <f>TEXT(Sales_Data[[#This Row],[Order Date]], "MM-YYYY")</f>
        <v>12-2019</v>
      </c>
    </row>
    <row r="1289" spans="1:15" x14ac:dyDescent="0.3">
      <c r="A1289" s="1">
        <v>4896</v>
      </c>
      <c r="B1289" s="2">
        <v>43698</v>
      </c>
      <c r="C1289" s="1" t="s">
        <v>12</v>
      </c>
      <c r="D1289" s="1">
        <v>21</v>
      </c>
      <c r="E1289" t="s">
        <v>14</v>
      </c>
      <c r="F1289" t="s">
        <v>14</v>
      </c>
      <c r="G1289" s="1">
        <v>129.79</v>
      </c>
      <c r="H1289">
        <v>0</v>
      </c>
      <c r="I1289">
        <f>Sales_Data[[#This Row],[Sales]]*Sales_Data[[#This Row],[Discount]]</f>
        <v>0</v>
      </c>
      <c r="J1289">
        <v>129.79</v>
      </c>
      <c r="K1289" s="1">
        <v>6</v>
      </c>
      <c r="L1289" s="1">
        <v>129.79</v>
      </c>
      <c r="M1289" s="1" t="s">
        <v>10</v>
      </c>
      <c r="N1289" s="1">
        <f>IF(Sales_Data[[#This Row],[Sales with Discount]]&lt;Sales_Data[[#This Row],[Sales with Free Shipping]],Sales_Data[[#This Row],[Sales with Discount]],Sales_Data[[#This Row],[Sales with Free Shipping]])</f>
        <v>129.79</v>
      </c>
      <c r="O1289" s="1" t="str">
        <f>TEXT(Sales_Data[[#This Row],[Order Date]], "MM-YYYY")</f>
        <v>08-2019</v>
      </c>
    </row>
    <row r="1290" spans="1:15" x14ac:dyDescent="0.3">
      <c r="A1290" s="1">
        <v>11650</v>
      </c>
      <c r="B1290" s="2">
        <v>43732</v>
      </c>
      <c r="C1290" s="1" t="s">
        <v>11</v>
      </c>
      <c r="D1290" s="1">
        <v>30</v>
      </c>
      <c r="E1290" t="s">
        <v>20</v>
      </c>
      <c r="F1290" t="s">
        <v>20</v>
      </c>
      <c r="G1290" s="1">
        <v>260.52999999999997</v>
      </c>
      <c r="H1290">
        <v>0</v>
      </c>
      <c r="I1290">
        <f>Sales_Data[[#This Row],[Sales]]*Sales_Data[[#This Row],[Discount]]</f>
        <v>0</v>
      </c>
      <c r="J1290">
        <v>260.52999999999997</v>
      </c>
      <c r="K1290" s="1">
        <v>2.5</v>
      </c>
      <c r="L1290" s="1">
        <v>260.52999999999997</v>
      </c>
      <c r="M1290" s="1" t="s">
        <v>10</v>
      </c>
      <c r="N1290" s="1">
        <f>IF(Sales_Data[[#This Row],[Sales with Discount]]&lt;Sales_Data[[#This Row],[Sales with Free Shipping]],Sales_Data[[#This Row],[Sales with Discount]],Sales_Data[[#This Row],[Sales with Free Shipping]])</f>
        <v>260.52999999999997</v>
      </c>
      <c r="O1290" s="1" t="str">
        <f>TEXT(Sales_Data[[#This Row],[Order Date]], "MM-YYYY")</f>
        <v>09-2019</v>
      </c>
    </row>
    <row r="1291" spans="1:15" x14ac:dyDescent="0.3">
      <c r="A1291" s="1">
        <v>25377</v>
      </c>
      <c r="B1291" s="2">
        <v>43795</v>
      </c>
      <c r="C1291" s="1" t="s">
        <v>7</v>
      </c>
      <c r="D1291" s="1">
        <v>3</v>
      </c>
      <c r="E1291" t="s">
        <v>16</v>
      </c>
      <c r="F1291" t="s">
        <v>16</v>
      </c>
      <c r="G1291" s="1">
        <v>4647.5600000000004</v>
      </c>
      <c r="H1291">
        <v>0</v>
      </c>
      <c r="I1291">
        <f>Sales_Data[[#This Row],[Sales]]*Sales_Data[[#This Row],[Discount]]</f>
        <v>0</v>
      </c>
      <c r="J1291">
        <v>4647.5600000000004</v>
      </c>
      <c r="K1291" s="1">
        <v>31.8</v>
      </c>
      <c r="L1291" s="1">
        <v>4647.5600000000004</v>
      </c>
      <c r="M1291" s="1" t="s">
        <v>13</v>
      </c>
      <c r="N1291" s="1">
        <f>IF(Sales_Data[[#This Row],[Sales with Discount]]&lt;Sales_Data[[#This Row],[Sales with Free Shipping]],Sales_Data[[#This Row],[Sales with Discount]],Sales_Data[[#This Row],[Sales with Free Shipping]])</f>
        <v>4647.5600000000004</v>
      </c>
      <c r="O1291" s="1" t="str">
        <f>TEXT(Sales_Data[[#This Row],[Order Date]], "MM-YYYY")</f>
        <v>11-2019</v>
      </c>
    </row>
    <row r="1292" spans="1:15" x14ac:dyDescent="0.3">
      <c r="A1292" s="1">
        <v>43104</v>
      </c>
      <c r="B1292" s="2">
        <v>43766</v>
      </c>
      <c r="C1292" s="1" t="s">
        <v>9</v>
      </c>
      <c r="D1292" s="1">
        <v>50</v>
      </c>
      <c r="E1292" t="s">
        <v>24</v>
      </c>
      <c r="F1292" t="s">
        <v>24</v>
      </c>
      <c r="G1292" s="1">
        <v>4973.9164000000001</v>
      </c>
      <c r="H1292">
        <v>0.01</v>
      </c>
      <c r="I1292">
        <f>Sales_Data[[#This Row],[Sales]]*Sales_Data[[#This Row],[Discount]]</f>
        <v>49.739164000000002</v>
      </c>
      <c r="J1292">
        <v>4924.1772360000004</v>
      </c>
      <c r="K1292" s="1">
        <v>15</v>
      </c>
      <c r="L1292" s="1">
        <v>4958.9164000000001</v>
      </c>
      <c r="M1292" s="1" t="s">
        <v>13</v>
      </c>
      <c r="N1292" s="1">
        <f>IF(Sales_Data[[#This Row],[Sales with Discount]]&lt;Sales_Data[[#This Row],[Sales with Free Shipping]],Sales_Data[[#This Row],[Sales with Discount]],Sales_Data[[#This Row],[Sales with Free Shipping]])</f>
        <v>4924.1772360000004</v>
      </c>
      <c r="O1292" s="1" t="str">
        <f>TEXT(Sales_Data[[#This Row],[Order Date]], "MM-YYYY")</f>
        <v>10-2019</v>
      </c>
    </row>
    <row r="1293" spans="1:15" x14ac:dyDescent="0.3">
      <c r="A1293" s="1">
        <v>59558</v>
      </c>
      <c r="B1293" s="2">
        <v>43662</v>
      </c>
      <c r="C1293" s="1" t="s">
        <v>11</v>
      </c>
      <c r="D1293" s="1">
        <v>34</v>
      </c>
      <c r="E1293" t="s">
        <v>21</v>
      </c>
      <c r="F1293" t="s">
        <v>21</v>
      </c>
      <c r="G1293" s="1">
        <v>101.17919999999999</v>
      </c>
      <c r="H1293">
        <v>0</v>
      </c>
      <c r="I1293">
        <f>Sales_Data[[#This Row],[Sales]]*Sales_Data[[#This Row],[Discount]]</f>
        <v>0</v>
      </c>
      <c r="J1293">
        <v>101.17919999999999</v>
      </c>
      <c r="K1293" s="1">
        <v>0.5</v>
      </c>
      <c r="L1293" s="1">
        <v>101.17919999999999</v>
      </c>
      <c r="M1293" s="1" t="s">
        <v>10</v>
      </c>
      <c r="N1293" s="1">
        <f>IF(Sales_Data[[#This Row],[Sales with Discount]]&lt;Sales_Data[[#This Row],[Sales with Free Shipping]],Sales_Data[[#This Row],[Sales with Discount]],Sales_Data[[#This Row],[Sales with Free Shipping]])</f>
        <v>101.17919999999999</v>
      </c>
      <c r="O1293" s="1" t="str">
        <f>TEXT(Sales_Data[[#This Row],[Order Date]], "MM-YYYY")</f>
        <v>07-2019</v>
      </c>
    </row>
    <row r="1294" spans="1:15" x14ac:dyDescent="0.3">
      <c r="A1294" s="1">
        <v>57638</v>
      </c>
      <c r="B1294" s="2">
        <v>43577</v>
      </c>
      <c r="C1294" s="1" t="s">
        <v>7</v>
      </c>
      <c r="D1294" s="1">
        <v>35</v>
      </c>
      <c r="E1294" t="s">
        <v>21</v>
      </c>
      <c r="F1294" t="s">
        <v>21</v>
      </c>
      <c r="G1294" s="1">
        <v>6142.47</v>
      </c>
      <c r="H1294">
        <v>0</v>
      </c>
      <c r="I1294">
        <f>Sales_Data[[#This Row],[Sales]]*Sales_Data[[#This Row],[Discount]]</f>
        <v>0</v>
      </c>
      <c r="J1294">
        <v>6142.47</v>
      </c>
      <c r="K1294" s="1">
        <v>31.1</v>
      </c>
      <c r="L1294" s="1">
        <v>6142.47</v>
      </c>
      <c r="M1294" s="1" t="s">
        <v>13</v>
      </c>
      <c r="N1294" s="1">
        <f>IF(Sales_Data[[#This Row],[Sales with Discount]]&lt;Sales_Data[[#This Row],[Sales with Free Shipping]],Sales_Data[[#This Row],[Sales with Discount]],Sales_Data[[#This Row],[Sales with Free Shipping]])</f>
        <v>6142.47</v>
      </c>
      <c r="O1294" s="1" t="str">
        <f>TEXT(Sales_Data[[#This Row],[Order Date]], "MM-YYYY")</f>
        <v>04-2019</v>
      </c>
    </row>
    <row r="1295" spans="1:15" x14ac:dyDescent="0.3">
      <c r="A1295" s="1">
        <v>2912</v>
      </c>
      <c r="B1295" s="2">
        <v>43535</v>
      </c>
      <c r="C1295" s="1" t="s">
        <v>7</v>
      </c>
      <c r="D1295" s="1">
        <v>7</v>
      </c>
      <c r="E1295" t="s">
        <v>17</v>
      </c>
      <c r="F1295" t="s">
        <v>17</v>
      </c>
      <c r="G1295" s="1">
        <v>17748.23</v>
      </c>
      <c r="H1295">
        <v>0</v>
      </c>
      <c r="I1295">
        <f>Sales_Data[[#This Row],[Sales]]*Sales_Data[[#This Row],[Discount]]</f>
        <v>0</v>
      </c>
      <c r="J1295">
        <v>17748.23</v>
      </c>
      <c r="K1295" s="1">
        <v>31.8</v>
      </c>
      <c r="L1295" s="1">
        <v>17748.23</v>
      </c>
      <c r="M1295" s="1" t="s">
        <v>13</v>
      </c>
      <c r="N1295" s="1">
        <f>IF(Sales_Data[[#This Row],[Sales with Discount]]&lt;Sales_Data[[#This Row],[Sales with Free Shipping]],Sales_Data[[#This Row],[Sales with Discount]],Sales_Data[[#This Row],[Sales with Free Shipping]])</f>
        <v>17748.23</v>
      </c>
      <c r="O1295" s="1" t="str">
        <f>TEXT(Sales_Data[[#This Row],[Order Date]], "MM-YYYY")</f>
        <v>03-2019</v>
      </c>
    </row>
    <row r="1296" spans="1:15" x14ac:dyDescent="0.3">
      <c r="A1296" s="1">
        <v>35712</v>
      </c>
      <c r="B1296" s="2">
        <v>43761</v>
      </c>
      <c r="C1296" s="1" t="s">
        <v>9</v>
      </c>
      <c r="D1296" s="1">
        <v>42</v>
      </c>
      <c r="E1296" t="s">
        <v>23</v>
      </c>
      <c r="F1296" t="s">
        <v>23</v>
      </c>
      <c r="G1296" s="1">
        <v>4206.3500000000004</v>
      </c>
      <c r="H1296">
        <v>0.01</v>
      </c>
      <c r="I1296">
        <f>Sales_Data[[#This Row],[Sales]]*Sales_Data[[#This Row],[Discount]]</f>
        <v>42.063500000000005</v>
      </c>
      <c r="J1296">
        <v>4164.2865000000002</v>
      </c>
      <c r="K1296" s="1">
        <v>7.7</v>
      </c>
      <c r="L1296" s="1">
        <v>4198.6500000000005</v>
      </c>
      <c r="M1296" s="1" t="s">
        <v>10</v>
      </c>
      <c r="N1296" s="1">
        <f>IF(Sales_Data[[#This Row],[Sales with Discount]]&lt;Sales_Data[[#This Row],[Sales with Free Shipping]],Sales_Data[[#This Row],[Sales with Discount]],Sales_Data[[#This Row],[Sales with Free Shipping]])</f>
        <v>4164.2865000000002</v>
      </c>
      <c r="O1296" s="1" t="str">
        <f>TEXT(Sales_Data[[#This Row],[Order Date]], "MM-YYYY")</f>
        <v>10-2019</v>
      </c>
    </row>
    <row r="1297" spans="1:15" x14ac:dyDescent="0.3">
      <c r="A1297" s="1">
        <v>58368</v>
      </c>
      <c r="B1297" s="2">
        <v>43655</v>
      </c>
      <c r="C1297" s="1" t="s">
        <v>9</v>
      </c>
      <c r="D1297" s="1">
        <v>4</v>
      </c>
      <c r="E1297" t="s">
        <v>16</v>
      </c>
      <c r="F1297" t="s">
        <v>16</v>
      </c>
      <c r="G1297" s="1">
        <v>15.23</v>
      </c>
      <c r="H1297">
        <v>0</v>
      </c>
      <c r="I1297">
        <f>Sales_Data[[#This Row],[Sales]]*Sales_Data[[#This Row],[Discount]]</f>
        <v>0</v>
      </c>
      <c r="J1297">
        <v>15.23</v>
      </c>
      <c r="K1297" s="1">
        <v>5.7</v>
      </c>
      <c r="L1297" s="1">
        <v>15.23</v>
      </c>
      <c r="M1297" s="1" t="s">
        <v>10</v>
      </c>
      <c r="N1297" s="1">
        <f>IF(Sales_Data[[#This Row],[Sales with Discount]]&lt;Sales_Data[[#This Row],[Sales with Free Shipping]],Sales_Data[[#This Row],[Sales with Discount]],Sales_Data[[#This Row],[Sales with Free Shipping]])</f>
        <v>15.23</v>
      </c>
      <c r="O1297" s="1" t="str">
        <f>TEXT(Sales_Data[[#This Row],[Order Date]], "MM-YYYY")</f>
        <v>07-2019</v>
      </c>
    </row>
    <row r="1298" spans="1:15" x14ac:dyDescent="0.3">
      <c r="A1298" s="1">
        <v>57570</v>
      </c>
      <c r="B1298" s="2">
        <v>43736</v>
      </c>
      <c r="C1298" s="1" t="s">
        <v>9</v>
      </c>
      <c r="D1298" s="1">
        <v>15</v>
      </c>
      <c r="E1298" t="s">
        <v>18</v>
      </c>
      <c r="F1298" t="s">
        <v>18</v>
      </c>
      <c r="G1298" s="1">
        <v>722.5</v>
      </c>
      <c r="H1298">
        <v>0</v>
      </c>
      <c r="I1298">
        <f>Sales_Data[[#This Row],[Sales]]*Sales_Data[[#This Row],[Discount]]</f>
        <v>0</v>
      </c>
      <c r="J1298">
        <v>722.5</v>
      </c>
      <c r="K1298" s="1">
        <v>7.7</v>
      </c>
      <c r="L1298" s="1">
        <v>722.5</v>
      </c>
      <c r="M1298" s="1" t="s">
        <v>10</v>
      </c>
      <c r="N1298" s="1">
        <f>IF(Sales_Data[[#This Row],[Sales with Discount]]&lt;Sales_Data[[#This Row],[Sales with Free Shipping]],Sales_Data[[#This Row],[Sales with Discount]],Sales_Data[[#This Row],[Sales with Free Shipping]])</f>
        <v>722.5</v>
      </c>
      <c r="O1298" s="1" t="str">
        <f>TEXT(Sales_Data[[#This Row],[Order Date]], "MM-YYYY")</f>
        <v>09-2019</v>
      </c>
    </row>
    <row r="1299" spans="1:15" x14ac:dyDescent="0.3">
      <c r="A1299" s="1">
        <v>19745</v>
      </c>
      <c r="B1299" s="2">
        <v>43817</v>
      </c>
      <c r="C1299" s="1" t="s">
        <v>9</v>
      </c>
      <c r="D1299" s="1">
        <v>29</v>
      </c>
      <c r="E1299" t="s">
        <v>20</v>
      </c>
      <c r="F1299" t="s">
        <v>20</v>
      </c>
      <c r="G1299" s="1">
        <v>9240.1</v>
      </c>
      <c r="H1299">
        <v>0</v>
      </c>
      <c r="I1299">
        <f>Sales_Data[[#This Row],[Sales]]*Sales_Data[[#This Row],[Discount]]</f>
        <v>0</v>
      </c>
      <c r="J1299">
        <v>9240.1</v>
      </c>
      <c r="K1299" s="1">
        <v>7.7</v>
      </c>
      <c r="L1299" s="1">
        <v>9240.1</v>
      </c>
      <c r="M1299" s="1" t="s">
        <v>10</v>
      </c>
      <c r="N1299" s="1">
        <f>IF(Sales_Data[[#This Row],[Sales with Discount]]&lt;Sales_Data[[#This Row],[Sales with Free Shipping]],Sales_Data[[#This Row],[Sales with Discount]],Sales_Data[[#This Row],[Sales with Free Shipping]])</f>
        <v>9240.1</v>
      </c>
      <c r="O1299" s="1" t="str">
        <f>TEXT(Sales_Data[[#This Row],[Order Date]], "MM-YYYY")</f>
        <v>12-2019</v>
      </c>
    </row>
    <row r="1300" spans="1:15" x14ac:dyDescent="0.3">
      <c r="A1300" s="1">
        <v>23174</v>
      </c>
      <c r="B1300" s="2">
        <v>43672</v>
      </c>
      <c r="C1300" s="1" t="s">
        <v>7</v>
      </c>
      <c r="D1300" s="1">
        <v>16</v>
      </c>
      <c r="E1300" t="s">
        <v>19</v>
      </c>
      <c r="F1300" t="s">
        <v>19</v>
      </c>
      <c r="G1300" s="1">
        <v>3798.39</v>
      </c>
      <c r="H1300">
        <v>0</v>
      </c>
      <c r="I1300">
        <f>Sales_Data[[#This Row],[Sales]]*Sales_Data[[#This Row],[Discount]]</f>
        <v>0</v>
      </c>
      <c r="J1300">
        <v>3798.39</v>
      </c>
      <c r="K1300" s="1">
        <v>68.7</v>
      </c>
      <c r="L1300" s="1">
        <v>3798.39</v>
      </c>
      <c r="M1300" s="1" t="s">
        <v>13</v>
      </c>
      <c r="N1300" s="1">
        <f>IF(Sales_Data[[#This Row],[Sales with Discount]]&lt;Sales_Data[[#This Row],[Sales with Free Shipping]],Sales_Data[[#This Row],[Sales with Discount]],Sales_Data[[#This Row],[Sales with Free Shipping]])</f>
        <v>3798.39</v>
      </c>
      <c r="O1300" s="1" t="str">
        <f>TEXT(Sales_Data[[#This Row],[Order Date]], "MM-YYYY")</f>
        <v>07-2019</v>
      </c>
    </row>
    <row r="1301" spans="1:15" x14ac:dyDescent="0.3">
      <c r="A1301" s="1">
        <v>51333</v>
      </c>
      <c r="B1301" s="2">
        <v>43742</v>
      </c>
      <c r="C1301" s="1" t="s">
        <v>11</v>
      </c>
      <c r="D1301" s="1">
        <v>25</v>
      </c>
      <c r="E1301" t="s">
        <v>14</v>
      </c>
      <c r="F1301" t="s">
        <v>14</v>
      </c>
      <c r="G1301" s="1">
        <v>253.98</v>
      </c>
      <c r="H1301">
        <v>0</v>
      </c>
      <c r="I1301">
        <f>Sales_Data[[#This Row],[Sales]]*Sales_Data[[#This Row],[Discount]]</f>
        <v>0</v>
      </c>
      <c r="J1301">
        <v>253.98</v>
      </c>
      <c r="K1301" s="1">
        <v>10.6</v>
      </c>
      <c r="L1301" s="1">
        <v>253.98</v>
      </c>
      <c r="M1301" s="1" t="s">
        <v>10</v>
      </c>
      <c r="N1301" s="1">
        <f>IF(Sales_Data[[#This Row],[Sales with Discount]]&lt;Sales_Data[[#This Row],[Sales with Free Shipping]],Sales_Data[[#This Row],[Sales with Discount]],Sales_Data[[#This Row],[Sales with Free Shipping]])</f>
        <v>253.98</v>
      </c>
      <c r="O1301" s="1" t="str">
        <f>TEXT(Sales_Data[[#This Row],[Order Date]], "MM-YYYY")</f>
        <v>10-2019</v>
      </c>
    </row>
    <row r="1302" spans="1:15" x14ac:dyDescent="0.3">
      <c r="A1302" s="1">
        <v>832</v>
      </c>
      <c r="B1302" s="2">
        <v>43573</v>
      </c>
      <c r="C1302" s="1" t="s">
        <v>7</v>
      </c>
      <c r="D1302" s="1">
        <v>7</v>
      </c>
      <c r="E1302" t="s">
        <v>17</v>
      </c>
      <c r="F1302" t="s">
        <v>17</v>
      </c>
      <c r="G1302" s="1">
        <v>57.2</v>
      </c>
      <c r="H1302">
        <v>0</v>
      </c>
      <c r="I1302">
        <f>Sales_Data[[#This Row],[Sales]]*Sales_Data[[#This Row],[Discount]]</f>
        <v>0</v>
      </c>
      <c r="J1302">
        <v>57.2</v>
      </c>
      <c r="K1302" s="1">
        <v>6.3</v>
      </c>
      <c r="L1302" s="1">
        <v>57.2</v>
      </c>
      <c r="M1302" s="1" t="s">
        <v>10</v>
      </c>
      <c r="N1302" s="1">
        <f>IF(Sales_Data[[#This Row],[Sales with Discount]]&lt;Sales_Data[[#This Row],[Sales with Free Shipping]],Sales_Data[[#This Row],[Sales with Discount]],Sales_Data[[#This Row],[Sales with Free Shipping]])</f>
        <v>57.2</v>
      </c>
      <c r="O1302" s="1" t="str">
        <f>TEXT(Sales_Data[[#This Row],[Order Date]], "MM-YYYY")</f>
        <v>04-2019</v>
      </c>
    </row>
    <row r="1303" spans="1:15" x14ac:dyDescent="0.3">
      <c r="A1303" s="1">
        <v>24775</v>
      </c>
      <c r="B1303" s="2">
        <v>43512</v>
      </c>
      <c r="C1303" s="1" t="s">
        <v>12</v>
      </c>
      <c r="D1303" s="1">
        <v>15</v>
      </c>
      <c r="E1303" t="s">
        <v>18</v>
      </c>
      <c r="F1303" t="s">
        <v>18</v>
      </c>
      <c r="G1303" s="1">
        <v>1729.83</v>
      </c>
      <c r="H1303">
        <v>0</v>
      </c>
      <c r="I1303">
        <f>Sales_Data[[#This Row],[Sales]]*Sales_Data[[#This Row],[Discount]]</f>
        <v>0</v>
      </c>
      <c r="J1303">
        <v>1729.83</v>
      </c>
      <c r="K1303" s="1">
        <v>60.2</v>
      </c>
      <c r="L1303" s="1">
        <v>1729.83</v>
      </c>
      <c r="M1303" s="1" t="s">
        <v>13</v>
      </c>
      <c r="N1303" s="1">
        <f>IF(Sales_Data[[#This Row],[Sales with Discount]]&lt;Sales_Data[[#This Row],[Sales with Free Shipping]],Sales_Data[[#This Row],[Sales with Discount]],Sales_Data[[#This Row],[Sales with Free Shipping]])</f>
        <v>1729.83</v>
      </c>
      <c r="O1303" s="1" t="str">
        <f>TEXT(Sales_Data[[#This Row],[Order Date]], "MM-YYYY")</f>
        <v>02-2019</v>
      </c>
    </row>
    <row r="1304" spans="1:15" x14ac:dyDescent="0.3">
      <c r="A1304" s="1">
        <v>18208</v>
      </c>
      <c r="B1304" s="2">
        <v>43556</v>
      </c>
      <c r="C1304" s="1" t="s">
        <v>11</v>
      </c>
      <c r="D1304" s="1">
        <v>34</v>
      </c>
      <c r="E1304" t="s">
        <v>21</v>
      </c>
      <c r="F1304" t="s">
        <v>21</v>
      </c>
      <c r="G1304" s="1">
        <v>211.27</v>
      </c>
      <c r="H1304">
        <v>0</v>
      </c>
      <c r="I1304">
        <f>Sales_Data[[#This Row],[Sales]]*Sales_Data[[#This Row],[Discount]]</f>
        <v>0</v>
      </c>
      <c r="J1304">
        <v>211.27</v>
      </c>
      <c r="K1304" s="1">
        <v>1.5</v>
      </c>
      <c r="L1304" s="1">
        <v>211.27</v>
      </c>
      <c r="M1304" s="1" t="s">
        <v>10</v>
      </c>
      <c r="N1304" s="1">
        <f>IF(Sales_Data[[#This Row],[Sales with Discount]]&lt;Sales_Data[[#This Row],[Sales with Free Shipping]],Sales_Data[[#This Row],[Sales with Discount]],Sales_Data[[#This Row],[Sales with Free Shipping]])</f>
        <v>211.27</v>
      </c>
      <c r="O1304" s="1" t="str">
        <f>TEXT(Sales_Data[[#This Row],[Order Date]], "MM-YYYY")</f>
        <v>04-2019</v>
      </c>
    </row>
    <row r="1305" spans="1:15" x14ac:dyDescent="0.3">
      <c r="A1305" s="1">
        <v>51140</v>
      </c>
      <c r="B1305" s="2">
        <v>43722</v>
      </c>
      <c r="C1305" s="1" t="s">
        <v>7</v>
      </c>
      <c r="D1305" s="1">
        <v>28</v>
      </c>
      <c r="E1305" t="s">
        <v>20</v>
      </c>
      <c r="F1305" t="s">
        <v>20</v>
      </c>
      <c r="G1305" s="1">
        <v>141.25</v>
      </c>
      <c r="H1305">
        <v>0</v>
      </c>
      <c r="I1305">
        <f>Sales_Data[[#This Row],[Sales]]*Sales_Data[[#This Row],[Discount]]</f>
        <v>0</v>
      </c>
      <c r="J1305">
        <v>141.25</v>
      </c>
      <c r="K1305" s="1">
        <v>5.5</v>
      </c>
      <c r="L1305" s="1">
        <v>141.25</v>
      </c>
      <c r="M1305" s="1" t="s">
        <v>10</v>
      </c>
      <c r="N1305" s="1">
        <f>IF(Sales_Data[[#This Row],[Sales with Discount]]&lt;Sales_Data[[#This Row],[Sales with Free Shipping]],Sales_Data[[#This Row],[Sales with Discount]],Sales_Data[[#This Row],[Sales with Free Shipping]])</f>
        <v>141.25</v>
      </c>
      <c r="O1305" s="1" t="str">
        <f>TEXT(Sales_Data[[#This Row],[Order Date]], "MM-YYYY")</f>
        <v>09-2019</v>
      </c>
    </row>
    <row r="1306" spans="1:15" x14ac:dyDescent="0.3">
      <c r="A1306" s="1">
        <v>28929</v>
      </c>
      <c r="B1306" s="2">
        <v>43747</v>
      </c>
      <c r="C1306" s="1" t="s">
        <v>14</v>
      </c>
      <c r="D1306" s="1">
        <v>37</v>
      </c>
      <c r="E1306" t="s">
        <v>22</v>
      </c>
      <c r="F1306" t="s">
        <v>22</v>
      </c>
      <c r="G1306" s="1">
        <v>247.14</v>
      </c>
      <c r="H1306">
        <v>0.01</v>
      </c>
      <c r="I1306">
        <f>Sales_Data[[#This Row],[Sales]]*Sales_Data[[#This Row],[Discount]]</f>
        <v>2.4714</v>
      </c>
      <c r="J1306">
        <v>244.6686</v>
      </c>
      <c r="K1306" s="1">
        <v>8.8000000000000007</v>
      </c>
      <c r="L1306" s="1">
        <v>238.33999999999997</v>
      </c>
      <c r="M1306" s="1" t="s">
        <v>10</v>
      </c>
      <c r="N1306" s="1">
        <f>IF(Sales_Data[[#This Row],[Sales with Discount]]&lt;Sales_Data[[#This Row],[Sales with Free Shipping]],Sales_Data[[#This Row],[Sales with Discount]],Sales_Data[[#This Row],[Sales with Free Shipping]])</f>
        <v>238.33999999999997</v>
      </c>
      <c r="O1306" s="1" t="str">
        <f>TEXT(Sales_Data[[#This Row],[Order Date]], "MM-YYYY")</f>
        <v>10-2019</v>
      </c>
    </row>
    <row r="1307" spans="1:15" x14ac:dyDescent="0.3">
      <c r="A1307" s="1">
        <v>8033</v>
      </c>
      <c r="B1307" s="2">
        <v>43579</v>
      </c>
      <c r="C1307" s="1" t="s">
        <v>9</v>
      </c>
      <c r="D1307" s="1">
        <v>27</v>
      </c>
      <c r="E1307" t="s">
        <v>20</v>
      </c>
      <c r="F1307" t="s">
        <v>20</v>
      </c>
      <c r="G1307" s="1">
        <v>126.45</v>
      </c>
      <c r="H1307">
        <v>0</v>
      </c>
      <c r="I1307">
        <f>Sales_Data[[#This Row],[Sales]]*Sales_Data[[#This Row],[Discount]]</f>
        <v>0</v>
      </c>
      <c r="J1307">
        <v>126.45</v>
      </c>
      <c r="K1307" s="1">
        <v>7.4</v>
      </c>
      <c r="L1307" s="1">
        <v>126.45</v>
      </c>
      <c r="M1307" s="1" t="s">
        <v>10</v>
      </c>
      <c r="N1307" s="1">
        <f>IF(Sales_Data[[#This Row],[Sales with Discount]]&lt;Sales_Data[[#This Row],[Sales with Free Shipping]],Sales_Data[[#This Row],[Sales with Discount]],Sales_Data[[#This Row],[Sales with Free Shipping]])</f>
        <v>126.45</v>
      </c>
      <c r="O1307" s="1" t="str">
        <f>TEXT(Sales_Data[[#This Row],[Order Date]], "MM-YYYY")</f>
        <v>04-2019</v>
      </c>
    </row>
    <row r="1308" spans="1:15" x14ac:dyDescent="0.3">
      <c r="A1308" s="1">
        <v>50403</v>
      </c>
      <c r="B1308" s="2">
        <v>43597</v>
      </c>
      <c r="C1308" s="1" t="s">
        <v>11</v>
      </c>
      <c r="D1308" s="1">
        <v>38</v>
      </c>
      <c r="E1308" t="s">
        <v>22</v>
      </c>
      <c r="F1308" t="s">
        <v>22</v>
      </c>
      <c r="G1308" s="1">
        <v>283.46440000000001</v>
      </c>
      <c r="H1308">
        <v>0.01</v>
      </c>
      <c r="I1308">
        <f>Sales_Data[[#This Row],[Sales]]*Sales_Data[[#This Row],[Discount]]</f>
        <v>2.8346440000000004</v>
      </c>
      <c r="J1308">
        <v>280.62975599999999</v>
      </c>
      <c r="K1308" s="1">
        <v>6.5</v>
      </c>
      <c r="L1308" s="1">
        <v>276.96440000000001</v>
      </c>
      <c r="M1308" s="1" t="s">
        <v>10</v>
      </c>
      <c r="N1308" s="1">
        <f>IF(Sales_Data[[#This Row],[Sales with Discount]]&lt;Sales_Data[[#This Row],[Sales with Free Shipping]],Sales_Data[[#This Row],[Sales with Discount]],Sales_Data[[#This Row],[Sales with Free Shipping]])</f>
        <v>276.96440000000001</v>
      </c>
      <c r="O1308" s="1" t="str">
        <f>TEXT(Sales_Data[[#This Row],[Order Date]], "MM-YYYY")</f>
        <v>05-2019</v>
      </c>
    </row>
    <row r="1309" spans="1:15" x14ac:dyDescent="0.3">
      <c r="A1309" s="1">
        <v>59015</v>
      </c>
      <c r="B1309" s="2">
        <v>43611</v>
      </c>
      <c r="C1309" s="1" t="s">
        <v>14</v>
      </c>
      <c r="D1309" s="1">
        <v>32</v>
      </c>
      <c r="E1309" t="s">
        <v>21</v>
      </c>
      <c r="F1309" t="s">
        <v>21</v>
      </c>
      <c r="G1309" s="1">
        <v>297.66000000000003</v>
      </c>
      <c r="H1309">
        <v>0</v>
      </c>
      <c r="I1309">
        <f>Sales_Data[[#This Row],[Sales]]*Sales_Data[[#This Row],[Discount]]</f>
        <v>0</v>
      </c>
      <c r="J1309">
        <v>297.66000000000003</v>
      </c>
      <c r="K1309" s="1">
        <v>1</v>
      </c>
      <c r="L1309" s="1">
        <v>297.66000000000003</v>
      </c>
      <c r="M1309" s="1" t="s">
        <v>10</v>
      </c>
      <c r="N1309" s="1">
        <f>IF(Sales_Data[[#This Row],[Sales with Discount]]&lt;Sales_Data[[#This Row],[Sales with Free Shipping]],Sales_Data[[#This Row],[Sales with Discount]],Sales_Data[[#This Row],[Sales with Free Shipping]])</f>
        <v>297.66000000000003</v>
      </c>
      <c r="O1309" s="1" t="str">
        <f>TEXT(Sales_Data[[#This Row],[Order Date]], "MM-YYYY")</f>
        <v>05-2019</v>
      </c>
    </row>
    <row r="1310" spans="1:15" x14ac:dyDescent="0.3">
      <c r="A1310" s="1">
        <v>41063</v>
      </c>
      <c r="B1310" s="2">
        <v>43790</v>
      </c>
      <c r="C1310" s="1" t="s">
        <v>7</v>
      </c>
      <c r="D1310" s="1">
        <v>10</v>
      </c>
      <c r="E1310" t="s">
        <v>17</v>
      </c>
      <c r="F1310" t="s">
        <v>17</v>
      </c>
      <c r="G1310" s="1">
        <v>329.95</v>
      </c>
      <c r="H1310">
        <v>0</v>
      </c>
      <c r="I1310">
        <f>Sales_Data[[#This Row],[Sales]]*Sales_Data[[#This Row],[Discount]]</f>
        <v>0</v>
      </c>
      <c r="J1310">
        <v>329.95</v>
      </c>
      <c r="K1310" s="1">
        <v>1.1000000000000001</v>
      </c>
      <c r="L1310" s="1">
        <v>329.95</v>
      </c>
      <c r="M1310" s="1" t="s">
        <v>10</v>
      </c>
      <c r="N1310" s="1">
        <f>IF(Sales_Data[[#This Row],[Sales with Discount]]&lt;Sales_Data[[#This Row],[Sales with Free Shipping]],Sales_Data[[#This Row],[Sales with Discount]],Sales_Data[[#This Row],[Sales with Free Shipping]])</f>
        <v>329.95</v>
      </c>
      <c r="O1310" s="1" t="str">
        <f>TEXT(Sales_Data[[#This Row],[Order Date]], "MM-YYYY")</f>
        <v>11-2019</v>
      </c>
    </row>
    <row r="1311" spans="1:15" x14ac:dyDescent="0.3">
      <c r="A1311" s="1">
        <v>17959</v>
      </c>
      <c r="B1311" s="2">
        <v>43717</v>
      </c>
      <c r="C1311" s="1" t="s">
        <v>14</v>
      </c>
      <c r="D1311" s="1">
        <v>21</v>
      </c>
      <c r="E1311" t="s">
        <v>14</v>
      </c>
      <c r="F1311" t="s">
        <v>14</v>
      </c>
      <c r="G1311" s="1">
        <v>2979.49</v>
      </c>
      <c r="H1311">
        <v>0</v>
      </c>
      <c r="I1311">
        <f>Sales_Data[[#This Row],[Sales]]*Sales_Data[[#This Row],[Discount]]</f>
        <v>0</v>
      </c>
      <c r="J1311">
        <v>2979.49</v>
      </c>
      <c r="K1311" s="1">
        <v>26.2</v>
      </c>
      <c r="L1311" s="1">
        <v>2979.49</v>
      </c>
      <c r="M1311" s="1" t="s">
        <v>10</v>
      </c>
      <c r="N1311" s="1">
        <f>IF(Sales_Data[[#This Row],[Sales with Discount]]&lt;Sales_Data[[#This Row],[Sales with Free Shipping]],Sales_Data[[#This Row],[Sales with Discount]],Sales_Data[[#This Row],[Sales with Free Shipping]])</f>
        <v>2979.49</v>
      </c>
      <c r="O1311" s="1" t="str">
        <f>TEXT(Sales_Data[[#This Row],[Order Date]], "MM-YYYY")</f>
        <v>09-2019</v>
      </c>
    </row>
    <row r="1312" spans="1:15" x14ac:dyDescent="0.3">
      <c r="A1312" s="1">
        <v>20003</v>
      </c>
      <c r="B1312" s="2">
        <v>43494</v>
      </c>
      <c r="C1312" s="1" t="s">
        <v>14</v>
      </c>
      <c r="D1312" s="1">
        <v>5</v>
      </c>
      <c r="E1312" t="s">
        <v>16</v>
      </c>
      <c r="F1312" t="s">
        <v>16</v>
      </c>
      <c r="G1312" s="1">
        <v>151.91</v>
      </c>
      <c r="H1312">
        <v>0</v>
      </c>
      <c r="I1312">
        <f>Sales_Data[[#This Row],[Sales]]*Sales_Data[[#This Row],[Discount]]</f>
        <v>0</v>
      </c>
      <c r="J1312">
        <v>151.91</v>
      </c>
      <c r="K1312" s="1">
        <v>1.1000000000000001</v>
      </c>
      <c r="L1312" s="1">
        <v>151.91</v>
      </c>
      <c r="M1312" s="1" t="s">
        <v>10</v>
      </c>
      <c r="N1312" s="1">
        <f>IF(Sales_Data[[#This Row],[Sales with Discount]]&lt;Sales_Data[[#This Row],[Sales with Free Shipping]],Sales_Data[[#This Row],[Sales with Discount]],Sales_Data[[#This Row],[Sales with Free Shipping]])</f>
        <v>151.91</v>
      </c>
      <c r="O1312" s="1" t="str">
        <f>TEXT(Sales_Data[[#This Row],[Order Date]], "MM-YYYY")</f>
        <v>01-2019</v>
      </c>
    </row>
    <row r="1313" spans="1:15" x14ac:dyDescent="0.3">
      <c r="A1313" s="1">
        <v>31523</v>
      </c>
      <c r="B1313" s="2">
        <v>43532</v>
      </c>
      <c r="C1313" s="1" t="s">
        <v>7</v>
      </c>
      <c r="D1313" s="1">
        <v>17</v>
      </c>
      <c r="E1313" t="s">
        <v>19</v>
      </c>
      <c r="F1313" t="s">
        <v>19</v>
      </c>
      <c r="G1313" s="1">
        <v>113.2595</v>
      </c>
      <c r="H1313">
        <v>0</v>
      </c>
      <c r="I1313">
        <f>Sales_Data[[#This Row],[Sales]]*Sales_Data[[#This Row],[Discount]]</f>
        <v>0</v>
      </c>
      <c r="J1313">
        <v>113.2595</v>
      </c>
      <c r="K1313" s="1">
        <v>2.9</v>
      </c>
      <c r="L1313" s="1">
        <v>113.2595</v>
      </c>
      <c r="M1313" s="1" t="s">
        <v>10</v>
      </c>
      <c r="N1313" s="1">
        <f>IF(Sales_Data[[#This Row],[Sales with Discount]]&lt;Sales_Data[[#This Row],[Sales with Free Shipping]],Sales_Data[[#This Row],[Sales with Discount]],Sales_Data[[#This Row],[Sales with Free Shipping]])</f>
        <v>113.2595</v>
      </c>
      <c r="O1313" s="1" t="str">
        <f>TEXT(Sales_Data[[#This Row],[Order Date]], "MM-YYYY")</f>
        <v>03-2019</v>
      </c>
    </row>
    <row r="1314" spans="1:15" x14ac:dyDescent="0.3">
      <c r="A1314" s="1">
        <v>24672</v>
      </c>
      <c r="B1314" s="2">
        <v>43541</v>
      </c>
      <c r="C1314" s="1" t="s">
        <v>14</v>
      </c>
      <c r="D1314" s="1">
        <v>5</v>
      </c>
      <c r="E1314" t="s">
        <v>16</v>
      </c>
      <c r="F1314" t="s">
        <v>16</v>
      </c>
      <c r="G1314" s="1">
        <v>47.26</v>
      </c>
      <c r="H1314">
        <v>0</v>
      </c>
      <c r="I1314">
        <f>Sales_Data[[#This Row],[Sales]]*Sales_Data[[#This Row],[Discount]]</f>
        <v>0</v>
      </c>
      <c r="J1314">
        <v>47.26</v>
      </c>
      <c r="K1314" s="1">
        <v>4.3</v>
      </c>
      <c r="L1314" s="1">
        <v>47.26</v>
      </c>
      <c r="M1314" s="1" t="s">
        <v>10</v>
      </c>
      <c r="N1314" s="1">
        <f>IF(Sales_Data[[#This Row],[Sales with Discount]]&lt;Sales_Data[[#This Row],[Sales with Free Shipping]],Sales_Data[[#This Row],[Sales with Discount]],Sales_Data[[#This Row],[Sales with Free Shipping]])</f>
        <v>47.26</v>
      </c>
      <c r="O1314" s="1" t="str">
        <f>TEXT(Sales_Data[[#This Row],[Order Date]], "MM-YYYY")</f>
        <v>03-2019</v>
      </c>
    </row>
    <row r="1315" spans="1:15" x14ac:dyDescent="0.3">
      <c r="A1315" s="1">
        <v>41921</v>
      </c>
      <c r="B1315" s="2">
        <v>43518</v>
      </c>
      <c r="C1315" s="1" t="s">
        <v>14</v>
      </c>
      <c r="D1315" s="1">
        <v>32</v>
      </c>
      <c r="E1315" t="s">
        <v>21</v>
      </c>
      <c r="F1315" t="s">
        <v>21</v>
      </c>
      <c r="G1315" s="1">
        <v>17455.46</v>
      </c>
      <c r="H1315">
        <v>0</v>
      </c>
      <c r="I1315">
        <f>Sales_Data[[#This Row],[Sales]]*Sales_Data[[#This Row],[Discount]]</f>
        <v>0</v>
      </c>
      <c r="J1315">
        <v>17455.46</v>
      </c>
      <c r="K1315" s="1">
        <v>27.8</v>
      </c>
      <c r="L1315" s="1">
        <v>17455.46</v>
      </c>
      <c r="M1315" s="1" t="s">
        <v>13</v>
      </c>
      <c r="N1315" s="1">
        <f>IF(Sales_Data[[#This Row],[Sales with Discount]]&lt;Sales_Data[[#This Row],[Sales with Free Shipping]],Sales_Data[[#This Row],[Sales with Discount]],Sales_Data[[#This Row],[Sales with Free Shipping]])</f>
        <v>17455.46</v>
      </c>
      <c r="O1315" s="1" t="str">
        <f>TEXT(Sales_Data[[#This Row],[Order Date]], "MM-YYYY")</f>
        <v>02-2019</v>
      </c>
    </row>
    <row r="1316" spans="1:15" x14ac:dyDescent="0.3">
      <c r="A1316" s="1">
        <v>18275</v>
      </c>
      <c r="B1316" s="2">
        <v>43474</v>
      </c>
      <c r="C1316" s="1" t="s">
        <v>7</v>
      </c>
      <c r="D1316" s="1">
        <v>25</v>
      </c>
      <c r="E1316" t="s">
        <v>14</v>
      </c>
      <c r="F1316" t="s">
        <v>14</v>
      </c>
      <c r="G1316" s="1">
        <v>345.32</v>
      </c>
      <c r="H1316">
        <v>0</v>
      </c>
      <c r="I1316">
        <f>Sales_Data[[#This Row],[Sales]]*Sales_Data[[#This Row],[Discount]]</f>
        <v>0</v>
      </c>
      <c r="J1316">
        <v>345.32</v>
      </c>
      <c r="K1316" s="1">
        <v>5.3</v>
      </c>
      <c r="L1316" s="1">
        <v>345.32</v>
      </c>
      <c r="M1316" s="1" t="s">
        <v>10</v>
      </c>
      <c r="N1316" s="1">
        <f>IF(Sales_Data[[#This Row],[Sales with Discount]]&lt;Sales_Data[[#This Row],[Sales with Free Shipping]],Sales_Data[[#This Row],[Sales with Discount]],Sales_Data[[#This Row],[Sales with Free Shipping]])</f>
        <v>345.32</v>
      </c>
      <c r="O1316" s="1" t="str">
        <f>TEXT(Sales_Data[[#This Row],[Order Date]], "MM-YYYY")</f>
        <v>01-2019</v>
      </c>
    </row>
    <row r="1317" spans="1:15" x14ac:dyDescent="0.3">
      <c r="A1317" s="1">
        <v>33729</v>
      </c>
      <c r="B1317" s="2">
        <v>43727</v>
      </c>
      <c r="C1317" s="1" t="s">
        <v>11</v>
      </c>
      <c r="D1317" s="1">
        <v>26</v>
      </c>
      <c r="E1317" t="s">
        <v>20</v>
      </c>
      <c r="F1317" t="s">
        <v>20</v>
      </c>
      <c r="G1317" s="1">
        <v>7485.25</v>
      </c>
      <c r="H1317">
        <v>0</v>
      </c>
      <c r="I1317">
        <f>Sales_Data[[#This Row],[Sales]]*Sales_Data[[#This Row],[Discount]]</f>
        <v>0</v>
      </c>
      <c r="J1317">
        <v>7485.25</v>
      </c>
      <c r="K1317" s="1">
        <v>37.5</v>
      </c>
      <c r="L1317" s="1">
        <v>7485.25</v>
      </c>
      <c r="M1317" s="1" t="s">
        <v>10</v>
      </c>
      <c r="N1317" s="1">
        <f>IF(Sales_Data[[#This Row],[Sales with Discount]]&lt;Sales_Data[[#This Row],[Sales with Free Shipping]],Sales_Data[[#This Row],[Sales with Discount]],Sales_Data[[#This Row],[Sales with Free Shipping]])</f>
        <v>7485.25</v>
      </c>
      <c r="O1317" s="1" t="str">
        <f>TEXT(Sales_Data[[#This Row],[Order Date]], "MM-YYYY")</f>
        <v>09-2019</v>
      </c>
    </row>
    <row r="1318" spans="1:15" x14ac:dyDescent="0.3">
      <c r="A1318" s="1">
        <v>44992</v>
      </c>
      <c r="B1318" s="2">
        <v>43823</v>
      </c>
      <c r="C1318" s="1" t="s">
        <v>12</v>
      </c>
      <c r="D1318" s="1">
        <v>32</v>
      </c>
      <c r="E1318" t="s">
        <v>21</v>
      </c>
      <c r="F1318" t="s">
        <v>21</v>
      </c>
      <c r="G1318" s="1">
        <v>7607.96</v>
      </c>
      <c r="H1318">
        <v>0</v>
      </c>
      <c r="I1318">
        <f>Sales_Data[[#This Row],[Sales]]*Sales_Data[[#This Row],[Discount]]</f>
        <v>0</v>
      </c>
      <c r="J1318">
        <v>7607.96</v>
      </c>
      <c r="K1318" s="1">
        <v>74.5</v>
      </c>
      <c r="L1318" s="1">
        <v>7607.96</v>
      </c>
      <c r="M1318" s="1" t="s">
        <v>13</v>
      </c>
      <c r="N1318" s="1">
        <f>IF(Sales_Data[[#This Row],[Sales with Discount]]&lt;Sales_Data[[#This Row],[Sales with Free Shipping]],Sales_Data[[#This Row],[Sales with Discount]],Sales_Data[[#This Row],[Sales with Free Shipping]])</f>
        <v>7607.96</v>
      </c>
      <c r="O1318" s="1" t="str">
        <f>TEXT(Sales_Data[[#This Row],[Order Date]], "MM-YYYY")</f>
        <v>12-2019</v>
      </c>
    </row>
    <row r="1319" spans="1:15" x14ac:dyDescent="0.3">
      <c r="A1319" s="1">
        <v>40131</v>
      </c>
      <c r="B1319" s="2">
        <v>43587</v>
      </c>
      <c r="C1319" s="1" t="s">
        <v>7</v>
      </c>
      <c r="D1319" s="1">
        <v>24</v>
      </c>
      <c r="E1319" t="s">
        <v>14</v>
      </c>
      <c r="F1319" t="s">
        <v>14</v>
      </c>
      <c r="G1319" s="1">
        <v>238.0001</v>
      </c>
      <c r="H1319">
        <v>0</v>
      </c>
      <c r="I1319">
        <f>Sales_Data[[#This Row],[Sales]]*Sales_Data[[#This Row],[Discount]]</f>
        <v>0</v>
      </c>
      <c r="J1319">
        <v>238.0001</v>
      </c>
      <c r="K1319" s="1">
        <v>10.6</v>
      </c>
      <c r="L1319" s="1">
        <v>238.0001</v>
      </c>
      <c r="M1319" s="1" t="s">
        <v>10</v>
      </c>
      <c r="N1319" s="1">
        <f>IF(Sales_Data[[#This Row],[Sales with Discount]]&lt;Sales_Data[[#This Row],[Sales with Free Shipping]],Sales_Data[[#This Row],[Sales with Discount]],Sales_Data[[#This Row],[Sales with Free Shipping]])</f>
        <v>238.0001</v>
      </c>
      <c r="O1319" s="1" t="str">
        <f>TEXT(Sales_Data[[#This Row],[Order Date]], "MM-YYYY")</f>
        <v>05-2019</v>
      </c>
    </row>
    <row r="1320" spans="1:15" x14ac:dyDescent="0.3">
      <c r="A1320" s="1">
        <v>16711</v>
      </c>
      <c r="B1320" s="2">
        <v>43580</v>
      </c>
      <c r="C1320" s="1" t="s">
        <v>11</v>
      </c>
      <c r="D1320" s="1">
        <v>3</v>
      </c>
      <c r="E1320" t="s">
        <v>16</v>
      </c>
      <c r="F1320" t="s">
        <v>16</v>
      </c>
      <c r="G1320" s="1">
        <v>4.24</v>
      </c>
      <c r="H1320">
        <v>0</v>
      </c>
      <c r="I1320">
        <f>Sales_Data[[#This Row],[Sales]]*Sales_Data[[#This Row],[Discount]]</f>
        <v>0</v>
      </c>
      <c r="J1320">
        <v>4.24</v>
      </c>
      <c r="K1320" s="1">
        <v>0.7</v>
      </c>
      <c r="L1320" s="1">
        <v>4.24</v>
      </c>
      <c r="M1320" s="1" t="s">
        <v>10</v>
      </c>
      <c r="N1320" s="1">
        <f>IF(Sales_Data[[#This Row],[Sales with Discount]]&lt;Sales_Data[[#This Row],[Sales with Free Shipping]],Sales_Data[[#This Row],[Sales with Discount]],Sales_Data[[#This Row],[Sales with Free Shipping]])</f>
        <v>4.24</v>
      </c>
      <c r="O1320" s="1" t="str">
        <f>TEXT(Sales_Data[[#This Row],[Order Date]], "MM-YYYY")</f>
        <v>04-2019</v>
      </c>
    </row>
    <row r="1321" spans="1:15" x14ac:dyDescent="0.3">
      <c r="A1321" s="1">
        <v>2209</v>
      </c>
      <c r="B1321" s="2">
        <v>43655</v>
      </c>
      <c r="C1321" s="1" t="s">
        <v>9</v>
      </c>
      <c r="D1321" s="1">
        <v>13</v>
      </c>
      <c r="E1321" t="s">
        <v>18</v>
      </c>
      <c r="F1321" t="s">
        <v>18</v>
      </c>
      <c r="G1321" s="1">
        <v>1354.08</v>
      </c>
      <c r="H1321">
        <v>0</v>
      </c>
      <c r="I1321">
        <f>Sales_Data[[#This Row],[Sales]]*Sales_Data[[#This Row],[Discount]]</f>
        <v>0</v>
      </c>
      <c r="J1321">
        <v>1354.08</v>
      </c>
      <c r="K1321" s="1">
        <v>3.2</v>
      </c>
      <c r="L1321" s="1">
        <v>1354.08</v>
      </c>
      <c r="M1321" s="1" t="s">
        <v>10</v>
      </c>
      <c r="N1321" s="1">
        <f>IF(Sales_Data[[#This Row],[Sales with Discount]]&lt;Sales_Data[[#This Row],[Sales with Free Shipping]],Sales_Data[[#This Row],[Sales with Discount]],Sales_Data[[#This Row],[Sales with Free Shipping]])</f>
        <v>1354.08</v>
      </c>
      <c r="O1321" s="1" t="str">
        <f>TEXT(Sales_Data[[#This Row],[Order Date]], "MM-YYYY")</f>
        <v>07-2019</v>
      </c>
    </row>
    <row r="1322" spans="1:15" x14ac:dyDescent="0.3">
      <c r="A1322" s="1">
        <v>48868</v>
      </c>
      <c r="B1322" s="2">
        <v>43629</v>
      </c>
      <c r="C1322" s="1" t="s">
        <v>11</v>
      </c>
      <c r="D1322" s="1">
        <v>47</v>
      </c>
      <c r="E1322" t="s">
        <v>24</v>
      </c>
      <c r="F1322" t="s">
        <v>24</v>
      </c>
      <c r="G1322" s="1">
        <v>8183.3279000000002</v>
      </c>
      <c r="H1322">
        <v>0.01</v>
      </c>
      <c r="I1322">
        <f>Sales_Data[[#This Row],[Sales]]*Sales_Data[[#This Row],[Discount]]</f>
        <v>81.833279000000005</v>
      </c>
      <c r="J1322">
        <v>8101.4946209999998</v>
      </c>
      <c r="K1322" s="1">
        <v>37.5</v>
      </c>
      <c r="L1322" s="1">
        <v>8145.8279000000002</v>
      </c>
      <c r="M1322" s="1" t="s">
        <v>8</v>
      </c>
      <c r="N1322" s="1">
        <f>IF(Sales_Data[[#This Row],[Sales with Discount]]&lt;Sales_Data[[#This Row],[Sales with Free Shipping]],Sales_Data[[#This Row],[Sales with Discount]],Sales_Data[[#This Row],[Sales with Free Shipping]])</f>
        <v>8101.4946209999998</v>
      </c>
      <c r="O1322" s="1" t="str">
        <f>TEXT(Sales_Data[[#This Row],[Order Date]], "MM-YYYY")</f>
        <v>06-2019</v>
      </c>
    </row>
    <row r="1323" spans="1:15" x14ac:dyDescent="0.3">
      <c r="A1323" s="1">
        <v>16390</v>
      </c>
      <c r="B1323" s="2">
        <v>43548</v>
      </c>
      <c r="C1323" s="1" t="s">
        <v>14</v>
      </c>
      <c r="D1323" s="1">
        <v>8</v>
      </c>
      <c r="E1323" t="s">
        <v>17</v>
      </c>
      <c r="F1323" t="s">
        <v>17</v>
      </c>
      <c r="G1323" s="1">
        <v>92.426599999999993</v>
      </c>
      <c r="H1323">
        <v>0</v>
      </c>
      <c r="I1323">
        <f>Sales_Data[[#This Row],[Sales]]*Sales_Data[[#This Row],[Discount]]</f>
        <v>0</v>
      </c>
      <c r="J1323">
        <v>92.426599999999993</v>
      </c>
      <c r="K1323" s="1">
        <v>3.6</v>
      </c>
      <c r="L1323" s="1">
        <v>92.426599999999993</v>
      </c>
      <c r="M1323" s="1" t="s">
        <v>10</v>
      </c>
      <c r="N1323" s="1">
        <f>IF(Sales_Data[[#This Row],[Sales with Discount]]&lt;Sales_Data[[#This Row],[Sales with Free Shipping]],Sales_Data[[#This Row],[Sales with Discount]],Sales_Data[[#This Row],[Sales with Free Shipping]])</f>
        <v>92.426599999999993</v>
      </c>
      <c r="O1323" s="1" t="str">
        <f>TEXT(Sales_Data[[#This Row],[Order Date]], "MM-YYYY")</f>
        <v>03-2019</v>
      </c>
    </row>
    <row r="1324" spans="1:15" x14ac:dyDescent="0.3">
      <c r="A1324" s="1">
        <v>45698</v>
      </c>
      <c r="B1324" s="2">
        <v>43578</v>
      </c>
      <c r="C1324" s="1" t="s">
        <v>9</v>
      </c>
      <c r="D1324" s="1">
        <v>40</v>
      </c>
      <c r="E1324" t="s">
        <v>22</v>
      </c>
      <c r="F1324" t="s">
        <v>22</v>
      </c>
      <c r="G1324" s="1">
        <v>7018.14</v>
      </c>
      <c r="H1324">
        <v>0.01</v>
      </c>
      <c r="I1324">
        <f>Sales_Data[[#This Row],[Sales]]*Sales_Data[[#This Row],[Discount]]</f>
        <v>70.181400000000011</v>
      </c>
      <c r="J1324">
        <v>6947.9585999999999</v>
      </c>
      <c r="K1324" s="1">
        <v>21.4</v>
      </c>
      <c r="L1324" s="1">
        <v>6996.7400000000007</v>
      </c>
      <c r="M1324" s="1" t="s">
        <v>10</v>
      </c>
      <c r="N1324" s="1">
        <f>IF(Sales_Data[[#This Row],[Sales with Discount]]&lt;Sales_Data[[#This Row],[Sales with Free Shipping]],Sales_Data[[#This Row],[Sales with Discount]],Sales_Data[[#This Row],[Sales with Free Shipping]])</f>
        <v>6947.9585999999999</v>
      </c>
      <c r="O1324" s="1" t="str">
        <f>TEXT(Sales_Data[[#This Row],[Order Date]], "MM-YYYY")</f>
        <v>04-2019</v>
      </c>
    </row>
    <row r="1325" spans="1:15" x14ac:dyDescent="0.3">
      <c r="A1325" s="1">
        <v>29536</v>
      </c>
      <c r="B1325" s="2">
        <v>43715</v>
      </c>
      <c r="C1325" s="1" t="s">
        <v>14</v>
      </c>
      <c r="D1325" s="1">
        <v>5</v>
      </c>
      <c r="E1325" t="s">
        <v>16</v>
      </c>
      <c r="F1325" t="s">
        <v>16</v>
      </c>
      <c r="G1325" s="1">
        <v>529.99239999999998</v>
      </c>
      <c r="H1325">
        <v>0</v>
      </c>
      <c r="I1325">
        <f>Sales_Data[[#This Row],[Sales]]*Sales_Data[[#This Row],[Discount]]</f>
        <v>0</v>
      </c>
      <c r="J1325">
        <v>529.99239999999998</v>
      </c>
      <c r="K1325" s="1">
        <v>16.8</v>
      </c>
      <c r="L1325" s="1">
        <v>529.99239999999998</v>
      </c>
      <c r="M1325" s="1" t="s">
        <v>13</v>
      </c>
      <c r="N1325" s="1">
        <f>IF(Sales_Data[[#This Row],[Sales with Discount]]&lt;Sales_Data[[#This Row],[Sales with Free Shipping]],Sales_Data[[#This Row],[Sales with Discount]],Sales_Data[[#This Row],[Sales with Free Shipping]])</f>
        <v>529.99239999999998</v>
      </c>
      <c r="O1325" s="1" t="str">
        <f>TEXT(Sales_Data[[#This Row],[Order Date]], "MM-YYYY")</f>
        <v>09-2019</v>
      </c>
    </row>
    <row r="1326" spans="1:15" x14ac:dyDescent="0.3">
      <c r="A1326" s="1">
        <v>43751</v>
      </c>
      <c r="B1326" s="2">
        <v>43643</v>
      </c>
      <c r="C1326" s="1" t="s">
        <v>9</v>
      </c>
      <c r="D1326" s="1">
        <v>43</v>
      </c>
      <c r="E1326" t="s">
        <v>23</v>
      </c>
      <c r="F1326" t="s">
        <v>23</v>
      </c>
      <c r="G1326" s="1">
        <v>664.94</v>
      </c>
      <c r="H1326">
        <v>0.01</v>
      </c>
      <c r="I1326">
        <f>Sales_Data[[#This Row],[Sales]]*Sales_Data[[#This Row],[Discount]]</f>
        <v>6.6494000000000009</v>
      </c>
      <c r="J1326">
        <v>658.29060000000004</v>
      </c>
      <c r="K1326" s="1">
        <v>4.8</v>
      </c>
      <c r="L1326" s="1">
        <v>660.1400000000001</v>
      </c>
      <c r="M1326" s="1" t="s">
        <v>10</v>
      </c>
      <c r="N1326" s="1">
        <f>IF(Sales_Data[[#This Row],[Sales with Discount]]&lt;Sales_Data[[#This Row],[Sales with Free Shipping]],Sales_Data[[#This Row],[Sales with Discount]],Sales_Data[[#This Row],[Sales with Free Shipping]])</f>
        <v>658.29060000000004</v>
      </c>
      <c r="O1326" s="1" t="str">
        <f>TEXT(Sales_Data[[#This Row],[Order Date]], "MM-YYYY")</f>
        <v>06-2019</v>
      </c>
    </row>
    <row r="1327" spans="1:15" x14ac:dyDescent="0.3">
      <c r="A1327" s="1">
        <v>20032</v>
      </c>
      <c r="B1327" s="2">
        <v>43774</v>
      </c>
      <c r="C1327" s="1" t="s">
        <v>14</v>
      </c>
      <c r="D1327" s="1">
        <v>8</v>
      </c>
      <c r="E1327" t="s">
        <v>17</v>
      </c>
      <c r="F1327" t="s">
        <v>17</v>
      </c>
      <c r="G1327" s="1">
        <v>147</v>
      </c>
      <c r="H1327">
        <v>0</v>
      </c>
      <c r="I1327">
        <f>Sales_Data[[#This Row],[Sales]]*Sales_Data[[#This Row],[Discount]]</f>
        <v>0</v>
      </c>
      <c r="J1327">
        <v>147</v>
      </c>
      <c r="K1327" s="1">
        <v>2.1</v>
      </c>
      <c r="L1327" s="1">
        <v>147</v>
      </c>
      <c r="M1327" s="1" t="s">
        <v>10</v>
      </c>
      <c r="N1327" s="1">
        <f>IF(Sales_Data[[#This Row],[Sales with Discount]]&lt;Sales_Data[[#This Row],[Sales with Free Shipping]],Sales_Data[[#This Row],[Sales with Discount]],Sales_Data[[#This Row],[Sales with Free Shipping]])</f>
        <v>147</v>
      </c>
      <c r="O1327" s="1" t="str">
        <f>TEXT(Sales_Data[[#This Row],[Order Date]], "MM-YYYY")</f>
        <v>11-2019</v>
      </c>
    </row>
    <row r="1328" spans="1:15" x14ac:dyDescent="0.3">
      <c r="A1328" s="1">
        <v>28868</v>
      </c>
      <c r="B1328" s="2">
        <v>43560</v>
      </c>
      <c r="C1328" s="1" t="s">
        <v>9</v>
      </c>
      <c r="D1328" s="1">
        <v>30</v>
      </c>
      <c r="E1328" t="s">
        <v>20</v>
      </c>
      <c r="F1328" t="s">
        <v>20</v>
      </c>
      <c r="G1328" s="1">
        <v>218.8</v>
      </c>
      <c r="H1328">
        <v>0</v>
      </c>
      <c r="I1328">
        <f>Sales_Data[[#This Row],[Sales]]*Sales_Data[[#This Row],[Discount]]</f>
        <v>0</v>
      </c>
      <c r="J1328">
        <v>218.8</v>
      </c>
      <c r="K1328" s="1">
        <v>9.3000000000000007</v>
      </c>
      <c r="L1328" s="1">
        <v>218.8</v>
      </c>
      <c r="M1328" s="1" t="s">
        <v>10</v>
      </c>
      <c r="N1328" s="1">
        <f>IF(Sales_Data[[#This Row],[Sales with Discount]]&lt;Sales_Data[[#This Row],[Sales with Free Shipping]],Sales_Data[[#This Row],[Sales with Discount]],Sales_Data[[#This Row],[Sales with Free Shipping]])</f>
        <v>218.8</v>
      </c>
      <c r="O1328" s="1" t="str">
        <f>TEXT(Sales_Data[[#This Row],[Order Date]], "MM-YYYY")</f>
        <v>04-2019</v>
      </c>
    </row>
    <row r="1329" spans="1:15" x14ac:dyDescent="0.3">
      <c r="A1329" s="1">
        <v>57537</v>
      </c>
      <c r="B1329" s="2">
        <v>43726</v>
      </c>
      <c r="C1329" s="1" t="s">
        <v>14</v>
      </c>
      <c r="D1329" s="1">
        <v>4</v>
      </c>
      <c r="E1329" t="s">
        <v>16</v>
      </c>
      <c r="F1329" t="s">
        <v>16</v>
      </c>
      <c r="G1329" s="1">
        <v>19.61</v>
      </c>
      <c r="H1329">
        <v>0</v>
      </c>
      <c r="I1329">
        <f>Sales_Data[[#This Row],[Sales]]*Sales_Data[[#This Row],[Discount]]</f>
        <v>0</v>
      </c>
      <c r="J1329">
        <v>19.61</v>
      </c>
      <c r="K1329" s="1">
        <v>3.2</v>
      </c>
      <c r="L1329" s="1">
        <v>19.61</v>
      </c>
      <c r="M1329" s="1" t="s">
        <v>10</v>
      </c>
      <c r="N1329" s="1">
        <f>IF(Sales_Data[[#This Row],[Sales with Discount]]&lt;Sales_Data[[#This Row],[Sales with Free Shipping]],Sales_Data[[#This Row],[Sales with Discount]],Sales_Data[[#This Row],[Sales with Free Shipping]])</f>
        <v>19.61</v>
      </c>
      <c r="O1329" s="1" t="str">
        <f>TEXT(Sales_Data[[#This Row],[Order Date]], "MM-YYYY")</f>
        <v>09-2019</v>
      </c>
    </row>
    <row r="1330" spans="1:15" x14ac:dyDescent="0.3">
      <c r="A1330" s="1">
        <v>59905</v>
      </c>
      <c r="B1330" s="2">
        <v>43569</v>
      </c>
      <c r="C1330" s="1" t="s">
        <v>9</v>
      </c>
      <c r="D1330" s="1">
        <v>5</v>
      </c>
      <c r="E1330" t="s">
        <v>16</v>
      </c>
      <c r="F1330" t="s">
        <v>16</v>
      </c>
      <c r="G1330" s="1">
        <v>28.36</v>
      </c>
      <c r="H1330">
        <v>0</v>
      </c>
      <c r="I1330">
        <f>Sales_Data[[#This Row],[Sales]]*Sales_Data[[#This Row],[Discount]]</f>
        <v>0</v>
      </c>
      <c r="J1330">
        <v>28.36</v>
      </c>
      <c r="K1330" s="1">
        <v>1.3</v>
      </c>
      <c r="L1330" s="1">
        <v>28.36</v>
      </c>
      <c r="M1330" s="1" t="s">
        <v>8</v>
      </c>
      <c r="N1330" s="1">
        <f>IF(Sales_Data[[#This Row],[Sales with Discount]]&lt;Sales_Data[[#This Row],[Sales with Free Shipping]],Sales_Data[[#This Row],[Sales with Discount]],Sales_Data[[#This Row],[Sales with Free Shipping]])</f>
        <v>28.36</v>
      </c>
      <c r="O1330" s="1" t="str">
        <f>TEXT(Sales_Data[[#This Row],[Order Date]], "MM-YYYY")</f>
        <v>04-2019</v>
      </c>
    </row>
    <row r="1331" spans="1:15" x14ac:dyDescent="0.3">
      <c r="A1331" s="1">
        <v>39266</v>
      </c>
      <c r="B1331" s="2">
        <v>43704</v>
      </c>
      <c r="C1331" s="1" t="s">
        <v>9</v>
      </c>
      <c r="D1331" s="1">
        <v>4</v>
      </c>
      <c r="E1331" t="s">
        <v>16</v>
      </c>
      <c r="F1331" t="s">
        <v>16</v>
      </c>
      <c r="G1331" s="1">
        <v>68.576300000000003</v>
      </c>
      <c r="H1331">
        <v>0</v>
      </c>
      <c r="I1331">
        <f>Sales_Data[[#This Row],[Sales]]*Sales_Data[[#This Row],[Discount]]</f>
        <v>0</v>
      </c>
      <c r="J1331">
        <v>68.576300000000003</v>
      </c>
      <c r="K1331" s="1">
        <v>1.5</v>
      </c>
      <c r="L1331" s="1">
        <v>68.576300000000003</v>
      </c>
      <c r="M1331" s="1" t="s">
        <v>10</v>
      </c>
      <c r="N1331" s="1">
        <f>IF(Sales_Data[[#This Row],[Sales with Discount]]&lt;Sales_Data[[#This Row],[Sales with Free Shipping]],Sales_Data[[#This Row],[Sales with Discount]],Sales_Data[[#This Row],[Sales with Free Shipping]])</f>
        <v>68.576300000000003</v>
      </c>
      <c r="O1331" s="1" t="str">
        <f>TEXT(Sales_Data[[#This Row],[Order Date]], "MM-YYYY")</f>
        <v>08-2019</v>
      </c>
    </row>
    <row r="1332" spans="1:15" x14ac:dyDescent="0.3">
      <c r="A1332" s="1">
        <v>3970</v>
      </c>
      <c r="B1332" s="2">
        <v>43550</v>
      </c>
      <c r="C1332" s="1" t="s">
        <v>14</v>
      </c>
      <c r="D1332" s="1">
        <v>39</v>
      </c>
      <c r="E1332" t="s">
        <v>22</v>
      </c>
      <c r="F1332" t="s">
        <v>22</v>
      </c>
      <c r="G1332" s="1">
        <v>1105.28</v>
      </c>
      <c r="H1332">
        <v>0.01</v>
      </c>
      <c r="I1332">
        <f>Sales_Data[[#This Row],[Sales]]*Sales_Data[[#This Row],[Discount]]</f>
        <v>11.0528</v>
      </c>
      <c r="J1332">
        <v>1094.2272</v>
      </c>
      <c r="K1332" s="1">
        <v>2.1</v>
      </c>
      <c r="L1332" s="1">
        <v>1103.18</v>
      </c>
      <c r="M1332" s="1" t="s">
        <v>10</v>
      </c>
      <c r="N1332" s="1">
        <f>IF(Sales_Data[[#This Row],[Sales with Discount]]&lt;Sales_Data[[#This Row],[Sales with Free Shipping]],Sales_Data[[#This Row],[Sales with Discount]],Sales_Data[[#This Row],[Sales with Free Shipping]])</f>
        <v>1094.2272</v>
      </c>
      <c r="O1332" s="1" t="str">
        <f>TEXT(Sales_Data[[#This Row],[Order Date]], "MM-YYYY")</f>
        <v>03-2019</v>
      </c>
    </row>
    <row r="1333" spans="1:15" x14ac:dyDescent="0.3">
      <c r="A1333" s="1">
        <v>58564</v>
      </c>
      <c r="B1333" s="2">
        <v>43781</v>
      </c>
      <c r="C1333" s="1" t="s">
        <v>12</v>
      </c>
      <c r="D1333" s="1">
        <v>49</v>
      </c>
      <c r="E1333" t="s">
        <v>24</v>
      </c>
      <c r="F1333" t="s">
        <v>24</v>
      </c>
      <c r="G1333" s="1">
        <v>110.24</v>
      </c>
      <c r="H1333">
        <v>0.01</v>
      </c>
      <c r="I1333">
        <f>Sales_Data[[#This Row],[Sales]]*Sales_Data[[#This Row],[Discount]]</f>
        <v>1.1024</v>
      </c>
      <c r="J1333">
        <v>109.13759999999999</v>
      </c>
      <c r="K1333" s="1">
        <v>2.7</v>
      </c>
      <c r="L1333" s="1">
        <v>107.53999999999999</v>
      </c>
      <c r="M1333" s="1" t="s">
        <v>10</v>
      </c>
      <c r="N1333" s="1">
        <f>IF(Sales_Data[[#This Row],[Sales with Discount]]&lt;Sales_Data[[#This Row],[Sales with Free Shipping]],Sales_Data[[#This Row],[Sales with Discount]],Sales_Data[[#This Row],[Sales with Free Shipping]])</f>
        <v>107.53999999999999</v>
      </c>
      <c r="O1333" s="1" t="str">
        <f>TEXT(Sales_Data[[#This Row],[Order Date]], "MM-YYYY")</f>
        <v>11-2019</v>
      </c>
    </row>
    <row r="1334" spans="1:15" x14ac:dyDescent="0.3">
      <c r="A1334" s="1">
        <v>54307</v>
      </c>
      <c r="B1334" s="2">
        <v>43472</v>
      </c>
      <c r="C1334" s="1" t="s">
        <v>9</v>
      </c>
      <c r="D1334" s="1">
        <v>14</v>
      </c>
      <c r="E1334" t="s">
        <v>18</v>
      </c>
      <c r="F1334" t="s">
        <v>18</v>
      </c>
      <c r="G1334" s="1">
        <v>4119.29</v>
      </c>
      <c r="H1334">
        <v>0</v>
      </c>
      <c r="I1334">
        <f>Sales_Data[[#This Row],[Sales]]*Sales_Data[[#This Row],[Discount]]</f>
        <v>0</v>
      </c>
      <c r="J1334">
        <v>4119.29</v>
      </c>
      <c r="K1334" s="1">
        <v>38.200000000000003</v>
      </c>
      <c r="L1334" s="1">
        <v>4119.29</v>
      </c>
      <c r="M1334" s="1" t="s">
        <v>13</v>
      </c>
      <c r="N1334" s="1">
        <f>IF(Sales_Data[[#This Row],[Sales with Discount]]&lt;Sales_Data[[#This Row],[Sales with Free Shipping]],Sales_Data[[#This Row],[Sales with Discount]],Sales_Data[[#This Row],[Sales with Free Shipping]])</f>
        <v>4119.29</v>
      </c>
      <c r="O1334" s="1" t="str">
        <f>TEXT(Sales_Data[[#This Row],[Order Date]], "MM-YYYY")</f>
        <v>01-2019</v>
      </c>
    </row>
    <row r="1335" spans="1:15" x14ac:dyDescent="0.3">
      <c r="A1335" s="1">
        <v>23748</v>
      </c>
      <c r="B1335" s="2">
        <v>43687</v>
      </c>
      <c r="C1335" s="1" t="s">
        <v>9</v>
      </c>
      <c r="D1335" s="1">
        <v>26</v>
      </c>
      <c r="E1335" t="s">
        <v>20</v>
      </c>
      <c r="F1335" t="s">
        <v>20</v>
      </c>
      <c r="G1335" s="1">
        <v>6594.9664000000002</v>
      </c>
      <c r="H1335">
        <v>0</v>
      </c>
      <c r="I1335">
        <f>Sales_Data[[#This Row],[Sales]]*Sales_Data[[#This Row],[Discount]]</f>
        <v>0</v>
      </c>
      <c r="J1335">
        <v>6594.9664000000002</v>
      </c>
      <c r="K1335" s="1">
        <v>30.7</v>
      </c>
      <c r="L1335" s="1">
        <v>6594.9664000000002</v>
      </c>
      <c r="M1335" s="1" t="s">
        <v>13</v>
      </c>
      <c r="N1335" s="1">
        <f>IF(Sales_Data[[#This Row],[Sales with Discount]]&lt;Sales_Data[[#This Row],[Sales with Free Shipping]],Sales_Data[[#This Row],[Sales with Discount]],Sales_Data[[#This Row],[Sales with Free Shipping]])</f>
        <v>6594.9664000000002</v>
      </c>
      <c r="O1335" s="1" t="str">
        <f>TEXT(Sales_Data[[#This Row],[Order Date]], "MM-YYYY")</f>
        <v>08-2019</v>
      </c>
    </row>
    <row r="1336" spans="1:15" x14ac:dyDescent="0.3">
      <c r="A1336" s="1">
        <v>38336</v>
      </c>
      <c r="B1336" s="2">
        <v>43743</v>
      </c>
      <c r="C1336" s="1" t="s">
        <v>12</v>
      </c>
      <c r="D1336" s="1">
        <v>31</v>
      </c>
      <c r="E1336" t="s">
        <v>21</v>
      </c>
      <c r="F1336" t="s">
        <v>21</v>
      </c>
      <c r="G1336" s="1">
        <v>370.83</v>
      </c>
      <c r="H1336">
        <v>0</v>
      </c>
      <c r="I1336">
        <f>Sales_Data[[#This Row],[Sales]]*Sales_Data[[#This Row],[Discount]]</f>
        <v>0</v>
      </c>
      <c r="J1336">
        <v>370.83</v>
      </c>
      <c r="K1336" s="1">
        <v>7</v>
      </c>
      <c r="L1336" s="1">
        <v>370.83</v>
      </c>
      <c r="M1336" s="1" t="s">
        <v>10</v>
      </c>
      <c r="N1336" s="1">
        <f>IF(Sales_Data[[#This Row],[Sales with Discount]]&lt;Sales_Data[[#This Row],[Sales with Free Shipping]],Sales_Data[[#This Row],[Sales with Discount]],Sales_Data[[#This Row],[Sales with Free Shipping]])</f>
        <v>370.83</v>
      </c>
      <c r="O1336" s="1" t="str">
        <f>TEXT(Sales_Data[[#This Row],[Order Date]], "MM-YYYY")</f>
        <v>10-2019</v>
      </c>
    </row>
    <row r="1337" spans="1:15" x14ac:dyDescent="0.3">
      <c r="A1337" s="1">
        <v>36418</v>
      </c>
      <c r="B1337" s="2">
        <v>43491</v>
      </c>
      <c r="C1337" s="1" t="s">
        <v>11</v>
      </c>
      <c r="D1337" s="1">
        <v>33</v>
      </c>
      <c r="E1337" t="s">
        <v>21</v>
      </c>
      <c r="F1337" t="s">
        <v>21</v>
      </c>
      <c r="G1337" s="1">
        <v>222.47</v>
      </c>
      <c r="H1337">
        <v>0</v>
      </c>
      <c r="I1337">
        <f>Sales_Data[[#This Row],[Sales]]*Sales_Data[[#This Row],[Discount]]</f>
        <v>0</v>
      </c>
      <c r="J1337">
        <v>222.47</v>
      </c>
      <c r="K1337" s="1">
        <v>7.5</v>
      </c>
      <c r="L1337" s="1">
        <v>222.47</v>
      </c>
      <c r="M1337" s="1" t="s">
        <v>8</v>
      </c>
      <c r="N1337" s="1">
        <f>IF(Sales_Data[[#This Row],[Sales with Discount]]&lt;Sales_Data[[#This Row],[Sales with Free Shipping]],Sales_Data[[#This Row],[Sales with Discount]],Sales_Data[[#This Row],[Sales with Free Shipping]])</f>
        <v>222.47</v>
      </c>
      <c r="O1337" s="1" t="str">
        <f>TEXT(Sales_Data[[#This Row],[Order Date]], "MM-YYYY")</f>
        <v>01-2019</v>
      </c>
    </row>
    <row r="1338" spans="1:15" x14ac:dyDescent="0.3">
      <c r="A1338" s="1">
        <v>54981</v>
      </c>
      <c r="B1338" s="2">
        <v>43506</v>
      </c>
      <c r="C1338" s="1" t="s">
        <v>9</v>
      </c>
      <c r="D1338" s="1">
        <v>31</v>
      </c>
      <c r="E1338" t="s">
        <v>21</v>
      </c>
      <c r="F1338" t="s">
        <v>21</v>
      </c>
      <c r="G1338" s="1">
        <v>1096.01</v>
      </c>
      <c r="H1338">
        <v>0</v>
      </c>
      <c r="I1338">
        <f>Sales_Data[[#This Row],[Sales]]*Sales_Data[[#This Row],[Discount]]</f>
        <v>0</v>
      </c>
      <c r="J1338">
        <v>1096.01</v>
      </c>
      <c r="K1338" s="1">
        <v>13.5</v>
      </c>
      <c r="L1338" s="1">
        <v>1096.01</v>
      </c>
      <c r="M1338" s="1" t="s">
        <v>10</v>
      </c>
      <c r="N1338" s="1">
        <f>IF(Sales_Data[[#This Row],[Sales with Discount]]&lt;Sales_Data[[#This Row],[Sales with Free Shipping]],Sales_Data[[#This Row],[Sales with Discount]],Sales_Data[[#This Row],[Sales with Free Shipping]])</f>
        <v>1096.01</v>
      </c>
      <c r="O1338" s="1" t="str">
        <f>TEXT(Sales_Data[[#This Row],[Order Date]], "MM-YYYY")</f>
        <v>02-2019</v>
      </c>
    </row>
    <row r="1339" spans="1:15" x14ac:dyDescent="0.3">
      <c r="A1339" s="1">
        <v>53156</v>
      </c>
      <c r="B1339" s="2">
        <v>43534</v>
      </c>
      <c r="C1339" s="1" t="s">
        <v>11</v>
      </c>
      <c r="D1339" s="1">
        <v>47</v>
      </c>
      <c r="E1339" t="s">
        <v>24</v>
      </c>
      <c r="F1339" t="s">
        <v>24</v>
      </c>
      <c r="G1339" s="1">
        <v>200.02</v>
      </c>
      <c r="H1339">
        <v>0.01</v>
      </c>
      <c r="I1339">
        <f>Sales_Data[[#This Row],[Sales]]*Sales_Data[[#This Row],[Discount]]</f>
        <v>2.0002</v>
      </c>
      <c r="J1339">
        <v>198.0198</v>
      </c>
      <c r="K1339" s="1">
        <v>1.1000000000000001</v>
      </c>
      <c r="L1339" s="1">
        <v>198.92000000000002</v>
      </c>
      <c r="M1339" s="1" t="s">
        <v>10</v>
      </c>
      <c r="N1339" s="1">
        <f>IF(Sales_Data[[#This Row],[Sales with Discount]]&lt;Sales_Data[[#This Row],[Sales with Free Shipping]],Sales_Data[[#This Row],[Sales with Discount]],Sales_Data[[#This Row],[Sales with Free Shipping]])</f>
        <v>198.0198</v>
      </c>
      <c r="O1339" s="1" t="str">
        <f>TEXT(Sales_Data[[#This Row],[Order Date]], "MM-YYYY")</f>
        <v>03-2019</v>
      </c>
    </row>
    <row r="1340" spans="1:15" x14ac:dyDescent="0.3">
      <c r="A1340" s="1">
        <v>41760</v>
      </c>
      <c r="B1340" s="2">
        <v>43491</v>
      </c>
      <c r="C1340" s="1" t="s">
        <v>7</v>
      </c>
      <c r="D1340" s="1">
        <v>22</v>
      </c>
      <c r="E1340" t="s">
        <v>14</v>
      </c>
      <c r="F1340" t="s">
        <v>14</v>
      </c>
      <c r="G1340" s="1">
        <v>264.7715</v>
      </c>
      <c r="H1340">
        <v>0</v>
      </c>
      <c r="I1340">
        <f>Sales_Data[[#This Row],[Sales]]*Sales_Data[[#This Row],[Discount]]</f>
        <v>0</v>
      </c>
      <c r="J1340">
        <v>264.7715</v>
      </c>
      <c r="K1340" s="1">
        <v>13.4</v>
      </c>
      <c r="L1340" s="1">
        <v>264.7715</v>
      </c>
      <c r="M1340" s="1" t="s">
        <v>10</v>
      </c>
      <c r="N1340" s="1">
        <f>IF(Sales_Data[[#This Row],[Sales with Discount]]&lt;Sales_Data[[#This Row],[Sales with Free Shipping]],Sales_Data[[#This Row],[Sales with Discount]],Sales_Data[[#This Row],[Sales with Free Shipping]])</f>
        <v>264.7715</v>
      </c>
      <c r="O1340" s="1" t="str">
        <f>TEXT(Sales_Data[[#This Row],[Order Date]], "MM-YYYY")</f>
        <v>01-2019</v>
      </c>
    </row>
    <row r="1341" spans="1:15" x14ac:dyDescent="0.3">
      <c r="A1341" s="1">
        <v>6693</v>
      </c>
      <c r="B1341" s="2">
        <v>43609</v>
      </c>
      <c r="C1341" s="1" t="s">
        <v>12</v>
      </c>
      <c r="D1341" s="1">
        <v>16</v>
      </c>
      <c r="E1341" t="s">
        <v>19</v>
      </c>
      <c r="F1341" t="s">
        <v>19</v>
      </c>
      <c r="G1341" s="1">
        <v>43.71</v>
      </c>
      <c r="H1341">
        <v>0</v>
      </c>
      <c r="I1341">
        <f>Sales_Data[[#This Row],[Sales]]*Sales_Data[[#This Row],[Discount]]</f>
        <v>0</v>
      </c>
      <c r="J1341">
        <v>43.71</v>
      </c>
      <c r="K1341" s="1">
        <v>0.9</v>
      </c>
      <c r="L1341" s="1">
        <v>43.71</v>
      </c>
      <c r="M1341" s="1" t="s">
        <v>10</v>
      </c>
      <c r="N1341" s="1">
        <f>IF(Sales_Data[[#This Row],[Sales with Discount]]&lt;Sales_Data[[#This Row],[Sales with Free Shipping]],Sales_Data[[#This Row],[Sales with Discount]],Sales_Data[[#This Row],[Sales with Free Shipping]])</f>
        <v>43.71</v>
      </c>
      <c r="O1341" s="1" t="str">
        <f>TEXT(Sales_Data[[#This Row],[Order Date]], "MM-YYYY")</f>
        <v>05-2019</v>
      </c>
    </row>
    <row r="1342" spans="1:15" x14ac:dyDescent="0.3">
      <c r="A1342" s="1">
        <v>20807</v>
      </c>
      <c r="B1342" s="2">
        <v>43667</v>
      </c>
      <c r="C1342" s="1" t="s">
        <v>11</v>
      </c>
      <c r="D1342" s="1">
        <v>16</v>
      </c>
      <c r="E1342" t="s">
        <v>19</v>
      </c>
      <c r="F1342" t="s">
        <v>19</v>
      </c>
      <c r="G1342" s="1">
        <v>499.63</v>
      </c>
      <c r="H1342">
        <v>0</v>
      </c>
      <c r="I1342">
        <f>Sales_Data[[#This Row],[Sales]]*Sales_Data[[#This Row],[Discount]]</f>
        <v>0</v>
      </c>
      <c r="J1342">
        <v>499.63</v>
      </c>
      <c r="K1342" s="1">
        <v>3.5</v>
      </c>
      <c r="L1342" s="1">
        <v>499.63</v>
      </c>
      <c r="M1342" s="1" t="s">
        <v>10</v>
      </c>
      <c r="N1342" s="1">
        <f>IF(Sales_Data[[#This Row],[Sales with Discount]]&lt;Sales_Data[[#This Row],[Sales with Free Shipping]],Sales_Data[[#This Row],[Sales with Discount]],Sales_Data[[#This Row],[Sales with Free Shipping]])</f>
        <v>499.63</v>
      </c>
      <c r="O1342" s="1" t="str">
        <f>TEXT(Sales_Data[[#This Row],[Order Date]], "MM-YYYY")</f>
        <v>07-2019</v>
      </c>
    </row>
    <row r="1343" spans="1:15" x14ac:dyDescent="0.3">
      <c r="A1343" s="1">
        <v>25447</v>
      </c>
      <c r="B1343" s="2">
        <v>43608</v>
      </c>
      <c r="C1343" s="1" t="s">
        <v>11</v>
      </c>
      <c r="D1343" s="1">
        <v>18</v>
      </c>
      <c r="E1343" t="s">
        <v>19</v>
      </c>
      <c r="F1343" t="s">
        <v>19</v>
      </c>
      <c r="G1343" s="1">
        <v>4738.5600000000004</v>
      </c>
      <c r="H1343">
        <v>0</v>
      </c>
      <c r="I1343">
        <f>Sales_Data[[#This Row],[Sales]]*Sales_Data[[#This Row],[Discount]]</f>
        <v>0</v>
      </c>
      <c r="J1343">
        <v>4738.5600000000004</v>
      </c>
      <c r="K1343" s="1">
        <v>57.9</v>
      </c>
      <c r="L1343" s="1">
        <v>4738.5600000000004</v>
      </c>
      <c r="M1343" s="1" t="s">
        <v>13</v>
      </c>
      <c r="N1343" s="1">
        <f>IF(Sales_Data[[#This Row],[Sales with Discount]]&lt;Sales_Data[[#This Row],[Sales with Free Shipping]],Sales_Data[[#This Row],[Sales with Discount]],Sales_Data[[#This Row],[Sales with Free Shipping]])</f>
        <v>4738.5600000000004</v>
      </c>
      <c r="O1343" s="1" t="str">
        <f>TEXT(Sales_Data[[#This Row],[Order Date]], "MM-YYYY")</f>
        <v>05-2019</v>
      </c>
    </row>
    <row r="1344" spans="1:15" x14ac:dyDescent="0.3">
      <c r="A1344" s="1">
        <v>48197</v>
      </c>
      <c r="B1344" s="2">
        <v>43590</v>
      </c>
      <c r="C1344" s="1" t="s">
        <v>11</v>
      </c>
      <c r="D1344" s="1">
        <v>32</v>
      </c>
      <c r="E1344" t="s">
        <v>21</v>
      </c>
      <c r="F1344" t="s">
        <v>21</v>
      </c>
      <c r="G1344" s="1">
        <v>1372.26</v>
      </c>
      <c r="H1344">
        <v>0</v>
      </c>
      <c r="I1344">
        <f>Sales_Data[[#This Row],[Sales]]*Sales_Data[[#This Row],[Discount]]</f>
        <v>0</v>
      </c>
      <c r="J1344">
        <v>1372.26</v>
      </c>
      <c r="K1344" s="1">
        <v>15.5</v>
      </c>
      <c r="L1344" s="1">
        <v>1372.26</v>
      </c>
      <c r="M1344" s="1" t="s">
        <v>10</v>
      </c>
      <c r="N1344" s="1">
        <f>IF(Sales_Data[[#This Row],[Sales with Discount]]&lt;Sales_Data[[#This Row],[Sales with Free Shipping]],Sales_Data[[#This Row],[Sales with Discount]],Sales_Data[[#This Row],[Sales with Free Shipping]])</f>
        <v>1372.26</v>
      </c>
      <c r="O1344" s="1" t="str">
        <f>TEXT(Sales_Data[[#This Row],[Order Date]], "MM-YYYY")</f>
        <v>05-2019</v>
      </c>
    </row>
    <row r="1345" spans="1:15" x14ac:dyDescent="0.3">
      <c r="A1345" s="1">
        <v>29921</v>
      </c>
      <c r="B1345" s="2">
        <v>43547</v>
      </c>
      <c r="C1345" s="1" t="s">
        <v>14</v>
      </c>
      <c r="D1345" s="1">
        <v>33</v>
      </c>
      <c r="E1345" t="s">
        <v>21</v>
      </c>
      <c r="F1345" t="s">
        <v>21</v>
      </c>
      <c r="G1345" s="1">
        <v>4256.43</v>
      </c>
      <c r="H1345">
        <v>0</v>
      </c>
      <c r="I1345">
        <f>Sales_Data[[#This Row],[Sales]]*Sales_Data[[#This Row],[Discount]]</f>
        <v>0</v>
      </c>
      <c r="J1345">
        <v>4256.43</v>
      </c>
      <c r="K1345" s="1">
        <v>9.6999999999999993</v>
      </c>
      <c r="L1345" s="1">
        <v>4256.43</v>
      </c>
      <c r="M1345" s="1" t="s">
        <v>10</v>
      </c>
      <c r="N1345" s="1">
        <f>IF(Sales_Data[[#This Row],[Sales with Discount]]&lt;Sales_Data[[#This Row],[Sales with Free Shipping]],Sales_Data[[#This Row],[Sales with Discount]],Sales_Data[[#This Row],[Sales with Free Shipping]])</f>
        <v>4256.43</v>
      </c>
      <c r="O1345" s="1" t="str">
        <f>TEXT(Sales_Data[[#This Row],[Order Date]], "MM-YYYY")</f>
        <v>03-2019</v>
      </c>
    </row>
    <row r="1346" spans="1:15" x14ac:dyDescent="0.3">
      <c r="A1346" s="1">
        <v>37287</v>
      </c>
      <c r="B1346" s="2">
        <v>43770</v>
      </c>
      <c r="C1346" s="1" t="s">
        <v>7</v>
      </c>
      <c r="D1346" s="1">
        <v>45</v>
      </c>
      <c r="E1346" t="s">
        <v>23</v>
      </c>
      <c r="F1346" t="s">
        <v>23</v>
      </c>
      <c r="G1346" s="1">
        <v>139.37</v>
      </c>
      <c r="H1346">
        <v>0.01</v>
      </c>
      <c r="I1346">
        <f>Sales_Data[[#This Row],[Sales]]*Sales_Data[[#This Row],[Discount]]</f>
        <v>1.3937000000000002</v>
      </c>
      <c r="J1346">
        <v>137.97630000000001</v>
      </c>
      <c r="K1346" s="1">
        <v>1.7</v>
      </c>
      <c r="L1346" s="1">
        <v>137.67000000000002</v>
      </c>
      <c r="M1346" s="1" t="s">
        <v>10</v>
      </c>
      <c r="N1346" s="1">
        <f>IF(Sales_Data[[#This Row],[Sales with Discount]]&lt;Sales_Data[[#This Row],[Sales with Free Shipping]],Sales_Data[[#This Row],[Sales with Discount]],Sales_Data[[#This Row],[Sales with Free Shipping]])</f>
        <v>137.67000000000002</v>
      </c>
      <c r="O1346" s="1" t="str">
        <f>TEXT(Sales_Data[[#This Row],[Order Date]], "MM-YYYY")</f>
        <v>11-2019</v>
      </c>
    </row>
    <row r="1347" spans="1:15" x14ac:dyDescent="0.3">
      <c r="A1347" s="1">
        <v>53223</v>
      </c>
      <c r="B1347" s="2">
        <v>43660</v>
      </c>
      <c r="C1347" s="1" t="s">
        <v>7</v>
      </c>
      <c r="D1347" s="1">
        <v>2</v>
      </c>
      <c r="E1347" t="s">
        <v>16</v>
      </c>
      <c r="F1347" t="s">
        <v>16</v>
      </c>
      <c r="G1347" s="1">
        <v>14.22</v>
      </c>
      <c r="H1347">
        <v>0</v>
      </c>
      <c r="I1347">
        <f>Sales_Data[[#This Row],[Sales]]*Sales_Data[[#This Row],[Discount]]</f>
        <v>0</v>
      </c>
      <c r="J1347">
        <v>14.22</v>
      </c>
      <c r="K1347" s="1">
        <v>5.8</v>
      </c>
      <c r="L1347" s="1">
        <v>14.22</v>
      </c>
      <c r="M1347" s="1" t="s">
        <v>10</v>
      </c>
      <c r="N1347" s="1">
        <f>IF(Sales_Data[[#This Row],[Sales with Discount]]&lt;Sales_Data[[#This Row],[Sales with Free Shipping]],Sales_Data[[#This Row],[Sales with Discount]],Sales_Data[[#This Row],[Sales with Free Shipping]])</f>
        <v>14.22</v>
      </c>
      <c r="O1347" s="1" t="str">
        <f>TEXT(Sales_Data[[#This Row],[Order Date]], "MM-YYYY")</f>
        <v>07-2019</v>
      </c>
    </row>
    <row r="1348" spans="1:15" x14ac:dyDescent="0.3">
      <c r="A1348" s="1">
        <v>47815</v>
      </c>
      <c r="B1348" s="2">
        <v>43829</v>
      </c>
      <c r="C1348" s="1" t="s">
        <v>11</v>
      </c>
      <c r="D1348" s="1">
        <v>45</v>
      </c>
      <c r="E1348" t="s">
        <v>23</v>
      </c>
      <c r="F1348" t="s">
        <v>23</v>
      </c>
      <c r="G1348" s="1">
        <v>621.63</v>
      </c>
      <c r="H1348">
        <v>0.01</v>
      </c>
      <c r="I1348">
        <f>Sales_Data[[#This Row],[Sales]]*Sales_Data[[#This Row],[Discount]]</f>
        <v>6.2163000000000004</v>
      </c>
      <c r="J1348">
        <v>615.41369999999995</v>
      </c>
      <c r="K1348" s="1">
        <v>7.3</v>
      </c>
      <c r="L1348" s="1">
        <v>614.33000000000004</v>
      </c>
      <c r="M1348" s="1" t="s">
        <v>10</v>
      </c>
      <c r="N1348" s="1">
        <f>IF(Sales_Data[[#This Row],[Sales with Discount]]&lt;Sales_Data[[#This Row],[Sales with Free Shipping]],Sales_Data[[#This Row],[Sales with Discount]],Sales_Data[[#This Row],[Sales with Free Shipping]])</f>
        <v>614.33000000000004</v>
      </c>
      <c r="O1348" s="1" t="str">
        <f>TEXT(Sales_Data[[#This Row],[Order Date]], "MM-YYYY")</f>
        <v>12-2019</v>
      </c>
    </row>
    <row r="1349" spans="1:15" x14ac:dyDescent="0.3">
      <c r="A1349" s="1">
        <v>55366</v>
      </c>
      <c r="B1349" s="2">
        <v>43748</v>
      </c>
      <c r="C1349" s="1" t="s">
        <v>12</v>
      </c>
      <c r="D1349" s="1">
        <v>7</v>
      </c>
      <c r="E1349" t="s">
        <v>17</v>
      </c>
      <c r="F1349" t="s">
        <v>17</v>
      </c>
      <c r="G1349" s="1">
        <v>414.27</v>
      </c>
      <c r="H1349">
        <v>0</v>
      </c>
      <c r="I1349">
        <f>Sales_Data[[#This Row],[Sales]]*Sales_Data[[#This Row],[Discount]]</f>
        <v>0</v>
      </c>
      <c r="J1349">
        <v>414.27</v>
      </c>
      <c r="K1349" s="1">
        <v>7</v>
      </c>
      <c r="L1349" s="1">
        <v>414.27</v>
      </c>
      <c r="M1349" s="1" t="s">
        <v>10</v>
      </c>
      <c r="N1349" s="1">
        <f>IF(Sales_Data[[#This Row],[Sales with Discount]]&lt;Sales_Data[[#This Row],[Sales with Free Shipping]],Sales_Data[[#This Row],[Sales with Discount]],Sales_Data[[#This Row],[Sales with Free Shipping]])</f>
        <v>414.27</v>
      </c>
      <c r="O1349" s="1" t="str">
        <f>TEXT(Sales_Data[[#This Row],[Order Date]], "MM-YYYY")</f>
        <v>10-2019</v>
      </c>
    </row>
    <row r="1350" spans="1:15" x14ac:dyDescent="0.3">
      <c r="A1350" s="1">
        <v>48643</v>
      </c>
      <c r="B1350" s="2">
        <v>43756</v>
      </c>
      <c r="C1350" s="1" t="s">
        <v>14</v>
      </c>
      <c r="D1350" s="1">
        <v>6</v>
      </c>
      <c r="E1350" t="s">
        <v>17</v>
      </c>
      <c r="F1350" t="s">
        <v>17</v>
      </c>
      <c r="G1350" s="1">
        <v>19.309999999999999</v>
      </c>
      <c r="H1350">
        <v>0</v>
      </c>
      <c r="I1350">
        <f>Sales_Data[[#This Row],[Sales]]*Sales_Data[[#This Row],[Discount]]</f>
        <v>0</v>
      </c>
      <c r="J1350">
        <v>19.309999999999999</v>
      </c>
      <c r="K1350" s="1">
        <v>1.1000000000000001</v>
      </c>
      <c r="L1350" s="1">
        <v>19.309999999999999</v>
      </c>
      <c r="M1350" s="1" t="s">
        <v>10</v>
      </c>
      <c r="N1350" s="1">
        <f>IF(Sales_Data[[#This Row],[Sales with Discount]]&lt;Sales_Data[[#This Row],[Sales with Free Shipping]],Sales_Data[[#This Row],[Sales with Discount]],Sales_Data[[#This Row],[Sales with Free Shipping]])</f>
        <v>19.309999999999999</v>
      </c>
      <c r="O1350" s="1" t="str">
        <f>TEXT(Sales_Data[[#This Row],[Order Date]], "MM-YYYY")</f>
        <v>10-2019</v>
      </c>
    </row>
    <row r="1351" spans="1:15" x14ac:dyDescent="0.3">
      <c r="A1351" s="1">
        <v>8034</v>
      </c>
      <c r="B1351" s="2">
        <v>43483</v>
      </c>
      <c r="C1351" s="1" t="s">
        <v>9</v>
      </c>
      <c r="D1351" s="1">
        <v>36</v>
      </c>
      <c r="E1351" t="s">
        <v>22</v>
      </c>
      <c r="F1351" t="s">
        <v>22</v>
      </c>
      <c r="G1351" s="1">
        <v>1718.85</v>
      </c>
      <c r="H1351">
        <v>0.01</v>
      </c>
      <c r="I1351">
        <f>Sales_Data[[#This Row],[Sales]]*Sales_Data[[#This Row],[Discount]]</f>
        <v>17.188500000000001</v>
      </c>
      <c r="J1351">
        <v>1701.6614999999999</v>
      </c>
      <c r="K1351" s="1">
        <v>49.9</v>
      </c>
      <c r="L1351" s="1">
        <v>1668.9499999999998</v>
      </c>
      <c r="M1351" s="1" t="s">
        <v>13</v>
      </c>
      <c r="N1351" s="1">
        <f>IF(Sales_Data[[#This Row],[Sales with Discount]]&lt;Sales_Data[[#This Row],[Sales with Free Shipping]],Sales_Data[[#This Row],[Sales with Discount]],Sales_Data[[#This Row],[Sales with Free Shipping]])</f>
        <v>1668.9499999999998</v>
      </c>
      <c r="O1351" s="1" t="str">
        <f>TEXT(Sales_Data[[#This Row],[Order Date]], "MM-YYYY")</f>
        <v>01-2019</v>
      </c>
    </row>
    <row r="1352" spans="1:15" x14ac:dyDescent="0.3">
      <c r="A1352" s="1">
        <v>29991</v>
      </c>
      <c r="B1352" s="2">
        <v>43743</v>
      </c>
      <c r="C1352" s="1" t="s">
        <v>7</v>
      </c>
      <c r="D1352" s="1">
        <v>41</v>
      </c>
      <c r="E1352" t="s">
        <v>23</v>
      </c>
      <c r="F1352" t="s">
        <v>23</v>
      </c>
      <c r="G1352" s="1">
        <v>131.72999999999999</v>
      </c>
      <c r="H1352">
        <v>0.01</v>
      </c>
      <c r="I1352">
        <f>Sales_Data[[#This Row],[Sales]]*Sales_Data[[#This Row],[Discount]]</f>
        <v>1.3172999999999999</v>
      </c>
      <c r="J1352">
        <v>130.4127</v>
      </c>
      <c r="K1352" s="1">
        <v>0.5</v>
      </c>
      <c r="L1352" s="1">
        <v>131.22999999999999</v>
      </c>
      <c r="M1352" s="1" t="s">
        <v>10</v>
      </c>
      <c r="N1352" s="1">
        <f>IF(Sales_Data[[#This Row],[Sales with Discount]]&lt;Sales_Data[[#This Row],[Sales with Free Shipping]],Sales_Data[[#This Row],[Sales with Discount]],Sales_Data[[#This Row],[Sales with Free Shipping]])</f>
        <v>130.4127</v>
      </c>
      <c r="O1352" s="1" t="str">
        <f>TEXT(Sales_Data[[#This Row],[Order Date]], "MM-YYYY")</f>
        <v>10-2019</v>
      </c>
    </row>
    <row r="1353" spans="1:15" x14ac:dyDescent="0.3">
      <c r="A1353" s="1">
        <v>42564</v>
      </c>
      <c r="B1353" s="2">
        <v>43720</v>
      </c>
      <c r="C1353" s="1" t="s">
        <v>7</v>
      </c>
      <c r="D1353" s="1">
        <v>35</v>
      </c>
      <c r="E1353" t="s">
        <v>21</v>
      </c>
      <c r="F1353" t="s">
        <v>21</v>
      </c>
      <c r="G1353" s="1">
        <v>7991.68</v>
      </c>
      <c r="H1353">
        <v>0</v>
      </c>
      <c r="I1353">
        <f>Sales_Data[[#This Row],[Sales]]*Sales_Data[[#This Row],[Discount]]</f>
        <v>0</v>
      </c>
      <c r="J1353">
        <v>7991.68</v>
      </c>
      <c r="K1353" s="1">
        <v>25.4</v>
      </c>
      <c r="L1353" s="1">
        <v>7991.68</v>
      </c>
      <c r="M1353" s="1" t="s">
        <v>13</v>
      </c>
      <c r="N1353" s="1">
        <f>IF(Sales_Data[[#This Row],[Sales with Discount]]&lt;Sales_Data[[#This Row],[Sales with Free Shipping]],Sales_Data[[#This Row],[Sales with Discount]],Sales_Data[[#This Row],[Sales with Free Shipping]])</f>
        <v>7991.68</v>
      </c>
      <c r="O1353" s="1" t="str">
        <f>TEXT(Sales_Data[[#This Row],[Order Date]], "MM-YYYY")</f>
        <v>09-2019</v>
      </c>
    </row>
    <row r="1354" spans="1:15" x14ac:dyDescent="0.3">
      <c r="A1354" s="1">
        <v>49927</v>
      </c>
      <c r="B1354" s="2">
        <v>43666</v>
      </c>
      <c r="C1354" s="1" t="s">
        <v>11</v>
      </c>
      <c r="D1354" s="1">
        <v>26</v>
      </c>
      <c r="E1354" t="s">
        <v>20</v>
      </c>
      <c r="F1354" t="s">
        <v>20</v>
      </c>
      <c r="G1354" s="1">
        <v>149.31</v>
      </c>
      <c r="H1354">
        <v>0</v>
      </c>
      <c r="I1354">
        <f>Sales_Data[[#This Row],[Sales]]*Sales_Data[[#This Row],[Discount]]</f>
        <v>0</v>
      </c>
      <c r="J1354">
        <v>149.31</v>
      </c>
      <c r="K1354" s="1">
        <v>5.3</v>
      </c>
      <c r="L1354" s="1">
        <v>149.31</v>
      </c>
      <c r="M1354" s="1" t="s">
        <v>10</v>
      </c>
      <c r="N1354" s="1">
        <f>IF(Sales_Data[[#This Row],[Sales with Discount]]&lt;Sales_Data[[#This Row],[Sales with Free Shipping]],Sales_Data[[#This Row],[Sales with Discount]],Sales_Data[[#This Row],[Sales with Free Shipping]])</f>
        <v>149.31</v>
      </c>
      <c r="O1354" s="1" t="str">
        <f>TEXT(Sales_Data[[#This Row],[Order Date]], "MM-YYYY")</f>
        <v>07-2019</v>
      </c>
    </row>
    <row r="1355" spans="1:15" x14ac:dyDescent="0.3">
      <c r="A1355" s="1">
        <v>32513</v>
      </c>
      <c r="B1355" s="2">
        <v>43497</v>
      </c>
      <c r="C1355" s="1" t="s">
        <v>7</v>
      </c>
      <c r="D1355" s="1">
        <v>23</v>
      </c>
      <c r="E1355" t="s">
        <v>14</v>
      </c>
      <c r="F1355" t="s">
        <v>14</v>
      </c>
      <c r="G1355" s="1">
        <v>4260.96</v>
      </c>
      <c r="H1355">
        <v>0</v>
      </c>
      <c r="I1355">
        <f>Sales_Data[[#This Row],[Sales]]*Sales_Data[[#This Row],[Discount]]</f>
        <v>0</v>
      </c>
      <c r="J1355">
        <v>4260.96</v>
      </c>
      <c r="K1355" s="1">
        <v>21.4</v>
      </c>
      <c r="L1355" s="1">
        <v>4260.96</v>
      </c>
      <c r="M1355" s="1" t="s">
        <v>10</v>
      </c>
      <c r="N1355" s="1">
        <f>IF(Sales_Data[[#This Row],[Sales with Discount]]&lt;Sales_Data[[#This Row],[Sales with Free Shipping]],Sales_Data[[#This Row],[Sales with Discount]],Sales_Data[[#This Row],[Sales with Free Shipping]])</f>
        <v>4260.96</v>
      </c>
      <c r="O1355" s="1" t="str">
        <f>TEXT(Sales_Data[[#This Row],[Order Date]], "MM-YYYY")</f>
        <v>02-2019</v>
      </c>
    </row>
    <row r="1356" spans="1:15" x14ac:dyDescent="0.3">
      <c r="A1356" s="1">
        <v>4099</v>
      </c>
      <c r="B1356" s="2">
        <v>43697</v>
      </c>
      <c r="C1356" s="1" t="s">
        <v>12</v>
      </c>
      <c r="D1356" s="1">
        <v>42</v>
      </c>
      <c r="E1356" t="s">
        <v>23</v>
      </c>
      <c r="F1356" t="s">
        <v>23</v>
      </c>
      <c r="G1356" s="1">
        <v>1809.92</v>
      </c>
      <c r="H1356">
        <v>0.01</v>
      </c>
      <c r="I1356">
        <f>Sales_Data[[#This Row],[Sales]]*Sales_Data[[#This Row],[Discount]]</f>
        <v>18.0992</v>
      </c>
      <c r="J1356">
        <v>1791.8208</v>
      </c>
      <c r="K1356" s="1">
        <v>6.7</v>
      </c>
      <c r="L1356" s="1">
        <v>1803.22</v>
      </c>
      <c r="M1356" s="1" t="s">
        <v>10</v>
      </c>
      <c r="N1356" s="1">
        <f>IF(Sales_Data[[#This Row],[Sales with Discount]]&lt;Sales_Data[[#This Row],[Sales with Free Shipping]],Sales_Data[[#This Row],[Sales with Discount]],Sales_Data[[#This Row],[Sales with Free Shipping]])</f>
        <v>1791.8208</v>
      </c>
      <c r="O1356" s="1" t="str">
        <f>TEXT(Sales_Data[[#This Row],[Order Date]], "MM-YYYY")</f>
        <v>08-2019</v>
      </c>
    </row>
    <row r="1357" spans="1:15" x14ac:dyDescent="0.3">
      <c r="A1357" s="1">
        <v>51489</v>
      </c>
      <c r="B1357" s="2">
        <v>43527</v>
      </c>
      <c r="C1357" s="1" t="s">
        <v>12</v>
      </c>
      <c r="D1357" s="1">
        <v>22</v>
      </c>
      <c r="E1357" t="s">
        <v>14</v>
      </c>
      <c r="F1357" t="s">
        <v>14</v>
      </c>
      <c r="G1357" s="1">
        <v>41.6</v>
      </c>
      <c r="H1357">
        <v>0</v>
      </c>
      <c r="I1357">
        <f>Sales_Data[[#This Row],[Sales]]*Sales_Data[[#This Row],[Discount]]</f>
        <v>0</v>
      </c>
      <c r="J1357">
        <v>41.6</v>
      </c>
      <c r="K1357" s="1">
        <v>1.7</v>
      </c>
      <c r="L1357" s="1">
        <v>41.6</v>
      </c>
      <c r="M1357" s="1" t="s">
        <v>10</v>
      </c>
      <c r="N1357" s="1">
        <f>IF(Sales_Data[[#This Row],[Sales with Discount]]&lt;Sales_Data[[#This Row],[Sales with Free Shipping]],Sales_Data[[#This Row],[Sales with Discount]],Sales_Data[[#This Row],[Sales with Free Shipping]])</f>
        <v>41.6</v>
      </c>
      <c r="O1357" s="1" t="str">
        <f>TEXT(Sales_Data[[#This Row],[Order Date]], "MM-YYYY")</f>
        <v>03-2019</v>
      </c>
    </row>
    <row r="1358" spans="1:15" x14ac:dyDescent="0.3">
      <c r="A1358" s="1">
        <v>17700</v>
      </c>
      <c r="B1358" s="2">
        <v>43765</v>
      </c>
      <c r="C1358" s="1" t="s">
        <v>12</v>
      </c>
      <c r="D1358" s="1">
        <v>20</v>
      </c>
      <c r="E1358" t="s">
        <v>19</v>
      </c>
      <c r="F1358" t="s">
        <v>19</v>
      </c>
      <c r="G1358" s="1">
        <v>2467.15</v>
      </c>
      <c r="H1358">
        <v>0</v>
      </c>
      <c r="I1358">
        <f>Sales_Data[[#This Row],[Sales]]*Sales_Data[[#This Row],[Discount]]</f>
        <v>0</v>
      </c>
      <c r="J1358">
        <v>2467.15</v>
      </c>
      <c r="K1358" s="1">
        <v>37.5</v>
      </c>
      <c r="L1358" s="1">
        <v>2467.15</v>
      </c>
      <c r="M1358" s="1" t="s">
        <v>10</v>
      </c>
      <c r="N1358" s="1">
        <f>IF(Sales_Data[[#This Row],[Sales with Discount]]&lt;Sales_Data[[#This Row],[Sales with Free Shipping]],Sales_Data[[#This Row],[Sales with Discount]],Sales_Data[[#This Row],[Sales with Free Shipping]])</f>
        <v>2467.15</v>
      </c>
      <c r="O1358" s="1" t="str">
        <f>TEXT(Sales_Data[[#This Row],[Order Date]], "MM-YYYY")</f>
        <v>10-2019</v>
      </c>
    </row>
    <row r="1359" spans="1:15" x14ac:dyDescent="0.3">
      <c r="A1359" s="1">
        <v>24576</v>
      </c>
      <c r="B1359" s="2">
        <v>43810</v>
      </c>
      <c r="C1359" s="1" t="s">
        <v>11</v>
      </c>
      <c r="D1359" s="1">
        <v>29</v>
      </c>
      <c r="E1359" t="s">
        <v>20</v>
      </c>
      <c r="F1359" t="s">
        <v>20</v>
      </c>
      <c r="G1359" s="1">
        <v>568.23739999999998</v>
      </c>
      <c r="H1359">
        <v>0</v>
      </c>
      <c r="I1359">
        <f>Sales_Data[[#This Row],[Sales]]*Sales_Data[[#This Row],[Discount]]</f>
        <v>0</v>
      </c>
      <c r="J1359">
        <v>568.23739999999998</v>
      </c>
      <c r="K1359" s="1">
        <v>5.0999999999999996</v>
      </c>
      <c r="L1359" s="1">
        <v>568.23739999999998</v>
      </c>
      <c r="M1359" s="1" t="s">
        <v>10</v>
      </c>
      <c r="N1359" s="1">
        <f>IF(Sales_Data[[#This Row],[Sales with Discount]]&lt;Sales_Data[[#This Row],[Sales with Free Shipping]],Sales_Data[[#This Row],[Sales with Discount]],Sales_Data[[#This Row],[Sales with Free Shipping]])</f>
        <v>568.23739999999998</v>
      </c>
      <c r="O1359" s="1" t="str">
        <f>TEXT(Sales_Data[[#This Row],[Order Date]], "MM-YYYY")</f>
        <v>12-2019</v>
      </c>
    </row>
    <row r="1360" spans="1:15" x14ac:dyDescent="0.3">
      <c r="A1360" s="1">
        <v>1217</v>
      </c>
      <c r="B1360" s="2">
        <v>43580</v>
      </c>
      <c r="C1360" s="1" t="s">
        <v>11</v>
      </c>
      <c r="D1360" s="1">
        <v>25</v>
      </c>
      <c r="E1360" t="s">
        <v>14</v>
      </c>
      <c r="F1360" t="s">
        <v>14</v>
      </c>
      <c r="G1360" s="1">
        <v>708.51</v>
      </c>
      <c r="H1360">
        <v>0</v>
      </c>
      <c r="I1360">
        <f>Sales_Data[[#This Row],[Sales]]*Sales_Data[[#This Row],[Discount]]</f>
        <v>0</v>
      </c>
      <c r="J1360">
        <v>708.51</v>
      </c>
      <c r="K1360" s="1">
        <v>2.1</v>
      </c>
      <c r="L1360" s="1">
        <v>708.51</v>
      </c>
      <c r="M1360" s="1" t="s">
        <v>10</v>
      </c>
      <c r="N1360" s="1">
        <f>IF(Sales_Data[[#This Row],[Sales with Discount]]&lt;Sales_Data[[#This Row],[Sales with Free Shipping]],Sales_Data[[#This Row],[Sales with Discount]],Sales_Data[[#This Row],[Sales with Free Shipping]])</f>
        <v>708.51</v>
      </c>
      <c r="O1360" s="1" t="str">
        <f>TEXT(Sales_Data[[#This Row],[Order Date]], "MM-YYYY")</f>
        <v>04-2019</v>
      </c>
    </row>
    <row r="1361" spans="1:15" x14ac:dyDescent="0.3">
      <c r="A1361" s="1">
        <v>12256</v>
      </c>
      <c r="B1361" s="2">
        <v>43817</v>
      </c>
      <c r="C1361" s="1" t="s">
        <v>14</v>
      </c>
      <c r="D1361" s="1">
        <v>44</v>
      </c>
      <c r="E1361" t="s">
        <v>23</v>
      </c>
      <c r="F1361" t="s">
        <v>23</v>
      </c>
      <c r="G1361" s="1">
        <v>126.22790000000001</v>
      </c>
      <c r="H1361">
        <v>0.01</v>
      </c>
      <c r="I1361">
        <f>Sales_Data[[#This Row],[Sales]]*Sales_Data[[#This Row],[Discount]]</f>
        <v>1.2622790000000002</v>
      </c>
      <c r="J1361">
        <v>124.965621</v>
      </c>
      <c r="K1361" s="1">
        <v>0.5</v>
      </c>
      <c r="L1361" s="1">
        <v>125.72790000000001</v>
      </c>
      <c r="M1361" s="1" t="s">
        <v>10</v>
      </c>
      <c r="N1361" s="1">
        <f>IF(Sales_Data[[#This Row],[Sales with Discount]]&lt;Sales_Data[[#This Row],[Sales with Free Shipping]],Sales_Data[[#This Row],[Sales with Discount]],Sales_Data[[#This Row],[Sales with Free Shipping]])</f>
        <v>124.965621</v>
      </c>
      <c r="O1361" s="1" t="str">
        <f>TEXT(Sales_Data[[#This Row],[Order Date]], "MM-YYYY")</f>
        <v>12-2019</v>
      </c>
    </row>
    <row r="1362" spans="1:15" x14ac:dyDescent="0.3">
      <c r="A1362" s="1">
        <v>37123</v>
      </c>
      <c r="B1362" s="2">
        <v>43513</v>
      </c>
      <c r="C1362" s="1" t="s">
        <v>9</v>
      </c>
      <c r="D1362" s="1">
        <v>50</v>
      </c>
      <c r="E1362" t="s">
        <v>24</v>
      </c>
      <c r="F1362" t="s">
        <v>24</v>
      </c>
      <c r="G1362" s="1">
        <v>850.2</v>
      </c>
      <c r="H1362">
        <v>0.01</v>
      </c>
      <c r="I1362">
        <f>Sales_Data[[#This Row],[Sales]]*Sales_Data[[#This Row],[Discount]]</f>
        <v>8.5020000000000007</v>
      </c>
      <c r="J1362">
        <v>841.69800000000009</v>
      </c>
      <c r="K1362" s="1">
        <v>29.7</v>
      </c>
      <c r="L1362" s="1">
        <v>820.5</v>
      </c>
      <c r="M1362" s="1" t="s">
        <v>13</v>
      </c>
      <c r="N1362" s="1">
        <f>IF(Sales_Data[[#This Row],[Sales with Discount]]&lt;Sales_Data[[#This Row],[Sales with Free Shipping]],Sales_Data[[#This Row],[Sales with Discount]],Sales_Data[[#This Row],[Sales with Free Shipping]])</f>
        <v>820.5</v>
      </c>
      <c r="O1362" s="1" t="str">
        <f>TEXT(Sales_Data[[#This Row],[Order Date]], "MM-YYYY")</f>
        <v>02-2019</v>
      </c>
    </row>
    <row r="1363" spans="1:15" x14ac:dyDescent="0.3">
      <c r="A1363" s="1">
        <v>29218</v>
      </c>
      <c r="B1363" s="2">
        <v>43614</v>
      </c>
      <c r="C1363" s="1" t="s">
        <v>7</v>
      </c>
      <c r="D1363" s="1">
        <v>19</v>
      </c>
      <c r="E1363" t="s">
        <v>19</v>
      </c>
      <c r="F1363" t="s">
        <v>19</v>
      </c>
      <c r="G1363" s="1">
        <v>1950.63</v>
      </c>
      <c r="H1363">
        <v>0</v>
      </c>
      <c r="I1363">
        <f>Sales_Data[[#This Row],[Sales]]*Sales_Data[[#This Row],[Discount]]</f>
        <v>0</v>
      </c>
      <c r="J1363">
        <v>1950.63</v>
      </c>
      <c r="K1363" s="1">
        <v>42.4</v>
      </c>
      <c r="L1363" s="1">
        <v>1950.63</v>
      </c>
      <c r="M1363" s="1" t="s">
        <v>8</v>
      </c>
      <c r="N1363" s="1">
        <f>IF(Sales_Data[[#This Row],[Sales with Discount]]&lt;Sales_Data[[#This Row],[Sales with Free Shipping]],Sales_Data[[#This Row],[Sales with Discount]],Sales_Data[[#This Row],[Sales with Free Shipping]])</f>
        <v>1950.63</v>
      </c>
      <c r="O1363" s="1" t="str">
        <f>TEXT(Sales_Data[[#This Row],[Order Date]], "MM-YYYY")</f>
        <v>05-2019</v>
      </c>
    </row>
    <row r="1364" spans="1:15" x14ac:dyDescent="0.3">
      <c r="A1364" s="1">
        <v>53120</v>
      </c>
      <c r="B1364" s="2">
        <v>43602</v>
      </c>
      <c r="C1364" s="1" t="s">
        <v>11</v>
      </c>
      <c r="D1364" s="1">
        <v>5</v>
      </c>
      <c r="E1364" t="s">
        <v>16</v>
      </c>
      <c r="F1364" t="s">
        <v>16</v>
      </c>
      <c r="G1364" s="1">
        <v>24.34</v>
      </c>
      <c r="H1364">
        <v>0</v>
      </c>
      <c r="I1364">
        <f>Sales_Data[[#This Row],[Sales]]*Sales_Data[[#This Row],[Discount]]</f>
        <v>0</v>
      </c>
      <c r="J1364">
        <v>24.34</v>
      </c>
      <c r="K1364" s="1">
        <v>0.9</v>
      </c>
      <c r="L1364" s="1">
        <v>24.34</v>
      </c>
      <c r="M1364" s="1" t="s">
        <v>10</v>
      </c>
      <c r="N1364" s="1">
        <f>IF(Sales_Data[[#This Row],[Sales with Discount]]&lt;Sales_Data[[#This Row],[Sales with Free Shipping]],Sales_Data[[#This Row],[Sales with Discount]],Sales_Data[[#This Row],[Sales with Free Shipping]])</f>
        <v>24.34</v>
      </c>
      <c r="O1364" s="1" t="str">
        <f>TEXT(Sales_Data[[#This Row],[Order Date]], "MM-YYYY")</f>
        <v>05-2019</v>
      </c>
    </row>
    <row r="1365" spans="1:15" x14ac:dyDescent="0.3">
      <c r="A1365" s="1">
        <v>2562</v>
      </c>
      <c r="B1365" s="2">
        <v>43677</v>
      </c>
      <c r="C1365" s="1" t="s">
        <v>12</v>
      </c>
      <c r="D1365" s="1">
        <v>6</v>
      </c>
      <c r="E1365" t="s">
        <v>17</v>
      </c>
      <c r="F1365" t="s">
        <v>17</v>
      </c>
      <c r="G1365" s="1">
        <v>83.03</v>
      </c>
      <c r="H1365">
        <v>0</v>
      </c>
      <c r="I1365">
        <f>Sales_Data[[#This Row],[Sales]]*Sales_Data[[#This Row],[Discount]]</f>
        <v>0</v>
      </c>
      <c r="J1365">
        <v>83.03</v>
      </c>
      <c r="K1365" s="1">
        <v>12</v>
      </c>
      <c r="L1365" s="1">
        <v>83.03</v>
      </c>
      <c r="M1365" s="1" t="s">
        <v>10</v>
      </c>
      <c r="N1365" s="1">
        <f>IF(Sales_Data[[#This Row],[Sales with Discount]]&lt;Sales_Data[[#This Row],[Sales with Free Shipping]],Sales_Data[[#This Row],[Sales with Discount]],Sales_Data[[#This Row],[Sales with Free Shipping]])</f>
        <v>83.03</v>
      </c>
      <c r="O1365" s="1" t="str">
        <f>TEXT(Sales_Data[[#This Row],[Order Date]], "MM-YYYY")</f>
        <v>07-2019</v>
      </c>
    </row>
    <row r="1366" spans="1:15" x14ac:dyDescent="0.3">
      <c r="A1366" s="1">
        <v>9632</v>
      </c>
      <c r="B1366" s="2">
        <v>43480</v>
      </c>
      <c r="C1366" s="1" t="s">
        <v>7</v>
      </c>
      <c r="D1366" s="1">
        <v>33</v>
      </c>
      <c r="E1366" t="s">
        <v>21</v>
      </c>
      <c r="F1366" t="s">
        <v>21</v>
      </c>
      <c r="G1366" s="1">
        <v>3887.34</v>
      </c>
      <c r="H1366">
        <v>0</v>
      </c>
      <c r="I1366">
        <f>Sales_Data[[#This Row],[Sales]]*Sales_Data[[#This Row],[Discount]]</f>
        <v>0</v>
      </c>
      <c r="J1366">
        <v>3887.34</v>
      </c>
      <c r="K1366" s="1">
        <v>9.6999999999999993</v>
      </c>
      <c r="L1366" s="1">
        <v>3887.34</v>
      </c>
      <c r="M1366" s="1" t="s">
        <v>10</v>
      </c>
      <c r="N1366" s="1">
        <f>IF(Sales_Data[[#This Row],[Sales with Discount]]&lt;Sales_Data[[#This Row],[Sales with Free Shipping]],Sales_Data[[#This Row],[Sales with Discount]],Sales_Data[[#This Row],[Sales with Free Shipping]])</f>
        <v>3887.34</v>
      </c>
      <c r="O1366" s="1" t="str">
        <f>TEXT(Sales_Data[[#This Row],[Order Date]], "MM-YYYY")</f>
        <v>01-2019</v>
      </c>
    </row>
    <row r="1367" spans="1:15" x14ac:dyDescent="0.3">
      <c r="A1367" s="1">
        <v>53221</v>
      </c>
      <c r="B1367" s="2">
        <v>43521</v>
      </c>
      <c r="C1367" s="1" t="s">
        <v>11</v>
      </c>
      <c r="D1367" s="1">
        <v>29</v>
      </c>
      <c r="E1367" t="s">
        <v>20</v>
      </c>
      <c r="F1367" t="s">
        <v>20</v>
      </c>
      <c r="G1367" s="1">
        <v>463.7808</v>
      </c>
      <c r="H1367">
        <v>0</v>
      </c>
      <c r="I1367">
        <f>Sales_Data[[#This Row],[Sales]]*Sales_Data[[#This Row],[Discount]]</f>
        <v>0</v>
      </c>
      <c r="J1367">
        <v>463.7808</v>
      </c>
      <c r="K1367" s="1">
        <v>4</v>
      </c>
      <c r="L1367" s="1">
        <v>463.7808</v>
      </c>
      <c r="M1367" s="1" t="s">
        <v>10</v>
      </c>
      <c r="N1367" s="1">
        <f>IF(Sales_Data[[#This Row],[Sales with Discount]]&lt;Sales_Data[[#This Row],[Sales with Free Shipping]],Sales_Data[[#This Row],[Sales with Discount]],Sales_Data[[#This Row],[Sales with Free Shipping]])</f>
        <v>463.7808</v>
      </c>
      <c r="O1367" s="1" t="str">
        <f>TEXT(Sales_Data[[#This Row],[Order Date]], "MM-YYYY")</f>
        <v>02-2019</v>
      </c>
    </row>
    <row r="1368" spans="1:15" x14ac:dyDescent="0.3">
      <c r="A1368" s="1">
        <v>58917</v>
      </c>
      <c r="B1368" s="2">
        <v>43526</v>
      </c>
      <c r="C1368" s="1" t="s">
        <v>9</v>
      </c>
      <c r="D1368" s="1">
        <v>27</v>
      </c>
      <c r="E1368" t="s">
        <v>20</v>
      </c>
      <c r="F1368" t="s">
        <v>20</v>
      </c>
      <c r="G1368" s="1">
        <v>15301.278200000001</v>
      </c>
      <c r="H1368">
        <v>0</v>
      </c>
      <c r="I1368">
        <f>Sales_Data[[#This Row],[Sales]]*Sales_Data[[#This Row],[Discount]]</f>
        <v>0</v>
      </c>
      <c r="J1368">
        <v>15301.278200000001</v>
      </c>
      <c r="K1368" s="1">
        <v>26.2</v>
      </c>
      <c r="L1368" s="1">
        <v>15301.278200000001</v>
      </c>
      <c r="M1368" s="1" t="s">
        <v>10</v>
      </c>
      <c r="N1368" s="1">
        <f>IF(Sales_Data[[#This Row],[Sales with Discount]]&lt;Sales_Data[[#This Row],[Sales with Free Shipping]],Sales_Data[[#This Row],[Sales with Discount]],Sales_Data[[#This Row],[Sales with Free Shipping]])</f>
        <v>15301.278200000001</v>
      </c>
      <c r="O1368" s="1" t="str">
        <f>TEXT(Sales_Data[[#This Row],[Order Date]], "MM-YYYY")</f>
        <v>03-2019</v>
      </c>
    </row>
    <row r="1369" spans="1:15" x14ac:dyDescent="0.3">
      <c r="A1369" s="1">
        <v>17507</v>
      </c>
      <c r="B1369" s="2">
        <v>43628</v>
      </c>
      <c r="C1369" s="1" t="s">
        <v>14</v>
      </c>
      <c r="D1369" s="1">
        <v>22</v>
      </c>
      <c r="E1369" t="s">
        <v>14</v>
      </c>
      <c r="F1369" t="s">
        <v>14</v>
      </c>
      <c r="G1369" s="1">
        <v>5770.8</v>
      </c>
      <c r="H1369">
        <v>0</v>
      </c>
      <c r="I1369">
        <f>Sales_Data[[#This Row],[Sales]]*Sales_Data[[#This Row],[Discount]]</f>
        <v>0</v>
      </c>
      <c r="J1369">
        <v>5770.8</v>
      </c>
      <c r="K1369" s="1">
        <v>30</v>
      </c>
      <c r="L1369" s="1">
        <v>5770.8</v>
      </c>
      <c r="M1369" s="1" t="s">
        <v>13</v>
      </c>
      <c r="N1369" s="1">
        <f>IF(Sales_Data[[#This Row],[Sales with Discount]]&lt;Sales_Data[[#This Row],[Sales with Free Shipping]],Sales_Data[[#This Row],[Sales with Discount]],Sales_Data[[#This Row],[Sales with Free Shipping]])</f>
        <v>5770.8</v>
      </c>
      <c r="O1369" s="1" t="str">
        <f>TEXT(Sales_Data[[#This Row],[Order Date]], "MM-YYYY")</f>
        <v>06-2019</v>
      </c>
    </row>
    <row r="1370" spans="1:15" x14ac:dyDescent="0.3">
      <c r="A1370" s="1">
        <v>14727</v>
      </c>
      <c r="B1370" s="2">
        <v>43665</v>
      </c>
      <c r="C1370" s="1" t="s">
        <v>14</v>
      </c>
      <c r="D1370" s="1">
        <v>50</v>
      </c>
      <c r="E1370" t="s">
        <v>24</v>
      </c>
      <c r="F1370" t="s">
        <v>24</v>
      </c>
      <c r="G1370" s="1">
        <v>9129.4</v>
      </c>
      <c r="H1370">
        <v>0.01</v>
      </c>
      <c r="I1370">
        <f>Sales_Data[[#This Row],[Sales]]*Sales_Data[[#This Row],[Discount]]</f>
        <v>91.293999999999997</v>
      </c>
      <c r="J1370">
        <v>9038.1059999999998</v>
      </c>
      <c r="K1370" s="1">
        <v>55.9</v>
      </c>
      <c r="L1370" s="1">
        <v>9073.5</v>
      </c>
      <c r="M1370" s="1" t="s">
        <v>13</v>
      </c>
      <c r="N1370" s="1">
        <f>IF(Sales_Data[[#This Row],[Sales with Discount]]&lt;Sales_Data[[#This Row],[Sales with Free Shipping]],Sales_Data[[#This Row],[Sales with Discount]],Sales_Data[[#This Row],[Sales with Free Shipping]])</f>
        <v>9038.1059999999998</v>
      </c>
      <c r="O1370" s="1" t="str">
        <f>TEXT(Sales_Data[[#This Row],[Order Date]], "MM-YYYY")</f>
        <v>07-2019</v>
      </c>
    </row>
    <row r="1371" spans="1:15" x14ac:dyDescent="0.3">
      <c r="A1371" s="1">
        <v>54214</v>
      </c>
      <c r="B1371" s="2">
        <v>43466</v>
      </c>
      <c r="C1371" s="1" t="s">
        <v>14</v>
      </c>
      <c r="D1371" s="1">
        <v>38</v>
      </c>
      <c r="E1371" t="s">
        <v>22</v>
      </c>
      <c r="F1371" t="s">
        <v>22</v>
      </c>
      <c r="G1371" s="1">
        <v>7838.42</v>
      </c>
      <c r="H1371">
        <v>0.01</v>
      </c>
      <c r="I1371">
        <f>Sales_Data[[#This Row],[Sales]]*Sales_Data[[#This Row],[Discount]]</f>
        <v>78.384200000000007</v>
      </c>
      <c r="J1371">
        <v>7760.0357999999997</v>
      </c>
      <c r="K1371" s="1">
        <v>26.2</v>
      </c>
      <c r="L1371" s="1">
        <v>7812.22</v>
      </c>
      <c r="M1371" s="1" t="s">
        <v>8</v>
      </c>
      <c r="N1371" s="1">
        <f>IF(Sales_Data[[#This Row],[Sales with Discount]]&lt;Sales_Data[[#This Row],[Sales with Free Shipping]],Sales_Data[[#This Row],[Sales with Discount]],Sales_Data[[#This Row],[Sales with Free Shipping]])</f>
        <v>7760.0357999999997</v>
      </c>
      <c r="O1371" s="1" t="str">
        <f>TEXT(Sales_Data[[#This Row],[Order Date]], "MM-YYYY")</f>
        <v>01-2019</v>
      </c>
    </row>
    <row r="1372" spans="1:15" x14ac:dyDescent="0.3">
      <c r="A1372" s="1">
        <v>28611</v>
      </c>
      <c r="B1372" s="2">
        <v>43826</v>
      </c>
      <c r="C1372" s="1" t="s">
        <v>7</v>
      </c>
      <c r="D1372" s="1">
        <v>30</v>
      </c>
      <c r="E1372" t="s">
        <v>20</v>
      </c>
      <c r="F1372" t="s">
        <v>20</v>
      </c>
      <c r="G1372" s="1">
        <v>16411.21</v>
      </c>
      <c r="H1372">
        <v>0</v>
      </c>
      <c r="I1372">
        <f>Sales_Data[[#This Row],[Sales]]*Sales_Data[[#This Row],[Discount]]</f>
        <v>0</v>
      </c>
      <c r="J1372">
        <v>16411.21</v>
      </c>
      <c r="K1372" s="1">
        <v>21.4</v>
      </c>
      <c r="L1372" s="1">
        <v>16411.21</v>
      </c>
      <c r="M1372" s="1" t="s">
        <v>10</v>
      </c>
      <c r="N1372" s="1">
        <f>IF(Sales_Data[[#This Row],[Sales with Discount]]&lt;Sales_Data[[#This Row],[Sales with Free Shipping]],Sales_Data[[#This Row],[Sales with Discount]],Sales_Data[[#This Row],[Sales with Free Shipping]])</f>
        <v>16411.21</v>
      </c>
      <c r="O1372" s="1" t="str">
        <f>TEXT(Sales_Data[[#This Row],[Order Date]], "MM-YYYY")</f>
        <v>12-2019</v>
      </c>
    </row>
    <row r="1373" spans="1:15" x14ac:dyDescent="0.3">
      <c r="A1373" s="1">
        <v>47522</v>
      </c>
      <c r="B1373" s="2">
        <v>43761</v>
      </c>
      <c r="C1373" s="1" t="s">
        <v>9</v>
      </c>
      <c r="D1373" s="1">
        <v>5</v>
      </c>
      <c r="E1373" t="s">
        <v>16</v>
      </c>
      <c r="F1373" t="s">
        <v>16</v>
      </c>
      <c r="G1373" s="1">
        <v>86.2</v>
      </c>
      <c r="H1373">
        <v>0</v>
      </c>
      <c r="I1373">
        <f>Sales_Data[[#This Row],[Sales]]*Sales_Data[[#This Row],[Discount]]</f>
        <v>0</v>
      </c>
      <c r="J1373">
        <v>86.2</v>
      </c>
      <c r="K1373" s="1">
        <v>1.5</v>
      </c>
      <c r="L1373" s="1">
        <v>86.2</v>
      </c>
      <c r="M1373" s="1" t="s">
        <v>10</v>
      </c>
      <c r="N1373" s="1">
        <f>IF(Sales_Data[[#This Row],[Sales with Discount]]&lt;Sales_Data[[#This Row],[Sales with Free Shipping]],Sales_Data[[#This Row],[Sales with Discount]],Sales_Data[[#This Row],[Sales with Free Shipping]])</f>
        <v>86.2</v>
      </c>
      <c r="O1373" s="1" t="str">
        <f>TEXT(Sales_Data[[#This Row],[Order Date]], "MM-YYYY")</f>
        <v>10-2019</v>
      </c>
    </row>
    <row r="1374" spans="1:15" x14ac:dyDescent="0.3">
      <c r="A1374" s="1">
        <v>42306</v>
      </c>
      <c r="B1374" s="2">
        <v>43722</v>
      </c>
      <c r="C1374" s="1" t="s">
        <v>9</v>
      </c>
      <c r="D1374" s="1">
        <v>18</v>
      </c>
      <c r="E1374" t="s">
        <v>19</v>
      </c>
      <c r="F1374" t="s">
        <v>19</v>
      </c>
      <c r="G1374" s="1">
        <v>50.72</v>
      </c>
      <c r="H1374">
        <v>0</v>
      </c>
      <c r="I1374">
        <f>Sales_Data[[#This Row],[Sales]]*Sales_Data[[#This Row],[Discount]]</f>
        <v>0</v>
      </c>
      <c r="J1374">
        <v>50.72</v>
      </c>
      <c r="K1374" s="1">
        <v>5.6</v>
      </c>
      <c r="L1374" s="1">
        <v>50.72</v>
      </c>
      <c r="M1374" s="1" t="s">
        <v>10</v>
      </c>
      <c r="N1374" s="1">
        <f>IF(Sales_Data[[#This Row],[Sales with Discount]]&lt;Sales_Data[[#This Row],[Sales with Free Shipping]],Sales_Data[[#This Row],[Sales with Discount]],Sales_Data[[#This Row],[Sales with Free Shipping]])</f>
        <v>50.72</v>
      </c>
      <c r="O1374" s="1" t="str">
        <f>TEXT(Sales_Data[[#This Row],[Order Date]], "MM-YYYY")</f>
        <v>09-2019</v>
      </c>
    </row>
    <row r="1375" spans="1:15" x14ac:dyDescent="0.3">
      <c r="A1375" s="1">
        <v>3328</v>
      </c>
      <c r="B1375" s="2">
        <v>43787</v>
      </c>
      <c r="C1375" s="1" t="s">
        <v>7</v>
      </c>
      <c r="D1375" s="1">
        <v>12</v>
      </c>
      <c r="E1375" t="s">
        <v>18</v>
      </c>
      <c r="F1375" t="s">
        <v>18</v>
      </c>
      <c r="G1375" s="1">
        <v>1857.96</v>
      </c>
      <c r="H1375">
        <v>0</v>
      </c>
      <c r="I1375">
        <f>Sales_Data[[#This Row],[Sales]]*Sales_Data[[#This Row],[Discount]]</f>
        <v>0</v>
      </c>
      <c r="J1375">
        <v>1857.96</v>
      </c>
      <c r="K1375" s="1">
        <v>85.8</v>
      </c>
      <c r="L1375" s="1">
        <v>1857.96</v>
      </c>
      <c r="M1375" s="1" t="s">
        <v>13</v>
      </c>
      <c r="N1375" s="1">
        <f>IF(Sales_Data[[#This Row],[Sales with Discount]]&lt;Sales_Data[[#This Row],[Sales with Free Shipping]],Sales_Data[[#This Row],[Sales with Discount]],Sales_Data[[#This Row],[Sales with Free Shipping]])</f>
        <v>1857.96</v>
      </c>
      <c r="O1375" s="1" t="str">
        <f>TEXT(Sales_Data[[#This Row],[Order Date]], "MM-YYYY")</f>
        <v>11-2019</v>
      </c>
    </row>
    <row r="1376" spans="1:15" x14ac:dyDescent="0.3">
      <c r="A1376" s="1">
        <v>45860</v>
      </c>
      <c r="B1376" s="2">
        <v>43689</v>
      </c>
      <c r="C1376" s="1" t="s">
        <v>7</v>
      </c>
      <c r="D1376" s="1">
        <v>12</v>
      </c>
      <c r="E1376" t="s">
        <v>18</v>
      </c>
      <c r="F1376" t="s">
        <v>18</v>
      </c>
      <c r="G1376" s="1">
        <v>74.867900000000006</v>
      </c>
      <c r="H1376">
        <v>0</v>
      </c>
      <c r="I1376">
        <f>Sales_Data[[#This Row],[Sales]]*Sales_Data[[#This Row],[Discount]]</f>
        <v>0</v>
      </c>
      <c r="J1376">
        <v>74.867900000000006</v>
      </c>
      <c r="K1376" s="1">
        <v>1</v>
      </c>
      <c r="L1376" s="1">
        <v>74.867900000000006</v>
      </c>
      <c r="M1376" s="1" t="s">
        <v>10</v>
      </c>
      <c r="N1376" s="1">
        <f>IF(Sales_Data[[#This Row],[Sales with Discount]]&lt;Sales_Data[[#This Row],[Sales with Free Shipping]],Sales_Data[[#This Row],[Sales with Discount]],Sales_Data[[#This Row],[Sales with Free Shipping]])</f>
        <v>74.867900000000006</v>
      </c>
      <c r="O1376" s="1" t="str">
        <f>TEXT(Sales_Data[[#This Row],[Order Date]], "MM-YYYY")</f>
        <v>08-2019</v>
      </c>
    </row>
    <row r="1377" spans="1:15" x14ac:dyDescent="0.3">
      <c r="A1377" s="1">
        <v>50758</v>
      </c>
      <c r="B1377" s="2">
        <v>43658</v>
      </c>
      <c r="C1377" s="1" t="s">
        <v>14</v>
      </c>
      <c r="D1377" s="1">
        <v>17</v>
      </c>
      <c r="E1377" t="s">
        <v>19</v>
      </c>
      <c r="F1377" t="s">
        <v>19</v>
      </c>
      <c r="G1377" s="1">
        <v>137.5</v>
      </c>
      <c r="H1377">
        <v>0</v>
      </c>
      <c r="I1377">
        <f>Sales_Data[[#This Row],[Sales]]*Sales_Data[[#This Row],[Discount]]</f>
        <v>0</v>
      </c>
      <c r="J1377">
        <v>137.5</v>
      </c>
      <c r="K1377" s="1">
        <v>7.4</v>
      </c>
      <c r="L1377" s="1">
        <v>137.5</v>
      </c>
      <c r="M1377" s="1" t="s">
        <v>8</v>
      </c>
      <c r="N1377" s="1">
        <f>IF(Sales_Data[[#This Row],[Sales with Discount]]&lt;Sales_Data[[#This Row],[Sales with Free Shipping]],Sales_Data[[#This Row],[Sales with Discount]],Sales_Data[[#This Row],[Sales with Free Shipping]])</f>
        <v>137.5</v>
      </c>
      <c r="O1377" s="1" t="str">
        <f>TEXT(Sales_Data[[#This Row],[Order Date]], "MM-YYYY")</f>
        <v>07-2019</v>
      </c>
    </row>
    <row r="1378" spans="1:15" x14ac:dyDescent="0.3">
      <c r="A1378" s="1">
        <v>3297</v>
      </c>
      <c r="B1378" s="2">
        <v>43771</v>
      </c>
      <c r="C1378" s="1" t="s">
        <v>9</v>
      </c>
      <c r="D1378" s="1">
        <v>40</v>
      </c>
      <c r="E1378" t="s">
        <v>22</v>
      </c>
      <c r="F1378" t="s">
        <v>22</v>
      </c>
      <c r="G1378" s="1">
        <v>169.809</v>
      </c>
      <c r="H1378">
        <v>0.01</v>
      </c>
      <c r="I1378">
        <f>Sales_Data[[#This Row],[Sales]]*Sales_Data[[#This Row],[Discount]]</f>
        <v>1.6980900000000001</v>
      </c>
      <c r="J1378">
        <v>168.11090999999999</v>
      </c>
      <c r="K1378" s="1">
        <v>8</v>
      </c>
      <c r="L1378" s="1">
        <v>161.809</v>
      </c>
      <c r="M1378" s="1" t="s">
        <v>10</v>
      </c>
      <c r="N1378" s="1">
        <f>IF(Sales_Data[[#This Row],[Sales with Discount]]&lt;Sales_Data[[#This Row],[Sales with Free Shipping]],Sales_Data[[#This Row],[Sales with Discount]],Sales_Data[[#This Row],[Sales with Free Shipping]])</f>
        <v>161.809</v>
      </c>
      <c r="O1378" s="1" t="str">
        <f>TEXT(Sales_Data[[#This Row],[Order Date]], "MM-YYYY")</f>
        <v>11-2019</v>
      </c>
    </row>
    <row r="1379" spans="1:15" x14ac:dyDescent="0.3">
      <c r="A1379" s="1">
        <v>58084</v>
      </c>
      <c r="B1379" s="2">
        <v>43696</v>
      </c>
      <c r="C1379" s="1" t="s">
        <v>14</v>
      </c>
      <c r="D1379" s="1">
        <v>3</v>
      </c>
      <c r="E1379" t="s">
        <v>16</v>
      </c>
      <c r="F1379" t="s">
        <v>16</v>
      </c>
      <c r="G1379" s="1">
        <v>23.06</v>
      </c>
      <c r="H1379">
        <v>0</v>
      </c>
      <c r="I1379">
        <f>Sales_Data[[#This Row],[Sales]]*Sales_Data[[#This Row],[Discount]]</f>
        <v>0</v>
      </c>
      <c r="J1379">
        <v>23.06</v>
      </c>
      <c r="K1379" s="1">
        <v>0.5</v>
      </c>
      <c r="L1379" s="1">
        <v>23.06</v>
      </c>
      <c r="M1379" s="1" t="s">
        <v>10</v>
      </c>
      <c r="N1379" s="1">
        <f>IF(Sales_Data[[#This Row],[Sales with Discount]]&lt;Sales_Data[[#This Row],[Sales with Free Shipping]],Sales_Data[[#This Row],[Sales with Discount]],Sales_Data[[#This Row],[Sales with Free Shipping]])</f>
        <v>23.06</v>
      </c>
      <c r="O1379" s="1" t="str">
        <f>TEXT(Sales_Data[[#This Row],[Order Date]], "MM-YYYY")</f>
        <v>08-2019</v>
      </c>
    </row>
    <row r="1380" spans="1:15" x14ac:dyDescent="0.3">
      <c r="A1380" s="1">
        <v>24098</v>
      </c>
      <c r="B1380" s="2">
        <v>43572</v>
      </c>
      <c r="C1380" s="1" t="s">
        <v>12</v>
      </c>
      <c r="D1380" s="1">
        <v>10</v>
      </c>
      <c r="E1380" t="s">
        <v>17</v>
      </c>
      <c r="F1380" t="s">
        <v>17</v>
      </c>
      <c r="G1380" s="1">
        <v>86.231300000000005</v>
      </c>
      <c r="H1380">
        <v>0</v>
      </c>
      <c r="I1380">
        <f>Sales_Data[[#This Row],[Sales]]*Sales_Data[[#This Row],[Discount]]</f>
        <v>0</v>
      </c>
      <c r="J1380">
        <v>86.231300000000005</v>
      </c>
      <c r="K1380" s="1">
        <v>6.2</v>
      </c>
      <c r="L1380" s="1">
        <v>86.231300000000005</v>
      </c>
      <c r="M1380" s="1" t="s">
        <v>10</v>
      </c>
      <c r="N1380" s="1">
        <f>IF(Sales_Data[[#This Row],[Sales with Discount]]&lt;Sales_Data[[#This Row],[Sales with Free Shipping]],Sales_Data[[#This Row],[Sales with Discount]],Sales_Data[[#This Row],[Sales with Free Shipping]])</f>
        <v>86.231300000000005</v>
      </c>
      <c r="O1380" s="1" t="str">
        <f>TEXT(Sales_Data[[#This Row],[Order Date]], "MM-YYYY")</f>
        <v>04-2019</v>
      </c>
    </row>
    <row r="1381" spans="1:15" x14ac:dyDescent="0.3">
      <c r="A1381" s="1">
        <v>40706</v>
      </c>
      <c r="B1381" s="2">
        <v>43485</v>
      </c>
      <c r="C1381" s="1" t="s">
        <v>14</v>
      </c>
      <c r="D1381" s="1">
        <v>40</v>
      </c>
      <c r="E1381" t="s">
        <v>22</v>
      </c>
      <c r="F1381" t="s">
        <v>22</v>
      </c>
      <c r="G1381" s="1">
        <v>118.81</v>
      </c>
      <c r="H1381">
        <v>0.01</v>
      </c>
      <c r="I1381">
        <f>Sales_Data[[#This Row],[Sales]]*Sales_Data[[#This Row],[Discount]]</f>
        <v>1.1881000000000002</v>
      </c>
      <c r="J1381">
        <v>117.6219</v>
      </c>
      <c r="K1381" s="1">
        <v>0.5</v>
      </c>
      <c r="L1381" s="1">
        <v>118.31</v>
      </c>
      <c r="M1381" s="1" t="s">
        <v>8</v>
      </c>
      <c r="N1381" s="1">
        <f>IF(Sales_Data[[#This Row],[Sales with Discount]]&lt;Sales_Data[[#This Row],[Sales with Free Shipping]],Sales_Data[[#This Row],[Sales with Discount]],Sales_Data[[#This Row],[Sales with Free Shipping]])</f>
        <v>117.6219</v>
      </c>
      <c r="O1381" s="1" t="str">
        <f>TEXT(Sales_Data[[#This Row],[Order Date]], "MM-YYYY")</f>
        <v>01-2019</v>
      </c>
    </row>
    <row r="1382" spans="1:15" x14ac:dyDescent="0.3">
      <c r="A1382" s="1">
        <v>6501</v>
      </c>
      <c r="B1382" s="2">
        <v>43477</v>
      </c>
      <c r="C1382" s="1" t="s">
        <v>9</v>
      </c>
      <c r="D1382" s="1">
        <v>35</v>
      </c>
      <c r="E1382" t="s">
        <v>21</v>
      </c>
      <c r="F1382" t="s">
        <v>21</v>
      </c>
      <c r="G1382" s="1">
        <v>253.58</v>
      </c>
      <c r="H1382">
        <v>0</v>
      </c>
      <c r="I1382">
        <f>Sales_Data[[#This Row],[Sales]]*Sales_Data[[#This Row],[Discount]]</f>
        <v>0</v>
      </c>
      <c r="J1382">
        <v>253.58</v>
      </c>
      <c r="K1382" s="1">
        <v>7.2</v>
      </c>
      <c r="L1382" s="1">
        <v>253.58</v>
      </c>
      <c r="M1382" s="1" t="s">
        <v>10</v>
      </c>
      <c r="N1382" s="1">
        <f>IF(Sales_Data[[#This Row],[Sales with Discount]]&lt;Sales_Data[[#This Row],[Sales with Free Shipping]],Sales_Data[[#This Row],[Sales with Discount]],Sales_Data[[#This Row],[Sales with Free Shipping]])</f>
        <v>253.58</v>
      </c>
      <c r="O1382" s="1" t="str">
        <f>TEXT(Sales_Data[[#This Row],[Order Date]], "MM-YYYY")</f>
        <v>01-2019</v>
      </c>
    </row>
    <row r="1383" spans="1:15" x14ac:dyDescent="0.3">
      <c r="A1383" s="1">
        <v>21253</v>
      </c>
      <c r="B1383" s="2">
        <v>43572</v>
      </c>
      <c r="C1383" s="1" t="s">
        <v>14</v>
      </c>
      <c r="D1383" s="1">
        <v>5</v>
      </c>
      <c r="E1383" t="s">
        <v>16</v>
      </c>
      <c r="F1383" t="s">
        <v>16</v>
      </c>
      <c r="G1383" s="1">
        <v>486.94</v>
      </c>
      <c r="H1383">
        <v>0</v>
      </c>
      <c r="I1383">
        <f>Sales_Data[[#This Row],[Sales]]*Sales_Data[[#This Row],[Discount]]</f>
        <v>0</v>
      </c>
      <c r="J1383">
        <v>486.94</v>
      </c>
      <c r="K1383" s="1">
        <v>21.4</v>
      </c>
      <c r="L1383" s="1">
        <v>486.94</v>
      </c>
      <c r="M1383" s="1" t="s">
        <v>10</v>
      </c>
      <c r="N1383" s="1">
        <f>IF(Sales_Data[[#This Row],[Sales with Discount]]&lt;Sales_Data[[#This Row],[Sales with Free Shipping]],Sales_Data[[#This Row],[Sales with Discount]],Sales_Data[[#This Row],[Sales with Free Shipping]])</f>
        <v>486.94</v>
      </c>
      <c r="O1383" s="1" t="str">
        <f>TEXT(Sales_Data[[#This Row],[Order Date]], "MM-YYYY")</f>
        <v>04-2019</v>
      </c>
    </row>
    <row r="1384" spans="1:15" x14ac:dyDescent="0.3">
      <c r="A1384" s="1">
        <v>17508</v>
      </c>
      <c r="B1384" s="2">
        <v>43643</v>
      </c>
      <c r="C1384" s="1" t="s">
        <v>7</v>
      </c>
      <c r="D1384" s="1">
        <v>50</v>
      </c>
      <c r="E1384" t="s">
        <v>24</v>
      </c>
      <c r="F1384" t="s">
        <v>24</v>
      </c>
      <c r="G1384" s="1">
        <v>106.02</v>
      </c>
      <c r="H1384">
        <v>0.01</v>
      </c>
      <c r="I1384">
        <f>Sales_Data[[#This Row],[Sales]]*Sales_Data[[#This Row],[Discount]]</f>
        <v>1.0602</v>
      </c>
      <c r="J1384">
        <v>104.9598</v>
      </c>
      <c r="K1384" s="1">
        <v>0.7</v>
      </c>
      <c r="L1384" s="1">
        <v>105.32</v>
      </c>
      <c r="M1384" s="1" t="s">
        <v>8</v>
      </c>
      <c r="N1384" s="1">
        <f>IF(Sales_Data[[#This Row],[Sales with Discount]]&lt;Sales_Data[[#This Row],[Sales with Free Shipping]],Sales_Data[[#This Row],[Sales with Discount]],Sales_Data[[#This Row],[Sales with Free Shipping]])</f>
        <v>104.9598</v>
      </c>
      <c r="O1384" s="1" t="str">
        <f>TEXT(Sales_Data[[#This Row],[Order Date]], "MM-YYYY")</f>
        <v>06-2019</v>
      </c>
    </row>
    <row r="1385" spans="1:15" x14ac:dyDescent="0.3">
      <c r="A1385" s="1">
        <v>15236</v>
      </c>
      <c r="B1385" s="2">
        <v>43564</v>
      </c>
      <c r="C1385" s="1" t="s">
        <v>11</v>
      </c>
      <c r="D1385" s="1">
        <v>30</v>
      </c>
      <c r="E1385" t="s">
        <v>20</v>
      </c>
      <c r="F1385" t="s">
        <v>20</v>
      </c>
      <c r="G1385" s="1">
        <v>408.09</v>
      </c>
      <c r="H1385">
        <v>0</v>
      </c>
      <c r="I1385">
        <f>Sales_Data[[#This Row],[Sales]]*Sales_Data[[#This Row],[Discount]]</f>
        <v>0</v>
      </c>
      <c r="J1385">
        <v>408.09</v>
      </c>
      <c r="K1385" s="1">
        <v>6.6</v>
      </c>
      <c r="L1385" s="1">
        <v>408.09</v>
      </c>
      <c r="M1385" s="1" t="s">
        <v>8</v>
      </c>
      <c r="N1385" s="1">
        <f>IF(Sales_Data[[#This Row],[Sales with Discount]]&lt;Sales_Data[[#This Row],[Sales with Free Shipping]],Sales_Data[[#This Row],[Sales with Discount]],Sales_Data[[#This Row],[Sales with Free Shipping]])</f>
        <v>408.09</v>
      </c>
      <c r="O1385" s="1" t="str">
        <f>TEXT(Sales_Data[[#This Row],[Order Date]], "MM-YYYY")</f>
        <v>04-2019</v>
      </c>
    </row>
    <row r="1386" spans="1:15" x14ac:dyDescent="0.3">
      <c r="A1386" s="1">
        <v>40608</v>
      </c>
      <c r="B1386" s="2">
        <v>43696</v>
      </c>
      <c r="C1386" s="1" t="s">
        <v>11</v>
      </c>
      <c r="D1386" s="1">
        <v>39</v>
      </c>
      <c r="E1386" t="s">
        <v>22</v>
      </c>
      <c r="F1386" t="s">
        <v>22</v>
      </c>
      <c r="G1386" s="1">
        <v>239.45529999999999</v>
      </c>
      <c r="H1386">
        <v>0.01</v>
      </c>
      <c r="I1386">
        <f>Sales_Data[[#This Row],[Sales]]*Sales_Data[[#This Row],[Discount]]</f>
        <v>2.3945530000000002</v>
      </c>
      <c r="J1386">
        <v>237.06074699999999</v>
      </c>
      <c r="K1386" s="1">
        <v>6.1</v>
      </c>
      <c r="L1386" s="1">
        <v>233.3553</v>
      </c>
      <c r="M1386" s="1" t="s">
        <v>10</v>
      </c>
      <c r="N1386" s="1">
        <f>IF(Sales_Data[[#This Row],[Sales with Discount]]&lt;Sales_Data[[#This Row],[Sales with Free Shipping]],Sales_Data[[#This Row],[Sales with Discount]],Sales_Data[[#This Row],[Sales with Free Shipping]])</f>
        <v>233.3553</v>
      </c>
      <c r="O1386" s="1" t="str">
        <f>TEXT(Sales_Data[[#This Row],[Order Date]], "MM-YYYY")</f>
        <v>08-2019</v>
      </c>
    </row>
    <row r="1387" spans="1:15" x14ac:dyDescent="0.3">
      <c r="A1387" s="1">
        <v>43488</v>
      </c>
      <c r="B1387" s="2">
        <v>43634</v>
      </c>
      <c r="C1387" s="1" t="s">
        <v>12</v>
      </c>
      <c r="D1387" s="1">
        <v>28</v>
      </c>
      <c r="E1387" t="s">
        <v>20</v>
      </c>
      <c r="F1387" t="s">
        <v>20</v>
      </c>
      <c r="G1387" s="1">
        <v>585.63</v>
      </c>
      <c r="H1387">
        <v>0</v>
      </c>
      <c r="I1387">
        <f>Sales_Data[[#This Row],[Sales]]*Sales_Data[[#This Row],[Discount]]</f>
        <v>0</v>
      </c>
      <c r="J1387">
        <v>585.63</v>
      </c>
      <c r="K1387" s="1">
        <v>7.1</v>
      </c>
      <c r="L1387" s="1">
        <v>585.63</v>
      </c>
      <c r="M1387" s="1" t="s">
        <v>10</v>
      </c>
      <c r="N1387" s="1">
        <f>IF(Sales_Data[[#This Row],[Sales with Discount]]&lt;Sales_Data[[#This Row],[Sales with Free Shipping]],Sales_Data[[#This Row],[Sales with Discount]],Sales_Data[[#This Row],[Sales with Free Shipping]])</f>
        <v>585.63</v>
      </c>
      <c r="O1387" s="1" t="str">
        <f>TEXT(Sales_Data[[#This Row],[Order Date]], "MM-YYYY")</f>
        <v>06-2019</v>
      </c>
    </row>
    <row r="1388" spans="1:15" x14ac:dyDescent="0.3">
      <c r="A1388" s="1">
        <v>46368</v>
      </c>
      <c r="B1388" s="2">
        <v>43579</v>
      </c>
      <c r="C1388" s="1" t="s">
        <v>9</v>
      </c>
      <c r="D1388" s="1">
        <v>48</v>
      </c>
      <c r="E1388" t="s">
        <v>24</v>
      </c>
      <c r="F1388" t="s">
        <v>24</v>
      </c>
      <c r="G1388" s="1">
        <v>177.76</v>
      </c>
      <c r="H1388">
        <v>0.01</v>
      </c>
      <c r="I1388">
        <f>Sales_Data[[#This Row],[Sales]]*Sales_Data[[#This Row],[Discount]]</f>
        <v>1.7775999999999998</v>
      </c>
      <c r="J1388">
        <v>175.98239999999998</v>
      </c>
      <c r="K1388" s="1">
        <v>4.2</v>
      </c>
      <c r="L1388" s="1">
        <v>173.56</v>
      </c>
      <c r="M1388" s="1" t="s">
        <v>10</v>
      </c>
      <c r="N1388" s="1">
        <f>IF(Sales_Data[[#This Row],[Sales with Discount]]&lt;Sales_Data[[#This Row],[Sales with Free Shipping]],Sales_Data[[#This Row],[Sales with Discount]],Sales_Data[[#This Row],[Sales with Free Shipping]])</f>
        <v>173.56</v>
      </c>
      <c r="O1388" s="1" t="str">
        <f>TEXT(Sales_Data[[#This Row],[Order Date]], "MM-YYYY")</f>
        <v>04-2019</v>
      </c>
    </row>
    <row r="1389" spans="1:15" x14ac:dyDescent="0.3">
      <c r="A1389" s="1">
        <v>13633</v>
      </c>
      <c r="B1389" s="2">
        <v>43558</v>
      </c>
      <c r="C1389" s="1" t="s">
        <v>11</v>
      </c>
      <c r="D1389" s="1">
        <v>18</v>
      </c>
      <c r="E1389" t="s">
        <v>19</v>
      </c>
      <c r="F1389" t="s">
        <v>19</v>
      </c>
      <c r="G1389" s="1">
        <v>2892.61</v>
      </c>
      <c r="H1389">
        <v>0</v>
      </c>
      <c r="I1389">
        <f>Sales_Data[[#This Row],[Sales]]*Sales_Data[[#This Row],[Discount]]</f>
        <v>0</v>
      </c>
      <c r="J1389">
        <v>2892.61</v>
      </c>
      <c r="K1389" s="1">
        <v>61.2</v>
      </c>
      <c r="L1389" s="1">
        <v>2892.61</v>
      </c>
      <c r="M1389" s="1" t="s">
        <v>13</v>
      </c>
      <c r="N1389" s="1">
        <f>IF(Sales_Data[[#This Row],[Sales with Discount]]&lt;Sales_Data[[#This Row],[Sales with Free Shipping]],Sales_Data[[#This Row],[Sales with Discount]],Sales_Data[[#This Row],[Sales with Free Shipping]])</f>
        <v>2892.61</v>
      </c>
      <c r="O1389" s="1" t="str">
        <f>TEXT(Sales_Data[[#This Row],[Order Date]], "MM-YYYY")</f>
        <v>04-2019</v>
      </c>
    </row>
    <row r="1390" spans="1:15" x14ac:dyDescent="0.3">
      <c r="A1390" s="1">
        <v>293</v>
      </c>
      <c r="B1390" s="2">
        <v>43739</v>
      </c>
      <c r="C1390" s="1" t="s">
        <v>9</v>
      </c>
      <c r="D1390" s="1">
        <v>27</v>
      </c>
      <c r="E1390" t="s">
        <v>20</v>
      </c>
      <c r="F1390" t="s">
        <v>20</v>
      </c>
      <c r="G1390" s="1">
        <v>261.69</v>
      </c>
      <c r="H1390">
        <v>0</v>
      </c>
      <c r="I1390">
        <f>Sales_Data[[#This Row],[Sales]]*Sales_Data[[#This Row],[Discount]]</f>
        <v>0</v>
      </c>
      <c r="J1390">
        <v>261.69</v>
      </c>
      <c r="K1390" s="1">
        <v>3.2</v>
      </c>
      <c r="L1390" s="1">
        <v>261.69</v>
      </c>
      <c r="M1390" s="1" t="s">
        <v>10</v>
      </c>
      <c r="N1390" s="1">
        <f>IF(Sales_Data[[#This Row],[Sales with Discount]]&lt;Sales_Data[[#This Row],[Sales with Free Shipping]],Sales_Data[[#This Row],[Sales with Discount]],Sales_Data[[#This Row],[Sales with Free Shipping]])</f>
        <v>261.69</v>
      </c>
      <c r="O1390" s="1" t="str">
        <f>TEXT(Sales_Data[[#This Row],[Order Date]], "MM-YYYY")</f>
        <v>10-2019</v>
      </c>
    </row>
    <row r="1391" spans="1:15" x14ac:dyDescent="0.3">
      <c r="A1391" s="1">
        <v>2885</v>
      </c>
      <c r="B1391" s="2">
        <v>43726</v>
      </c>
      <c r="C1391" s="1" t="s">
        <v>11</v>
      </c>
      <c r="D1391" s="1">
        <v>29</v>
      </c>
      <c r="E1391" t="s">
        <v>20</v>
      </c>
      <c r="F1391" t="s">
        <v>20</v>
      </c>
      <c r="G1391" s="1">
        <v>211.23</v>
      </c>
      <c r="H1391">
        <v>0</v>
      </c>
      <c r="I1391">
        <f>Sales_Data[[#This Row],[Sales]]*Sales_Data[[#This Row],[Discount]]</f>
        <v>0</v>
      </c>
      <c r="J1391">
        <v>211.23</v>
      </c>
      <c r="K1391" s="1">
        <v>9</v>
      </c>
      <c r="L1391" s="1">
        <v>211.23</v>
      </c>
      <c r="M1391" s="1" t="s">
        <v>10</v>
      </c>
      <c r="N1391" s="1">
        <f>IF(Sales_Data[[#This Row],[Sales with Discount]]&lt;Sales_Data[[#This Row],[Sales with Free Shipping]],Sales_Data[[#This Row],[Sales with Discount]],Sales_Data[[#This Row],[Sales with Free Shipping]])</f>
        <v>211.23</v>
      </c>
      <c r="O1391" s="1" t="str">
        <f>TEXT(Sales_Data[[#This Row],[Order Date]], "MM-YYYY")</f>
        <v>09-2019</v>
      </c>
    </row>
    <row r="1392" spans="1:15" x14ac:dyDescent="0.3">
      <c r="A1392" s="1">
        <v>36229</v>
      </c>
      <c r="B1392" s="2">
        <v>43729</v>
      </c>
      <c r="C1392" s="1" t="s">
        <v>11</v>
      </c>
      <c r="D1392" s="1">
        <v>12</v>
      </c>
      <c r="E1392" t="s">
        <v>18</v>
      </c>
      <c r="F1392" t="s">
        <v>18</v>
      </c>
      <c r="G1392" s="1">
        <v>1567.86</v>
      </c>
      <c r="H1392">
        <v>0</v>
      </c>
      <c r="I1392">
        <f>Sales_Data[[#This Row],[Sales]]*Sales_Data[[#This Row],[Discount]]</f>
        <v>0</v>
      </c>
      <c r="J1392">
        <v>1567.86</v>
      </c>
      <c r="K1392" s="1">
        <v>7.6</v>
      </c>
      <c r="L1392" s="1">
        <v>1567.86</v>
      </c>
      <c r="M1392" s="1" t="s">
        <v>10</v>
      </c>
      <c r="N1392" s="1">
        <f>IF(Sales_Data[[#This Row],[Sales with Discount]]&lt;Sales_Data[[#This Row],[Sales with Free Shipping]],Sales_Data[[#This Row],[Sales with Discount]],Sales_Data[[#This Row],[Sales with Free Shipping]])</f>
        <v>1567.86</v>
      </c>
      <c r="O1392" s="1" t="str">
        <f>TEXT(Sales_Data[[#This Row],[Order Date]], "MM-YYYY")</f>
        <v>09-2019</v>
      </c>
    </row>
    <row r="1393" spans="1:15" x14ac:dyDescent="0.3">
      <c r="A1393" s="1">
        <v>48576</v>
      </c>
      <c r="B1393" s="2">
        <v>43800</v>
      </c>
      <c r="C1393" s="1" t="s">
        <v>11</v>
      </c>
      <c r="D1393" s="1">
        <v>17</v>
      </c>
      <c r="E1393" t="s">
        <v>19</v>
      </c>
      <c r="F1393" t="s">
        <v>19</v>
      </c>
      <c r="G1393" s="1">
        <v>497.11130000000003</v>
      </c>
      <c r="H1393">
        <v>0</v>
      </c>
      <c r="I1393">
        <f>Sales_Data[[#This Row],[Sales]]*Sales_Data[[#This Row],[Discount]]</f>
        <v>0</v>
      </c>
      <c r="J1393">
        <v>497.11130000000003</v>
      </c>
      <c r="K1393" s="1">
        <v>1.6</v>
      </c>
      <c r="L1393" s="1">
        <v>497.11130000000003</v>
      </c>
      <c r="M1393" s="1" t="s">
        <v>10</v>
      </c>
      <c r="N1393" s="1">
        <f>IF(Sales_Data[[#This Row],[Sales with Discount]]&lt;Sales_Data[[#This Row],[Sales with Free Shipping]],Sales_Data[[#This Row],[Sales with Discount]],Sales_Data[[#This Row],[Sales with Free Shipping]])</f>
        <v>497.11130000000003</v>
      </c>
      <c r="O1393" s="1" t="str">
        <f>TEXT(Sales_Data[[#This Row],[Order Date]], "MM-YYYY")</f>
        <v>12-2019</v>
      </c>
    </row>
    <row r="1394" spans="1:15" x14ac:dyDescent="0.3">
      <c r="A1394" s="1">
        <v>52516</v>
      </c>
      <c r="B1394" s="2">
        <v>43469</v>
      </c>
      <c r="C1394" s="1" t="s">
        <v>9</v>
      </c>
      <c r="D1394" s="1">
        <v>50</v>
      </c>
      <c r="E1394" t="s">
        <v>24</v>
      </c>
      <c r="F1394" t="s">
        <v>24</v>
      </c>
      <c r="G1394" s="1">
        <v>5309.39</v>
      </c>
      <c r="H1394">
        <v>0.01</v>
      </c>
      <c r="I1394">
        <f>Sales_Data[[#This Row],[Sales]]*Sales_Data[[#This Row],[Discount]]</f>
        <v>53.093900000000005</v>
      </c>
      <c r="J1394">
        <v>5256.2961000000005</v>
      </c>
      <c r="K1394" s="1">
        <v>60.1</v>
      </c>
      <c r="L1394" s="1">
        <v>5249.29</v>
      </c>
      <c r="M1394" s="1" t="s">
        <v>13</v>
      </c>
      <c r="N1394" s="1">
        <f>IF(Sales_Data[[#This Row],[Sales with Discount]]&lt;Sales_Data[[#This Row],[Sales with Free Shipping]],Sales_Data[[#This Row],[Sales with Discount]],Sales_Data[[#This Row],[Sales with Free Shipping]])</f>
        <v>5249.29</v>
      </c>
      <c r="O1394" s="1" t="str">
        <f>TEXT(Sales_Data[[#This Row],[Order Date]], "MM-YYYY")</f>
        <v>01-2019</v>
      </c>
    </row>
    <row r="1395" spans="1:15" x14ac:dyDescent="0.3">
      <c r="A1395" s="1">
        <v>19143</v>
      </c>
      <c r="B1395" s="2">
        <v>43773</v>
      </c>
      <c r="C1395" s="1" t="s">
        <v>9</v>
      </c>
      <c r="D1395" s="1">
        <v>3</v>
      </c>
      <c r="E1395" t="s">
        <v>16</v>
      </c>
      <c r="F1395" t="s">
        <v>16</v>
      </c>
      <c r="G1395" s="1">
        <v>2590.4899999999998</v>
      </c>
      <c r="H1395">
        <v>0</v>
      </c>
      <c r="I1395">
        <f>Sales_Data[[#This Row],[Sales]]*Sales_Data[[#This Row],[Discount]]</f>
        <v>0</v>
      </c>
      <c r="J1395">
        <v>2590.4899999999998</v>
      </c>
      <c r="K1395" s="1">
        <v>17.2</v>
      </c>
      <c r="L1395" s="1">
        <v>2590.4899999999998</v>
      </c>
      <c r="M1395" s="1" t="s">
        <v>13</v>
      </c>
      <c r="N1395" s="1">
        <f>IF(Sales_Data[[#This Row],[Sales with Discount]]&lt;Sales_Data[[#This Row],[Sales with Free Shipping]],Sales_Data[[#This Row],[Sales with Discount]],Sales_Data[[#This Row],[Sales with Free Shipping]])</f>
        <v>2590.4899999999998</v>
      </c>
      <c r="O1395" s="1" t="str">
        <f>TEXT(Sales_Data[[#This Row],[Order Date]], "MM-YYYY")</f>
        <v>11-2019</v>
      </c>
    </row>
    <row r="1396" spans="1:15" x14ac:dyDescent="0.3">
      <c r="A1396" s="1">
        <v>59781</v>
      </c>
      <c r="B1396" s="2">
        <v>43811</v>
      </c>
      <c r="C1396" s="1" t="s">
        <v>11</v>
      </c>
      <c r="D1396" s="1">
        <v>24</v>
      </c>
      <c r="E1396" t="s">
        <v>14</v>
      </c>
      <c r="F1396" t="s">
        <v>14</v>
      </c>
      <c r="G1396" s="1">
        <v>185.24</v>
      </c>
      <c r="H1396">
        <v>0</v>
      </c>
      <c r="I1396">
        <f>Sales_Data[[#This Row],[Sales]]*Sales_Data[[#This Row],[Discount]]</f>
        <v>0</v>
      </c>
      <c r="J1396">
        <v>185.24</v>
      </c>
      <c r="K1396" s="1">
        <v>11.9</v>
      </c>
      <c r="L1396" s="1">
        <v>185.24</v>
      </c>
      <c r="M1396" s="1" t="s">
        <v>10</v>
      </c>
      <c r="N1396" s="1">
        <f>IF(Sales_Data[[#This Row],[Sales with Discount]]&lt;Sales_Data[[#This Row],[Sales with Free Shipping]],Sales_Data[[#This Row],[Sales with Discount]],Sales_Data[[#This Row],[Sales with Free Shipping]])</f>
        <v>185.24</v>
      </c>
      <c r="O1396" s="1" t="str">
        <f>TEXT(Sales_Data[[#This Row],[Order Date]], "MM-YYYY")</f>
        <v>12-2019</v>
      </c>
    </row>
    <row r="1397" spans="1:15" x14ac:dyDescent="0.3">
      <c r="A1397" s="1">
        <v>3333</v>
      </c>
      <c r="B1397" s="2">
        <v>43723</v>
      </c>
      <c r="C1397" s="1" t="s">
        <v>11</v>
      </c>
      <c r="D1397" s="1">
        <v>42</v>
      </c>
      <c r="E1397" t="s">
        <v>23</v>
      </c>
      <c r="F1397" t="s">
        <v>23</v>
      </c>
      <c r="G1397" s="1">
        <v>992.93</v>
      </c>
      <c r="H1397">
        <v>0.01</v>
      </c>
      <c r="I1397">
        <f>Sales_Data[[#This Row],[Sales]]*Sales_Data[[#This Row],[Discount]]</f>
        <v>9.9292999999999996</v>
      </c>
      <c r="J1397">
        <v>983.00069999999994</v>
      </c>
      <c r="K1397" s="1">
        <v>4.8</v>
      </c>
      <c r="L1397" s="1">
        <v>988.13</v>
      </c>
      <c r="M1397" s="1" t="s">
        <v>10</v>
      </c>
      <c r="N1397" s="1">
        <f>IF(Sales_Data[[#This Row],[Sales with Discount]]&lt;Sales_Data[[#This Row],[Sales with Free Shipping]],Sales_Data[[#This Row],[Sales with Discount]],Sales_Data[[#This Row],[Sales with Free Shipping]])</f>
        <v>983.00069999999994</v>
      </c>
      <c r="O1397" s="1" t="str">
        <f>TEXT(Sales_Data[[#This Row],[Order Date]], "MM-YYYY")</f>
        <v>09-2019</v>
      </c>
    </row>
    <row r="1398" spans="1:15" x14ac:dyDescent="0.3">
      <c r="A1398" s="1">
        <v>24580</v>
      </c>
      <c r="B1398" s="2">
        <v>43639</v>
      </c>
      <c r="C1398" s="1" t="s">
        <v>9</v>
      </c>
      <c r="D1398" s="1">
        <v>25</v>
      </c>
      <c r="E1398" t="s">
        <v>14</v>
      </c>
      <c r="F1398" t="s">
        <v>14</v>
      </c>
      <c r="G1398" s="1">
        <v>1156.9100000000001</v>
      </c>
      <c r="H1398">
        <v>0</v>
      </c>
      <c r="I1398">
        <f>Sales_Data[[#This Row],[Sales]]*Sales_Data[[#This Row],[Discount]]</f>
        <v>0</v>
      </c>
      <c r="J1398">
        <v>1156.9100000000001</v>
      </c>
      <c r="K1398" s="1">
        <v>9.6</v>
      </c>
      <c r="L1398" s="1">
        <v>1156.9100000000001</v>
      </c>
      <c r="M1398" s="1" t="s">
        <v>10</v>
      </c>
      <c r="N1398" s="1">
        <f>IF(Sales_Data[[#This Row],[Sales with Discount]]&lt;Sales_Data[[#This Row],[Sales with Free Shipping]],Sales_Data[[#This Row],[Sales with Discount]],Sales_Data[[#This Row],[Sales with Free Shipping]])</f>
        <v>1156.9100000000001</v>
      </c>
      <c r="O1398" s="1" t="str">
        <f>TEXT(Sales_Data[[#This Row],[Order Date]], "MM-YYYY")</f>
        <v>06-2019</v>
      </c>
    </row>
    <row r="1399" spans="1:15" x14ac:dyDescent="0.3">
      <c r="A1399" s="1">
        <v>31297</v>
      </c>
      <c r="B1399" s="2">
        <v>43695</v>
      </c>
      <c r="C1399" s="1" t="s">
        <v>7</v>
      </c>
      <c r="D1399" s="1">
        <v>44</v>
      </c>
      <c r="E1399" t="s">
        <v>23</v>
      </c>
      <c r="F1399" t="s">
        <v>23</v>
      </c>
      <c r="G1399" s="1">
        <v>1690.13</v>
      </c>
      <c r="H1399">
        <v>0.01</v>
      </c>
      <c r="I1399">
        <f>Sales_Data[[#This Row],[Sales]]*Sales_Data[[#This Row],[Discount]]</f>
        <v>16.901300000000003</v>
      </c>
      <c r="J1399">
        <v>1673.2287000000001</v>
      </c>
      <c r="K1399" s="1">
        <v>5.3</v>
      </c>
      <c r="L1399" s="1">
        <v>1684.8300000000002</v>
      </c>
      <c r="M1399" s="1" t="s">
        <v>10</v>
      </c>
      <c r="N1399" s="1">
        <f>IF(Sales_Data[[#This Row],[Sales with Discount]]&lt;Sales_Data[[#This Row],[Sales with Free Shipping]],Sales_Data[[#This Row],[Sales with Discount]],Sales_Data[[#This Row],[Sales with Free Shipping]])</f>
        <v>1673.2287000000001</v>
      </c>
      <c r="O1399" s="1" t="str">
        <f>TEXT(Sales_Data[[#This Row],[Order Date]], "MM-YYYY")</f>
        <v>08-2019</v>
      </c>
    </row>
    <row r="1400" spans="1:15" x14ac:dyDescent="0.3">
      <c r="A1400" s="1">
        <v>1856</v>
      </c>
      <c r="B1400" s="2">
        <v>43543</v>
      </c>
      <c r="C1400" s="1" t="s">
        <v>11</v>
      </c>
      <c r="D1400" s="1">
        <v>43</v>
      </c>
      <c r="E1400" t="s">
        <v>23</v>
      </c>
      <c r="F1400" t="s">
        <v>23</v>
      </c>
      <c r="G1400" s="1">
        <v>4680.9146000000001</v>
      </c>
      <c r="H1400">
        <v>0.01</v>
      </c>
      <c r="I1400">
        <f>Sales_Data[[#This Row],[Sales]]*Sales_Data[[#This Row],[Discount]]</f>
        <v>46.809145999999998</v>
      </c>
      <c r="J1400">
        <v>4634.1054540000005</v>
      </c>
      <c r="K1400" s="1">
        <v>8.6</v>
      </c>
      <c r="L1400" s="1">
        <v>4672.3145999999997</v>
      </c>
      <c r="M1400" s="1" t="s">
        <v>10</v>
      </c>
      <c r="N1400" s="1">
        <f>IF(Sales_Data[[#This Row],[Sales with Discount]]&lt;Sales_Data[[#This Row],[Sales with Free Shipping]],Sales_Data[[#This Row],[Sales with Discount]],Sales_Data[[#This Row],[Sales with Free Shipping]])</f>
        <v>4634.1054540000005</v>
      </c>
      <c r="O1400" s="1" t="str">
        <f>TEXT(Sales_Data[[#This Row],[Order Date]], "MM-YYYY")</f>
        <v>03-2019</v>
      </c>
    </row>
    <row r="1401" spans="1:15" x14ac:dyDescent="0.3">
      <c r="A1401" s="1">
        <v>293</v>
      </c>
      <c r="B1401" s="2">
        <v>43739</v>
      </c>
      <c r="C1401" s="1" t="s">
        <v>9</v>
      </c>
      <c r="D1401" s="1">
        <v>49</v>
      </c>
      <c r="E1401" t="s">
        <v>24</v>
      </c>
      <c r="F1401" t="s">
        <v>24</v>
      </c>
      <c r="G1401" s="1">
        <v>10831.63</v>
      </c>
      <c r="H1401">
        <v>0.01</v>
      </c>
      <c r="I1401">
        <f>Sales_Data[[#This Row],[Sales]]*Sales_Data[[#This Row],[Discount]]</f>
        <v>108.3163</v>
      </c>
      <c r="J1401">
        <v>10723.313699999999</v>
      </c>
      <c r="K1401" s="1">
        <v>72.8</v>
      </c>
      <c r="L1401" s="1">
        <v>10758.83</v>
      </c>
      <c r="M1401" s="1" t="s">
        <v>13</v>
      </c>
      <c r="N1401" s="1">
        <f>IF(Sales_Data[[#This Row],[Sales with Discount]]&lt;Sales_Data[[#This Row],[Sales with Free Shipping]],Sales_Data[[#This Row],[Sales with Discount]],Sales_Data[[#This Row],[Sales with Free Shipping]])</f>
        <v>10723.313699999999</v>
      </c>
      <c r="O1401" s="1" t="str">
        <f>TEXT(Sales_Data[[#This Row],[Order Date]], "MM-YYYY")</f>
        <v>10-2019</v>
      </c>
    </row>
    <row r="1402" spans="1:15" x14ac:dyDescent="0.3">
      <c r="A1402" s="1">
        <v>57093</v>
      </c>
      <c r="B1402" s="2">
        <v>43587</v>
      </c>
      <c r="C1402" s="1" t="s">
        <v>7</v>
      </c>
      <c r="D1402" s="1">
        <v>47</v>
      </c>
      <c r="E1402" t="s">
        <v>24</v>
      </c>
      <c r="F1402" t="s">
        <v>24</v>
      </c>
      <c r="G1402" s="1">
        <v>796.76</v>
      </c>
      <c r="H1402">
        <v>0.01</v>
      </c>
      <c r="I1402">
        <f>Sales_Data[[#This Row],[Sales]]*Sales_Data[[#This Row],[Discount]]</f>
        <v>7.9676</v>
      </c>
      <c r="J1402">
        <v>788.79239999999993</v>
      </c>
      <c r="K1402" s="1">
        <v>5.8</v>
      </c>
      <c r="L1402" s="1">
        <v>790.96</v>
      </c>
      <c r="M1402" s="1" t="s">
        <v>10</v>
      </c>
      <c r="N1402" s="1">
        <f>IF(Sales_Data[[#This Row],[Sales with Discount]]&lt;Sales_Data[[#This Row],[Sales with Free Shipping]],Sales_Data[[#This Row],[Sales with Discount]],Sales_Data[[#This Row],[Sales with Free Shipping]])</f>
        <v>788.79239999999993</v>
      </c>
      <c r="O1402" s="1" t="str">
        <f>TEXT(Sales_Data[[#This Row],[Order Date]], "MM-YYYY")</f>
        <v>05-2019</v>
      </c>
    </row>
    <row r="1403" spans="1:15" x14ac:dyDescent="0.3">
      <c r="A1403" s="1">
        <v>53984</v>
      </c>
      <c r="B1403" s="2">
        <v>43809</v>
      </c>
      <c r="C1403" s="1" t="s">
        <v>14</v>
      </c>
      <c r="D1403" s="1">
        <v>23</v>
      </c>
      <c r="E1403" t="s">
        <v>14</v>
      </c>
      <c r="F1403" t="s">
        <v>14</v>
      </c>
      <c r="G1403" s="1">
        <v>185</v>
      </c>
      <c r="H1403">
        <v>0</v>
      </c>
      <c r="I1403">
        <f>Sales_Data[[#This Row],[Sales]]*Sales_Data[[#This Row],[Discount]]</f>
        <v>0</v>
      </c>
      <c r="J1403">
        <v>185</v>
      </c>
      <c r="K1403" s="1">
        <v>2.1</v>
      </c>
      <c r="L1403" s="1">
        <v>185</v>
      </c>
      <c r="M1403" s="1" t="s">
        <v>10</v>
      </c>
      <c r="N1403" s="1">
        <f>IF(Sales_Data[[#This Row],[Sales with Discount]]&lt;Sales_Data[[#This Row],[Sales with Free Shipping]],Sales_Data[[#This Row],[Sales with Discount]],Sales_Data[[#This Row],[Sales with Free Shipping]])</f>
        <v>185</v>
      </c>
      <c r="O1403" s="1" t="str">
        <f>TEXT(Sales_Data[[#This Row],[Order Date]], "MM-YYYY")</f>
        <v>12-2019</v>
      </c>
    </row>
    <row r="1404" spans="1:15" x14ac:dyDescent="0.3">
      <c r="A1404" s="1">
        <v>30343</v>
      </c>
      <c r="B1404" s="2">
        <v>43606</v>
      </c>
      <c r="C1404" s="1" t="s">
        <v>12</v>
      </c>
      <c r="D1404" s="1">
        <v>48</v>
      </c>
      <c r="E1404" t="s">
        <v>24</v>
      </c>
      <c r="F1404" t="s">
        <v>24</v>
      </c>
      <c r="G1404" s="1">
        <v>1665.37</v>
      </c>
      <c r="H1404">
        <v>0.01</v>
      </c>
      <c r="I1404">
        <f>Sales_Data[[#This Row],[Sales]]*Sales_Data[[#This Row],[Discount]]</f>
        <v>16.653700000000001</v>
      </c>
      <c r="J1404">
        <v>1648.7162999999998</v>
      </c>
      <c r="K1404" s="1">
        <v>9.3000000000000007</v>
      </c>
      <c r="L1404" s="1">
        <v>1656.07</v>
      </c>
      <c r="M1404" s="1" t="s">
        <v>10</v>
      </c>
      <c r="N1404" s="1">
        <f>IF(Sales_Data[[#This Row],[Sales with Discount]]&lt;Sales_Data[[#This Row],[Sales with Free Shipping]],Sales_Data[[#This Row],[Sales with Discount]],Sales_Data[[#This Row],[Sales with Free Shipping]])</f>
        <v>1648.7162999999998</v>
      </c>
      <c r="O1404" s="1" t="str">
        <f>TEXT(Sales_Data[[#This Row],[Order Date]], "MM-YYYY")</f>
        <v>05-2019</v>
      </c>
    </row>
    <row r="1405" spans="1:15" x14ac:dyDescent="0.3">
      <c r="A1405" s="1">
        <v>17862</v>
      </c>
      <c r="B1405" s="2">
        <v>43592</v>
      </c>
      <c r="C1405" s="1" t="s">
        <v>11</v>
      </c>
      <c r="D1405" s="1">
        <v>31</v>
      </c>
      <c r="E1405" t="s">
        <v>21</v>
      </c>
      <c r="F1405" t="s">
        <v>21</v>
      </c>
      <c r="G1405" s="1">
        <v>72.63</v>
      </c>
      <c r="H1405">
        <v>0</v>
      </c>
      <c r="I1405">
        <f>Sales_Data[[#This Row],[Sales]]*Sales_Data[[#This Row],[Discount]]</f>
        <v>0</v>
      </c>
      <c r="J1405">
        <v>72.63</v>
      </c>
      <c r="K1405" s="1">
        <v>0.7</v>
      </c>
      <c r="L1405" s="1">
        <v>72.63</v>
      </c>
      <c r="M1405" s="1" t="s">
        <v>8</v>
      </c>
      <c r="N1405" s="1">
        <f>IF(Sales_Data[[#This Row],[Sales with Discount]]&lt;Sales_Data[[#This Row],[Sales with Free Shipping]],Sales_Data[[#This Row],[Sales with Discount]],Sales_Data[[#This Row],[Sales with Free Shipping]])</f>
        <v>72.63</v>
      </c>
      <c r="O1405" s="1" t="str">
        <f>TEXT(Sales_Data[[#This Row],[Order Date]], "MM-YYYY")</f>
        <v>05-2019</v>
      </c>
    </row>
    <row r="1406" spans="1:15" x14ac:dyDescent="0.3">
      <c r="A1406" s="1">
        <v>35012</v>
      </c>
      <c r="B1406" s="2">
        <v>43624</v>
      </c>
      <c r="C1406" s="1" t="s">
        <v>14</v>
      </c>
      <c r="D1406" s="1">
        <v>11</v>
      </c>
      <c r="E1406" t="s">
        <v>18</v>
      </c>
      <c r="F1406" t="s">
        <v>18</v>
      </c>
      <c r="G1406" s="1">
        <v>1894.12</v>
      </c>
      <c r="H1406">
        <v>0</v>
      </c>
      <c r="I1406">
        <f>Sales_Data[[#This Row],[Sales]]*Sales_Data[[#This Row],[Discount]]</f>
        <v>0</v>
      </c>
      <c r="J1406">
        <v>1894.12</v>
      </c>
      <c r="K1406" s="1">
        <v>4.5</v>
      </c>
      <c r="L1406" s="1">
        <v>1894.12</v>
      </c>
      <c r="M1406" s="1" t="s">
        <v>10</v>
      </c>
      <c r="N1406" s="1">
        <f>IF(Sales_Data[[#This Row],[Sales with Discount]]&lt;Sales_Data[[#This Row],[Sales with Free Shipping]],Sales_Data[[#This Row],[Sales with Discount]],Sales_Data[[#This Row],[Sales with Free Shipping]])</f>
        <v>1894.12</v>
      </c>
      <c r="O1406" s="1" t="str">
        <f>TEXT(Sales_Data[[#This Row],[Order Date]], "MM-YYYY")</f>
        <v>06-2019</v>
      </c>
    </row>
    <row r="1407" spans="1:15" x14ac:dyDescent="0.3">
      <c r="A1407" s="1">
        <v>16897</v>
      </c>
      <c r="B1407" s="2">
        <v>43631</v>
      </c>
      <c r="C1407" s="1" t="s">
        <v>11</v>
      </c>
      <c r="D1407" s="1">
        <v>48</v>
      </c>
      <c r="E1407" t="s">
        <v>24</v>
      </c>
      <c r="F1407" t="s">
        <v>24</v>
      </c>
      <c r="G1407" s="1">
        <v>115.24</v>
      </c>
      <c r="H1407">
        <v>0.01</v>
      </c>
      <c r="I1407">
        <f>Sales_Data[[#This Row],[Sales]]*Sales_Data[[#This Row],[Discount]]</f>
        <v>1.1523999999999999</v>
      </c>
      <c r="J1407">
        <v>114.08759999999999</v>
      </c>
      <c r="K1407" s="1">
        <v>1.1000000000000001</v>
      </c>
      <c r="L1407" s="1">
        <v>114.14</v>
      </c>
      <c r="M1407" s="1" t="s">
        <v>10</v>
      </c>
      <c r="N1407" s="1">
        <f>IF(Sales_Data[[#This Row],[Sales with Discount]]&lt;Sales_Data[[#This Row],[Sales with Free Shipping]],Sales_Data[[#This Row],[Sales with Discount]],Sales_Data[[#This Row],[Sales with Free Shipping]])</f>
        <v>114.08759999999999</v>
      </c>
      <c r="O1407" s="1" t="str">
        <f>TEXT(Sales_Data[[#This Row],[Order Date]], "MM-YYYY")</f>
        <v>06-2019</v>
      </c>
    </row>
    <row r="1408" spans="1:15" x14ac:dyDescent="0.3">
      <c r="A1408" s="1">
        <v>17061</v>
      </c>
      <c r="B1408" s="2">
        <v>43768</v>
      </c>
      <c r="C1408" s="1" t="s">
        <v>12</v>
      </c>
      <c r="D1408" s="1">
        <v>28</v>
      </c>
      <c r="E1408" t="s">
        <v>20</v>
      </c>
      <c r="F1408" t="s">
        <v>20</v>
      </c>
      <c r="G1408" s="1">
        <v>86.17</v>
      </c>
      <c r="H1408">
        <v>0</v>
      </c>
      <c r="I1408">
        <f>Sales_Data[[#This Row],[Sales]]*Sales_Data[[#This Row],[Discount]]</f>
        <v>0</v>
      </c>
      <c r="J1408">
        <v>86.17</v>
      </c>
      <c r="K1408" s="1">
        <v>0.7</v>
      </c>
      <c r="L1408" s="1">
        <v>86.17</v>
      </c>
      <c r="M1408" s="1" t="s">
        <v>10</v>
      </c>
      <c r="N1408" s="1">
        <f>IF(Sales_Data[[#This Row],[Sales with Discount]]&lt;Sales_Data[[#This Row],[Sales with Free Shipping]],Sales_Data[[#This Row],[Sales with Discount]],Sales_Data[[#This Row],[Sales with Free Shipping]])</f>
        <v>86.17</v>
      </c>
      <c r="O1408" s="1" t="str">
        <f>TEXT(Sales_Data[[#This Row],[Order Date]], "MM-YYYY")</f>
        <v>10-2019</v>
      </c>
    </row>
    <row r="1409" spans="1:15" x14ac:dyDescent="0.3">
      <c r="A1409" s="1">
        <v>33222</v>
      </c>
      <c r="B1409" s="2">
        <v>43635</v>
      </c>
      <c r="C1409" s="1" t="s">
        <v>14</v>
      </c>
      <c r="D1409" s="1">
        <v>48</v>
      </c>
      <c r="E1409" t="s">
        <v>24</v>
      </c>
      <c r="F1409" t="s">
        <v>24</v>
      </c>
      <c r="G1409" s="1">
        <v>155.86000000000001</v>
      </c>
      <c r="H1409">
        <v>0.01</v>
      </c>
      <c r="I1409">
        <f>Sales_Data[[#This Row],[Sales]]*Sales_Data[[#This Row],[Discount]]</f>
        <v>1.5586000000000002</v>
      </c>
      <c r="J1409">
        <v>154.3014</v>
      </c>
      <c r="K1409" s="1">
        <v>0.7</v>
      </c>
      <c r="L1409" s="1">
        <v>155.16000000000003</v>
      </c>
      <c r="M1409" s="1" t="s">
        <v>10</v>
      </c>
      <c r="N1409" s="1">
        <f>IF(Sales_Data[[#This Row],[Sales with Discount]]&lt;Sales_Data[[#This Row],[Sales with Free Shipping]],Sales_Data[[#This Row],[Sales with Discount]],Sales_Data[[#This Row],[Sales with Free Shipping]])</f>
        <v>154.3014</v>
      </c>
      <c r="O1409" s="1" t="str">
        <f>TEXT(Sales_Data[[#This Row],[Order Date]], "MM-YYYY")</f>
        <v>06-2019</v>
      </c>
    </row>
    <row r="1410" spans="1:15" x14ac:dyDescent="0.3">
      <c r="A1410" s="1">
        <v>17797</v>
      </c>
      <c r="B1410" s="2">
        <v>43656</v>
      </c>
      <c r="C1410" s="1" t="s">
        <v>7</v>
      </c>
      <c r="D1410" s="1">
        <v>16</v>
      </c>
      <c r="E1410" t="s">
        <v>19</v>
      </c>
      <c r="F1410" t="s">
        <v>19</v>
      </c>
      <c r="G1410" s="1">
        <v>65.83</v>
      </c>
      <c r="H1410">
        <v>0</v>
      </c>
      <c r="I1410">
        <f>Sales_Data[[#This Row],[Sales]]*Sales_Data[[#This Row],[Discount]]</f>
        <v>0</v>
      </c>
      <c r="J1410">
        <v>65.83</v>
      </c>
      <c r="K1410" s="1">
        <v>2.7</v>
      </c>
      <c r="L1410" s="1">
        <v>65.83</v>
      </c>
      <c r="M1410" s="1" t="s">
        <v>10</v>
      </c>
      <c r="N1410" s="1">
        <f>IF(Sales_Data[[#This Row],[Sales with Discount]]&lt;Sales_Data[[#This Row],[Sales with Free Shipping]],Sales_Data[[#This Row],[Sales with Discount]],Sales_Data[[#This Row],[Sales with Free Shipping]])</f>
        <v>65.83</v>
      </c>
      <c r="O1410" s="1" t="str">
        <f>TEXT(Sales_Data[[#This Row],[Order Date]], "MM-YYYY")</f>
        <v>07-2019</v>
      </c>
    </row>
    <row r="1411" spans="1:15" x14ac:dyDescent="0.3">
      <c r="A1411" s="1">
        <v>9312</v>
      </c>
      <c r="B1411" s="2">
        <v>43603</v>
      </c>
      <c r="C1411" s="1" t="s">
        <v>11</v>
      </c>
      <c r="D1411" s="1">
        <v>43</v>
      </c>
      <c r="E1411" t="s">
        <v>23</v>
      </c>
      <c r="F1411" t="s">
        <v>23</v>
      </c>
      <c r="G1411" s="1">
        <v>1241.7885000000001</v>
      </c>
      <c r="H1411">
        <v>0.01</v>
      </c>
      <c r="I1411">
        <f>Sales_Data[[#This Row],[Sales]]*Sales_Data[[#This Row],[Discount]]</f>
        <v>12.417885000000002</v>
      </c>
      <c r="J1411">
        <v>1229.370615</v>
      </c>
      <c r="K1411" s="1">
        <v>15.4</v>
      </c>
      <c r="L1411" s="1">
        <v>1226.3885</v>
      </c>
      <c r="M1411" s="1" t="s">
        <v>13</v>
      </c>
      <c r="N1411" s="1">
        <f>IF(Sales_Data[[#This Row],[Sales with Discount]]&lt;Sales_Data[[#This Row],[Sales with Free Shipping]],Sales_Data[[#This Row],[Sales with Discount]],Sales_Data[[#This Row],[Sales with Free Shipping]])</f>
        <v>1226.3885</v>
      </c>
      <c r="O1411" s="1" t="str">
        <f>TEXT(Sales_Data[[#This Row],[Order Date]], "MM-YYYY")</f>
        <v>05-2019</v>
      </c>
    </row>
    <row r="1412" spans="1:15" x14ac:dyDescent="0.3">
      <c r="A1412" s="1">
        <v>37313</v>
      </c>
      <c r="B1412" s="2">
        <v>43648</v>
      </c>
      <c r="C1412" s="1" t="s">
        <v>11</v>
      </c>
      <c r="D1412" s="1">
        <v>44</v>
      </c>
      <c r="E1412" t="s">
        <v>23</v>
      </c>
      <c r="F1412" t="s">
        <v>23</v>
      </c>
      <c r="G1412" s="1">
        <v>3535.69</v>
      </c>
      <c r="H1412">
        <v>0.01</v>
      </c>
      <c r="I1412">
        <f>Sales_Data[[#This Row],[Sales]]*Sales_Data[[#This Row],[Discount]]</f>
        <v>35.356900000000003</v>
      </c>
      <c r="J1412">
        <v>3500.3330999999998</v>
      </c>
      <c r="K1412" s="1">
        <v>40.200000000000003</v>
      </c>
      <c r="L1412" s="1">
        <v>3495.4900000000002</v>
      </c>
      <c r="M1412" s="1" t="s">
        <v>10</v>
      </c>
      <c r="N1412" s="1">
        <f>IF(Sales_Data[[#This Row],[Sales with Discount]]&lt;Sales_Data[[#This Row],[Sales with Free Shipping]],Sales_Data[[#This Row],[Sales with Discount]],Sales_Data[[#This Row],[Sales with Free Shipping]])</f>
        <v>3495.4900000000002</v>
      </c>
      <c r="O1412" s="1" t="str">
        <f>TEXT(Sales_Data[[#This Row],[Order Date]], "MM-YYYY")</f>
        <v>07-2019</v>
      </c>
    </row>
    <row r="1413" spans="1:15" x14ac:dyDescent="0.3">
      <c r="A1413" s="1">
        <v>23619</v>
      </c>
      <c r="B1413" s="2">
        <v>43820</v>
      </c>
      <c r="C1413" s="1" t="s">
        <v>14</v>
      </c>
      <c r="D1413" s="1">
        <v>45</v>
      </c>
      <c r="E1413" t="s">
        <v>23</v>
      </c>
      <c r="F1413" t="s">
        <v>23</v>
      </c>
      <c r="G1413" s="1">
        <v>305.92</v>
      </c>
      <c r="H1413">
        <v>0.01</v>
      </c>
      <c r="I1413">
        <f>Sales_Data[[#This Row],[Sales]]*Sales_Data[[#This Row],[Discount]]</f>
        <v>3.0592000000000001</v>
      </c>
      <c r="J1413">
        <v>302.86080000000004</v>
      </c>
      <c r="K1413" s="1">
        <v>5.6</v>
      </c>
      <c r="L1413" s="1">
        <v>300.32</v>
      </c>
      <c r="M1413" s="1" t="s">
        <v>10</v>
      </c>
      <c r="N1413" s="1">
        <f>IF(Sales_Data[[#This Row],[Sales with Discount]]&lt;Sales_Data[[#This Row],[Sales with Free Shipping]],Sales_Data[[#This Row],[Sales with Discount]],Sales_Data[[#This Row],[Sales with Free Shipping]])</f>
        <v>300.32</v>
      </c>
      <c r="O1413" s="1" t="str">
        <f>TEXT(Sales_Data[[#This Row],[Order Date]], "MM-YYYY")</f>
        <v>12-2019</v>
      </c>
    </row>
    <row r="1414" spans="1:15" x14ac:dyDescent="0.3">
      <c r="A1414" s="1">
        <v>37185</v>
      </c>
      <c r="B1414" s="2">
        <v>43769</v>
      </c>
      <c r="C1414" s="1" t="s">
        <v>9</v>
      </c>
      <c r="D1414" s="1">
        <v>8</v>
      </c>
      <c r="E1414" t="s">
        <v>17</v>
      </c>
      <c r="F1414" t="s">
        <v>17</v>
      </c>
      <c r="G1414" s="1">
        <v>24.813300000000002</v>
      </c>
      <c r="H1414">
        <v>0</v>
      </c>
      <c r="I1414">
        <f>Sales_Data[[#This Row],[Sales]]*Sales_Data[[#This Row],[Discount]]</f>
        <v>0</v>
      </c>
      <c r="J1414">
        <v>24.813300000000002</v>
      </c>
      <c r="K1414" s="1">
        <v>2.6</v>
      </c>
      <c r="L1414" s="1">
        <v>24.813300000000002</v>
      </c>
      <c r="M1414" s="1" t="s">
        <v>10</v>
      </c>
      <c r="N1414" s="1">
        <f>IF(Sales_Data[[#This Row],[Sales with Discount]]&lt;Sales_Data[[#This Row],[Sales with Free Shipping]],Sales_Data[[#This Row],[Sales with Discount]],Sales_Data[[#This Row],[Sales with Free Shipping]])</f>
        <v>24.813300000000002</v>
      </c>
      <c r="O1414" s="1" t="str">
        <f>TEXT(Sales_Data[[#This Row],[Order Date]], "MM-YYYY")</f>
        <v>10-2019</v>
      </c>
    </row>
    <row r="1415" spans="1:15" x14ac:dyDescent="0.3">
      <c r="A1415" s="1">
        <v>59075</v>
      </c>
      <c r="B1415" s="2">
        <v>43521</v>
      </c>
      <c r="C1415" s="1" t="s">
        <v>7</v>
      </c>
      <c r="D1415" s="1">
        <v>4</v>
      </c>
      <c r="E1415" t="s">
        <v>16</v>
      </c>
      <c r="F1415" t="s">
        <v>16</v>
      </c>
      <c r="G1415" s="1">
        <v>23.37</v>
      </c>
      <c r="H1415">
        <v>0</v>
      </c>
      <c r="I1415">
        <f>Sales_Data[[#This Row],[Sales]]*Sales_Data[[#This Row],[Discount]]</f>
        <v>0</v>
      </c>
      <c r="J1415">
        <v>23.37</v>
      </c>
      <c r="K1415" s="1">
        <v>2.6</v>
      </c>
      <c r="L1415" s="1">
        <v>23.37</v>
      </c>
      <c r="M1415" s="1" t="s">
        <v>10</v>
      </c>
      <c r="N1415" s="1">
        <f>IF(Sales_Data[[#This Row],[Sales with Discount]]&lt;Sales_Data[[#This Row],[Sales with Free Shipping]],Sales_Data[[#This Row],[Sales with Discount]],Sales_Data[[#This Row],[Sales with Free Shipping]])</f>
        <v>23.37</v>
      </c>
      <c r="O1415" s="1" t="str">
        <f>TEXT(Sales_Data[[#This Row],[Order Date]], "MM-YYYY")</f>
        <v>02-2019</v>
      </c>
    </row>
    <row r="1416" spans="1:15" x14ac:dyDescent="0.3">
      <c r="A1416" s="1">
        <v>12837</v>
      </c>
      <c r="B1416" s="2">
        <v>43801</v>
      </c>
      <c r="C1416" s="1" t="s">
        <v>14</v>
      </c>
      <c r="D1416" s="1">
        <v>22</v>
      </c>
      <c r="E1416" t="s">
        <v>14</v>
      </c>
      <c r="F1416" t="s">
        <v>14</v>
      </c>
      <c r="G1416" s="1">
        <v>70.819999999999993</v>
      </c>
      <c r="H1416">
        <v>0</v>
      </c>
      <c r="I1416">
        <f>Sales_Data[[#This Row],[Sales]]*Sales_Data[[#This Row],[Discount]]</f>
        <v>0</v>
      </c>
      <c r="J1416">
        <v>70.819999999999993</v>
      </c>
      <c r="K1416" s="1">
        <v>1.1000000000000001</v>
      </c>
      <c r="L1416" s="1">
        <v>70.819999999999993</v>
      </c>
      <c r="M1416" s="1" t="s">
        <v>10</v>
      </c>
      <c r="N1416" s="1">
        <f>IF(Sales_Data[[#This Row],[Sales with Discount]]&lt;Sales_Data[[#This Row],[Sales with Free Shipping]],Sales_Data[[#This Row],[Sales with Discount]],Sales_Data[[#This Row],[Sales with Free Shipping]])</f>
        <v>70.819999999999993</v>
      </c>
      <c r="O1416" s="1" t="str">
        <f>TEXT(Sales_Data[[#This Row],[Order Date]], "MM-YYYY")</f>
        <v>12-2019</v>
      </c>
    </row>
    <row r="1417" spans="1:15" x14ac:dyDescent="0.3">
      <c r="A1417" s="1">
        <v>32994</v>
      </c>
      <c r="B1417" s="2">
        <v>43724</v>
      </c>
      <c r="C1417" s="1" t="s">
        <v>12</v>
      </c>
      <c r="D1417" s="1">
        <v>34</v>
      </c>
      <c r="E1417" t="s">
        <v>21</v>
      </c>
      <c r="F1417" t="s">
        <v>21</v>
      </c>
      <c r="G1417" s="1">
        <v>242.26</v>
      </c>
      <c r="H1417">
        <v>0</v>
      </c>
      <c r="I1417">
        <f>Sales_Data[[#This Row],[Sales]]*Sales_Data[[#This Row],[Discount]]</f>
        <v>0</v>
      </c>
      <c r="J1417">
        <v>242.26</v>
      </c>
      <c r="K1417" s="1">
        <v>9.3000000000000007</v>
      </c>
      <c r="L1417" s="1">
        <v>242.26</v>
      </c>
      <c r="M1417" s="1" t="s">
        <v>10</v>
      </c>
      <c r="N1417" s="1">
        <f>IF(Sales_Data[[#This Row],[Sales with Discount]]&lt;Sales_Data[[#This Row],[Sales with Free Shipping]],Sales_Data[[#This Row],[Sales with Discount]],Sales_Data[[#This Row],[Sales with Free Shipping]])</f>
        <v>242.26</v>
      </c>
      <c r="O1417" s="1" t="str">
        <f>TEXT(Sales_Data[[#This Row],[Order Date]], "MM-YYYY")</f>
        <v>09-2019</v>
      </c>
    </row>
    <row r="1418" spans="1:15" x14ac:dyDescent="0.3">
      <c r="A1418" s="1">
        <v>31042</v>
      </c>
      <c r="B1418" s="2">
        <v>43788</v>
      </c>
      <c r="C1418" s="1" t="s">
        <v>14</v>
      </c>
      <c r="D1418" s="1">
        <v>48</v>
      </c>
      <c r="E1418" t="s">
        <v>24</v>
      </c>
      <c r="F1418" t="s">
        <v>24</v>
      </c>
      <c r="G1418" s="1">
        <v>143.94</v>
      </c>
      <c r="H1418">
        <v>0.01</v>
      </c>
      <c r="I1418">
        <f>Sales_Data[[#This Row],[Sales]]*Sales_Data[[#This Row],[Discount]]</f>
        <v>1.4394</v>
      </c>
      <c r="J1418">
        <v>142.50059999999999</v>
      </c>
      <c r="K1418" s="1">
        <v>1.3</v>
      </c>
      <c r="L1418" s="1">
        <v>142.63999999999999</v>
      </c>
      <c r="M1418" s="1" t="s">
        <v>10</v>
      </c>
      <c r="N1418" s="1">
        <f>IF(Sales_Data[[#This Row],[Sales with Discount]]&lt;Sales_Data[[#This Row],[Sales with Free Shipping]],Sales_Data[[#This Row],[Sales with Discount]],Sales_Data[[#This Row],[Sales with Free Shipping]])</f>
        <v>142.50059999999999</v>
      </c>
      <c r="O1418" s="1" t="str">
        <f>TEXT(Sales_Data[[#This Row],[Order Date]], "MM-YYYY")</f>
        <v>11-2019</v>
      </c>
    </row>
    <row r="1419" spans="1:15" x14ac:dyDescent="0.3">
      <c r="A1419" s="1">
        <v>47846</v>
      </c>
      <c r="B1419" s="2">
        <v>43688</v>
      </c>
      <c r="C1419" s="1" t="s">
        <v>9</v>
      </c>
      <c r="D1419" s="1">
        <v>25</v>
      </c>
      <c r="E1419" t="s">
        <v>14</v>
      </c>
      <c r="F1419" t="s">
        <v>14</v>
      </c>
      <c r="G1419" s="1">
        <v>2861.3726000000001</v>
      </c>
      <c r="H1419">
        <v>0</v>
      </c>
      <c r="I1419">
        <f>Sales_Data[[#This Row],[Sales]]*Sales_Data[[#This Row],[Discount]]</f>
        <v>0</v>
      </c>
      <c r="J1419">
        <v>2861.3726000000001</v>
      </c>
      <c r="K1419" s="1">
        <v>15</v>
      </c>
      <c r="L1419" s="1">
        <v>2861.3726000000001</v>
      </c>
      <c r="M1419" s="1" t="s">
        <v>10</v>
      </c>
      <c r="N1419" s="1">
        <f>IF(Sales_Data[[#This Row],[Sales with Discount]]&lt;Sales_Data[[#This Row],[Sales with Free Shipping]],Sales_Data[[#This Row],[Sales with Discount]],Sales_Data[[#This Row],[Sales with Free Shipping]])</f>
        <v>2861.3726000000001</v>
      </c>
      <c r="O1419" s="1" t="str">
        <f>TEXT(Sales_Data[[#This Row],[Order Date]], "MM-YYYY")</f>
        <v>08-2019</v>
      </c>
    </row>
    <row r="1420" spans="1:15" x14ac:dyDescent="0.3">
      <c r="A1420" s="1">
        <v>52130</v>
      </c>
      <c r="B1420" s="2">
        <v>43713</v>
      </c>
      <c r="C1420" s="1" t="s">
        <v>7</v>
      </c>
      <c r="D1420" s="1">
        <v>36</v>
      </c>
      <c r="E1420" t="s">
        <v>22</v>
      </c>
      <c r="F1420" t="s">
        <v>22</v>
      </c>
      <c r="G1420" s="1">
        <v>1537.11</v>
      </c>
      <c r="H1420">
        <v>0.01</v>
      </c>
      <c r="I1420">
        <f>Sales_Data[[#This Row],[Sales]]*Sales_Data[[#This Row],[Discount]]</f>
        <v>15.371099999999998</v>
      </c>
      <c r="J1420">
        <v>1521.7388999999998</v>
      </c>
      <c r="K1420" s="1">
        <v>20.3</v>
      </c>
      <c r="L1420" s="1">
        <v>1516.81</v>
      </c>
      <c r="M1420" s="1" t="s">
        <v>10</v>
      </c>
      <c r="N1420" s="1">
        <f>IF(Sales_Data[[#This Row],[Sales with Discount]]&lt;Sales_Data[[#This Row],[Sales with Free Shipping]],Sales_Data[[#This Row],[Sales with Discount]],Sales_Data[[#This Row],[Sales with Free Shipping]])</f>
        <v>1516.81</v>
      </c>
      <c r="O1420" s="1" t="str">
        <f>TEXT(Sales_Data[[#This Row],[Order Date]], "MM-YYYY")</f>
        <v>09-2019</v>
      </c>
    </row>
    <row r="1421" spans="1:15" x14ac:dyDescent="0.3">
      <c r="A1421" s="1">
        <v>39490</v>
      </c>
      <c r="B1421" s="2">
        <v>43689</v>
      </c>
      <c r="C1421" s="1" t="s">
        <v>7</v>
      </c>
      <c r="D1421" s="1">
        <v>38</v>
      </c>
      <c r="E1421" t="s">
        <v>22</v>
      </c>
      <c r="F1421" t="s">
        <v>22</v>
      </c>
      <c r="G1421" s="1">
        <v>487.95</v>
      </c>
      <c r="H1421">
        <v>0.01</v>
      </c>
      <c r="I1421">
        <f>Sales_Data[[#This Row],[Sales]]*Sales_Data[[#This Row],[Discount]]</f>
        <v>4.8795000000000002</v>
      </c>
      <c r="J1421">
        <v>483.07049999999998</v>
      </c>
      <c r="K1421" s="1">
        <v>6.2</v>
      </c>
      <c r="L1421" s="1">
        <v>481.75</v>
      </c>
      <c r="M1421" s="1" t="s">
        <v>10</v>
      </c>
      <c r="N1421" s="1">
        <f>IF(Sales_Data[[#This Row],[Sales with Discount]]&lt;Sales_Data[[#This Row],[Sales with Free Shipping]],Sales_Data[[#This Row],[Sales with Discount]],Sales_Data[[#This Row],[Sales with Free Shipping]])</f>
        <v>481.75</v>
      </c>
      <c r="O1421" s="1" t="str">
        <f>TEXT(Sales_Data[[#This Row],[Order Date]], "MM-YYYY")</f>
        <v>08-2019</v>
      </c>
    </row>
    <row r="1422" spans="1:15" x14ac:dyDescent="0.3">
      <c r="A1422" s="1">
        <v>27299</v>
      </c>
      <c r="B1422" s="2">
        <v>43682</v>
      </c>
      <c r="C1422" s="1" t="s">
        <v>12</v>
      </c>
      <c r="D1422" s="1">
        <v>41</v>
      </c>
      <c r="E1422" t="s">
        <v>23</v>
      </c>
      <c r="F1422" t="s">
        <v>23</v>
      </c>
      <c r="G1422" s="1">
        <v>858.31</v>
      </c>
      <c r="H1422">
        <v>0.01</v>
      </c>
      <c r="I1422">
        <f>Sales_Data[[#This Row],[Sales]]*Sales_Data[[#This Row],[Discount]]</f>
        <v>8.5831</v>
      </c>
      <c r="J1422">
        <v>849.72689999999989</v>
      </c>
      <c r="K1422" s="1">
        <v>15.9</v>
      </c>
      <c r="L1422" s="1">
        <v>842.41</v>
      </c>
      <c r="M1422" s="1" t="s">
        <v>10</v>
      </c>
      <c r="N1422" s="1">
        <f>IF(Sales_Data[[#This Row],[Sales with Discount]]&lt;Sales_Data[[#This Row],[Sales with Free Shipping]],Sales_Data[[#This Row],[Sales with Discount]],Sales_Data[[#This Row],[Sales with Free Shipping]])</f>
        <v>842.41</v>
      </c>
      <c r="O1422" s="1" t="str">
        <f>TEXT(Sales_Data[[#This Row],[Order Date]], "MM-YYYY")</f>
        <v>08-2019</v>
      </c>
    </row>
    <row r="1423" spans="1:15" x14ac:dyDescent="0.3">
      <c r="A1423" s="1">
        <v>38532</v>
      </c>
      <c r="B1423" s="2">
        <v>43663</v>
      </c>
      <c r="C1423" s="1" t="s">
        <v>9</v>
      </c>
      <c r="D1423" s="1">
        <v>44</v>
      </c>
      <c r="E1423" t="s">
        <v>23</v>
      </c>
      <c r="F1423" t="s">
        <v>23</v>
      </c>
      <c r="G1423" s="1">
        <v>137.19999999999999</v>
      </c>
      <c r="H1423">
        <v>0.01</v>
      </c>
      <c r="I1423">
        <f>Sales_Data[[#This Row],[Sales]]*Sales_Data[[#This Row],[Discount]]</f>
        <v>1.3719999999999999</v>
      </c>
      <c r="J1423">
        <v>135.82799999999997</v>
      </c>
      <c r="K1423" s="1">
        <v>0.7</v>
      </c>
      <c r="L1423" s="1">
        <v>136.5</v>
      </c>
      <c r="M1423" s="1" t="s">
        <v>10</v>
      </c>
      <c r="N1423" s="1">
        <f>IF(Sales_Data[[#This Row],[Sales with Discount]]&lt;Sales_Data[[#This Row],[Sales with Free Shipping]],Sales_Data[[#This Row],[Sales with Discount]],Sales_Data[[#This Row],[Sales with Free Shipping]])</f>
        <v>135.82799999999997</v>
      </c>
      <c r="O1423" s="1" t="str">
        <f>TEXT(Sales_Data[[#This Row],[Order Date]], "MM-YYYY")</f>
        <v>07-2019</v>
      </c>
    </row>
    <row r="1424" spans="1:15" x14ac:dyDescent="0.3">
      <c r="A1424" s="1">
        <v>52290</v>
      </c>
      <c r="B1424" s="2">
        <v>43606</v>
      </c>
      <c r="C1424" s="1" t="s">
        <v>7</v>
      </c>
      <c r="D1424" s="1">
        <v>28</v>
      </c>
      <c r="E1424" t="s">
        <v>20</v>
      </c>
      <c r="F1424" t="s">
        <v>20</v>
      </c>
      <c r="G1424" s="1">
        <v>1572.95</v>
      </c>
      <c r="H1424">
        <v>0</v>
      </c>
      <c r="I1424">
        <f>Sales_Data[[#This Row],[Sales]]*Sales_Data[[#This Row],[Discount]]</f>
        <v>0</v>
      </c>
      <c r="J1424">
        <v>1572.95</v>
      </c>
      <c r="K1424" s="1">
        <v>5.3</v>
      </c>
      <c r="L1424" s="1">
        <v>1572.95</v>
      </c>
      <c r="M1424" s="1" t="s">
        <v>10</v>
      </c>
      <c r="N1424" s="1">
        <f>IF(Sales_Data[[#This Row],[Sales with Discount]]&lt;Sales_Data[[#This Row],[Sales with Free Shipping]],Sales_Data[[#This Row],[Sales with Discount]],Sales_Data[[#This Row],[Sales with Free Shipping]])</f>
        <v>1572.95</v>
      </c>
      <c r="O1424" s="1" t="str">
        <f>TEXT(Sales_Data[[#This Row],[Order Date]], "MM-YYYY")</f>
        <v>05-2019</v>
      </c>
    </row>
    <row r="1425" spans="1:15" x14ac:dyDescent="0.3">
      <c r="A1425" s="1">
        <v>59491</v>
      </c>
      <c r="B1425" s="2">
        <v>43548</v>
      </c>
      <c r="C1425" s="1" t="s">
        <v>9</v>
      </c>
      <c r="D1425" s="1">
        <v>6</v>
      </c>
      <c r="E1425" t="s">
        <v>17</v>
      </c>
      <c r="F1425" t="s">
        <v>17</v>
      </c>
      <c r="G1425" s="1">
        <v>61.95</v>
      </c>
      <c r="H1425">
        <v>0</v>
      </c>
      <c r="I1425">
        <f>Sales_Data[[#This Row],[Sales]]*Sales_Data[[#This Row],[Discount]]</f>
        <v>0</v>
      </c>
      <c r="J1425">
        <v>61.95</v>
      </c>
      <c r="K1425" s="1">
        <v>12.3</v>
      </c>
      <c r="L1425" s="1">
        <v>61.95</v>
      </c>
      <c r="M1425" s="1" t="s">
        <v>10</v>
      </c>
      <c r="N1425" s="1">
        <f>IF(Sales_Data[[#This Row],[Sales with Discount]]&lt;Sales_Data[[#This Row],[Sales with Free Shipping]],Sales_Data[[#This Row],[Sales with Discount]],Sales_Data[[#This Row],[Sales with Free Shipping]])</f>
        <v>61.95</v>
      </c>
      <c r="O1425" s="1" t="str">
        <f>TEXT(Sales_Data[[#This Row],[Order Date]], "MM-YYYY")</f>
        <v>03-2019</v>
      </c>
    </row>
    <row r="1426" spans="1:15" x14ac:dyDescent="0.3">
      <c r="A1426" s="1">
        <v>58369</v>
      </c>
      <c r="B1426" s="2">
        <v>43707</v>
      </c>
      <c r="C1426" s="1" t="s">
        <v>9</v>
      </c>
      <c r="D1426" s="1">
        <v>16</v>
      </c>
      <c r="E1426" t="s">
        <v>19</v>
      </c>
      <c r="F1426" t="s">
        <v>19</v>
      </c>
      <c r="G1426" s="1">
        <v>2154.77</v>
      </c>
      <c r="H1426">
        <v>0</v>
      </c>
      <c r="I1426">
        <f>Sales_Data[[#This Row],[Sales]]*Sales_Data[[#This Row],[Discount]]</f>
        <v>0</v>
      </c>
      <c r="J1426">
        <v>2154.77</v>
      </c>
      <c r="K1426" s="1">
        <v>60.1</v>
      </c>
      <c r="L1426" s="1">
        <v>2154.77</v>
      </c>
      <c r="M1426" s="1" t="s">
        <v>13</v>
      </c>
      <c r="N1426" s="1">
        <f>IF(Sales_Data[[#This Row],[Sales with Discount]]&lt;Sales_Data[[#This Row],[Sales with Free Shipping]],Sales_Data[[#This Row],[Sales with Discount]],Sales_Data[[#This Row],[Sales with Free Shipping]])</f>
        <v>2154.77</v>
      </c>
      <c r="O1426" s="1" t="str">
        <f>TEXT(Sales_Data[[#This Row],[Order Date]], "MM-YYYY")</f>
        <v>08-2019</v>
      </c>
    </row>
    <row r="1427" spans="1:15" x14ac:dyDescent="0.3">
      <c r="A1427" s="1">
        <v>8035</v>
      </c>
      <c r="B1427" s="2">
        <v>43525</v>
      </c>
      <c r="C1427" s="1" t="s">
        <v>14</v>
      </c>
      <c r="D1427" s="1">
        <v>7</v>
      </c>
      <c r="E1427" t="s">
        <v>17</v>
      </c>
      <c r="F1427" t="s">
        <v>17</v>
      </c>
      <c r="G1427" s="1">
        <v>111.69</v>
      </c>
      <c r="H1427">
        <v>0</v>
      </c>
      <c r="I1427">
        <f>Sales_Data[[#This Row],[Sales]]*Sales_Data[[#This Row],[Discount]]</f>
        <v>0</v>
      </c>
      <c r="J1427">
        <v>111.69</v>
      </c>
      <c r="K1427" s="1">
        <v>7.2</v>
      </c>
      <c r="L1427" s="1">
        <v>111.69</v>
      </c>
      <c r="M1427" s="1" t="s">
        <v>10</v>
      </c>
      <c r="N1427" s="1">
        <f>IF(Sales_Data[[#This Row],[Sales with Discount]]&lt;Sales_Data[[#This Row],[Sales with Free Shipping]],Sales_Data[[#This Row],[Sales with Discount]],Sales_Data[[#This Row],[Sales with Free Shipping]])</f>
        <v>111.69</v>
      </c>
      <c r="O1427" s="1" t="str">
        <f>TEXT(Sales_Data[[#This Row],[Order Date]], "MM-YYYY")</f>
        <v>03-2019</v>
      </c>
    </row>
    <row r="1428" spans="1:15" x14ac:dyDescent="0.3">
      <c r="A1428" s="1">
        <v>19394</v>
      </c>
      <c r="B1428" s="2">
        <v>43824</v>
      </c>
      <c r="C1428" s="1" t="s">
        <v>14</v>
      </c>
      <c r="D1428" s="1">
        <v>5</v>
      </c>
      <c r="E1428" t="s">
        <v>16</v>
      </c>
      <c r="F1428" t="s">
        <v>16</v>
      </c>
      <c r="G1428" s="1">
        <v>576.95000000000005</v>
      </c>
      <c r="H1428">
        <v>0</v>
      </c>
      <c r="I1428">
        <f>Sales_Data[[#This Row],[Sales]]*Sales_Data[[#This Row],[Discount]]</f>
        <v>0</v>
      </c>
      <c r="J1428">
        <v>576.95000000000005</v>
      </c>
      <c r="K1428" s="1">
        <v>9.4</v>
      </c>
      <c r="L1428" s="1">
        <v>576.95000000000005</v>
      </c>
      <c r="M1428" s="1" t="s">
        <v>10</v>
      </c>
      <c r="N1428" s="1">
        <f>IF(Sales_Data[[#This Row],[Sales with Discount]]&lt;Sales_Data[[#This Row],[Sales with Free Shipping]],Sales_Data[[#This Row],[Sales with Discount]],Sales_Data[[#This Row],[Sales with Free Shipping]])</f>
        <v>576.95000000000005</v>
      </c>
      <c r="O1428" s="1" t="str">
        <f>TEXT(Sales_Data[[#This Row],[Order Date]], "MM-YYYY")</f>
        <v>12-2019</v>
      </c>
    </row>
    <row r="1429" spans="1:15" x14ac:dyDescent="0.3">
      <c r="A1429" s="1">
        <v>24707</v>
      </c>
      <c r="B1429" s="2">
        <v>43534</v>
      </c>
      <c r="C1429" s="1" t="s">
        <v>14</v>
      </c>
      <c r="D1429" s="1">
        <v>14</v>
      </c>
      <c r="E1429" t="s">
        <v>18</v>
      </c>
      <c r="F1429" t="s">
        <v>18</v>
      </c>
      <c r="G1429" s="1">
        <v>2098.69</v>
      </c>
      <c r="H1429">
        <v>0</v>
      </c>
      <c r="I1429">
        <f>Sales_Data[[#This Row],[Sales]]*Sales_Data[[#This Row],[Discount]]</f>
        <v>0</v>
      </c>
      <c r="J1429">
        <v>2098.69</v>
      </c>
      <c r="K1429" s="1">
        <v>26.2</v>
      </c>
      <c r="L1429" s="1">
        <v>2098.69</v>
      </c>
      <c r="M1429" s="1" t="s">
        <v>10</v>
      </c>
      <c r="N1429" s="1">
        <f>IF(Sales_Data[[#This Row],[Sales with Discount]]&lt;Sales_Data[[#This Row],[Sales with Free Shipping]],Sales_Data[[#This Row],[Sales with Discount]],Sales_Data[[#This Row],[Sales with Free Shipping]])</f>
        <v>2098.69</v>
      </c>
      <c r="O1429" s="1" t="str">
        <f>TEXT(Sales_Data[[#This Row],[Order Date]], "MM-YYYY")</f>
        <v>03-2019</v>
      </c>
    </row>
    <row r="1430" spans="1:15" x14ac:dyDescent="0.3">
      <c r="A1430" s="1">
        <v>24677</v>
      </c>
      <c r="B1430" s="2">
        <v>43529</v>
      </c>
      <c r="C1430" s="1" t="s">
        <v>7</v>
      </c>
      <c r="D1430" s="1">
        <v>44</v>
      </c>
      <c r="E1430" t="s">
        <v>23</v>
      </c>
      <c r="F1430" t="s">
        <v>23</v>
      </c>
      <c r="G1430" s="1">
        <v>389.91</v>
      </c>
      <c r="H1430">
        <v>0.01</v>
      </c>
      <c r="I1430">
        <f>Sales_Data[[#This Row],[Sales]]*Sales_Data[[#This Row],[Discount]]</f>
        <v>3.8991000000000002</v>
      </c>
      <c r="J1430">
        <v>386.01090000000005</v>
      </c>
      <c r="K1430" s="1">
        <v>2.1</v>
      </c>
      <c r="L1430" s="1">
        <v>387.81</v>
      </c>
      <c r="M1430" s="1" t="s">
        <v>10</v>
      </c>
      <c r="N1430" s="1">
        <f>IF(Sales_Data[[#This Row],[Sales with Discount]]&lt;Sales_Data[[#This Row],[Sales with Free Shipping]],Sales_Data[[#This Row],[Sales with Discount]],Sales_Data[[#This Row],[Sales with Free Shipping]])</f>
        <v>386.01090000000005</v>
      </c>
      <c r="O1430" s="1" t="str">
        <f>TEXT(Sales_Data[[#This Row],[Order Date]], "MM-YYYY")</f>
        <v>03-2019</v>
      </c>
    </row>
    <row r="1431" spans="1:15" x14ac:dyDescent="0.3">
      <c r="A1431" s="1">
        <v>16935</v>
      </c>
      <c r="B1431" s="2">
        <v>43814</v>
      </c>
      <c r="C1431" s="1" t="s">
        <v>11</v>
      </c>
      <c r="D1431" s="1">
        <v>3</v>
      </c>
      <c r="E1431" t="s">
        <v>16</v>
      </c>
      <c r="F1431" t="s">
        <v>16</v>
      </c>
      <c r="G1431" s="1">
        <v>15.77</v>
      </c>
      <c r="H1431">
        <v>0</v>
      </c>
      <c r="I1431">
        <f>Sales_Data[[#This Row],[Sales]]*Sales_Data[[#This Row],[Discount]]</f>
        <v>0</v>
      </c>
      <c r="J1431">
        <v>15.77</v>
      </c>
      <c r="K1431" s="1">
        <v>1.3</v>
      </c>
      <c r="L1431" s="1">
        <v>15.77</v>
      </c>
      <c r="M1431" s="1" t="s">
        <v>10</v>
      </c>
      <c r="N1431" s="1">
        <f>IF(Sales_Data[[#This Row],[Sales with Discount]]&lt;Sales_Data[[#This Row],[Sales with Free Shipping]],Sales_Data[[#This Row],[Sales with Discount]],Sales_Data[[#This Row],[Sales with Free Shipping]])</f>
        <v>15.77</v>
      </c>
      <c r="O1431" s="1" t="str">
        <f>TEXT(Sales_Data[[#This Row],[Order Date]], "MM-YYYY")</f>
        <v>12-2019</v>
      </c>
    </row>
    <row r="1432" spans="1:15" x14ac:dyDescent="0.3">
      <c r="A1432" s="1">
        <v>1285</v>
      </c>
      <c r="B1432" s="2">
        <v>43616</v>
      </c>
      <c r="C1432" s="1" t="s">
        <v>12</v>
      </c>
      <c r="D1432" s="1">
        <v>8</v>
      </c>
      <c r="E1432" t="s">
        <v>17</v>
      </c>
      <c r="F1432" t="s">
        <v>17</v>
      </c>
      <c r="G1432" s="1">
        <v>1553.87</v>
      </c>
      <c r="H1432">
        <v>0</v>
      </c>
      <c r="I1432">
        <f>Sales_Data[[#This Row],[Sales]]*Sales_Data[[#This Row],[Discount]]</f>
        <v>0</v>
      </c>
      <c r="J1432">
        <v>1553.87</v>
      </c>
      <c r="K1432" s="1">
        <v>74.5</v>
      </c>
      <c r="L1432" s="1">
        <v>1553.87</v>
      </c>
      <c r="M1432" s="1" t="s">
        <v>13</v>
      </c>
      <c r="N1432" s="1">
        <f>IF(Sales_Data[[#This Row],[Sales with Discount]]&lt;Sales_Data[[#This Row],[Sales with Free Shipping]],Sales_Data[[#This Row],[Sales with Discount]],Sales_Data[[#This Row],[Sales with Free Shipping]])</f>
        <v>1553.87</v>
      </c>
      <c r="O1432" s="1" t="str">
        <f>TEXT(Sales_Data[[#This Row],[Order Date]], "MM-YYYY")</f>
        <v>05-2019</v>
      </c>
    </row>
    <row r="1433" spans="1:15" x14ac:dyDescent="0.3">
      <c r="A1433" s="1">
        <v>49344</v>
      </c>
      <c r="B1433" s="2">
        <v>43829</v>
      </c>
      <c r="C1433" s="1" t="s">
        <v>7</v>
      </c>
      <c r="D1433" s="1">
        <v>31</v>
      </c>
      <c r="E1433" t="s">
        <v>21</v>
      </c>
      <c r="F1433" t="s">
        <v>21</v>
      </c>
      <c r="G1433" s="1">
        <v>720.04</v>
      </c>
      <c r="H1433">
        <v>0</v>
      </c>
      <c r="I1433">
        <f>Sales_Data[[#This Row],[Sales]]*Sales_Data[[#This Row],[Discount]]</f>
        <v>0</v>
      </c>
      <c r="J1433">
        <v>720.04</v>
      </c>
      <c r="K1433" s="1">
        <v>4.3</v>
      </c>
      <c r="L1433" s="1">
        <v>720.04</v>
      </c>
      <c r="M1433" s="1" t="s">
        <v>10</v>
      </c>
      <c r="N1433" s="1">
        <f>IF(Sales_Data[[#This Row],[Sales with Discount]]&lt;Sales_Data[[#This Row],[Sales with Free Shipping]],Sales_Data[[#This Row],[Sales with Discount]],Sales_Data[[#This Row],[Sales with Free Shipping]])</f>
        <v>720.04</v>
      </c>
      <c r="O1433" s="1" t="str">
        <f>TEXT(Sales_Data[[#This Row],[Order Date]], "MM-YYYY")</f>
        <v>12-2019</v>
      </c>
    </row>
    <row r="1434" spans="1:15" x14ac:dyDescent="0.3">
      <c r="A1434" s="1">
        <v>322</v>
      </c>
      <c r="B1434" s="2">
        <v>43542</v>
      </c>
      <c r="C1434" s="1" t="s">
        <v>12</v>
      </c>
      <c r="D1434" s="1">
        <v>46</v>
      </c>
      <c r="E1434" t="s">
        <v>24</v>
      </c>
      <c r="F1434" t="s">
        <v>24</v>
      </c>
      <c r="G1434" s="1">
        <v>300.67</v>
      </c>
      <c r="H1434">
        <v>0.01</v>
      </c>
      <c r="I1434">
        <f>Sales_Data[[#This Row],[Sales]]*Sales_Data[[#This Row],[Discount]]</f>
        <v>3.0067000000000004</v>
      </c>
      <c r="J1434">
        <v>297.66329999999999</v>
      </c>
      <c r="K1434" s="1">
        <v>10.8</v>
      </c>
      <c r="L1434" s="1">
        <v>289.87</v>
      </c>
      <c r="M1434" s="1" t="s">
        <v>10</v>
      </c>
      <c r="N1434" s="1">
        <f>IF(Sales_Data[[#This Row],[Sales with Discount]]&lt;Sales_Data[[#This Row],[Sales with Free Shipping]],Sales_Data[[#This Row],[Sales with Discount]],Sales_Data[[#This Row],[Sales with Free Shipping]])</f>
        <v>289.87</v>
      </c>
      <c r="O1434" s="1" t="str">
        <f>TEXT(Sales_Data[[#This Row],[Order Date]], "MM-YYYY")</f>
        <v>03-2019</v>
      </c>
    </row>
    <row r="1435" spans="1:15" x14ac:dyDescent="0.3">
      <c r="A1435" s="1">
        <v>36864</v>
      </c>
      <c r="B1435" s="2">
        <v>43675</v>
      </c>
      <c r="C1435" s="1" t="s">
        <v>7</v>
      </c>
      <c r="D1435" s="1">
        <v>9</v>
      </c>
      <c r="E1435" t="s">
        <v>17</v>
      </c>
      <c r="F1435" t="s">
        <v>17</v>
      </c>
      <c r="G1435" s="1">
        <v>59.37</v>
      </c>
      <c r="H1435">
        <v>0</v>
      </c>
      <c r="I1435">
        <f>Sales_Data[[#This Row],[Sales]]*Sales_Data[[#This Row],[Discount]]</f>
        <v>0</v>
      </c>
      <c r="J1435">
        <v>59.37</v>
      </c>
      <c r="K1435" s="1">
        <v>1</v>
      </c>
      <c r="L1435" s="1">
        <v>59.37</v>
      </c>
      <c r="M1435" s="1" t="s">
        <v>10</v>
      </c>
      <c r="N1435" s="1">
        <f>IF(Sales_Data[[#This Row],[Sales with Discount]]&lt;Sales_Data[[#This Row],[Sales with Free Shipping]],Sales_Data[[#This Row],[Sales with Discount]],Sales_Data[[#This Row],[Sales with Free Shipping]])</f>
        <v>59.37</v>
      </c>
      <c r="O1435" s="1" t="str">
        <f>TEXT(Sales_Data[[#This Row],[Order Date]], "MM-YYYY")</f>
        <v>07-2019</v>
      </c>
    </row>
    <row r="1436" spans="1:15" x14ac:dyDescent="0.3">
      <c r="A1436" s="1">
        <v>33284</v>
      </c>
      <c r="B1436" s="2">
        <v>43555</v>
      </c>
      <c r="C1436" s="1" t="s">
        <v>7</v>
      </c>
      <c r="D1436" s="1">
        <v>21</v>
      </c>
      <c r="E1436" t="s">
        <v>14</v>
      </c>
      <c r="F1436" t="s">
        <v>14</v>
      </c>
      <c r="G1436" s="1">
        <v>514.02</v>
      </c>
      <c r="H1436">
        <v>0</v>
      </c>
      <c r="I1436">
        <f>Sales_Data[[#This Row],[Sales]]*Sales_Data[[#This Row],[Discount]]</f>
        <v>0</v>
      </c>
      <c r="J1436">
        <v>514.02</v>
      </c>
      <c r="K1436" s="1">
        <v>9.6</v>
      </c>
      <c r="L1436" s="1">
        <v>514.02</v>
      </c>
      <c r="M1436" s="1" t="s">
        <v>10</v>
      </c>
      <c r="N1436" s="1">
        <f>IF(Sales_Data[[#This Row],[Sales with Discount]]&lt;Sales_Data[[#This Row],[Sales with Free Shipping]],Sales_Data[[#This Row],[Sales with Discount]],Sales_Data[[#This Row],[Sales with Free Shipping]])</f>
        <v>514.02</v>
      </c>
      <c r="O1436" s="1" t="str">
        <f>TEXT(Sales_Data[[#This Row],[Order Date]], "MM-YYYY")</f>
        <v>03-2019</v>
      </c>
    </row>
    <row r="1437" spans="1:15" x14ac:dyDescent="0.3">
      <c r="A1437" s="1">
        <v>24580</v>
      </c>
      <c r="B1437" s="2">
        <v>43639</v>
      </c>
      <c r="C1437" s="1" t="s">
        <v>9</v>
      </c>
      <c r="D1437" s="1">
        <v>14</v>
      </c>
      <c r="E1437" t="s">
        <v>18</v>
      </c>
      <c r="F1437" t="s">
        <v>18</v>
      </c>
      <c r="G1437" s="1">
        <v>38.96</v>
      </c>
      <c r="H1437">
        <v>0</v>
      </c>
      <c r="I1437">
        <f>Sales_Data[[#This Row],[Sales]]*Sales_Data[[#This Row],[Discount]]</f>
        <v>0</v>
      </c>
      <c r="J1437">
        <v>38.96</v>
      </c>
      <c r="K1437" s="1">
        <v>4.9000000000000004</v>
      </c>
      <c r="L1437" s="1">
        <v>38.96</v>
      </c>
      <c r="M1437" s="1" t="s">
        <v>10</v>
      </c>
      <c r="N1437" s="1">
        <f>IF(Sales_Data[[#This Row],[Sales with Discount]]&lt;Sales_Data[[#This Row],[Sales with Free Shipping]],Sales_Data[[#This Row],[Sales with Discount]],Sales_Data[[#This Row],[Sales with Free Shipping]])</f>
        <v>38.96</v>
      </c>
      <c r="O1437" s="1" t="str">
        <f>TEXT(Sales_Data[[#This Row],[Order Date]], "MM-YYYY")</f>
        <v>06-2019</v>
      </c>
    </row>
    <row r="1438" spans="1:15" x14ac:dyDescent="0.3">
      <c r="A1438" s="1">
        <v>9281</v>
      </c>
      <c r="B1438" s="2">
        <v>43518</v>
      </c>
      <c r="C1438" s="1" t="s">
        <v>12</v>
      </c>
      <c r="D1438" s="1">
        <v>24</v>
      </c>
      <c r="E1438" t="s">
        <v>14</v>
      </c>
      <c r="F1438" t="s">
        <v>14</v>
      </c>
      <c r="G1438" s="1">
        <v>73.8</v>
      </c>
      <c r="H1438">
        <v>0</v>
      </c>
      <c r="I1438">
        <f>Sales_Data[[#This Row],[Sales]]*Sales_Data[[#This Row],[Discount]]</f>
        <v>0</v>
      </c>
      <c r="J1438">
        <v>73.8</v>
      </c>
      <c r="K1438" s="1">
        <v>1</v>
      </c>
      <c r="L1438" s="1">
        <v>73.8</v>
      </c>
      <c r="M1438" s="1" t="s">
        <v>10</v>
      </c>
      <c r="N1438" s="1">
        <f>IF(Sales_Data[[#This Row],[Sales with Discount]]&lt;Sales_Data[[#This Row],[Sales with Free Shipping]],Sales_Data[[#This Row],[Sales with Discount]],Sales_Data[[#This Row],[Sales with Free Shipping]])</f>
        <v>73.8</v>
      </c>
      <c r="O1438" s="1" t="str">
        <f>TEXT(Sales_Data[[#This Row],[Order Date]], "MM-YYYY")</f>
        <v>02-2019</v>
      </c>
    </row>
    <row r="1439" spans="1:15" x14ac:dyDescent="0.3">
      <c r="A1439" s="1">
        <v>2209</v>
      </c>
      <c r="B1439" s="2">
        <v>43655</v>
      </c>
      <c r="C1439" s="1" t="s">
        <v>9</v>
      </c>
      <c r="D1439" s="1">
        <v>42</v>
      </c>
      <c r="E1439" t="s">
        <v>23</v>
      </c>
      <c r="F1439" t="s">
        <v>23</v>
      </c>
      <c r="G1439" s="1">
        <v>186.81</v>
      </c>
      <c r="H1439">
        <v>0.01</v>
      </c>
      <c r="I1439">
        <f>Sales_Data[[#This Row],[Sales]]*Sales_Data[[#This Row],[Discount]]</f>
        <v>1.8681000000000001</v>
      </c>
      <c r="J1439">
        <v>184.9419</v>
      </c>
      <c r="K1439" s="1">
        <v>1</v>
      </c>
      <c r="L1439" s="1">
        <v>185.81</v>
      </c>
      <c r="M1439" s="1" t="s">
        <v>10</v>
      </c>
      <c r="N1439" s="1">
        <f>IF(Sales_Data[[#This Row],[Sales with Discount]]&lt;Sales_Data[[#This Row],[Sales with Free Shipping]],Sales_Data[[#This Row],[Sales with Discount]],Sales_Data[[#This Row],[Sales with Free Shipping]])</f>
        <v>184.9419</v>
      </c>
      <c r="O1439" s="1" t="str">
        <f>TEXT(Sales_Data[[#This Row],[Order Date]], "MM-YYYY")</f>
        <v>07-2019</v>
      </c>
    </row>
    <row r="1440" spans="1:15" x14ac:dyDescent="0.3">
      <c r="A1440" s="1">
        <v>9573</v>
      </c>
      <c r="B1440" s="2">
        <v>43629</v>
      </c>
      <c r="C1440" s="1" t="s">
        <v>14</v>
      </c>
      <c r="D1440" s="1">
        <v>21</v>
      </c>
      <c r="E1440" t="s">
        <v>14</v>
      </c>
      <c r="F1440" t="s">
        <v>14</v>
      </c>
      <c r="G1440" s="1">
        <v>156.49</v>
      </c>
      <c r="H1440">
        <v>0</v>
      </c>
      <c r="I1440">
        <f>Sales_Data[[#This Row],[Sales]]*Sales_Data[[#This Row],[Discount]]</f>
        <v>0</v>
      </c>
      <c r="J1440">
        <v>156.49</v>
      </c>
      <c r="K1440" s="1">
        <v>1.1000000000000001</v>
      </c>
      <c r="L1440" s="1">
        <v>156.49</v>
      </c>
      <c r="M1440" s="1" t="s">
        <v>8</v>
      </c>
      <c r="N1440" s="1">
        <f>IF(Sales_Data[[#This Row],[Sales with Discount]]&lt;Sales_Data[[#This Row],[Sales with Free Shipping]],Sales_Data[[#This Row],[Sales with Discount]],Sales_Data[[#This Row],[Sales with Free Shipping]])</f>
        <v>156.49</v>
      </c>
      <c r="O1440" s="1" t="str">
        <f>TEXT(Sales_Data[[#This Row],[Order Date]], "MM-YYYY")</f>
        <v>06-2019</v>
      </c>
    </row>
    <row r="1441" spans="1:15" x14ac:dyDescent="0.3">
      <c r="A1441" s="1">
        <v>42177</v>
      </c>
      <c r="B1441" s="2">
        <v>43615</v>
      </c>
      <c r="C1441" s="1" t="s">
        <v>11</v>
      </c>
      <c r="D1441" s="1">
        <v>49</v>
      </c>
      <c r="E1441" t="s">
        <v>24</v>
      </c>
      <c r="F1441" t="s">
        <v>24</v>
      </c>
      <c r="G1441" s="1">
        <v>1286.07</v>
      </c>
      <c r="H1441">
        <v>0.01</v>
      </c>
      <c r="I1441">
        <f>Sales_Data[[#This Row],[Sales]]*Sales_Data[[#This Row],[Discount]]</f>
        <v>12.8607</v>
      </c>
      <c r="J1441">
        <v>1273.2093</v>
      </c>
      <c r="K1441" s="1">
        <v>9.1999999999999993</v>
      </c>
      <c r="L1441" s="1">
        <v>1276.8699999999999</v>
      </c>
      <c r="M1441" s="1" t="s">
        <v>10</v>
      </c>
      <c r="N1441" s="1">
        <f>IF(Sales_Data[[#This Row],[Sales with Discount]]&lt;Sales_Data[[#This Row],[Sales with Free Shipping]],Sales_Data[[#This Row],[Sales with Discount]],Sales_Data[[#This Row],[Sales with Free Shipping]])</f>
        <v>1273.2093</v>
      </c>
      <c r="O1441" s="1" t="str">
        <f>TEXT(Sales_Data[[#This Row],[Order Date]], "MM-YYYY")</f>
        <v>05-2019</v>
      </c>
    </row>
    <row r="1442" spans="1:15" x14ac:dyDescent="0.3">
      <c r="A1442" s="1">
        <v>46212</v>
      </c>
      <c r="B1442" s="2">
        <v>43720</v>
      </c>
      <c r="C1442" s="1" t="s">
        <v>11</v>
      </c>
      <c r="D1442" s="1">
        <v>43</v>
      </c>
      <c r="E1442" t="s">
        <v>23</v>
      </c>
      <c r="F1442" t="s">
        <v>23</v>
      </c>
      <c r="G1442" s="1">
        <v>345.04</v>
      </c>
      <c r="H1442">
        <v>0.01</v>
      </c>
      <c r="I1442">
        <f>Sales_Data[[#This Row],[Sales]]*Sales_Data[[#This Row],[Discount]]</f>
        <v>3.4504000000000001</v>
      </c>
      <c r="J1442">
        <v>341.58960000000002</v>
      </c>
      <c r="K1442" s="1">
        <v>2.7</v>
      </c>
      <c r="L1442" s="1">
        <v>342.34000000000003</v>
      </c>
      <c r="M1442" s="1" t="s">
        <v>8</v>
      </c>
      <c r="N1442" s="1">
        <f>IF(Sales_Data[[#This Row],[Sales with Discount]]&lt;Sales_Data[[#This Row],[Sales with Free Shipping]],Sales_Data[[#This Row],[Sales with Discount]],Sales_Data[[#This Row],[Sales with Free Shipping]])</f>
        <v>341.58960000000002</v>
      </c>
      <c r="O1442" s="1" t="str">
        <f>TEXT(Sales_Data[[#This Row],[Order Date]], "MM-YYYY")</f>
        <v>09-2019</v>
      </c>
    </row>
    <row r="1443" spans="1:15" x14ac:dyDescent="0.3">
      <c r="A1443" s="1">
        <v>46631</v>
      </c>
      <c r="B1443" s="2">
        <v>43535</v>
      </c>
      <c r="C1443" s="1" t="s">
        <v>11</v>
      </c>
      <c r="D1443" s="1">
        <v>39</v>
      </c>
      <c r="E1443" t="s">
        <v>22</v>
      </c>
      <c r="F1443" t="s">
        <v>22</v>
      </c>
      <c r="G1443" s="1">
        <v>996</v>
      </c>
      <c r="H1443">
        <v>0.01</v>
      </c>
      <c r="I1443">
        <f>Sales_Data[[#This Row],[Sales]]*Sales_Data[[#This Row],[Discount]]</f>
        <v>9.9600000000000009</v>
      </c>
      <c r="J1443">
        <v>986.04</v>
      </c>
      <c r="K1443" s="1">
        <v>18.100000000000001</v>
      </c>
      <c r="L1443" s="1">
        <v>977.9</v>
      </c>
      <c r="M1443" s="1" t="s">
        <v>10</v>
      </c>
      <c r="N1443" s="1">
        <f>IF(Sales_Data[[#This Row],[Sales with Discount]]&lt;Sales_Data[[#This Row],[Sales with Free Shipping]],Sales_Data[[#This Row],[Sales with Discount]],Sales_Data[[#This Row],[Sales with Free Shipping]])</f>
        <v>977.9</v>
      </c>
      <c r="O1443" s="1" t="str">
        <f>TEXT(Sales_Data[[#This Row],[Order Date]], "MM-YYYY")</f>
        <v>03-2019</v>
      </c>
    </row>
    <row r="1444" spans="1:15" x14ac:dyDescent="0.3">
      <c r="A1444" s="1">
        <v>55335</v>
      </c>
      <c r="B1444" s="2">
        <v>43723</v>
      </c>
      <c r="C1444" s="1" t="s">
        <v>11</v>
      </c>
      <c r="D1444" s="1">
        <v>30</v>
      </c>
      <c r="E1444" t="s">
        <v>20</v>
      </c>
      <c r="F1444" t="s">
        <v>20</v>
      </c>
      <c r="G1444" s="1">
        <v>9292.1299999999992</v>
      </c>
      <c r="H1444">
        <v>0</v>
      </c>
      <c r="I1444">
        <f>Sales_Data[[#This Row],[Sales]]*Sales_Data[[#This Row],[Discount]]</f>
        <v>0</v>
      </c>
      <c r="J1444">
        <v>9292.1299999999992</v>
      </c>
      <c r="K1444" s="1">
        <v>38.200000000000003</v>
      </c>
      <c r="L1444" s="1">
        <v>9292.1299999999992</v>
      </c>
      <c r="M1444" s="1" t="s">
        <v>13</v>
      </c>
      <c r="N1444" s="1">
        <f>IF(Sales_Data[[#This Row],[Sales with Discount]]&lt;Sales_Data[[#This Row],[Sales with Free Shipping]],Sales_Data[[#This Row],[Sales with Discount]],Sales_Data[[#This Row],[Sales with Free Shipping]])</f>
        <v>9292.1299999999992</v>
      </c>
      <c r="O1444" s="1" t="str">
        <f>TEXT(Sales_Data[[#This Row],[Order Date]], "MM-YYYY")</f>
        <v>09-2019</v>
      </c>
    </row>
    <row r="1445" spans="1:15" x14ac:dyDescent="0.3">
      <c r="A1445" s="1">
        <v>45476</v>
      </c>
      <c r="B1445" s="2">
        <v>43573</v>
      </c>
      <c r="C1445" s="1" t="s">
        <v>12</v>
      </c>
      <c r="D1445" s="1">
        <v>48</v>
      </c>
      <c r="E1445" t="s">
        <v>24</v>
      </c>
      <c r="F1445" t="s">
        <v>24</v>
      </c>
      <c r="G1445" s="1">
        <v>1129.9000000000001</v>
      </c>
      <c r="H1445">
        <v>0.01</v>
      </c>
      <c r="I1445">
        <f>Sales_Data[[#This Row],[Sales]]*Sales_Data[[#This Row],[Discount]]</f>
        <v>11.299000000000001</v>
      </c>
      <c r="J1445">
        <v>1118.6010000000001</v>
      </c>
      <c r="K1445" s="1">
        <v>6.4</v>
      </c>
      <c r="L1445" s="1">
        <v>1123.5</v>
      </c>
      <c r="M1445" s="1" t="s">
        <v>10</v>
      </c>
      <c r="N1445" s="1">
        <f>IF(Sales_Data[[#This Row],[Sales with Discount]]&lt;Sales_Data[[#This Row],[Sales with Free Shipping]],Sales_Data[[#This Row],[Sales with Discount]],Sales_Data[[#This Row],[Sales with Free Shipping]])</f>
        <v>1118.6010000000001</v>
      </c>
      <c r="O1445" s="1" t="str">
        <f>TEXT(Sales_Data[[#This Row],[Order Date]], "MM-YYYY")</f>
        <v>04-2019</v>
      </c>
    </row>
    <row r="1446" spans="1:15" x14ac:dyDescent="0.3">
      <c r="A1446" s="1">
        <v>27265</v>
      </c>
      <c r="B1446" s="2">
        <v>43591</v>
      </c>
      <c r="C1446" s="1" t="s">
        <v>12</v>
      </c>
      <c r="D1446" s="1">
        <v>49</v>
      </c>
      <c r="E1446" t="s">
        <v>24</v>
      </c>
      <c r="F1446" t="s">
        <v>24</v>
      </c>
      <c r="G1446" s="1">
        <v>16030.46</v>
      </c>
      <c r="H1446">
        <v>0.01</v>
      </c>
      <c r="I1446">
        <f>Sales_Data[[#This Row],[Sales]]*Sales_Data[[#This Row],[Discount]]</f>
        <v>160.30459999999999</v>
      </c>
      <c r="J1446">
        <v>15870.1554</v>
      </c>
      <c r="K1446" s="1">
        <v>12.5</v>
      </c>
      <c r="L1446" s="1">
        <v>16017.96</v>
      </c>
      <c r="M1446" s="1" t="s">
        <v>10</v>
      </c>
      <c r="N1446" s="1">
        <f>IF(Sales_Data[[#This Row],[Sales with Discount]]&lt;Sales_Data[[#This Row],[Sales with Free Shipping]],Sales_Data[[#This Row],[Sales with Discount]],Sales_Data[[#This Row],[Sales with Free Shipping]])</f>
        <v>15870.1554</v>
      </c>
      <c r="O1446" s="1" t="str">
        <f>TEXT(Sales_Data[[#This Row],[Order Date]], "MM-YYYY")</f>
        <v>05-2019</v>
      </c>
    </row>
    <row r="1447" spans="1:15" x14ac:dyDescent="0.3">
      <c r="A1447" s="1">
        <v>5378</v>
      </c>
      <c r="B1447" s="2">
        <v>43762</v>
      </c>
      <c r="C1447" s="1" t="s">
        <v>12</v>
      </c>
      <c r="D1447" s="1">
        <v>6</v>
      </c>
      <c r="E1447" t="s">
        <v>17</v>
      </c>
      <c r="F1447" t="s">
        <v>17</v>
      </c>
      <c r="G1447" s="1">
        <v>58.08</v>
      </c>
      <c r="H1447">
        <v>0</v>
      </c>
      <c r="I1447">
        <f>Sales_Data[[#This Row],[Sales]]*Sales_Data[[#This Row],[Discount]]</f>
        <v>0</v>
      </c>
      <c r="J1447">
        <v>58.08</v>
      </c>
      <c r="K1447" s="1">
        <v>5.6</v>
      </c>
      <c r="L1447" s="1">
        <v>58.08</v>
      </c>
      <c r="M1447" s="1" t="s">
        <v>8</v>
      </c>
      <c r="N1447" s="1">
        <f>IF(Sales_Data[[#This Row],[Sales with Discount]]&lt;Sales_Data[[#This Row],[Sales with Free Shipping]],Sales_Data[[#This Row],[Sales with Discount]],Sales_Data[[#This Row],[Sales with Free Shipping]])</f>
        <v>58.08</v>
      </c>
      <c r="O1447" s="1" t="str">
        <f>TEXT(Sales_Data[[#This Row],[Order Date]], "MM-YYYY")</f>
        <v>10-2019</v>
      </c>
    </row>
    <row r="1448" spans="1:15" x14ac:dyDescent="0.3">
      <c r="A1448" s="1">
        <v>42437</v>
      </c>
      <c r="B1448" s="2">
        <v>43529</v>
      </c>
      <c r="C1448" s="1" t="s">
        <v>12</v>
      </c>
      <c r="D1448" s="1">
        <v>14</v>
      </c>
      <c r="E1448" t="s">
        <v>18</v>
      </c>
      <c r="F1448" t="s">
        <v>18</v>
      </c>
      <c r="G1448" s="1">
        <v>335.82</v>
      </c>
      <c r="H1448">
        <v>0</v>
      </c>
      <c r="I1448">
        <f>Sales_Data[[#This Row],[Sales]]*Sales_Data[[#This Row],[Discount]]</f>
        <v>0</v>
      </c>
      <c r="J1448">
        <v>335.82</v>
      </c>
      <c r="K1448" s="1">
        <v>9.6</v>
      </c>
      <c r="L1448" s="1">
        <v>335.82</v>
      </c>
      <c r="M1448" s="1" t="s">
        <v>10</v>
      </c>
      <c r="N1448" s="1">
        <f>IF(Sales_Data[[#This Row],[Sales with Discount]]&lt;Sales_Data[[#This Row],[Sales with Free Shipping]],Sales_Data[[#This Row],[Sales with Discount]],Sales_Data[[#This Row],[Sales with Free Shipping]])</f>
        <v>335.82</v>
      </c>
      <c r="O1448" s="1" t="str">
        <f>TEXT(Sales_Data[[#This Row],[Order Date]], "MM-YYYY")</f>
        <v>03-2019</v>
      </c>
    </row>
    <row r="1449" spans="1:15" x14ac:dyDescent="0.3">
      <c r="A1449" s="1">
        <v>15715</v>
      </c>
      <c r="B1449" s="2">
        <v>43753</v>
      </c>
      <c r="C1449" s="1" t="s">
        <v>12</v>
      </c>
      <c r="D1449" s="1">
        <v>43</v>
      </c>
      <c r="E1449" t="s">
        <v>23</v>
      </c>
      <c r="F1449" t="s">
        <v>23</v>
      </c>
      <c r="G1449" s="1">
        <v>2272.2948000000001</v>
      </c>
      <c r="H1449">
        <v>0.01</v>
      </c>
      <c r="I1449">
        <f>Sales_Data[[#This Row],[Sales]]*Sales_Data[[#This Row],[Discount]]</f>
        <v>22.722948000000002</v>
      </c>
      <c r="J1449">
        <v>2249.571852</v>
      </c>
      <c r="K1449" s="1">
        <v>6.3</v>
      </c>
      <c r="L1449" s="1">
        <v>2265.9947999999999</v>
      </c>
      <c r="M1449" s="1" t="s">
        <v>10</v>
      </c>
      <c r="N1449" s="1">
        <f>IF(Sales_Data[[#This Row],[Sales with Discount]]&lt;Sales_Data[[#This Row],[Sales with Free Shipping]],Sales_Data[[#This Row],[Sales with Discount]],Sales_Data[[#This Row],[Sales with Free Shipping]])</f>
        <v>2249.571852</v>
      </c>
      <c r="O1449" s="1" t="str">
        <f>TEXT(Sales_Data[[#This Row],[Order Date]], "MM-YYYY")</f>
        <v>10-2019</v>
      </c>
    </row>
    <row r="1450" spans="1:15" x14ac:dyDescent="0.3">
      <c r="A1450" s="1">
        <v>52678</v>
      </c>
      <c r="B1450" s="2">
        <v>43675</v>
      </c>
      <c r="C1450" s="1" t="s">
        <v>9</v>
      </c>
      <c r="D1450" s="1">
        <v>3</v>
      </c>
      <c r="E1450" t="s">
        <v>16</v>
      </c>
      <c r="F1450" t="s">
        <v>16</v>
      </c>
      <c r="G1450" s="1">
        <v>120.69</v>
      </c>
      <c r="H1450">
        <v>0</v>
      </c>
      <c r="I1450">
        <f>Sales_Data[[#This Row],[Sales]]*Sales_Data[[#This Row],[Discount]]</f>
        <v>0</v>
      </c>
      <c r="J1450">
        <v>120.69</v>
      </c>
      <c r="K1450" s="1">
        <v>56.7</v>
      </c>
      <c r="L1450" s="1">
        <v>120.69</v>
      </c>
      <c r="M1450" s="1" t="s">
        <v>13</v>
      </c>
      <c r="N1450" s="1">
        <f>IF(Sales_Data[[#This Row],[Sales with Discount]]&lt;Sales_Data[[#This Row],[Sales with Free Shipping]],Sales_Data[[#This Row],[Sales with Discount]],Sales_Data[[#This Row],[Sales with Free Shipping]])</f>
        <v>120.69</v>
      </c>
      <c r="O1450" s="1" t="str">
        <f>TEXT(Sales_Data[[#This Row],[Order Date]], "MM-YYYY")</f>
        <v>07-2019</v>
      </c>
    </row>
    <row r="1451" spans="1:15" x14ac:dyDescent="0.3">
      <c r="A1451" s="1">
        <v>19777</v>
      </c>
      <c r="B1451" s="2">
        <v>43757</v>
      </c>
      <c r="C1451" s="1" t="s">
        <v>11</v>
      </c>
      <c r="D1451" s="1">
        <v>24</v>
      </c>
      <c r="E1451" t="s">
        <v>14</v>
      </c>
      <c r="F1451" t="s">
        <v>14</v>
      </c>
      <c r="G1451" s="1">
        <v>3497.56</v>
      </c>
      <c r="H1451">
        <v>0</v>
      </c>
      <c r="I1451">
        <f>Sales_Data[[#This Row],[Sales]]*Sales_Data[[#This Row],[Discount]]</f>
        <v>0</v>
      </c>
      <c r="J1451">
        <v>3497.56</v>
      </c>
      <c r="K1451" s="1">
        <v>8.6</v>
      </c>
      <c r="L1451" s="1">
        <v>3497.56</v>
      </c>
      <c r="M1451" s="1" t="s">
        <v>10</v>
      </c>
      <c r="N1451" s="1">
        <f>IF(Sales_Data[[#This Row],[Sales with Discount]]&lt;Sales_Data[[#This Row],[Sales with Free Shipping]],Sales_Data[[#This Row],[Sales with Discount]],Sales_Data[[#This Row],[Sales with Free Shipping]])</f>
        <v>3497.56</v>
      </c>
      <c r="O1451" s="1" t="str">
        <f>TEXT(Sales_Data[[#This Row],[Order Date]], "MM-YYYY")</f>
        <v>10-2019</v>
      </c>
    </row>
    <row r="1452" spans="1:15" x14ac:dyDescent="0.3">
      <c r="A1452" s="1">
        <v>51424</v>
      </c>
      <c r="B1452" s="2">
        <v>43473</v>
      </c>
      <c r="C1452" s="1" t="s">
        <v>11</v>
      </c>
      <c r="D1452" s="1">
        <v>48</v>
      </c>
      <c r="E1452" t="s">
        <v>24</v>
      </c>
      <c r="F1452" t="s">
        <v>24</v>
      </c>
      <c r="G1452" s="1">
        <v>121.9586</v>
      </c>
      <c r="H1452">
        <v>0.01</v>
      </c>
      <c r="I1452">
        <f>Sales_Data[[#This Row],[Sales]]*Sales_Data[[#This Row],[Discount]]</f>
        <v>1.2195860000000001</v>
      </c>
      <c r="J1452">
        <v>120.739014</v>
      </c>
      <c r="K1452" s="1">
        <v>0.9</v>
      </c>
      <c r="L1452" s="1">
        <v>121.0586</v>
      </c>
      <c r="M1452" s="1" t="s">
        <v>10</v>
      </c>
      <c r="N1452" s="1">
        <f>IF(Sales_Data[[#This Row],[Sales with Discount]]&lt;Sales_Data[[#This Row],[Sales with Free Shipping]],Sales_Data[[#This Row],[Sales with Discount]],Sales_Data[[#This Row],[Sales with Free Shipping]])</f>
        <v>120.739014</v>
      </c>
      <c r="O1452" s="1" t="str">
        <f>TEXT(Sales_Data[[#This Row],[Order Date]], "MM-YYYY")</f>
        <v>01-2019</v>
      </c>
    </row>
    <row r="1453" spans="1:15" x14ac:dyDescent="0.3">
      <c r="A1453" s="1">
        <v>21605</v>
      </c>
      <c r="B1453" s="2">
        <v>43563</v>
      </c>
      <c r="C1453" s="1" t="s">
        <v>9</v>
      </c>
      <c r="D1453" s="1">
        <v>46</v>
      </c>
      <c r="E1453" t="s">
        <v>24</v>
      </c>
      <c r="F1453" t="s">
        <v>24</v>
      </c>
      <c r="G1453" s="1">
        <v>509.84</v>
      </c>
      <c r="H1453">
        <v>0.01</v>
      </c>
      <c r="I1453">
        <f>Sales_Data[[#This Row],[Sales]]*Sales_Data[[#This Row],[Discount]]</f>
        <v>5.0983999999999998</v>
      </c>
      <c r="J1453">
        <v>504.74159999999995</v>
      </c>
      <c r="K1453" s="1">
        <v>5.5</v>
      </c>
      <c r="L1453" s="1">
        <v>504.34</v>
      </c>
      <c r="M1453" s="1" t="s">
        <v>10</v>
      </c>
      <c r="N1453" s="1">
        <f>IF(Sales_Data[[#This Row],[Sales with Discount]]&lt;Sales_Data[[#This Row],[Sales with Free Shipping]],Sales_Data[[#This Row],[Sales with Discount]],Sales_Data[[#This Row],[Sales with Free Shipping]])</f>
        <v>504.34</v>
      </c>
      <c r="O1453" s="1" t="str">
        <f>TEXT(Sales_Data[[#This Row],[Order Date]], "MM-YYYY")</f>
        <v>04-2019</v>
      </c>
    </row>
    <row r="1454" spans="1:15" x14ac:dyDescent="0.3">
      <c r="A1454" s="1">
        <v>11874</v>
      </c>
      <c r="B1454" s="2">
        <v>43717</v>
      </c>
      <c r="C1454" s="1" t="s">
        <v>14</v>
      </c>
      <c r="D1454" s="1">
        <v>1</v>
      </c>
      <c r="E1454" t="s">
        <v>16</v>
      </c>
      <c r="F1454" t="s">
        <v>16</v>
      </c>
      <c r="G1454" s="1">
        <v>43.11</v>
      </c>
      <c r="H1454">
        <v>0</v>
      </c>
      <c r="I1454">
        <f>Sales_Data[[#This Row],[Sales]]*Sales_Data[[#This Row],[Discount]]</f>
        <v>0</v>
      </c>
      <c r="J1454">
        <v>43.11</v>
      </c>
      <c r="K1454" s="1">
        <v>9.3000000000000007</v>
      </c>
      <c r="L1454" s="1">
        <v>43.11</v>
      </c>
      <c r="M1454" s="1" t="s">
        <v>10</v>
      </c>
      <c r="N1454" s="1">
        <f>IF(Sales_Data[[#This Row],[Sales with Discount]]&lt;Sales_Data[[#This Row],[Sales with Free Shipping]],Sales_Data[[#This Row],[Sales with Discount]],Sales_Data[[#This Row],[Sales with Free Shipping]])</f>
        <v>43.11</v>
      </c>
      <c r="O1454" s="1" t="str">
        <f>TEXT(Sales_Data[[#This Row],[Order Date]], "MM-YYYY")</f>
        <v>09-2019</v>
      </c>
    </row>
    <row r="1455" spans="1:15" x14ac:dyDescent="0.3">
      <c r="A1455" s="1">
        <v>7841</v>
      </c>
      <c r="B1455" s="2">
        <v>43605</v>
      </c>
      <c r="C1455" s="1" t="s">
        <v>11</v>
      </c>
      <c r="D1455" s="1">
        <v>17</v>
      </c>
      <c r="E1455" t="s">
        <v>19</v>
      </c>
      <c r="F1455" t="s">
        <v>19</v>
      </c>
      <c r="G1455" s="1">
        <v>190.61</v>
      </c>
      <c r="H1455">
        <v>0</v>
      </c>
      <c r="I1455">
        <f>Sales_Data[[#This Row],[Sales]]*Sales_Data[[#This Row],[Discount]]</f>
        <v>0</v>
      </c>
      <c r="J1455">
        <v>190.61</v>
      </c>
      <c r="K1455" s="1">
        <v>2.2000000000000002</v>
      </c>
      <c r="L1455" s="1">
        <v>190.61</v>
      </c>
      <c r="M1455" s="1" t="s">
        <v>10</v>
      </c>
      <c r="N1455" s="1">
        <f>IF(Sales_Data[[#This Row],[Sales with Discount]]&lt;Sales_Data[[#This Row],[Sales with Free Shipping]],Sales_Data[[#This Row],[Sales with Discount]],Sales_Data[[#This Row],[Sales with Free Shipping]])</f>
        <v>190.61</v>
      </c>
      <c r="O1455" s="1" t="str">
        <f>TEXT(Sales_Data[[#This Row],[Order Date]], "MM-YYYY")</f>
        <v>05-2019</v>
      </c>
    </row>
    <row r="1456" spans="1:15" x14ac:dyDescent="0.3">
      <c r="A1456" s="1">
        <v>29221</v>
      </c>
      <c r="B1456" s="2">
        <v>43614</v>
      </c>
      <c r="C1456" s="1" t="s">
        <v>9</v>
      </c>
      <c r="D1456" s="1">
        <v>41</v>
      </c>
      <c r="E1456" t="s">
        <v>23</v>
      </c>
      <c r="F1456" t="s">
        <v>23</v>
      </c>
      <c r="G1456" s="1">
        <v>348.1</v>
      </c>
      <c r="H1456">
        <v>0.01</v>
      </c>
      <c r="I1456">
        <f>Sales_Data[[#This Row],[Sales]]*Sales_Data[[#This Row],[Discount]]</f>
        <v>3.4810000000000003</v>
      </c>
      <c r="J1456">
        <v>344.61900000000003</v>
      </c>
      <c r="K1456" s="1">
        <v>6.2</v>
      </c>
      <c r="L1456" s="1">
        <v>341.90000000000003</v>
      </c>
      <c r="M1456" s="1" t="s">
        <v>10</v>
      </c>
      <c r="N1456" s="1">
        <f>IF(Sales_Data[[#This Row],[Sales with Discount]]&lt;Sales_Data[[#This Row],[Sales with Free Shipping]],Sales_Data[[#This Row],[Sales with Discount]],Sales_Data[[#This Row],[Sales with Free Shipping]])</f>
        <v>341.90000000000003</v>
      </c>
      <c r="O1456" s="1" t="str">
        <f>TEXT(Sales_Data[[#This Row],[Order Date]], "MM-YYYY")</f>
        <v>05-2019</v>
      </c>
    </row>
    <row r="1457" spans="1:15" x14ac:dyDescent="0.3">
      <c r="A1457" s="1">
        <v>55011</v>
      </c>
      <c r="B1457" s="2">
        <v>43468</v>
      </c>
      <c r="C1457" s="1" t="s">
        <v>12</v>
      </c>
      <c r="D1457" s="1">
        <v>18</v>
      </c>
      <c r="E1457" t="s">
        <v>19</v>
      </c>
      <c r="F1457" t="s">
        <v>19</v>
      </c>
      <c r="G1457" s="1">
        <v>59.727400000000003</v>
      </c>
      <c r="H1457">
        <v>0</v>
      </c>
      <c r="I1457">
        <f>Sales_Data[[#This Row],[Sales]]*Sales_Data[[#This Row],[Discount]]</f>
        <v>0</v>
      </c>
      <c r="J1457">
        <v>59.727400000000003</v>
      </c>
      <c r="K1457" s="1">
        <v>0.9</v>
      </c>
      <c r="L1457" s="1">
        <v>59.727400000000003</v>
      </c>
      <c r="M1457" s="1" t="s">
        <v>10</v>
      </c>
      <c r="N1457" s="1">
        <f>IF(Sales_Data[[#This Row],[Sales with Discount]]&lt;Sales_Data[[#This Row],[Sales with Free Shipping]],Sales_Data[[#This Row],[Sales with Discount]],Sales_Data[[#This Row],[Sales with Free Shipping]])</f>
        <v>59.727400000000003</v>
      </c>
      <c r="O1457" s="1" t="str">
        <f>TEXT(Sales_Data[[#This Row],[Order Date]], "MM-YYYY")</f>
        <v>01-2019</v>
      </c>
    </row>
    <row r="1458" spans="1:15" x14ac:dyDescent="0.3">
      <c r="A1458" s="1">
        <v>37287</v>
      </c>
      <c r="B1458" s="2">
        <v>43770</v>
      </c>
      <c r="C1458" s="1" t="s">
        <v>7</v>
      </c>
      <c r="D1458" s="1">
        <v>18</v>
      </c>
      <c r="E1458" t="s">
        <v>19</v>
      </c>
      <c r="F1458" t="s">
        <v>19</v>
      </c>
      <c r="G1458" s="1">
        <v>130.97999999999999</v>
      </c>
      <c r="H1458">
        <v>0</v>
      </c>
      <c r="I1458">
        <f>Sales_Data[[#This Row],[Sales]]*Sales_Data[[#This Row],[Discount]]</f>
        <v>0</v>
      </c>
      <c r="J1458">
        <v>130.97999999999999</v>
      </c>
      <c r="K1458" s="1">
        <v>5.3</v>
      </c>
      <c r="L1458" s="1">
        <v>130.97999999999999</v>
      </c>
      <c r="M1458" s="1" t="s">
        <v>10</v>
      </c>
      <c r="N1458" s="1">
        <f>IF(Sales_Data[[#This Row],[Sales with Discount]]&lt;Sales_Data[[#This Row],[Sales with Free Shipping]],Sales_Data[[#This Row],[Sales with Discount]],Sales_Data[[#This Row],[Sales with Free Shipping]])</f>
        <v>130.97999999999999</v>
      </c>
      <c r="O1458" s="1" t="str">
        <f>TEXT(Sales_Data[[#This Row],[Order Date]], "MM-YYYY")</f>
        <v>11-2019</v>
      </c>
    </row>
    <row r="1459" spans="1:15" x14ac:dyDescent="0.3">
      <c r="A1459" s="1">
        <v>29282</v>
      </c>
      <c r="B1459" s="2">
        <v>43797</v>
      </c>
      <c r="C1459" s="1" t="s">
        <v>14</v>
      </c>
      <c r="D1459" s="1">
        <v>4</v>
      </c>
      <c r="E1459" t="s">
        <v>16</v>
      </c>
      <c r="F1459" t="s">
        <v>16</v>
      </c>
      <c r="G1459" s="1">
        <v>36.668900000000001</v>
      </c>
      <c r="H1459">
        <v>0</v>
      </c>
      <c r="I1459">
        <f>Sales_Data[[#This Row],[Sales]]*Sales_Data[[#This Row],[Discount]]</f>
        <v>0</v>
      </c>
      <c r="J1459">
        <v>36.668900000000001</v>
      </c>
      <c r="K1459" s="1">
        <v>10.199999999999999</v>
      </c>
      <c r="L1459" s="1">
        <v>36.668900000000001</v>
      </c>
      <c r="M1459" s="1" t="s">
        <v>10</v>
      </c>
      <c r="N1459" s="1">
        <f>IF(Sales_Data[[#This Row],[Sales with Discount]]&lt;Sales_Data[[#This Row],[Sales with Free Shipping]],Sales_Data[[#This Row],[Sales with Discount]],Sales_Data[[#This Row],[Sales with Free Shipping]])</f>
        <v>36.668900000000001</v>
      </c>
      <c r="O1459" s="1" t="str">
        <f>TEXT(Sales_Data[[#This Row],[Order Date]], "MM-YYYY")</f>
        <v>11-2019</v>
      </c>
    </row>
    <row r="1460" spans="1:15" x14ac:dyDescent="0.3">
      <c r="A1460" s="1">
        <v>22951</v>
      </c>
      <c r="B1460" s="2">
        <v>43588</v>
      </c>
      <c r="C1460" s="1" t="s">
        <v>14</v>
      </c>
      <c r="D1460" s="1">
        <v>24</v>
      </c>
      <c r="E1460" t="s">
        <v>14</v>
      </c>
      <c r="F1460" t="s">
        <v>14</v>
      </c>
      <c r="G1460" s="1">
        <v>1395.31</v>
      </c>
      <c r="H1460">
        <v>0</v>
      </c>
      <c r="I1460">
        <f>Sales_Data[[#This Row],[Sales]]*Sales_Data[[#This Row],[Discount]]</f>
        <v>0</v>
      </c>
      <c r="J1460">
        <v>1395.31</v>
      </c>
      <c r="K1460" s="1">
        <v>9.6</v>
      </c>
      <c r="L1460" s="1">
        <v>1395.31</v>
      </c>
      <c r="M1460" s="1" t="s">
        <v>10</v>
      </c>
      <c r="N1460" s="1">
        <f>IF(Sales_Data[[#This Row],[Sales with Discount]]&lt;Sales_Data[[#This Row],[Sales with Free Shipping]],Sales_Data[[#This Row],[Sales with Discount]],Sales_Data[[#This Row],[Sales with Free Shipping]])</f>
        <v>1395.31</v>
      </c>
      <c r="O1460" s="1" t="str">
        <f>TEXT(Sales_Data[[#This Row],[Order Date]], "MM-YYYY")</f>
        <v>05-2019</v>
      </c>
    </row>
    <row r="1461" spans="1:15" x14ac:dyDescent="0.3">
      <c r="A1461" s="1">
        <v>21796</v>
      </c>
      <c r="B1461" s="2">
        <v>43591</v>
      </c>
      <c r="C1461" s="1" t="s">
        <v>7</v>
      </c>
      <c r="D1461" s="1">
        <v>46</v>
      </c>
      <c r="E1461" t="s">
        <v>24</v>
      </c>
      <c r="F1461" t="s">
        <v>24</v>
      </c>
      <c r="G1461" s="1">
        <v>5076.76</v>
      </c>
      <c r="H1461">
        <v>0.01</v>
      </c>
      <c r="I1461">
        <f>Sales_Data[[#This Row],[Sales]]*Sales_Data[[#This Row],[Discount]]</f>
        <v>50.767600000000002</v>
      </c>
      <c r="J1461">
        <v>5025.9924000000001</v>
      </c>
      <c r="K1461" s="1">
        <v>21.4</v>
      </c>
      <c r="L1461" s="1">
        <v>5055.3600000000006</v>
      </c>
      <c r="M1461" s="1" t="s">
        <v>10</v>
      </c>
      <c r="N1461" s="1">
        <f>IF(Sales_Data[[#This Row],[Sales with Discount]]&lt;Sales_Data[[#This Row],[Sales with Free Shipping]],Sales_Data[[#This Row],[Sales with Discount]],Sales_Data[[#This Row],[Sales with Free Shipping]])</f>
        <v>5025.9924000000001</v>
      </c>
      <c r="O1461" s="1" t="str">
        <f>TEXT(Sales_Data[[#This Row],[Order Date]], "MM-YYYY")</f>
        <v>05-2019</v>
      </c>
    </row>
    <row r="1462" spans="1:15" x14ac:dyDescent="0.3">
      <c r="A1462" s="1">
        <v>56740</v>
      </c>
      <c r="B1462" s="2">
        <v>43754</v>
      </c>
      <c r="C1462" s="1" t="s">
        <v>12</v>
      </c>
      <c r="D1462" s="1">
        <v>33</v>
      </c>
      <c r="E1462" t="s">
        <v>21</v>
      </c>
      <c r="F1462" t="s">
        <v>21</v>
      </c>
      <c r="G1462" s="1">
        <v>708.56</v>
      </c>
      <c r="H1462">
        <v>0</v>
      </c>
      <c r="I1462">
        <f>Sales_Data[[#This Row],[Sales]]*Sales_Data[[#This Row],[Discount]]</f>
        <v>0</v>
      </c>
      <c r="J1462">
        <v>708.56</v>
      </c>
      <c r="K1462" s="1">
        <v>3.9</v>
      </c>
      <c r="L1462" s="1">
        <v>708.56</v>
      </c>
      <c r="M1462" s="1" t="s">
        <v>10</v>
      </c>
      <c r="N1462" s="1">
        <f>IF(Sales_Data[[#This Row],[Sales with Discount]]&lt;Sales_Data[[#This Row],[Sales with Free Shipping]],Sales_Data[[#This Row],[Sales with Discount]],Sales_Data[[#This Row],[Sales with Free Shipping]])</f>
        <v>708.56</v>
      </c>
      <c r="O1462" s="1" t="str">
        <f>TEXT(Sales_Data[[#This Row],[Order Date]], "MM-YYYY")</f>
        <v>10-2019</v>
      </c>
    </row>
    <row r="1463" spans="1:15" x14ac:dyDescent="0.3">
      <c r="A1463" s="1">
        <v>53762</v>
      </c>
      <c r="B1463" s="2">
        <v>43617</v>
      </c>
      <c r="C1463" s="1" t="s">
        <v>12</v>
      </c>
      <c r="D1463" s="1">
        <v>28</v>
      </c>
      <c r="E1463" t="s">
        <v>20</v>
      </c>
      <c r="F1463" t="s">
        <v>20</v>
      </c>
      <c r="G1463" s="1">
        <v>145.69</v>
      </c>
      <c r="H1463">
        <v>0</v>
      </c>
      <c r="I1463">
        <f>Sales_Data[[#This Row],[Sales]]*Sales_Data[[#This Row],[Discount]]</f>
        <v>0</v>
      </c>
      <c r="J1463">
        <v>145.69</v>
      </c>
      <c r="K1463" s="1">
        <v>0.5</v>
      </c>
      <c r="L1463" s="1">
        <v>145.69</v>
      </c>
      <c r="M1463" s="1" t="s">
        <v>10</v>
      </c>
      <c r="N1463" s="1">
        <f>IF(Sales_Data[[#This Row],[Sales with Discount]]&lt;Sales_Data[[#This Row],[Sales with Free Shipping]],Sales_Data[[#This Row],[Sales with Discount]],Sales_Data[[#This Row],[Sales with Free Shipping]])</f>
        <v>145.69</v>
      </c>
      <c r="O1463" s="1" t="str">
        <f>TEXT(Sales_Data[[#This Row],[Order Date]], "MM-YYYY")</f>
        <v>06-2019</v>
      </c>
    </row>
    <row r="1464" spans="1:15" x14ac:dyDescent="0.3">
      <c r="A1464" s="1">
        <v>6018</v>
      </c>
      <c r="B1464" s="2">
        <v>43695</v>
      </c>
      <c r="C1464" s="1" t="s">
        <v>7</v>
      </c>
      <c r="D1464" s="1">
        <v>39</v>
      </c>
      <c r="E1464" t="s">
        <v>22</v>
      </c>
      <c r="F1464" t="s">
        <v>22</v>
      </c>
      <c r="G1464" s="1">
        <v>220.52</v>
      </c>
      <c r="H1464">
        <v>0.01</v>
      </c>
      <c r="I1464">
        <f>Sales_Data[[#This Row],[Sales]]*Sales_Data[[#This Row],[Discount]]</f>
        <v>2.2052</v>
      </c>
      <c r="J1464">
        <v>218.31480000000002</v>
      </c>
      <c r="K1464" s="1">
        <v>2.2000000000000002</v>
      </c>
      <c r="L1464" s="1">
        <v>218.32000000000002</v>
      </c>
      <c r="M1464" s="1" t="s">
        <v>10</v>
      </c>
      <c r="N1464" s="1">
        <f>IF(Sales_Data[[#This Row],[Sales with Discount]]&lt;Sales_Data[[#This Row],[Sales with Free Shipping]],Sales_Data[[#This Row],[Sales with Discount]],Sales_Data[[#This Row],[Sales with Free Shipping]])</f>
        <v>218.31480000000002</v>
      </c>
      <c r="O1464" s="1" t="str">
        <f>TEXT(Sales_Data[[#This Row],[Order Date]], "MM-YYYY")</f>
        <v>08-2019</v>
      </c>
    </row>
    <row r="1465" spans="1:15" x14ac:dyDescent="0.3">
      <c r="A1465" s="1">
        <v>3810</v>
      </c>
      <c r="B1465" s="2">
        <v>43724</v>
      </c>
      <c r="C1465" s="1" t="s">
        <v>12</v>
      </c>
      <c r="D1465" s="1">
        <v>40</v>
      </c>
      <c r="E1465" t="s">
        <v>22</v>
      </c>
      <c r="F1465" t="s">
        <v>22</v>
      </c>
      <c r="G1465" s="1">
        <v>237.39</v>
      </c>
      <c r="H1465">
        <v>0.01</v>
      </c>
      <c r="I1465">
        <f>Sales_Data[[#This Row],[Sales]]*Sales_Data[[#This Row],[Discount]]</f>
        <v>2.3738999999999999</v>
      </c>
      <c r="J1465">
        <v>235.01609999999999</v>
      </c>
      <c r="K1465" s="1">
        <v>52.4</v>
      </c>
      <c r="L1465" s="1">
        <v>184.98999999999998</v>
      </c>
      <c r="M1465" s="1" t="s">
        <v>10</v>
      </c>
      <c r="N1465" s="1">
        <f>IF(Sales_Data[[#This Row],[Sales with Discount]]&lt;Sales_Data[[#This Row],[Sales with Free Shipping]],Sales_Data[[#This Row],[Sales with Discount]],Sales_Data[[#This Row],[Sales with Free Shipping]])</f>
        <v>184.98999999999998</v>
      </c>
      <c r="O1465" s="1" t="str">
        <f>TEXT(Sales_Data[[#This Row],[Order Date]], "MM-YYYY")</f>
        <v>09-2019</v>
      </c>
    </row>
    <row r="1466" spans="1:15" x14ac:dyDescent="0.3">
      <c r="A1466" s="1">
        <v>22055</v>
      </c>
      <c r="B1466" s="2">
        <v>43731</v>
      </c>
      <c r="C1466" s="1" t="s">
        <v>14</v>
      </c>
      <c r="D1466" s="1">
        <v>40</v>
      </c>
      <c r="E1466" t="s">
        <v>22</v>
      </c>
      <c r="F1466" t="s">
        <v>22</v>
      </c>
      <c r="G1466" s="1">
        <v>6577.55</v>
      </c>
      <c r="H1466">
        <v>0.01</v>
      </c>
      <c r="I1466">
        <f>Sales_Data[[#This Row],[Sales]]*Sales_Data[[#This Row],[Discount]]</f>
        <v>65.775500000000008</v>
      </c>
      <c r="J1466">
        <v>6511.7745000000004</v>
      </c>
      <c r="K1466" s="1">
        <v>32.1</v>
      </c>
      <c r="L1466" s="1">
        <v>6545.45</v>
      </c>
      <c r="M1466" s="1" t="s">
        <v>13</v>
      </c>
      <c r="N1466" s="1">
        <f>IF(Sales_Data[[#This Row],[Sales with Discount]]&lt;Sales_Data[[#This Row],[Sales with Free Shipping]],Sales_Data[[#This Row],[Sales with Discount]],Sales_Data[[#This Row],[Sales with Free Shipping]])</f>
        <v>6511.7745000000004</v>
      </c>
      <c r="O1466" s="1" t="str">
        <f>TEXT(Sales_Data[[#This Row],[Order Date]], "MM-YYYY")</f>
        <v>09-2019</v>
      </c>
    </row>
    <row r="1467" spans="1:15" x14ac:dyDescent="0.3">
      <c r="A1467" s="1">
        <v>34662</v>
      </c>
      <c r="B1467" s="2">
        <v>43474</v>
      </c>
      <c r="C1467" s="1" t="s">
        <v>12</v>
      </c>
      <c r="D1467" s="1">
        <v>35</v>
      </c>
      <c r="E1467" t="s">
        <v>21</v>
      </c>
      <c r="F1467" t="s">
        <v>21</v>
      </c>
      <c r="G1467" s="1">
        <v>13633.736699999999</v>
      </c>
      <c r="H1467">
        <v>0</v>
      </c>
      <c r="I1467">
        <f>Sales_Data[[#This Row],[Sales]]*Sales_Data[[#This Row],[Discount]]</f>
        <v>0</v>
      </c>
      <c r="J1467">
        <v>13633.736699999999</v>
      </c>
      <c r="K1467" s="1">
        <v>105.9</v>
      </c>
      <c r="L1467" s="1">
        <v>13633.736699999999</v>
      </c>
      <c r="M1467" s="1" t="s">
        <v>13</v>
      </c>
      <c r="N1467" s="1">
        <f>IF(Sales_Data[[#This Row],[Sales with Discount]]&lt;Sales_Data[[#This Row],[Sales with Free Shipping]],Sales_Data[[#This Row],[Sales with Discount]],Sales_Data[[#This Row],[Sales with Free Shipping]])</f>
        <v>13633.736699999999</v>
      </c>
      <c r="O1467" s="1" t="str">
        <f>TEXT(Sales_Data[[#This Row],[Order Date]], "MM-YYYY")</f>
        <v>01-2019</v>
      </c>
    </row>
    <row r="1468" spans="1:15" x14ac:dyDescent="0.3">
      <c r="A1468" s="1">
        <v>45317</v>
      </c>
      <c r="B1468" s="2">
        <v>43525</v>
      </c>
      <c r="C1468" s="1" t="s">
        <v>7</v>
      </c>
      <c r="D1468" s="1">
        <v>28</v>
      </c>
      <c r="E1468" t="s">
        <v>20</v>
      </c>
      <c r="F1468" t="s">
        <v>20</v>
      </c>
      <c r="G1468" s="1">
        <v>1028.3342</v>
      </c>
      <c r="H1468">
        <v>0</v>
      </c>
      <c r="I1468">
        <f>Sales_Data[[#This Row],[Sales]]*Sales_Data[[#This Row],[Discount]]</f>
        <v>0</v>
      </c>
      <c r="J1468">
        <v>1028.3342</v>
      </c>
      <c r="K1468" s="1">
        <v>5.4</v>
      </c>
      <c r="L1468" s="1">
        <v>1028.3342</v>
      </c>
      <c r="M1468" s="1" t="s">
        <v>10</v>
      </c>
      <c r="N1468" s="1">
        <f>IF(Sales_Data[[#This Row],[Sales with Discount]]&lt;Sales_Data[[#This Row],[Sales with Free Shipping]],Sales_Data[[#This Row],[Sales with Discount]],Sales_Data[[#This Row],[Sales with Free Shipping]])</f>
        <v>1028.3342</v>
      </c>
      <c r="O1468" s="1" t="str">
        <f>TEXT(Sales_Data[[#This Row],[Order Date]], "MM-YYYY")</f>
        <v>03-2019</v>
      </c>
    </row>
    <row r="1469" spans="1:15" x14ac:dyDescent="0.3">
      <c r="A1469" s="1">
        <v>21665</v>
      </c>
      <c r="B1469" s="2">
        <v>43753</v>
      </c>
      <c r="C1469" s="1" t="s">
        <v>9</v>
      </c>
      <c r="D1469" s="1">
        <v>5</v>
      </c>
      <c r="E1469" t="s">
        <v>16</v>
      </c>
      <c r="F1469" t="s">
        <v>16</v>
      </c>
      <c r="G1469" s="1">
        <v>508.03</v>
      </c>
      <c r="H1469">
        <v>0</v>
      </c>
      <c r="I1469">
        <f>Sales_Data[[#This Row],[Sales]]*Sales_Data[[#This Row],[Discount]]</f>
        <v>0</v>
      </c>
      <c r="J1469">
        <v>508.03</v>
      </c>
      <c r="K1469" s="1">
        <v>2.7</v>
      </c>
      <c r="L1469" s="1">
        <v>508.03</v>
      </c>
      <c r="M1469" s="1" t="s">
        <v>8</v>
      </c>
      <c r="N1469" s="1">
        <f>IF(Sales_Data[[#This Row],[Sales with Discount]]&lt;Sales_Data[[#This Row],[Sales with Free Shipping]],Sales_Data[[#This Row],[Sales with Discount]],Sales_Data[[#This Row],[Sales with Free Shipping]])</f>
        <v>508.03</v>
      </c>
      <c r="O1469" s="1" t="str">
        <f>TEXT(Sales_Data[[#This Row],[Order Date]], "MM-YYYY")</f>
        <v>10-2019</v>
      </c>
    </row>
    <row r="1470" spans="1:15" x14ac:dyDescent="0.3">
      <c r="A1470" s="1">
        <v>39654</v>
      </c>
      <c r="B1470" s="2">
        <v>43738</v>
      </c>
      <c r="C1470" s="1" t="s">
        <v>14</v>
      </c>
      <c r="D1470" s="1">
        <v>39</v>
      </c>
      <c r="E1470" t="s">
        <v>22</v>
      </c>
      <c r="F1470" t="s">
        <v>22</v>
      </c>
      <c r="G1470" s="1">
        <v>916.08</v>
      </c>
      <c r="H1470">
        <v>0.01</v>
      </c>
      <c r="I1470">
        <f>Sales_Data[[#This Row],[Sales]]*Sales_Data[[#This Row],[Discount]]</f>
        <v>9.1608000000000001</v>
      </c>
      <c r="J1470">
        <v>906.91920000000005</v>
      </c>
      <c r="K1470" s="1">
        <v>3.2</v>
      </c>
      <c r="L1470" s="1">
        <v>912.88</v>
      </c>
      <c r="M1470" s="1" t="s">
        <v>8</v>
      </c>
      <c r="N1470" s="1">
        <f>IF(Sales_Data[[#This Row],[Sales with Discount]]&lt;Sales_Data[[#This Row],[Sales with Free Shipping]],Sales_Data[[#This Row],[Sales with Discount]],Sales_Data[[#This Row],[Sales with Free Shipping]])</f>
        <v>906.91920000000005</v>
      </c>
      <c r="O1470" s="1" t="str">
        <f>TEXT(Sales_Data[[#This Row],[Order Date]], "MM-YYYY")</f>
        <v>09-2019</v>
      </c>
    </row>
    <row r="1471" spans="1:15" x14ac:dyDescent="0.3">
      <c r="A1471" s="1">
        <v>5254</v>
      </c>
      <c r="B1471" s="2">
        <v>43671</v>
      </c>
      <c r="C1471" s="1" t="s">
        <v>11</v>
      </c>
      <c r="D1471" s="1">
        <v>31</v>
      </c>
      <c r="E1471" t="s">
        <v>21</v>
      </c>
      <c r="F1471" t="s">
        <v>21</v>
      </c>
      <c r="G1471" s="1">
        <v>1856.83</v>
      </c>
      <c r="H1471">
        <v>0</v>
      </c>
      <c r="I1471">
        <f>Sales_Data[[#This Row],[Sales]]*Sales_Data[[#This Row],[Discount]]</f>
        <v>0</v>
      </c>
      <c r="J1471">
        <v>1856.83</v>
      </c>
      <c r="K1471" s="1">
        <v>9.6</v>
      </c>
      <c r="L1471" s="1">
        <v>1856.83</v>
      </c>
      <c r="M1471" s="1" t="s">
        <v>10</v>
      </c>
      <c r="N1471" s="1">
        <f>IF(Sales_Data[[#This Row],[Sales with Discount]]&lt;Sales_Data[[#This Row],[Sales with Free Shipping]],Sales_Data[[#This Row],[Sales with Discount]],Sales_Data[[#This Row],[Sales with Free Shipping]])</f>
        <v>1856.83</v>
      </c>
      <c r="O1471" s="1" t="str">
        <f>TEXT(Sales_Data[[#This Row],[Order Date]], "MM-YYYY")</f>
        <v>07-2019</v>
      </c>
    </row>
    <row r="1472" spans="1:15" x14ac:dyDescent="0.3">
      <c r="A1472" s="1">
        <v>54023</v>
      </c>
      <c r="B1472" s="2">
        <v>43668</v>
      </c>
      <c r="C1472" s="1" t="s">
        <v>11</v>
      </c>
      <c r="D1472" s="1">
        <v>45</v>
      </c>
      <c r="E1472" t="s">
        <v>23</v>
      </c>
      <c r="F1472" t="s">
        <v>23</v>
      </c>
      <c r="G1472" s="1">
        <v>433.99</v>
      </c>
      <c r="H1472">
        <v>0.01</v>
      </c>
      <c r="I1472">
        <f>Sales_Data[[#This Row],[Sales]]*Sales_Data[[#This Row],[Discount]]</f>
        <v>4.3399000000000001</v>
      </c>
      <c r="J1472">
        <v>429.65010000000001</v>
      </c>
      <c r="K1472" s="1">
        <v>6</v>
      </c>
      <c r="L1472" s="1">
        <v>427.99</v>
      </c>
      <c r="M1472" s="1" t="s">
        <v>10</v>
      </c>
      <c r="N1472" s="1">
        <f>IF(Sales_Data[[#This Row],[Sales with Discount]]&lt;Sales_Data[[#This Row],[Sales with Free Shipping]],Sales_Data[[#This Row],[Sales with Discount]],Sales_Data[[#This Row],[Sales with Free Shipping]])</f>
        <v>427.99</v>
      </c>
      <c r="O1472" s="1" t="str">
        <f>TEXT(Sales_Data[[#This Row],[Order Date]], "MM-YYYY")</f>
        <v>07-2019</v>
      </c>
    </row>
    <row r="1473" spans="1:15" x14ac:dyDescent="0.3">
      <c r="A1473" s="1">
        <v>44678</v>
      </c>
      <c r="B1473" s="2">
        <v>43751</v>
      </c>
      <c r="C1473" s="1" t="s">
        <v>7</v>
      </c>
      <c r="D1473" s="1">
        <v>4</v>
      </c>
      <c r="E1473" t="s">
        <v>16</v>
      </c>
      <c r="F1473" t="s">
        <v>16</v>
      </c>
      <c r="G1473" s="1">
        <v>8.09</v>
      </c>
      <c r="H1473">
        <v>0</v>
      </c>
      <c r="I1473">
        <f>Sales_Data[[#This Row],[Sales]]*Sales_Data[[#This Row],[Discount]]</f>
        <v>0</v>
      </c>
      <c r="J1473">
        <v>8.09</v>
      </c>
      <c r="K1473" s="1">
        <v>0.8</v>
      </c>
      <c r="L1473" s="1">
        <v>8.09</v>
      </c>
      <c r="M1473" s="1" t="s">
        <v>10</v>
      </c>
      <c r="N1473" s="1">
        <f>IF(Sales_Data[[#This Row],[Sales with Discount]]&lt;Sales_Data[[#This Row],[Sales with Free Shipping]],Sales_Data[[#This Row],[Sales with Discount]],Sales_Data[[#This Row],[Sales with Free Shipping]])</f>
        <v>8.09</v>
      </c>
      <c r="O1473" s="1" t="str">
        <f>TEXT(Sales_Data[[#This Row],[Order Date]], "MM-YYYY")</f>
        <v>10-2019</v>
      </c>
    </row>
    <row r="1474" spans="1:15" x14ac:dyDescent="0.3">
      <c r="A1474" s="1">
        <v>967</v>
      </c>
      <c r="B1474" s="2">
        <v>43636</v>
      </c>
      <c r="C1474" s="1" t="s">
        <v>14</v>
      </c>
      <c r="D1474" s="1">
        <v>48</v>
      </c>
      <c r="E1474" t="s">
        <v>24</v>
      </c>
      <c r="F1474" t="s">
        <v>24</v>
      </c>
      <c r="G1474" s="1">
        <v>12067.65</v>
      </c>
      <c r="H1474">
        <v>0.01</v>
      </c>
      <c r="I1474">
        <f>Sales_Data[[#This Row],[Sales]]*Sales_Data[[#This Row],[Discount]]</f>
        <v>120.6765</v>
      </c>
      <c r="J1474">
        <v>11946.9735</v>
      </c>
      <c r="K1474" s="1">
        <v>34.799999999999997</v>
      </c>
      <c r="L1474" s="1">
        <v>12032.85</v>
      </c>
      <c r="M1474" s="1" t="s">
        <v>13</v>
      </c>
      <c r="N1474" s="1">
        <f>IF(Sales_Data[[#This Row],[Sales with Discount]]&lt;Sales_Data[[#This Row],[Sales with Free Shipping]],Sales_Data[[#This Row],[Sales with Discount]],Sales_Data[[#This Row],[Sales with Free Shipping]])</f>
        <v>11946.9735</v>
      </c>
      <c r="O1474" s="1" t="str">
        <f>TEXT(Sales_Data[[#This Row],[Order Date]], "MM-YYYY")</f>
        <v>06-2019</v>
      </c>
    </row>
    <row r="1475" spans="1:15" x14ac:dyDescent="0.3">
      <c r="A1475" s="1">
        <v>31552</v>
      </c>
      <c r="B1475" s="2">
        <v>43780</v>
      </c>
      <c r="C1475" s="1" t="s">
        <v>9</v>
      </c>
      <c r="D1475" s="1">
        <v>17</v>
      </c>
      <c r="E1475" t="s">
        <v>19</v>
      </c>
      <c r="F1475" t="s">
        <v>19</v>
      </c>
      <c r="G1475" s="1">
        <v>404.55</v>
      </c>
      <c r="H1475">
        <v>0</v>
      </c>
      <c r="I1475">
        <f>Sales_Data[[#This Row],[Sales]]*Sales_Data[[#This Row],[Discount]]</f>
        <v>0</v>
      </c>
      <c r="J1475">
        <v>404.55</v>
      </c>
      <c r="K1475" s="1">
        <v>2.1</v>
      </c>
      <c r="L1475" s="1">
        <v>404.55</v>
      </c>
      <c r="M1475" s="1" t="s">
        <v>10</v>
      </c>
      <c r="N1475" s="1">
        <f>IF(Sales_Data[[#This Row],[Sales with Discount]]&lt;Sales_Data[[#This Row],[Sales with Free Shipping]],Sales_Data[[#This Row],[Sales with Discount]],Sales_Data[[#This Row],[Sales with Free Shipping]])</f>
        <v>404.55</v>
      </c>
      <c r="O1475" s="1" t="str">
        <f>TEXT(Sales_Data[[#This Row],[Order Date]], "MM-YYYY")</f>
        <v>11-2019</v>
      </c>
    </row>
    <row r="1476" spans="1:15" x14ac:dyDescent="0.3">
      <c r="A1476" s="1">
        <v>46243</v>
      </c>
      <c r="B1476" s="2">
        <v>43488</v>
      </c>
      <c r="C1476" s="1" t="s">
        <v>7</v>
      </c>
      <c r="D1476" s="1">
        <v>31</v>
      </c>
      <c r="E1476" t="s">
        <v>21</v>
      </c>
      <c r="F1476" t="s">
        <v>21</v>
      </c>
      <c r="G1476" s="1">
        <v>185.1</v>
      </c>
      <c r="H1476">
        <v>0</v>
      </c>
      <c r="I1476">
        <f>Sales_Data[[#This Row],[Sales]]*Sales_Data[[#This Row],[Discount]]</f>
        <v>0</v>
      </c>
      <c r="J1476">
        <v>185.1</v>
      </c>
      <c r="K1476" s="1">
        <v>1.1000000000000001</v>
      </c>
      <c r="L1476" s="1">
        <v>185.1</v>
      </c>
      <c r="M1476" s="1" t="s">
        <v>10</v>
      </c>
      <c r="N1476" s="1">
        <f>IF(Sales_Data[[#This Row],[Sales with Discount]]&lt;Sales_Data[[#This Row],[Sales with Free Shipping]],Sales_Data[[#This Row],[Sales with Discount]],Sales_Data[[#This Row],[Sales with Free Shipping]])</f>
        <v>185.1</v>
      </c>
      <c r="O1476" s="1" t="str">
        <f>TEXT(Sales_Data[[#This Row],[Order Date]], "MM-YYYY")</f>
        <v>01-2019</v>
      </c>
    </row>
    <row r="1477" spans="1:15" x14ac:dyDescent="0.3">
      <c r="A1477" s="1">
        <v>11239</v>
      </c>
      <c r="B1477" s="2">
        <v>43504</v>
      </c>
      <c r="C1477" s="1" t="s">
        <v>12</v>
      </c>
      <c r="D1477" s="1">
        <v>33</v>
      </c>
      <c r="E1477" t="s">
        <v>21</v>
      </c>
      <c r="F1477" t="s">
        <v>21</v>
      </c>
      <c r="G1477" s="1">
        <v>6601.92</v>
      </c>
      <c r="H1477">
        <v>0</v>
      </c>
      <c r="I1477">
        <f>Sales_Data[[#This Row],[Sales]]*Sales_Data[[#This Row],[Discount]]</f>
        <v>0</v>
      </c>
      <c r="J1477">
        <v>6601.92</v>
      </c>
      <c r="K1477" s="1">
        <v>31.3</v>
      </c>
      <c r="L1477" s="1">
        <v>6601.92</v>
      </c>
      <c r="M1477" s="1" t="s">
        <v>13</v>
      </c>
      <c r="N1477" s="1">
        <f>IF(Sales_Data[[#This Row],[Sales with Discount]]&lt;Sales_Data[[#This Row],[Sales with Free Shipping]],Sales_Data[[#This Row],[Sales with Discount]],Sales_Data[[#This Row],[Sales with Free Shipping]])</f>
        <v>6601.92</v>
      </c>
      <c r="O1477" s="1" t="str">
        <f>TEXT(Sales_Data[[#This Row],[Order Date]], "MM-YYYY")</f>
        <v>02-2019</v>
      </c>
    </row>
    <row r="1478" spans="1:15" x14ac:dyDescent="0.3">
      <c r="A1478" s="1">
        <v>27490</v>
      </c>
      <c r="B1478" s="2">
        <v>43538</v>
      </c>
      <c r="C1478" s="1" t="s">
        <v>11</v>
      </c>
      <c r="D1478" s="1">
        <v>18</v>
      </c>
      <c r="E1478" t="s">
        <v>19</v>
      </c>
      <c r="F1478" t="s">
        <v>19</v>
      </c>
      <c r="G1478" s="1">
        <v>654.53</v>
      </c>
      <c r="H1478">
        <v>0</v>
      </c>
      <c r="I1478">
        <f>Sales_Data[[#This Row],[Sales]]*Sales_Data[[#This Row],[Discount]]</f>
        <v>0</v>
      </c>
      <c r="J1478">
        <v>654.53</v>
      </c>
      <c r="K1478" s="1">
        <v>13.5</v>
      </c>
      <c r="L1478" s="1">
        <v>654.53</v>
      </c>
      <c r="M1478" s="1" t="s">
        <v>10</v>
      </c>
      <c r="N1478" s="1">
        <f>IF(Sales_Data[[#This Row],[Sales with Discount]]&lt;Sales_Data[[#This Row],[Sales with Free Shipping]],Sales_Data[[#This Row],[Sales with Discount]],Sales_Data[[#This Row],[Sales with Free Shipping]])</f>
        <v>654.53</v>
      </c>
      <c r="O1478" s="1" t="str">
        <f>TEXT(Sales_Data[[#This Row],[Order Date]], "MM-YYYY")</f>
        <v>03-2019</v>
      </c>
    </row>
    <row r="1479" spans="1:15" x14ac:dyDescent="0.3">
      <c r="A1479" s="1">
        <v>3845</v>
      </c>
      <c r="B1479" s="2">
        <v>43580</v>
      </c>
      <c r="C1479" s="1" t="s">
        <v>12</v>
      </c>
      <c r="D1479" s="1">
        <v>15</v>
      </c>
      <c r="E1479" t="s">
        <v>18</v>
      </c>
      <c r="F1479" t="s">
        <v>18</v>
      </c>
      <c r="G1479" s="1">
        <v>132.58369999999999</v>
      </c>
      <c r="H1479">
        <v>0</v>
      </c>
      <c r="I1479">
        <f>Sales_Data[[#This Row],[Sales]]*Sales_Data[[#This Row],[Discount]]</f>
        <v>0</v>
      </c>
      <c r="J1479">
        <v>132.58369999999999</v>
      </c>
      <c r="K1479" s="1">
        <v>1</v>
      </c>
      <c r="L1479" s="1">
        <v>132.58369999999999</v>
      </c>
      <c r="M1479" s="1" t="s">
        <v>10</v>
      </c>
      <c r="N1479" s="1">
        <f>IF(Sales_Data[[#This Row],[Sales with Discount]]&lt;Sales_Data[[#This Row],[Sales with Free Shipping]],Sales_Data[[#This Row],[Sales with Discount]],Sales_Data[[#This Row],[Sales with Free Shipping]])</f>
        <v>132.58369999999999</v>
      </c>
      <c r="O1479" s="1" t="str">
        <f>TEXT(Sales_Data[[#This Row],[Order Date]], "MM-YYYY")</f>
        <v>04-2019</v>
      </c>
    </row>
    <row r="1480" spans="1:15" x14ac:dyDescent="0.3">
      <c r="A1480" s="1">
        <v>32192</v>
      </c>
      <c r="B1480" s="2">
        <v>43513</v>
      </c>
      <c r="C1480" s="1" t="s">
        <v>11</v>
      </c>
      <c r="D1480" s="1">
        <v>4</v>
      </c>
      <c r="E1480" t="s">
        <v>16</v>
      </c>
      <c r="F1480" t="s">
        <v>16</v>
      </c>
      <c r="G1480" s="1">
        <v>170.4</v>
      </c>
      <c r="H1480">
        <v>0</v>
      </c>
      <c r="I1480">
        <f>Sales_Data[[#This Row],[Sales]]*Sales_Data[[#This Row],[Discount]]</f>
        <v>0</v>
      </c>
      <c r="J1480">
        <v>170.4</v>
      </c>
      <c r="K1480" s="1">
        <v>2.7</v>
      </c>
      <c r="L1480" s="1">
        <v>170.4</v>
      </c>
      <c r="M1480" s="1" t="s">
        <v>10</v>
      </c>
      <c r="N1480" s="1">
        <f>IF(Sales_Data[[#This Row],[Sales with Discount]]&lt;Sales_Data[[#This Row],[Sales with Free Shipping]],Sales_Data[[#This Row],[Sales with Discount]],Sales_Data[[#This Row],[Sales with Free Shipping]])</f>
        <v>170.4</v>
      </c>
      <c r="O1480" s="1" t="str">
        <f>TEXT(Sales_Data[[#This Row],[Order Date]], "MM-YYYY")</f>
        <v>02-2019</v>
      </c>
    </row>
    <row r="1481" spans="1:15" x14ac:dyDescent="0.3">
      <c r="A1481" s="1">
        <v>1447</v>
      </c>
      <c r="B1481" s="2">
        <v>43752</v>
      </c>
      <c r="C1481" s="1" t="s">
        <v>9</v>
      </c>
      <c r="D1481" s="1">
        <v>40</v>
      </c>
      <c r="E1481" t="s">
        <v>22</v>
      </c>
      <c r="F1481" t="s">
        <v>22</v>
      </c>
      <c r="G1481" s="1">
        <v>2285.4899999999998</v>
      </c>
      <c r="H1481">
        <v>0.01</v>
      </c>
      <c r="I1481">
        <f>Sales_Data[[#This Row],[Sales]]*Sales_Data[[#This Row],[Discount]]</f>
        <v>22.854899999999997</v>
      </c>
      <c r="J1481">
        <v>2262.6351</v>
      </c>
      <c r="K1481" s="1">
        <v>9.6</v>
      </c>
      <c r="L1481" s="1">
        <v>2275.89</v>
      </c>
      <c r="M1481" s="1" t="s">
        <v>10</v>
      </c>
      <c r="N1481" s="1">
        <f>IF(Sales_Data[[#This Row],[Sales with Discount]]&lt;Sales_Data[[#This Row],[Sales with Free Shipping]],Sales_Data[[#This Row],[Sales with Discount]],Sales_Data[[#This Row],[Sales with Free Shipping]])</f>
        <v>2262.6351</v>
      </c>
      <c r="O1481" s="1" t="str">
        <f>TEXT(Sales_Data[[#This Row],[Order Date]], "MM-YYYY")</f>
        <v>10-2019</v>
      </c>
    </row>
    <row r="1482" spans="1:15" x14ac:dyDescent="0.3">
      <c r="A1482" s="1">
        <v>5473</v>
      </c>
      <c r="B1482" s="2">
        <v>43548</v>
      </c>
      <c r="C1482" s="1" t="s">
        <v>11</v>
      </c>
      <c r="D1482" s="1">
        <v>42</v>
      </c>
      <c r="E1482" t="s">
        <v>23</v>
      </c>
      <c r="F1482" t="s">
        <v>23</v>
      </c>
      <c r="G1482" s="1">
        <v>380.59</v>
      </c>
      <c r="H1482">
        <v>0.01</v>
      </c>
      <c r="I1482">
        <f>Sales_Data[[#This Row],[Sales]]*Sales_Data[[#This Row],[Discount]]</f>
        <v>3.8058999999999998</v>
      </c>
      <c r="J1482">
        <v>376.78409999999997</v>
      </c>
      <c r="K1482" s="1">
        <v>8.9</v>
      </c>
      <c r="L1482" s="1">
        <v>371.69</v>
      </c>
      <c r="M1482" s="1" t="s">
        <v>10</v>
      </c>
      <c r="N1482" s="1">
        <f>IF(Sales_Data[[#This Row],[Sales with Discount]]&lt;Sales_Data[[#This Row],[Sales with Free Shipping]],Sales_Data[[#This Row],[Sales with Discount]],Sales_Data[[#This Row],[Sales with Free Shipping]])</f>
        <v>371.69</v>
      </c>
      <c r="O1482" s="1" t="str">
        <f>TEXT(Sales_Data[[#This Row],[Order Date]], "MM-YYYY")</f>
        <v>03-2019</v>
      </c>
    </row>
    <row r="1483" spans="1:15" x14ac:dyDescent="0.3">
      <c r="A1483" s="1">
        <v>23812</v>
      </c>
      <c r="B1483" s="2">
        <v>43673</v>
      </c>
      <c r="C1483" s="1" t="s">
        <v>12</v>
      </c>
      <c r="D1483" s="1">
        <v>32</v>
      </c>
      <c r="E1483" t="s">
        <v>21</v>
      </c>
      <c r="F1483" t="s">
        <v>21</v>
      </c>
      <c r="G1483" s="1">
        <v>6255.0273999999999</v>
      </c>
      <c r="H1483">
        <v>0</v>
      </c>
      <c r="I1483">
        <f>Sales_Data[[#This Row],[Sales]]*Sales_Data[[#This Row],[Discount]]</f>
        <v>0</v>
      </c>
      <c r="J1483">
        <v>6255.0273999999999</v>
      </c>
      <c r="K1483" s="1">
        <v>16.7</v>
      </c>
      <c r="L1483" s="1">
        <v>6255.0273999999999</v>
      </c>
      <c r="M1483" s="1" t="s">
        <v>13</v>
      </c>
      <c r="N1483" s="1">
        <f>IF(Sales_Data[[#This Row],[Sales with Discount]]&lt;Sales_Data[[#This Row],[Sales with Free Shipping]],Sales_Data[[#This Row],[Sales with Discount]],Sales_Data[[#This Row],[Sales with Free Shipping]])</f>
        <v>6255.0273999999999</v>
      </c>
      <c r="O1483" s="1" t="str">
        <f>TEXT(Sales_Data[[#This Row],[Order Date]], "MM-YYYY")</f>
        <v>07-2019</v>
      </c>
    </row>
    <row r="1484" spans="1:15" x14ac:dyDescent="0.3">
      <c r="A1484" s="1">
        <v>20256</v>
      </c>
      <c r="B1484" s="2">
        <v>43495</v>
      </c>
      <c r="C1484" s="1" t="s">
        <v>7</v>
      </c>
      <c r="D1484" s="1">
        <v>24</v>
      </c>
      <c r="E1484" t="s">
        <v>14</v>
      </c>
      <c r="F1484" t="s">
        <v>14</v>
      </c>
      <c r="G1484" s="1">
        <v>548.73</v>
      </c>
      <c r="H1484">
        <v>0</v>
      </c>
      <c r="I1484">
        <f>Sales_Data[[#This Row],[Sales]]*Sales_Data[[#This Row],[Discount]]</f>
        <v>0</v>
      </c>
      <c r="J1484">
        <v>548.73</v>
      </c>
      <c r="K1484" s="1">
        <v>12.3</v>
      </c>
      <c r="L1484" s="1">
        <v>548.73</v>
      </c>
      <c r="M1484" s="1" t="s">
        <v>10</v>
      </c>
      <c r="N1484" s="1">
        <f>IF(Sales_Data[[#This Row],[Sales with Discount]]&lt;Sales_Data[[#This Row],[Sales with Free Shipping]],Sales_Data[[#This Row],[Sales with Discount]],Sales_Data[[#This Row],[Sales with Free Shipping]])</f>
        <v>548.73</v>
      </c>
      <c r="O1484" s="1" t="str">
        <f>TEXT(Sales_Data[[#This Row],[Order Date]], "MM-YYYY")</f>
        <v>01-2019</v>
      </c>
    </row>
    <row r="1485" spans="1:15" x14ac:dyDescent="0.3">
      <c r="A1485" s="1">
        <v>5858</v>
      </c>
      <c r="B1485" s="2">
        <v>43659</v>
      </c>
      <c r="C1485" s="1" t="s">
        <v>11</v>
      </c>
      <c r="D1485" s="1">
        <v>48</v>
      </c>
      <c r="E1485" t="s">
        <v>24</v>
      </c>
      <c r="F1485" t="s">
        <v>24</v>
      </c>
      <c r="G1485" s="1">
        <v>2708.88</v>
      </c>
      <c r="H1485">
        <v>0.01</v>
      </c>
      <c r="I1485">
        <f>Sales_Data[[#This Row],[Sales]]*Sales_Data[[#This Row],[Discount]]</f>
        <v>27.088800000000003</v>
      </c>
      <c r="J1485">
        <v>2681.7912000000001</v>
      </c>
      <c r="K1485" s="1">
        <v>14.6</v>
      </c>
      <c r="L1485" s="1">
        <v>2694.28</v>
      </c>
      <c r="M1485" s="1" t="s">
        <v>10</v>
      </c>
      <c r="N1485" s="1">
        <f>IF(Sales_Data[[#This Row],[Sales with Discount]]&lt;Sales_Data[[#This Row],[Sales with Free Shipping]],Sales_Data[[#This Row],[Sales with Discount]],Sales_Data[[#This Row],[Sales with Free Shipping]])</f>
        <v>2681.7912000000001</v>
      </c>
      <c r="O1485" s="1" t="str">
        <f>TEXT(Sales_Data[[#This Row],[Order Date]], "MM-YYYY")</f>
        <v>07-2019</v>
      </c>
    </row>
    <row r="1486" spans="1:15" x14ac:dyDescent="0.3">
      <c r="A1486" s="1">
        <v>5408</v>
      </c>
      <c r="B1486" s="2">
        <v>43666</v>
      </c>
      <c r="C1486" s="1" t="s">
        <v>7</v>
      </c>
      <c r="D1486" s="1">
        <v>20</v>
      </c>
      <c r="E1486" t="s">
        <v>19</v>
      </c>
      <c r="F1486" t="s">
        <v>19</v>
      </c>
      <c r="G1486" s="1">
        <v>95.04</v>
      </c>
      <c r="H1486">
        <v>0</v>
      </c>
      <c r="I1486">
        <f>Sales_Data[[#This Row],[Sales]]*Sales_Data[[#This Row],[Discount]]</f>
        <v>0</v>
      </c>
      <c r="J1486">
        <v>95.04</v>
      </c>
      <c r="K1486" s="1">
        <v>0.5</v>
      </c>
      <c r="L1486" s="1">
        <v>95.04</v>
      </c>
      <c r="M1486" s="1" t="s">
        <v>10</v>
      </c>
      <c r="N1486" s="1">
        <f>IF(Sales_Data[[#This Row],[Sales with Discount]]&lt;Sales_Data[[#This Row],[Sales with Free Shipping]],Sales_Data[[#This Row],[Sales with Discount]],Sales_Data[[#This Row],[Sales with Free Shipping]])</f>
        <v>95.04</v>
      </c>
      <c r="O1486" s="1" t="str">
        <f>TEXT(Sales_Data[[#This Row],[Order Date]], "MM-YYYY")</f>
        <v>07-2019</v>
      </c>
    </row>
    <row r="1487" spans="1:15" x14ac:dyDescent="0.3">
      <c r="A1487" s="1">
        <v>25637</v>
      </c>
      <c r="B1487" s="2">
        <v>43520</v>
      </c>
      <c r="C1487" s="1" t="s">
        <v>11</v>
      </c>
      <c r="D1487" s="1">
        <v>12</v>
      </c>
      <c r="E1487" t="s">
        <v>18</v>
      </c>
      <c r="F1487" t="s">
        <v>18</v>
      </c>
      <c r="G1487" s="1">
        <v>2578.08</v>
      </c>
      <c r="H1487">
        <v>0</v>
      </c>
      <c r="I1487">
        <f>Sales_Data[[#This Row],[Sales]]*Sales_Data[[#This Row],[Discount]]</f>
        <v>0</v>
      </c>
      <c r="J1487">
        <v>2578.08</v>
      </c>
      <c r="K1487" s="1">
        <v>71.3</v>
      </c>
      <c r="L1487" s="1">
        <v>2578.08</v>
      </c>
      <c r="M1487" s="1" t="s">
        <v>13</v>
      </c>
      <c r="N1487" s="1">
        <f>IF(Sales_Data[[#This Row],[Sales with Discount]]&lt;Sales_Data[[#This Row],[Sales with Free Shipping]],Sales_Data[[#This Row],[Sales with Discount]],Sales_Data[[#This Row],[Sales with Free Shipping]])</f>
        <v>2578.08</v>
      </c>
      <c r="O1487" s="1" t="str">
        <f>TEXT(Sales_Data[[#This Row],[Order Date]], "MM-YYYY")</f>
        <v>02-2019</v>
      </c>
    </row>
    <row r="1488" spans="1:15" x14ac:dyDescent="0.3">
      <c r="A1488" s="1">
        <v>3845</v>
      </c>
      <c r="B1488" s="2">
        <v>43580</v>
      </c>
      <c r="C1488" s="1" t="s">
        <v>12</v>
      </c>
      <c r="D1488" s="1">
        <v>22</v>
      </c>
      <c r="E1488" t="s">
        <v>14</v>
      </c>
      <c r="F1488" t="s">
        <v>14</v>
      </c>
      <c r="G1488" s="1">
        <v>509.02</v>
      </c>
      <c r="H1488">
        <v>0</v>
      </c>
      <c r="I1488">
        <f>Sales_Data[[#This Row],[Sales]]*Sales_Data[[#This Row],[Discount]]</f>
        <v>0</v>
      </c>
      <c r="J1488">
        <v>509.02</v>
      </c>
      <c r="K1488" s="1">
        <v>11.2</v>
      </c>
      <c r="L1488" s="1">
        <v>509.02</v>
      </c>
      <c r="M1488" s="1" t="s">
        <v>10</v>
      </c>
      <c r="N1488" s="1">
        <f>IF(Sales_Data[[#This Row],[Sales with Discount]]&lt;Sales_Data[[#This Row],[Sales with Free Shipping]],Sales_Data[[#This Row],[Sales with Discount]],Sales_Data[[#This Row],[Sales with Free Shipping]])</f>
        <v>509.02</v>
      </c>
      <c r="O1488" s="1" t="str">
        <f>TEXT(Sales_Data[[#This Row],[Order Date]], "MM-YYYY")</f>
        <v>04-2019</v>
      </c>
    </row>
    <row r="1489" spans="1:15" x14ac:dyDescent="0.3">
      <c r="A1489" s="1">
        <v>42469</v>
      </c>
      <c r="B1489" s="2">
        <v>43777</v>
      </c>
      <c r="C1489" s="1" t="s">
        <v>11</v>
      </c>
      <c r="D1489" s="1">
        <v>31</v>
      </c>
      <c r="E1489" t="s">
        <v>21</v>
      </c>
      <c r="F1489" t="s">
        <v>21</v>
      </c>
      <c r="G1489" s="1">
        <v>1000.31</v>
      </c>
      <c r="H1489">
        <v>0</v>
      </c>
      <c r="I1489">
        <f>Sales_Data[[#This Row],[Sales]]*Sales_Data[[#This Row],[Discount]]</f>
        <v>0</v>
      </c>
      <c r="J1489">
        <v>1000.31</v>
      </c>
      <c r="K1489" s="1">
        <v>13.5</v>
      </c>
      <c r="L1489" s="1">
        <v>1000.31</v>
      </c>
      <c r="M1489" s="1" t="s">
        <v>10</v>
      </c>
      <c r="N1489" s="1">
        <f>IF(Sales_Data[[#This Row],[Sales with Discount]]&lt;Sales_Data[[#This Row],[Sales with Free Shipping]],Sales_Data[[#This Row],[Sales with Discount]],Sales_Data[[#This Row],[Sales with Free Shipping]])</f>
        <v>1000.31</v>
      </c>
      <c r="O1489" s="1" t="str">
        <f>TEXT(Sales_Data[[#This Row],[Order Date]], "MM-YYYY")</f>
        <v>11-2019</v>
      </c>
    </row>
    <row r="1490" spans="1:15" x14ac:dyDescent="0.3">
      <c r="A1490" s="1">
        <v>16804</v>
      </c>
      <c r="B1490" s="2">
        <v>43534</v>
      </c>
      <c r="C1490" s="1" t="s">
        <v>9</v>
      </c>
      <c r="D1490" s="1">
        <v>46</v>
      </c>
      <c r="E1490" t="s">
        <v>24</v>
      </c>
      <c r="F1490" t="s">
        <v>24</v>
      </c>
      <c r="G1490" s="1">
        <v>2600.46</v>
      </c>
      <c r="H1490">
        <v>0.01</v>
      </c>
      <c r="I1490">
        <f>Sales_Data[[#This Row],[Sales]]*Sales_Data[[#This Row],[Discount]]</f>
        <v>26.0046</v>
      </c>
      <c r="J1490">
        <v>2574.4553999999998</v>
      </c>
      <c r="K1490" s="1">
        <v>14.9</v>
      </c>
      <c r="L1490" s="1">
        <v>2585.56</v>
      </c>
      <c r="M1490" s="1" t="s">
        <v>10</v>
      </c>
      <c r="N1490" s="1">
        <f>IF(Sales_Data[[#This Row],[Sales with Discount]]&lt;Sales_Data[[#This Row],[Sales with Free Shipping]],Sales_Data[[#This Row],[Sales with Discount]],Sales_Data[[#This Row],[Sales with Free Shipping]])</f>
        <v>2574.4553999999998</v>
      </c>
      <c r="O1490" s="1" t="str">
        <f>TEXT(Sales_Data[[#This Row],[Order Date]], "MM-YYYY")</f>
        <v>03-2019</v>
      </c>
    </row>
    <row r="1491" spans="1:15" x14ac:dyDescent="0.3">
      <c r="A1491" s="1">
        <v>42471</v>
      </c>
      <c r="B1491" s="2">
        <v>43533</v>
      </c>
      <c r="C1491" s="1" t="s">
        <v>7</v>
      </c>
      <c r="D1491" s="1">
        <v>23</v>
      </c>
      <c r="E1491" t="s">
        <v>14</v>
      </c>
      <c r="F1491" t="s">
        <v>14</v>
      </c>
      <c r="G1491" s="1">
        <v>48.03</v>
      </c>
      <c r="H1491">
        <v>0</v>
      </c>
      <c r="I1491">
        <f>Sales_Data[[#This Row],[Sales]]*Sales_Data[[#This Row],[Discount]]</f>
        <v>0</v>
      </c>
      <c r="J1491">
        <v>48.03</v>
      </c>
      <c r="K1491" s="1">
        <v>1.7</v>
      </c>
      <c r="L1491" s="1">
        <v>48.03</v>
      </c>
      <c r="M1491" s="1" t="s">
        <v>10</v>
      </c>
      <c r="N1491" s="1">
        <f>IF(Sales_Data[[#This Row],[Sales with Discount]]&lt;Sales_Data[[#This Row],[Sales with Free Shipping]],Sales_Data[[#This Row],[Sales with Discount]],Sales_Data[[#This Row],[Sales with Free Shipping]])</f>
        <v>48.03</v>
      </c>
      <c r="O1491" s="1" t="str">
        <f>TEXT(Sales_Data[[#This Row],[Order Date]], "MM-YYYY")</f>
        <v>03-2019</v>
      </c>
    </row>
    <row r="1492" spans="1:15" x14ac:dyDescent="0.3">
      <c r="A1492" s="1">
        <v>17986</v>
      </c>
      <c r="B1492" s="2">
        <v>43560</v>
      </c>
      <c r="C1492" s="1" t="s">
        <v>11</v>
      </c>
      <c r="D1492" s="1">
        <v>43</v>
      </c>
      <c r="E1492" t="s">
        <v>23</v>
      </c>
      <c r="F1492" t="s">
        <v>23</v>
      </c>
      <c r="G1492" s="1">
        <v>93.421700000000001</v>
      </c>
      <c r="H1492">
        <v>0.01</v>
      </c>
      <c r="I1492">
        <f>Sales_Data[[#This Row],[Sales]]*Sales_Data[[#This Row],[Discount]]</f>
        <v>0.93421700000000008</v>
      </c>
      <c r="J1492">
        <v>92.487482999999997</v>
      </c>
      <c r="K1492" s="1">
        <v>1.6</v>
      </c>
      <c r="L1492" s="1">
        <v>91.821700000000007</v>
      </c>
      <c r="M1492" s="1" t="s">
        <v>10</v>
      </c>
      <c r="N1492" s="1">
        <f>IF(Sales_Data[[#This Row],[Sales with Discount]]&lt;Sales_Data[[#This Row],[Sales with Free Shipping]],Sales_Data[[#This Row],[Sales with Discount]],Sales_Data[[#This Row],[Sales with Free Shipping]])</f>
        <v>91.821700000000007</v>
      </c>
      <c r="O1492" s="1" t="str">
        <f>TEXT(Sales_Data[[#This Row],[Order Date]], "MM-YYYY")</f>
        <v>04-2019</v>
      </c>
    </row>
    <row r="1493" spans="1:15" x14ac:dyDescent="0.3">
      <c r="A1493" s="1">
        <v>31170</v>
      </c>
      <c r="B1493" s="2">
        <v>43491</v>
      </c>
      <c r="C1493" s="1" t="s">
        <v>14</v>
      </c>
      <c r="D1493" s="1">
        <v>32</v>
      </c>
      <c r="E1493" t="s">
        <v>21</v>
      </c>
      <c r="F1493" t="s">
        <v>21</v>
      </c>
      <c r="G1493" s="1">
        <v>343.01</v>
      </c>
      <c r="H1493">
        <v>0</v>
      </c>
      <c r="I1493">
        <f>Sales_Data[[#This Row],[Sales]]*Sales_Data[[#This Row],[Discount]]</f>
        <v>0</v>
      </c>
      <c r="J1493">
        <v>343.01</v>
      </c>
      <c r="K1493" s="1">
        <v>2.1</v>
      </c>
      <c r="L1493" s="1">
        <v>343.01</v>
      </c>
      <c r="M1493" s="1" t="s">
        <v>10</v>
      </c>
      <c r="N1493" s="1">
        <f>IF(Sales_Data[[#This Row],[Sales with Discount]]&lt;Sales_Data[[#This Row],[Sales with Free Shipping]],Sales_Data[[#This Row],[Sales with Discount]],Sales_Data[[#This Row],[Sales with Free Shipping]])</f>
        <v>343.01</v>
      </c>
      <c r="O1493" s="1" t="str">
        <f>TEXT(Sales_Data[[#This Row],[Order Date]], "MM-YYYY")</f>
        <v>01-2019</v>
      </c>
    </row>
    <row r="1494" spans="1:15" x14ac:dyDescent="0.3">
      <c r="A1494" s="1">
        <v>7458</v>
      </c>
      <c r="B1494" s="2">
        <v>43559</v>
      </c>
      <c r="C1494" s="1" t="s">
        <v>12</v>
      </c>
      <c r="D1494" s="1">
        <v>9</v>
      </c>
      <c r="E1494" t="s">
        <v>17</v>
      </c>
      <c r="F1494" t="s">
        <v>17</v>
      </c>
      <c r="G1494" s="1">
        <v>360.95</v>
      </c>
      <c r="H1494">
        <v>0</v>
      </c>
      <c r="I1494">
        <f>Sales_Data[[#This Row],[Sales]]*Sales_Data[[#This Row],[Discount]]</f>
        <v>0</v>
      </c>
      <c r="J1494">
        <v>360.95</v>
      </c>
      <c r="K1494" s="1">
        <v>2.1</v>
      </c>
      <c r="L1494" s="1">
        <v>360.95</v>
      </c>
      <c r="M1494" s="1" t="s">
        <v>10</v>
      </c>
      <c r="N1494" s="1">
        <f>IF(Sales_Data[[#This Row],[Sales with Discount]]&lt;Sales_Data[[#This Row],[Sales with Free Shipping]],Sales_Data[[#This Row],[Sales with Discount]],Sales_Data[[#This Row],[Sales with Free Shipping]])</f>
        <v>360.95</v>
      </c>
      <c r="O1494" s="1" t="str">
        <f>TEXT(Sales_Data[[#This Row],[Order Date]], "MM-YYYY")</f>
        <v>04-2019</v>
      </c>
    </row>
    <row r="1495" spans="1:15" x14ac:dyDescent="0.3">
      <c r="A1495" s="1">
        <v>43364</v>
      </c>
      <c r="B1495" s="2">
        <v>43562</v>
      </c>
      <c r="C1495" s="1" t="s">
        <v>9</v>
      </c>
      <c r="D1495" s="1">
        <v>21</v>
      </c>
      <c r="E1495" t="s">
        <v>14</v>
      </c>
      <c r="F1495" t="s">
        <v>14</v>
      </c>
      <c r="G1495" s="1">
        <v>560.89</v>
      </c>
      <c r="H1495">
        <v>0</v>
      </c>
      <c r="I1495">
        <f>Sales_Data[[#This Row],[Sales]]*Sales_Data[[#This Row],[Discount]]</f>
        <v>0</v>
      </c>
      <c r="J1495">
        <v>560.89</v>
      </c>
      <c r="K1495" s="1">
        <v>7.2</v>
      </c>
      <c r="L1495" s="1">
        <v>560.89</v>
      </c>
      <c r="M1495" s="1" t="s">
        <v>10</v>
      </c>
      <c r="N1495" s="1">
        <f>IF(Sales_Data[[#This Row],[Sales with Discount]]&lt;Sales_Data[[#This Row],[Sales with Free Shipping]],Sales_Data[[#This Row],[Sales with Discount]],Sales_Data[[#This Row],[Sales with Free Shipping]])</f>
        <v>560.89</v>
      </c>
      <c r="O1495" s="1" t="str">
        <f>TEXT(Sales_Data[[#This Row],[Order Date]], "MM-YYYY")</f>
        <v>04-2019</v>
      </c>
    </row>
    <row r="1496" spans="1:15" x14ac:dyDescent="0.3">
      <c r="A1496" s="1">
        <v>53795</v>
      </c>
      <c r="B1496" s="2">
        <v>43494</v>
      </c>
      <c r="C1496" s="1" t="s">
        <v>9</v>
      </c>
      <c r="D1496" s="1">
        <v>40</v>
      </c>
      <c r="E1496" t="s">
        <v>22</v>
      </c>
      <c r="F1496" t="s">
        <v>22</v>
      </c>
      <c r="G1496" s="1">
        <v>283.12</v>
      </c>
      <c r="H1496">
        <v>0.01</v>
      </c>
      <c r="I1496">
        <f>Sales_Data[[#This Row],[Sales]]*Sales_Data[[#This Row],[Discount]]</f>
        <v>2.8311999999999999</v>
      </c>
      <c r="J1496">
        <v>280.28879999999998</v>
      </c>
      <c r="K1496" s="1">
        <v>6.7</v>
      </c>
      <c r="L1496" s="1">
        <v>276.42</v>
      </c>
      <c r="M1496" s="1" t="s">
        <v>8</v>
      </c>
      <c r="N1496" s="1">
        <f>IF(Sales_Data[[#This Row],[Sales with Discount]]&lt;Sales_Data[[#This Row],[Sales with Free Shipping]],Sales_Data[[#This Row],[Sales with Discount]],Sales_Data[[#This Row],[Sales with Free Shipping]])</f>
        <v>276.42</v>
      </c>
      <c r="O1496" s="1" t="str">
        <f>TEXT(Sales_Data[[#This Row],[Order Date]], "MM-YYYY")</f>
        <v>01-2019</v>
      </c>
    </row>
    <row r="1497" spans="1:15" x14ac:dyDescent="0.3">
      <c r="A1497" s="1">
        <v>33731</v>
      </c>
      <c r="B1497" s="2">
        <v>43746</v>
      </c>
      <c r="C1497" s="1" t="s">
        <v>9</v>
      </c>
      <c r="D1497" s="1">
        <v>12</v>
      </c>
      <c r="E1497" t="s">
        <v>18</v>
      </c>
      <c r="F1497" t="s">
        <v>18</v>
      </c>
      <c r="G1497" s="1">
        <v>148.6</v>
      </c>
      <c r="H1497">
        <v>0</v>
      </c>
      <c r="I1497">
        <f>Sales_Data[[#This Row],[Sales]]*Sales_Data[[#This Row],[Discount]]</f>
        <v>0</v>
      </c>
      <c r="J1497">
        <v>148.6</v>
      </c>
      <c r="K1497" s="1">
        <v>5.4</v>
      </c>
      <c r="L1497" s="1">
        <v>148.6</v>
      </c>
      <c r="M1497" s="1" t="s">
        <v>10</v>
      </c>
      <c r="N1497" s="1">
        <f>IF(Sales_Data[[#This Row],[Sales with Discount]]&lt;Sales_Data[[#This Row],[Sales with Free Shipping]],Sales_Data[[#This Row],[Sales with Discount]],Sales_Data[[#This Row],[Sales with Free Shipping]])</f>
        <v>148.6</v>
      </c>
      <c r="O1497" s="1" t="str">
        <f>TEXT(Sales_Data[[#This Row],[Order Date]], "MM-YYYY")</f>
        <v>10-2019</v>
      </c>
    </row>
    <row r="1498" spans="1:15" x14ac:dyDescent="0.3">
      <c r="A1498" s="1">
        <v>56676</v>
      </c>
      <c r="B1498" s="2">
        <v>43763</v>
      </c>
      <c r="C1498" s="1" t="s">
        <v>12</v>
      </c>
      <c r="D1498" s="1">
        <v>39</v>
      </c>
      <c r="E1498" t="s">
        <v>22</v>
      </c>
      <c r="F1498" t="s">
        <v>22</v>
      </c>
      <c r="G1498" s="1">
        <v>220.9229</v>
      </c>
      <c r="H1498">
        <v>0.01</v>
      </c>
      <c r="I1498">
        <f>Sales_Data[[#This Row],[Sales]]*Sales_Data[[#This Row],[Discount]]</f>
        <v>2.2092290000000001</v>
      </c>
      <c r="J1498">
        <v>218.71367100000001</v>
      </c>
      <c r="K1498" s="1">
        <v>6.1</v>
      </c>
      <c r="L1498" s="1">
        <v>214.8229</v>
      </c>
      <c r="M1498" s="1" t="s">
        <v>10</v>
      </c>
      <c r="N1498" s="1">
        <f>IF(Sales_Data[[#This Row],[Sales with Discount]]&lt;Sales_Data[[#This Row],[Sales with Free Shipping]],Sales_Data[[#This Row],[Sales with Discount]],Sales_Data[[#This Row],[Sales with Free Shipping]])</f>
        <v>214.8229</v>
      </c>
      <c r="O1498" s="1" t="str">
        <f>TEXT(Sales_Data[[#This Row],[Order Date]], "MM-YYYY")</f>
        <v>10-2019</v>
      </c>
    </row>
    <row r="1499" spans="1:15" x14ac:dyDescent="0.3">
      <c r="A1499" s="1">
        <v>50982</v>
      </c>
      <c r="B1499" s="2">
        <v>43571</v>
      </c>
      <c r="C1499" s="1" t="s">
        <v>9</v>
      </c>
      <c r="D1499" s="1">
        <v>23</v>
      </c>
      <c r="E1499" t="s">
        <v>14</v>
      </c>
      <c r="F1499" t="s">
        <v>14</v>
      </c>
      <c r="G1499" s="1">
        <v>92.59</v>
      </c>
      <c r="H1499">
        <v>0</v>
      </c>
      <c r="I1499">
        <f>Sales_Data[[#This Row],[Sales]]*Sales_Data[[#This Row],[Discount]]</f>
        <v>0</v>
      </c>
      <c r="J1499">
        <v>92.59</v>
      </c>
      <c r="K1499" s="1">
        <v>0.5</v>
      </c>
      <c r="L1499" s="1">
        <v>92.59</v>
      </c>
      <c r="M1499" s="1" t="s">
        <v>10</v>
      </c>
      <c r="N1499" s="1">
        <f>IF(Sales_Data[[#This Row],[Sales with Discount]]&lt;Sales_Data[[#This Row],[Sales with Free Shipping]],Sales_Data[[#This Row],[Sales with Discount]],Sales_Data[[#This Row],[Sales with Free Shipping]])</f>
        <v>92.59</v>
      </c>
      <c r="O1499" s="1" t="str">
        <f>TEXT(Sales_Data[[#This Row],[Order Date]], "MM-YYYY")</f>
        <v>04-2019</v>
      </c>
    </row>
    <row r="1500" spans="1:15" x14ac:dyDescent="0.3">
      <c r="A1500" s="1">
        <v>16197</v>
      </c>
      <c r="B1500" s="2">
        <v>43764</v>
      </c>
      <c r="C1500" s="1" t="s">
        <v>12</v>
      </c>
      <c r="D1500" s="1">
        <v>19</v>
      </c>
      <c r="E1500" t="s">
        <v>19</v>
      </c>
      <c r="F1500" t="s">
        <v>19</v>
      </c>
      <c r="G1500" s="1">
        <v>110.94</v>
      </c>
      <c r="H1500">
        <v>0</v>
      </c>
      <c r="I1500">
        <f>Sales_Data[[#This Row],[Sales]]*Sales_Data[[#This Row],[Discount]]</f>
        <v>0</v>
      </c>
      <c r="J1500">
        <v>110.94</v>
      </c>
      <c r="K1500" s="1">
        <v>6.3</v>
      </c>
      <c r="L1500" s="1">
        <v>110.94</v>
      </c>
      <c r="M1500" s="1" t="s">
        <v>10</v>
      </c>
      <c r="N1500" s="1">
        <f>IF(Sales_Data[[#This Row],[Sales with Discount]]&lt;Sales_Data[[#This Row],[Sales with Free Shipping]],Sales_Data[[#This Row],[Sales with Discount]],Sales_Data[[#This Row],[Sales with Free Shipping]])</f>
        <v>110.94</v>
      </c>
      <c r="O1500" s="1" t="str">
        <f>TEXT(Sales_Data[[#This Row],[Order Date]], "MM-YYYY")</f>
        <v>10-2019</v>
      </c>
    </row>
    <row r="1501" spans="1:15" x14ac:dyDescent="0.3">
      <c r="A1501" s="1">
        <v>42243</v>
      </c>
      <c r="B1501" s="2">
        <v>43535</v>
      </c>
      <c r="C1501" s="1" t="s">
        <v>14</v>
      </c>
      <c r="D1501" s="1">
        <v>19</v>
      </c>
      <c r="E1501" t="s">
        <v>19</v>
      </c>
      <c r="F1501" t="s">
        <v>19</v>
      </c>
      <c r="G1501" s="1">
        <v>155.43</v>
      </c>
      <c r="H1501">
        <v>0</v>
      </c>
      <c r="I1501">
        <f>Sales_Data[[#This Row],[Sales]]*Sales_Data[[#This Row],[Discount]]</f>
        <v>0</v>
      </c>
      <c r="J1501">
        <v>155.43</v>
      </c>
      <c r="K1501" s="1">
        <v>6.4</v>
      </c>
      <c r="L1501" s="1">
        <v>155.43</v>
      </c>
      <c r="M1501" s="1" t="s">
        <v>10</v>
      </c>
      <c r="N1501" s="1">
        <f>IF(Sales_Data[[#This Row],[Sales with Discount]]&lt;Sales_Data[[#This Row],[Sales with Free Shipping]],Sales_Data[[#This Row],[Sales with Discount]],Sales_Data[[#This Row],[Sales with Free Shipping]])</f>
        <v>155.43</v>
      </c>
      <c r="O1501" s="1" t="str">
        <f>TEXT(Sales_Data[[#This Row],[Order Date]], "MM-YYYY")</f>
        <v>03-2019</v>
      </c>
    </row>
    <row r="1502" spans="1:15" x14ac:dyDescent="0.3">
      <c r="A1502" s="1">
        <v>27138</v>
      </c>
      <c r="B1502" s="2">
        <v>43615</v>
      </c>
      <c r="C1502" s="1" t="s">
        <v>9</v>
      </c>
      <c r="D1502" s="1">
        <v>37</v>
      </c>
      <c r="E1502" t="s">
        <v>22</v>
      </c>
      <c r="F1502" t="s">
        <v>22</v>
      </c>
      <c r="G1502" s="1">
        <v>2026.76</v>
      </c>
      <c r="H1502">
        <v>0.01</v>
      </c>
      <c r="I1502">
        <f>Sales_Data[[#This Row],[Sales]]*Sales_Data[[#This Row],[Discount]]</f>
        <v>20.267600000000002</v>
      </c>
      <c r="J1502">
        <v>2006.4923999999999</v>
      </c>
      <c r="K1502" s="1">
        <v>9.6</v>
      </c>
      <c r="L1502" s="1">
        <v>2017.16</v>
      </c>
      <c r="M1502" s="1" t="s">
        <v>10</v>
      </c>
      <c r="N1502" s="1">
        <f>IF(Sales_Data[[#This Row],[Sales with Discount]]&lt;Sales_Data[[#This Row],[Sales with Free Shipping]],Sales_Data[[#This Row],[Sales with Discount]],Sales_Data[[#This Row],[Sales with Free Shipping]])</f>
        <v>2006.4923999999999</v>
      </c>
      <c r="O1502" s="1" t="str">
        <f>TEXT(Sales_Data[[#This Row],[Order Date]], "MM-YYYY")</f>
        <v>05-2019</v>
      </c>
    </row>
    <row r="1503" spans="1:15" x14ac:dyDescent="0.3">
      <c r="A1503" s="1">
        <v>35968</v>
      </c>
      <c r="B1503" s="2">
        <v>43527</v>
      </c>
      <c r="C1503" s="1" t="s">
        <v>11</v>
      </c>
      <c r="D1503" s="1">
        <v>21</v>
      </c>
      <c r="E1503" t="s">
        <v>14</v>
      </c>
      <c r="F1503" t="s">
        <v>14</v>
      </c>
      <c r="G1503" s="1">
        <v>151.08000000000001</v>
      </c>
      <c r="H1503">
        <v>0</v>
      </c>
      <c r="I1503">
        <f>Sales_Data[[#This Row],[Sales]]*Sales_Data[[#This Row],[Discount]]</f>
        <v>0</v>
      </c>
      <c r="J1503">
        <v>151.08000000000001</v>
      </c>
      <c r="K1503" s="1">
        <v>7.5</v>
      </c>
      <c r="L1503" s="1">
        <v>151.08000000000001</v>
      </c>
      <c r="M1503" s="1" t="s">
        <v>10</v>
      </c>
      <c r="N1503" s="1">
        <f>IF(Sales_Data[[#This Row],[Sales with Discount]]&lt;Sales_Data[[#This Row],[Sales with Free Shipping]],Sales_Data[[#This Row],[Sales with Discount]],Sales_Data[[#This Row],[Sales with Free Shipping]])</f>
        <v>151.08000000000001</v>
      </c>
      <c r="O1503" s="1" t="str">
        <f>TEXT(Sales_Data[[#This Row],[Order Date]], "MM-YYYY")</f>
        <v>03-2019</v>
      </c>
    </row>
    <row r="1504" spans="1:15" x14ac:dyDescent="0.3">
      <c r="A1504" s="1">
        <v>39808</v>
      </c>
      <c r="B1504" s="2">
        <v>43710</v>
      </c>
      <c r="C1504" s="1" t="s">
        <v>7</v>
      </c>
      <c r="D1504" s="1">
        <v>31</v>
      </c>
      <c r="E1504" t="s">
        <v>21</v>
      </c>
      <c r="F1504" t="s">
        <v>21</v>
      </c>
      <c r="G1504" s="1">
        <v>3652.4</v>
      </c>
      <c r="H1504">
        <v>0</v>
      </c>
      <c r="I1504">
        <f>Sales_Data[[#This Row],[Sales]]*Sales_Data[[#This Row],[Discount]]</f>
        <v>0</v>
      </c>
      <c r="J1504">
        <v>3652.4</v>
      </c>
      <c r="K1504" s="1">
        <v>2.7</v>
      </c>
      <c r="L1504" s="1">
        <v>3652.4</v>
      </c>
      <c r="M1504" s="1" t="s">
        <v>10</v>
      </c>
      <c r="N1504" s="1">
        <f>IF(Sales_Data[[#This Row],[Sales with Discount]]&lt;Sales_Data[[#This Row],[Sales with Free Shipping]],Sales_Data[[#This Row],[Sales with Discount]],Sales_Data[[#This Row],[Sales with Free Shipping]])</f>
        <v>3652.4</v>
      </c>
      <c r="O1504" s="1" t="str">
        <f>TEXT(Sales_Data[[#This Row],[Order Date]], "MM-YYYY")</f>
        <v>09-2019</v>
      </c>
    </row>
    <row r="1505" spans="1:15" x14ac:dyDescent="0.3">
      <c r="A1505" s="1">
        <v>57767</v>
      </c>
      <c r="B1505" s="2">
        <v>43566</v>
      </c>
      <c r="C1505" s="1" t="s">
        <v>12</v>
      </c>
      <c r="D1505" s="1">
        <v>34</v>
      </c>
      <c r="E1505" t="s">
        <v>21</v>
      </c>
      <c r="F1505" t="s">
        <v>21</v>
      </c>
      <c r="G1505" s="1">
        <v>3609.87</v>
      </c>
      <c r="H1505">
        <v>0</v>
      </c>
      <c r="I1505">
        <f>Sales_Data[[#This Row],[Sales]]*Sales_Data[[#This Row],[Discount]]</f>
        <v>0</v>
      </c>
      <c r="J1505">
        <v>3609.87</v>
      </c>
      <c r="K1505" s="1">
        <v>9.6</v>
      </c>
      <c r="L1505" s="1">
        <v>3609.87</v>
      </c>
      <c r="M1505" s="1" t="s">
        <v>10</v>
      </c>
      <c r="N1505" s="1">
        <f>IF(Sales_Data[[#This Row],[Sales with Discount]]&lt;Sales_Data[[#This Row],[Sales with Free Shipping]],Sales_Data[[#This Row],[Sales with Discount]],Sales_Data[[#This Row],[Sales with Free Shipping]])</f>
        <v>3609.87</v>
      </c>
      <c r="O1505" s="1" t="str">
        <f>TEXT(Sales_Data[[#This Row],[Order Date]], "MM-YYYY")</f>
        <v>04-2019</v>
      </c>
    </row>
    <row r="1506" spans="1:15" x14ac:dyDescent="0.3">
      <c r="A1506" s="1">
        <v>24579</v>
      </c>
      <c r="B1506" s="2">
        <v>43787</v>
      </c>
      <c r="C1506" s="1" t="s">
        <v>9</v>
      </c>
      <c r="D1506" s="1">
        <v>45</v>
      </c>
      <c r="E1506" t="s">
        <v>23</v>
      </c>
      <c r="F1506" t="s">
        <v>23</v>
      </c>
      <c r="G1506" s="1">
        <v>14896.11</v>
      </c>
      <c r="H1506">
        <v>0.01</v>
      </c>
      <c r="I1506">
        <f>Sales_Data[[#This Row],[Sales]]*Sales_Data[[#This Row],[Discount]]</f>
        <v>148.96110000000002</v>
      </c>
      <c r="J1506">
        <v>14747.1489</v>
      </c>
      <c r="K1506" s="1">
        <v>26.2</v>
      </c>
      <c r="L1506" s="1">
        <v>14869.91</v>
      </c>
      <c r="M1506" s="1" t="s">
        <v>10</v>
      </c>
      <c r="N1506" s="1">
        <f>IF(Sales_Data[[#This Row],[Sales with Discount]]&lt;Sales_Data[[#This Row],[Sales with Free Shipping]],Sales_Data[[#This Row],[Sales with Discount]],Sales_Data[[#This Row],[Sales with Free Shipping]])</f>
        <v>14747.1489</v>
      </c>
      <c r="O1506" s="1" t="str">
        <f>TEXT(Sales_Data[[#This Row],[Order Date]], "MM-YYYY")</f>
        <v>11-2019</v>
      </c>
    </row>
    <row r="1507" spans="1:15" x14ac:dyDescent="0.3">
      <c r="A1507" s="1">
        <v>7751</v>
      </c>
      <c r="B1507" s="2">
        <v>43822</v>
      </c>
      <c r="C1507" s="1" t="s">
        <v>11</v>
      </c>
      <c r="D1507" s="1">
        <v>45</v>
      </c>
      <c r="E1507" t="s">
        <v>23</v>
      </c>
      <c r="F1507" t="s">
        <v>23</v>
      </c>
      <c r="G1507" s="1">
        <v>4866.25</v>
      </c>
      <c r="H1507">
        <v>0.01</v>
      </c>
      <c r="I1507">
        <f>Sales_Data[[#This Row],[Sales]]*Sales_Data[[#This Row],[Discount]]</f>
        <v>48.662500000000001</v>
      </c>
      <c r="J1507">
        <v>4817.5874999999996</v>
      </c>
      <c r="K1507" s="1">
        <v>62.3</v>
      </c>
      <c r="L1507" s="1">
        <v>4803.95</v>
      </c>
      <c r="M1507" s="1" t="s">
        <v>13</v>
      </c>
      <c r="N1507" s="1">
        <f>IF(Sales_Data[[#This Row],[Sales with Discount]]&lt;Sales_Data[[#This Row],[Sales with Free Shipping]],Sales_Data[[#This Row],[Sales with Discount]],Sales_Data[[#This Row],[Sales with Free Shipping]])</f>
        <v>4803.95</v>
      </c>
      <c r="O1507" s="1" t="str">
        <f>TEXT(Sales_Data[[#This Row],[Order Date]], "MM-YYYY")</f>
        <v>12-2019</v>
      </c>
    </row>
    <row r="1508" spans="1:15" x14ac:dyDescent="0.3">
      <c r="A1508" s="1">
        <v>7106</v>
      </c>
      <c r="B1508" s="2">
        <v>43595</v>
      </c>
      <c r="C1508" s="1" t="s">
        <v>7</v>
      </c>
      <c r="D1508" s="1">
        <v>36</v>
      </c>
      <c r="E1508" t="s">
        <v>22</v>
      </c>
      <c r="F1508" t="s">
        <v>22</v>
      </c>
      <c r="G1508" s="1">
        <v>1132.54</v>
      </c>
      <c r="H1508">
        <v>0.01</v>
      </c>
      <c r="I1508">
        <f>Sales_Data[[#This Row],[Sales]]*Sales_Data[[#This Row],[Discount]]</f>
        <v>11.3254</v>
      </c>
      <c r="J1508">
        <v>1121.2146</v>
      </c>
      <c r="K1508" s="1">
        <v>21.4</v>
      </c>
      <c r="L1508" s="1">
        <v>1111.1399999999999</v>
      </c>
      <c r="M1508" s="1" t="s">
        <v>10</v>
      </c>
      <c r="N1508" s="1">
        <f>IF(Sales_Data[[#This Row],[Sales with Discount]]&lt;Sales_Data[[#This Row],[Sales with Free Shipping]],Sales_Data[[#This Row],[Sales with Discount]],Sales_Data[[#This Row],[Sales with Free Shipping]])</f>
        <v>1111.1399999999999</v>
      </c>
      <c r="O1508" s="1" t="str">
        <f>TEXT(Sales_Data[[#This Row],[Order Date]], "MM-YYYY")</f>
        <v>05-2019</v>
      </c>
    </row>
    <row r="1509" spans="1:15" x14ac:dyDescent="0.3">
      <c r="A1509" s="1">
        <v>43109</v>
      </c>
      <c r="B1509" s="2">
        <v>43820</v>
      </c>
      <c r="C1509" s="1" t="s">
        <v>12</v>
      </c>
      <c r="D1509" s="1">
        <v>10</v>
      </c>
      <c r="E1509" t="s">
        <v>17</v>
      </c>
      <c r="F1509" t="s">
        <v>17</v>
      </c>
      <c r="G1509" s="1">
        <v>103.81140000000001</v>
      </c>
      <c r="H1509">
        <v>0</v>
      </c>
      <c r="I1509">
        <f>Sales_Data[[#This Row],[Sales]]*Sales_Data[[#This Row],[Discount]]</f>
        <v>0</v>
      </c>
      <c r="J1509">
        <v>103.81140000000001</v>
      </c>
      <c r="K1509" s="1">
        <v>2.1</v>
      </c>
      <c r="L1509" s="1">
        <v>103.81140000000001</v>
      </c>
      <c r="M1509" s="1" t="s">
        <v>10</v>
      </c>
      <c r="N1509" s="1">
        <f>IF(Sales_Data[[#This Row],[Sales with Discount]]&lt;Sales_Data[[#This Row],[Sales with Free Shipping]],Sales_Data[[#This Row],[Sales with Discount]],Sales_Data[[#This Row],[Sales with Free Shipping]])</f>
        <v>103.81140000000001</v>
      </c>
      <c r="O1509" s="1" t="str">
        <f>TEXT(Sales_Data[[#This Row],[Order Date]], "MM-YYYY")</f>
        <v>12-2019</v>
      </c>
    </row>
    <row r="1510" spans="1:15" x14ac:dyDescent="0.3">
      <c r="A1510" s="1">
        <v>18596</v>
      </c>
      <c r="B1510" s="2">
        <v>43740</v>
      </c>
      <c r="C1510" s="1" t="s">
        <v>7</v>
      </c>
      <c r="D1510" s="1">
        <v>32</v>
      </c>
      <c r="E1510" t="s">
        <v>21</v>
      </c>
      <c r="F1510" t="s">
        <v>21</v>
      </c>
      <c r="G1510" s="1">
        <v>445.98</v>
      </c>
      <c r="H1510">
        <v>0</v>
      </c>
      <c r="I1510">
        <f>Sales_Data[[#This Row],[Sales]]*Sales_Data[[#This Row],[Discount]]</f>
        <v>0</v>
      </c>
      <c r="J1510">
        <v>445.98</v>
      </c>
      <c r="K1510" s="1">
        <v>0.5</v>
      </c>
      <c r="L1510" s="1">
        <v>445.98</v>
      </c>
      <c r="M1510" s="1" t="s">
        <v>10</v>
      </c>
      <c r="N1510" s="1">
        <f>IF(Sales_Data[[#This Row],[Sales with Discount]]&lt;Sales_Data[[#This Row],[Sales with Free Shipping]],Sales_Data[[#This Row],[Sales with Discount]],Sales_Data[[#This Row],[Sales with Free Shipping]])</f>
        <v>445.98</v>
      </c>
      <c r="O1510" s="1" t="str">
        <f>TEXT(Sales_Data[[#This Row],[Order Date]], "MM-YYYY")</f>
        <v>10-2019</v>
      </c>
    </row>
    <row r="1511" spans="1:15" x14ac:dyDescent="0.3">
      <c r="A1511" s="1">
        <v>41831</v>
      </c>
      <c r="B1511" s="2">
        <v>43667</v>
      </c>
      <c r="C1511" s="1" t="s">
        <v>11</v>
      </c>
      <c r="D1511" s="1">
        <v>43</v>
      </c>
      <c r="E1511" t="s">
        <v>23</v>
      </c>
      <c r="F1511" t="s">
        <v>23</v>
      </c>
      <c r="G1511" s="1">
        <v>3681.9663</v>
      </c>
      <c r="H1511">
        <v>0.01</v>
      </c>
      <c r="I1511">
        <f>Sales_Data[[#This Row],[Sales]]*Sales_Data[[#This Row],[Discount]]</f>
        <v>36.819662999999998</v>
      </c>
      <c r="J1511">
        <v>3645.1466369999998</v>
      </c>
      <c r="K1511" s="1">
        <v>32.200000000000003</v>
      </c>
      <c r="L1511" s="1">
        <v>3649.7663000000002</v>
      </c>
      <c r="M1511" s="1" t="s">
        <v>13</v>
      </c>
      <c r="N1511" s="1">
        <f>IF(Sales_Data[[#This Row],[Sales with Discount]]&lt;Sales_Data[[#This Row],[Sales with Free Shipping]],Sales_Data[[#This Row],[Sales with Discount]],Sales_Data[[#This Row],[Sales with Free Shipping]])</f>
        <v>3645.1466369999998</v>
      </c>
      <c r="O1511" s="1" t="str">
        <f>TEXT(Sales_Data[[#This Row],[Order Date]], "MM-YYYY")</f>
        <v>07-2019</v>
      </c>
    </row>
    <row r="1512" spans="1:15" x14ac:dyDescent="0.3">
      <c r="A1512" s="1">
        <v>50883</v>
      </c>
      <c r="B1512" s="2">
        <v>43617</v>
      </c>
      <c r="C1512" s="1" t="s">
        <v>7</v>
      </c>
      <c r="D1512" s="1">
        <v>35</v>
      </c>
      <c r="E1512" t="s">
        <v>21</v>
      </c>
      <c r="F1512" t="s">
        <v>21</v>
      </c>
      <c r="G1512" s="1">
        <v>7211.71</v>
      </c>
      <c r="H1512">
        <v>0</v>
      </c>
      <c r="I1512">
        <f>Sales_Data[[#This Row],[Sales]]*Sales_Data[[#This Row],[Discount]]</f>
        <v>0</v>
      </c>
      <c r="J1512">
        <v>7211.71</v>
      </c>
      <c r="K1512" s="1">
        <v>32.1</v>
      </c>
      <c r="L1512" s="1">
        <v>7211.71</v>
      </c>
      <c r="M1512" s="1" t="s">
        <v>13</v>
      </c>
      <c r="N1512" s="1">
        <f>IF(Sales_Data[[#This Row],[Sales with Discount]]&lt;Sales_Data[[#This Row],[Sales with Free Shipping]],Sales_Data[[#This Row],[Sales with Discount]],Sales_Data[[#This Row],[Sales with Free Shipping]])</f>
        <v>7211.71</v>
      </c>
      <c r="O1512" s="1" t="str">
        <f>TEXT(Sales_Data[[#This Row],[Order Date]], "MM-YYYY")</f>
        <v>06-2019</v>
      </c>
    </row>
    <row r="1513" spans="1:15" x14ac:dyDescent="0.3">
      <c r="A1513" s="1">
        <v>38661</v>
      </c>
      <c r="B1513" s="2">
        <v>43507</v>
      </c>
      <c r="C1513" s="1" t="s">
        <v>9</v>
      </c>
      <c r="D1513" s="1">
        <v>48</v>
      </c>
      <c r="E1513" t="s">
        <v>24</v>
      </c>
      <c r="F1513" t="s">
        <v>24</v>
      </c>
      <c r="G1513" s="1">
        <v>348.92700000000002</v>
      </c>
      <c r="H1513">
        <v>0.01</v>
      </c>
      <c r="I1513">
        <f>Sales_Data[[#This Row],[Sales]]*Sales_Data[[#This Row],[Discount]]</f>
        <v>3.4892700000000003</v>
      </c>
      <c r="J1513">
        <v>345.43773000000004</v>
      </c>
      <c r="K1513" s="1">
        <v>7.1</v>
      </c>
      <c r="L1513" s="1">
        <v>341.827</v>
      </c>
      <c r="M1513" s="1" t="s">
        <v>10</v>
      </c>
      <c r="N1513" s="1">
        <f>IF(Sales_Data[[#This Row],[Sales with Discount]]&lt;Sales_Data[[#This Row],[Sales with Free Shipping]],Sales_Data[[#This Row],[Sales with Discount]],Sales_Data[[#This Row],[Sales with Free Shipping]])</f>
        <v>341.827</v>
      </c>
      <c r="O1513" s="1" t="str">
        <f>TEXT(Sales_Data[[#This Row],[Order Date]], "MM-YYYY")</f>
        <v>02-2019</v>
      </c>
    </row>
    <row r="1514" spans="1:15" x14ac:dyDescent="0.3">
      <c r="A1514" s="1">
        <v>49889</v>
      </c>
      <c r="B1514" s="2">
        <v>43811</v>
      </c>
      <c r="C1514" s="1" t="s">
        <v>12</v>
      </c>
      <c r="D1514" s="1">
        <v>47</v>
      </c>
      <c r="E1514" t="s">
        <v>24</v>
      </c>
      <c r="F1514" t="s">
        <v>24</v>
      </c>
      <c r="G1514" s="1">
        <v>570.80999999999995</v>
      </c>
      <c r="H1514">
        <v>0.01</v>
      </c>
      <c r="I1514">
        <f>Sales_Data[[#This Row],[Sales]]*Sales_Data[[#This Row],[Discount]]</f>
        <v>5.7081</v>
      </c>
      <c r="J1514">
        <v>565.10189999999989</v>
      </c>
      <c r="K1514" s="1">
        <v>7.7</v>
      </c>
      <c r="L1514" s="1">
        <v>563.1099999999999</v>
      </c>
      <c r="M1514" s="1" t="s">
        <v>10</v>
      </c>
      <c r="N1514" s="1">
        <f>IF(Sales_Data[[#This Row],[Sales with Discount]]&lt;Sales_Data[[#This Row],[Sales with Free Shipping]],Sales_Data[[#This Row],[Sales with Discount]],Sales_Data[[#This Row],[Sales with Free Shipping]])</f>
        <v>563.1099999999999</v>
      </c>
      <c r="O1514" s="1" t="str">
        <f>TEXT(Sales_Data[[#This Row],[Order Date]], "MM-YYYY")</f>
        <v>12-2019</v>
      </c>
    </row>
    <row r="1515" spans="1:15" x14ac:dyDescent="0.3">
      <c r="A1515" s="1">
        <v>39300</v>
      </c>
      <c r="B1515" s="2">
        <v>43577</v>
      </c>
      <c r="C1515" s="1" t="s">
        <v>9</v>
      </c>
      <c r="D1515" s="1">
        <v>9</v>
      </c>
      <c r="E1515" t="s">
        <v>17</v>
      </c>
      <c r="F1515" t="s">
        <v>17</v>
      </c>
      <c r="G1515" s="1">
        <v>47.63</v>
      </c>
      <c r="H1515">
        <v>0</v>
      </c>
      <c r="I1515">
        <f>Sales_Data[[#This Row],[Sales]]*Sales_Data[[#This Row],[Discount]]</f>
        <v>0</v>
      </c>
      <c r="J1515">
        <v>47.63</v>
      </c>
      <c r="K1515" s="1">
        <v>7.4</v>
      </c>
      <c r="L1515" s="1">
        <v>47.63</v>
      </c>
      <c r="M1515" s="1" t="s">
        <v>10</v>
      </c>
      <c r="N1515" s="1">
        <f>IF(Sales_Data[[#This Row],[Sales with Discount]]&lt;Sales_Data[[#This Row],[Sales with Free Shipping]],Sales_Data[[#This Row],[Sales with Discount]],Sales_Data[[#This Row],[Sales with Free Shipping]])</f>
        <v>47.63</v>
      </c>
      <c r="O1515" s="1" t="str">
        <f>TEXT(Sales_Data[[#This Row],[Order Date]], "MM-YYYY")</f>
        <v>04-2019</v>
      </c>
    </row>
    <row r="1516" spans="1:15" x14ac:dyDescent="0.3">
      <c r="A1516" s="1">
        <v>29573</v>
      </c>
      <c r="B1516" s="2">
        <v>43480</v>
      </c>
      <c r="C1516" s="1" t="s">
        <v>12</v>
      </c>
      <c r="D1516" s="1">
        <v>43</v>
      </c>
      <c r="E1516" t="s">
        <v>23</v>
      </c>
      <c r="F1516" t="s">
        <v>23</v>
      </c>
      <c r="G1516" s="1">
        <v>847.66</v>
      </c>
      <c r="H1516">
        <v>0.01</v>
      </c>
      <c r="I1516">
        <f>Sales_Data[[#This Row],[Sales]]*Sales_Data[[#This Row],[Discount]]</f>
        <v>8.4765999999999995</v>
      </c>
      <c r="J1516">
        <v>839.18340000000001</v>
      </c>
      <c r="K1516" s="1">
        <v>10.199999999999999</v>
      </c>
      <c r="L1516" s="1">
        <v>837.45999999999992</v>
      </c>
      <c r="M1516" s="1" t="s">
        <v>10</v>
      </c>
      <c r="N1516" s="1">
        <f>IF(Sales_Data[[#This Row],[Sales with Discount]]&lt;Sales_Data[[#This Row],[Sales with Free Shipping]],Sales_Data[[#This Row],[Sales with Discount]],Sales_Data[[#This Row],[Sales with Free Shipping]])</f>
        <v>837.45999999999992</v>
      </c>
      <c r="O1516" s="1" t="str">
        <f>TEXT(Sales_Data[[#This Row],[Order Date]], "MM-YYYY")</f>
        <v>01-2019</v>
      </c>
    </row>
    <row r="1517" spans="1:15" x14ac:dyDescent="0.3">
      <c r="A1517" s="1">
        <v>23140</v>
      </c>
      <c r="B1517" s="2">
        <v>43503</v>
      </c>
      <c r="C1517" s="1" t="s">
        <v>9</v>
      </c>
      <c r="D1517" s="1">
        <v>16</v>
      </c>
      <c r="E1517" t="s">
        <v>19</v>
      </c>
      <c r="F1517" t="s">
        <v>19</v>
      </c>
      <c r="G1517" s="1">
        <v>124.86</v>
      </c>
      <c r="H1517">
        <v>0</v>
      </c>
      <c r="I1517">
        <f>Sales_Data[[#This Row],[Sales]]*Sales_Data[[#This Row],[Discount]]</f>
        <v>0</v>
      </c>
      <c r="J1517">
        <v>124.86</v>
      </c>
      <c r="K1517" s="1">
        <v>2.5</v>
      </c>
      <c r="L1517" s="1">
        <v>124.86</v>
      </c>
      <c r="M1517" s="1" t="s">
        <v>10</v>
      </c>
      <c r="N1517" s="1">
        <f>IF(Sales_Data[[#This Row],[Sales with Discount]]&lt;Sales_Data[[#This Row],[Sales with Free Shipping]],Sales_Data[[#This Row],[Sales with Discount]],Sales_Data[[#This Row],[Sales with Free Shipping]])</f>
        <v>124.86</v>
      </c>
      <c r="O1517" s="1" t="str">
        <f>TEXT(Sales_Data[[#This Row],[Order Date]], "MM-YYYY")</f>
        <v>02-2019</v>
      </c>
    </row>
    <row r="1518" spans="1:15" x14ac:dyDescent="0.3">
      <c r="A1518" s="1">
        <v>29505</v>
      </c>
      <c r="B1518" s="2">
        <v>43826</v>
      </c>
      <c r="C1518" s="1" t="s">
        <v>14</v>
      </c>
      <c r="D1518" s="1">
        <v>22</v>
      </c>
      <c r="E1518" t="s">
        <v>14</v>
      </c>
      <c r="F1518" t="s">
        <v>14</v>
      </c>
      <c r="G1518" s="1">
        <v>48.37</v>
      </c>
      <c r="H1518">
        <v>0</v>
      </c>
      <c r="I1518">
        <f>Sales_Data[[#This Row],[Sales]]*Sales_Data[[#This Row],[Discount]]</f>
        <v>0</v>
      </c>
      <c r="J1518">
        <v>48.37</v>
      </c>
      <c r="K1518" s="1">
        <v>0.7</v>
      </c>
      <c r="L1518" s="1">
        <v>48.37</v>
      </c>
      <c r="M1518" s="1" t="s">
        <v>8</v>
      </c>
      <c r="N1518" s="1">
        <f>IF(Sales_Data[[#This Row],[Sales with Discount]]&lt;Sales_Data[[#This Row],[Sales with Free Shipping]],Sales_Data[[#This Row],[Sales with Discount]],Sales_Data[[#This Row],[Sales with Free Shipping]])</f>
        <v>48.37</v>
      </c>
      <c r="O1518" s="1" t="str">
        <f>TEXT(Sales_Data[[#This Row],[Order Date]], "MM-YYYY")</f>
        <v>12-2019</v>
      </c>
    </row>
    <row r="1519" spans="1:15" x14ac:dyDescent="0.3">
      <c r="A1519" s="1">
        <v>20964</v>
      </c>
      <c r="B1519" s="2">
        <v>43554</v>
      </c>
      <c r="C1519" s="1" t="s">
        <v>12</v>
      </c>
      <c r="D1519" s="1">
        <v>11</v>
      </c>
      <c r="E1519" t="s">
        <v>18</v>
      </c>
      <c r="F1519" t="s">
        <v>18</v>
      </c>
      <c r="G1519" s="1">
        <v>673.66</v>
      </c>
      <c r="H1519">
        <v>0</v>
      </c>
      <c r="I1519">
        <f>Sales_Data[[#This Row],[Sales]]*Sales_Data[[#This Row],[Discount]]</f>
        <v>0</v>
      </c>
      <c r="J1519">
        <v>673.66</v>
      </c>
      <c r="K1519" s="1">
        <v>9.6</v>
      </c>
      <c r="L1519" s="1">
        <v>673.66</v>
      </c>
      <c r="M1519" s="1" t="s">
        <v>10</v>
      </c>
      <c r="N1519" s="1">
        <f>IF(Sales_Data[[#This Row],[Sales with Discount]]&lt;Sales_Data[[#This Row],[Sales with Free Shipping]],Sales_Data[[#This Row],[Sales with Discount]],Sales_Data[[#This Row],[Sales with Free Shipping]])</f>
        <v>673.66</v>
      </c>
      <c r="O1519" s="1" t="str">
        <f>TEXT(Sales_Data[[#This Row],[Order Date]], "MM-YYYY")</f>
        <v>03-2019</v>
      </c>
    </row>
    <row r="1520" spans="1:15" x14ac:dyDescent="0.3">
      <c r="A1520" s="1">
        <v>39364</v>
      </c>
      <c r="B1520" s="2">
        <v>43778</v>
      </c>
      <c r="C1520" s="1" t="s">
        <v>9</v>
      </c>
      <c r="D1520" s="1">
        <v>29</v>
      </c>
      <c r="E1520" t="s">
        <v>20</v>
      </c>
      <c r="F1520" t="s">
        <v>20</v>
      </c>
      <c r="G1520" s="1">
        <v>2947.78</v>
      </c>
      <c r="H1520">
        <v>0</v>
      </c>
      <c r="I1520">
        <f>Sales_Data[[#This Row],[Sales]]*Sales_Data[[#This Row],[Discount]]</f>
        <v>0</v>
      </c>
      <c r="J1520">
        <v>2947.78</v>
      </c>
      <c r="K1520" s="1">
        <v>42.4</v>
      </c>
      <c r="L1520" s="1">
        <v>2947.78</v>
      </c>
      <c r="M1520" s="1" t="s">
        <v>10</v>
      </c>
      <c r="N1520" s="1">
        <f>IF(Sales_Data[[#This Row],[Sales with Discount]]&lt;Sales_Data[[#This Row],[Sales with Free Shipping]],Sales_Data[[#This Row],[Sales with Discount]],Sales_Data[[#This Row],[Sales with Free Shipping]])</f>
        <v>2947.78</v>
      </c>
      <c r="O1520" s="1" t="str">
        <f>TEXT(Sales_Data[[#This Row],[Order Date]], "MM-YYYY")</f>
        <v>11-2019</v>
      </c>
    </row>
    <row r="1521" spans="1:15" x14ac:dyDescent="0.3">
      <c r="A1521" s="1">
        <v>7941</v>
      </c>
      <c r="B1521" s="2">
        <v>43547</v>
      </c>
      <c r="C1521" s="1" t="s">
        <v>7</v>
      </c>
      <c r="D1521" s="1">
        <v>50</v>
      </c>
      <c r="E1521" t="s">
        <v>24</v>
      </c>
      <c r="F1521" t="s">
        <v>24</v>
      </c>
      <c r="G1521" s="1">
        <v>2992.44</v>
      </c>
      <c r="H1521">
        <v>0.01</v>
      </c>
      <c r="I1521">
        <f>Sales_Data[[#This Row],[Sales]]*Sales_Data[[#This Row],[Discount]]</f>
        <v>29.924400000000002</v>
      </c>
      <c r="J1521">
        <v>2962.5156000000002</v>
      </c>
      <c r="K1521" s="1">
        <v>5.4</v>
      </c>
      <c r="L1521" s="1">
        <v>2987.04</v>
      </c>
      <c r="M1521" s="1" t="s">
        <v>10</v>
      </c>
      <c r="N1521" s="1">
        <f>IF(Sales_Data[[#This Row],[Sales with Discount]]&lt;Sales_Data[[#This Row],[Sales with Free Shipping]],Sales_Data[[#This Row],[Sales with Discount]],Sales_Data[[#This Row],[Sales with Free Shipping]])</f>
        <v>2962.5156000000002</v>
      </c>
      <c r="O1521" s="1" t="str">
        <f>TEXT(Sales_Data[[#This Row],[Order Date]], "MM-YYYY")</f>
        <v>03-2019</v>
      </c>
    </row>
    <row r="1522" spans="1:15" x14ac:dyDescent="0.3">
      <c r="A1522" s="1">
        <v>59329</v>
      </c>
      <c r="B1522" s="2">
        <v>43803</v>
      </c>
      <c r="C1522" s="1" t="s">
        <v>12</v>
      </c>
      <c r="D1522" s="1">
        <v>41</v>
      </c>
      <c r="E1522" t="s">
        <v>23</v>
      </c>
      <c r="F1522" t="s">
        <v>23</v>
      </c>
      <c r="G1522" s="1">
        <v>229.23</v>
      </c>
      <c r="H1522">
        <v>0.01</v>
      </c>
      <c r="I1522">
        <f>Sales_Data[[#This Row],[Sales]]*Sales_Data[[#This Row],[Discount]]</f>
        <v>2.2923</v>
      </c>
      <c r="J1522">
        <v>226.93769999999998</v>
      </c>
      <c r="K1522" s="1">
        <v>7.6</v>
      </c>
      <c r="L1522" s="1">
        <v>221.63</v>
      </c>
      <c r="M1522" s="1" t="s">
        <v>10</v>
      </c>
      <c r="N1522" s="1">
        <f>IF(Sales_Data[[#This Row],[Sales with Discount]]&lt;Sales_Data[[#This Row],[Sales with Free Shipping]],Sales_Data[[#This Row],[Sales with Discount]],Sales_Data[[#This Row],[Sales with Free Shipping]])</f>
        <v>221.63</v>
      </c>
      <c r="O1522" s="1" t="str">
        <f>TEXT(Sales_Data[[#This Row],[Order Date]], "MM-YYYY")</f>
        <v>12-2019</v>
      </c>
    </row>
    <row r="1523" spans="1:15" x14ac:dyDescent="0.3">
      <c r="A1523" s="1">
        <v>50784</v>
      </c>
      <c r="B1523" s="2">
        <v>43505</v>
      </c>
      <c r="C1523" s="1" t="s">
        <v>9</v>
      </c>
      <c r="D1523" s="1">
        <v>20</v>
      </c>
      <c r="E1523" t="s">
        <v>19</v>
      </c>
      <c r="F1523" t="s">
        <v>19</v>
      </c>
      <c r="G1523" s="1">
        <v>683.43</v>
      </c>
      <c r="H1523">
        <v>0</v>
      </c>
      <c r="I1523">
        <f>Sales_Data[[#This Row],[Sales]]*Sales_Data[[#This Row],[Discount]]</f>
        <v>0</v>
      </c>
      <c r="J1523">
        <v>683.43</v>
      </c>
      <c r="K1523" s="1">
        <v>5.9</v>
      </c>
      <c r="L1523" s="1">
        <v>683.43</v>
      </c>
      <c r="M1523" s="1" t="s">
        <v>10</v>
      </c>
      <c r="N1523" s="1">
        <f>IF(Sales_Data[[#This Row],[Sales with Discount]]&lt;Sales_Data[[#This Row],[Sales with Free Shipping]],Sales_Data[[#This Row],[Sales with Discount]],Sales_Data[[#This Row],[Sales with Free Shipping]])</f>
        <v>683.43</v>
      </c>
      <c r="O1523" s="1" t="str">
        <f>TEXT(Sales_Data[[#This Row],[Order Date]], "MM-YYYY")</f>
        <v>02-2019</v>
      </c>
    </row>
    <row r="1524" spans="1:15" x14ac:dyDescent="0.3">
      <c r="A1524" s="1">
        <v>19617</v>
      </c>
      <c r="B1524" s="2">
        <v>43484</v>
      </c>
      <c r="C1524" s="1" t="s">
        <v>7</v>
      </c>
      <c r="D1524" s="1">
        <v>38</v>
      </c>
      <c r="E1524" t="s">
        <v>22</v>
      </c>
      <c r="F1524" t="s">
        <v>22</v>
      </c>
      <c r="G1524" s="1">
        <v>1019.1429000000001</v>
      </c>
      <c r="H1524">
        <v>0.01</v>
      </c>
      <c r="I1524">
        <f>Sales_Data[[#This Row],[Sales]]*Sales_Data[[#This Row],[Discount]]</f>
        <v>10.191429000000001</v>
      </c>
      <c r="J1524">
        <v>1008.9514710000001</v>
      </c>
      <c r="K1524" s="1">
        <v>6.7</v>
      </c>
      <c r="L1524" s="1">
        <v>1012.4429</v>
      </c>
      <c r="M1524" s="1" t="s">
        <v>10</v>
      </c>
      <c r="N1524" s="1">
        <f>IF(Sales_Data[[#This Row],[Sales with Discount]]&lt;Sales_Data[[#This Row],[Sales with Free Shipping]],Sales_Data[[#This Row],[Sales with Discount]],Sales_Data[[#This Row],[Sales with Free Shipping]])</f>
        <v>1008.9514710000001</v>
      </c>
      <c r="O1524" s="1" t="str">
        <f>TEXT(Sales_Data[[#This Row],[Order Date]], "MM-YYYY")</f>
        <v>01-2019</v>
      </c>
    </row>
    <row r="1525" spans="1:15" x14ac:dyDescent="0.3">
      <c r="A1525" s="1">
        <v>25476</v>
      </c>
      <c r="B1525" s="2">
        <v>43740</v>
      </c>
      <c r="C1525" s="1" t="s">
        <v>11</v>
      </c>
      <c r="D1525" s="1">
        <v>4</v>
      </c>
      <c r="E1525" t="s">
        <v>16</v>
      </c>
      <c r="F1525" t="s">
        <v>16</v>
      </c>
      <c r="G1525" s="1">
        <v>14657.89</v>
      </c>
      <c r="H1525">
        <v>0</v>
      </c>
      <c r="I1525">
        <f>Sales_Data[[#This Row],[Sales]]*Sales_Data[[#This Row],[Discount]]</f>
        <v>0</v>
      </c>
      <c r="J1525">
        <v>14657.89</v>
      </c>
      <c r="K1525" s="1">
        <v>26.2</v>
      </c>
      <c r="L1525" s="1">
        <v>14657.89</v>
      </c>
      <c r="M1525" s="1" t="s">
        <v>10</v>
      </c>
      <c r="N1525" s="1">
        <f>IF(Sales_Data[[#This Row],[Sales with Discount]]&lt;Sales_Data[[#This Row],[Sales with Free Shipping]],Sales_Data[[#This Row],[Sales with Discount]],Sales_Data[[#This Row],[Sales with Free Shipping]])</f>
        <v>14657.89</v>
      </c>
      <c r="O1525" s="1" t="str">
        <f>TEXT(Sales_Data[[#This Row],[Order Date]], "MM-YYYY")</f>
        <v>10-2019</v>
      </c>
    </row>
    <row r="1526" spans="1:15" x14ac:dyDescent="0.3">
      <c r="A1526" s="1">
        <v>55460</v>
      </c>
      <c r="B1526" s="2">
        <v>43611</v>
      </c>
      <c r="C1526" s="1" t="s">
        <v>9</v>
      </c>
      <c r="D1526" s="1">
        <v>49</v>
      </c>
      <c r="E1526" t="s">
        <v>24</v>
      </c>
      <c r="F1526" t="s">
        <v>24</v>
      </c>
      <c r="G1526" s="1">
        <v>2081.0100000000002</v>
      </c>
      <c r="H1526">
        <v>0.01</v>
      </c>
      <c r="I1526">
        <f>Sales_Data[[#This Row],[Sales]]*Sales_Data[[#This Row],[Discount]]</f>
        <v>20.810100000000002</v>
      </c>
      <c r="J1526">
        <v>2060.1999000000001</v>
      </c>
      <c r="K1526" s="1">
        <v>4.8</v>
      </c>
      <c r="L1526" s="1">
        <v>2076.21</v>
      </c>
      <c r="M1526" s="1" t="s">
        <v>10</v>
      </c>
      <c r="N1526" s="1">
        <f>IF(Sales_Data[[#This Row],[Sales with Discount]]&lt;Sales_Data[[#This Row],[Sales with Free Shipping]],Sales_Data[[#This Row],[Sales with Discount]],Sales_Data[[#This Row],[Sales with Free Shipping]])</f>
        <v>2060.1999000000001</v>
      </c>
      <c r="O1526" s="1" t="str">
        <f>TEXT(Sales_Data[[#This Row],[Order Date]], "MM-YYYY")</f>
        <v>05-2019</v>
      </c>
    </row>
    <row r="1527" spans="1:15" x14ac:dyDescent="0.3">
      <c r="A1527" s="1">
        <v>23648</v>
      </c>
      <c r="B1527" s="2">
        <v>43732</v>
      </c>
      <c r="C1527" s="1" t="s">
        <v>12</v>
      </c>
      <c r="D1527" s="1">
        <v>44</v>
      </c>
      <c r="E1527" t="s">
        <v>23</v>
      </c>
      <c r="F1527" t="s">
        <v>23</v>
      </c>
      <c r="G1527" s="1">
        <v>7241.93</v>
      </c>
      <c r="H1527">
        <v>0.01</v>
      </c>
      <c r="I1527">
        <f>Sales_Data[[#This Row],[Sales]]*Sales_Data[[#This Row],[Discount]]</f>
        <v>72.419300000000007</v>
      </c>
      <c r="J1527">
        <v>7169.5106999999998</v>
      </c>
      <c r="K1527" s="1">
        <v>7</v>
      </c>
      <c r="L1527" s="1">
        <v>7234.93</v>
      </c>
      <c r="M1527" s="1" t="s">
        <v>10</v>
      </c>
      <c r="N1527" s="1">
        <f>IF(Sales_Data[[#This Row],[Sales with Discount]]&lt;Sales_Data[[#This Row],[Sales with Free Shipping]],Sales_Data[[#This Row],[Sales with Discount]],Sales_Data[[#This Row],[Sales with Free Shipping]])</f>
        <v>7169.5106999999998</v>
      </c>
      <c r="O1527" s="1" t="str">
        <f>TEXT(Sales_Data[[#This Row],[Order Date]], "MM-YYYY")</f>
        <v>09-2019</v>
      </c>
    </row>
    <row r="1528" spans="1:15" x14ac:dyDescent="0.3">
      <c r="A1528" s="1">
        <v>5986</v>
      </c>
      <c r="B1528" s="2">
        <v>43576</v>
      </c>
      <c r="C1528" s="1" t="s">
        <v>9</v>
      </c>
      <c r="D1528" s="1">
        <v>41</v>
      </c>
      <c r="E1528" t="s">
        <v>23</v>
      </c>
      <c r="F1528" t="s">
        <v>23</v>
      </c>
      <c r="G1528" s="1">
        <v>219.61</v>
      </c>
      <c r="H1528">
        <v>0.01</v>
      </c>
      <c r="I1528">
        <f>Sales_Data[[#This Row],[Sales]]*Sales_Data[[#This Row],[Discount]]</f>
        <v>2.1961000000000004</v>
      </c>
      <c r="J1528">
        <v>217.41390000000001</v>
      </c>
      <c r="K1528" s="1">
        <v>5.3</v>
      </c>
      <c r="L1528" s="1">
        <v>214.31</v>
      </c>
      <c r="M1528" s="1" t="s">
        <v>10</v>
      </c>
      <c r="N1528" s="1">
        <f>IF(Sales_Data[[#This Row],[Sales with Discount]]&lt;Sales_Data[[#This Row],[Sales with Free Shipping]],Sales_Data[[#This Row],[Sales with Discount]],Sales_Data[[#This Row],[Sales with Free Shipping]])</f>
        <v>214.31</v>
      </c>
      <c r="O1528" s="1" t="str">
        <f>TEXT(Sales_Data[[#This Row],[Order Date]], "MM-YYYY")</f>
        <v>04-2019</v>
      </c>
    </row>
    <row r="1529" spans="1:15" x14ac:dyDescent="0.3">
      <c r="A1529" s="1">
        <v>37445</v>
      </c>
      <c r="B1529" s="2">
        <v>43513</v>
      </c>
      <c r="C1529" s="1" t="s">
        <v>9</v>
      </c>
      <c r="D1529" s="1">
        <v>37</v>
      </c>
      <c r="E1529" t="s">
        <v>22</v>
      </c>
      <c r="F1529" t="s">
        <v>22</v>
      </c>
      <c r="G1529" s="1">
        <v>2332.85</v>
      </c>
      <c r="H1529">
        <v>0.01</v>
      </c>
      <c r="I1529">
        <f>Sales_Data[[#This Row],[Sales]]*Sales_Data[[#This Row],[Discount]]</f>
        <v>23.328499999999998</v>
      </c>
      <c r="J1529">
        <v>2309.5214999999998</v>
      </c>
      <c r="K1529" s="1">
        <v>3.7</v>
      </c>
      <c r="L1529" s="1">
        <v>2329.15</v>
      </c>
      <c r="M1529" s="1" t="s">
        <v>10</v>
      </c>
      <c r="N1529" s="1">
        <f>IF(Sales_Data[[#This Row],[Sales with Discount]]&lt;Sales_Data[[#This Row],[Sales with Free Shipping]],Sales_Data[[#This Row],[Sales with Discount]],Sales_Data[[#This Row],[Sales with Free Shipping]])</f>
        <v>2309.5214999999998</v>
      </c>
      <c r="O1529" s="1" t="str">
        <f>TEXT(Sales_Data[[#This Row],[Order Date]], "MM-YYYY")</f>
        <v>02-2019</v>
      </c>
    </row>
    <row r="1530" spans="1:15" x14ac:dyDescent="0.3">
      <c r="A1530" s="1">
        <v>24579</v>
      </c>
      <c r="B1530" s="2">
        <v>43787</v>
      </c>
      <c r="C1530" s="1" t="s">
        <v>9</v>
      </c>
      <c r="D1530" s="1">
        <v>40</v>
      </c>
      <c r="E1530" t="s">
        <v>22</v>
      </c>
      <c r="F1530" t="s">
        <v>22</v>
      </c>
      <c r="G1530" s="1">
        <v>500.23</v>
      </c>
      <c r="H1530">
        <v>0.01</v>
      </c>
      <c r="I1530">
        <f>Sales_Data[[#This Row],[Sales]]*Sales_Data[[#This Row],[Discount]]</f>
        <v>5.0023</v>
      </c>
      <c r="J1530">
        <v>495.22770000000003</v>
      </c>
      <c r="K1530" s="1">
        <v>5.3</v>
      </c>
      <c r="L1530" s="1">
        <v>494.93</v>
      </c>
      <c r="M1530" s="1" t="s">
        <v>10</v>
      </c>
      <c r="N1530" s="1">
        <f>IF(Sales_Data[[#This Row],[Sales with Discount]]&lt;Sales_Data[[#This Row],[Sales with Free Shipping]],Sales_Data[[#This Row],[Sales with Discount]],Sales_Data[[#This Row],[Sales with Free Shipping]])</f>
        <v>494.93</v>
      </c>
      <c r="O1530" s="1" t="str">
        <f>TEXT(Sales_Data[[#This Row],[Order Date]], "MM-YYYY")</f>
        <v>11-2019</v>
      </c>
    </row>
    <row r="1531" spans="1:15" x14ac:dyDescent="0.3">
      <c r="A1531" s="1">
        <v>1925</v>
      </c>
      <c r="B1531" s="2">
        <v>43528</v>
      </c>
      <c r="C1531" s="1" t="s">
        <v>12</v>
      </c>
      <c r="D1531" s="1">
        <v>40</v>
      </c>
      <c r="E1531" t="s">
        <v>22</v>
      </c>
      <c r="F1531" t="s">
        <v>22</v>
      </c>
      <c r="G1531" s="1">
        <v>973.51</v>
      </c>
      <c r="H1531">
        <v>0.01</v>
      </c>
      <c r="I1531">
        <f>Sales_Data[[#This Row],[Sales]]*Sales_Data[[#This Row],[Discount]]</f>
        <v>9.735100000000001</v>
      </c>
      <c r="J1531">
        <v>963.7749</v>
      </c>
      <c r="K1531" s="1">
        <v>2.1</v>
      </c>
      <c r="L1531" s="1">
        <v>971.41</v>
      </c>
      <c r="M1531" s="1" t="s">
        <v>10</v>
      </c>
      <c r="N1531" s="1">
        <f>IF(Sales_Data[[#This Row],[Sales with Discount]]&lt;Sales_Data[[#This Row],[Sales with Free Shipping]],Sales_Data[[#This Row],[Sales with Discount]],Sales_Data[[#This Row],[Sales with Free Shipping]])</f>
        <v>963.7749</v>
      </c>
      <c r="O1531" s="1" t="str">
        <f>TEXT(Sales_Data[[#This Row],[Order Date]], "MM-YYYY")</f>
        <v>03-2019</v>
      </c>
    </row>
    <row r="1532" spans="1:15" x14ac:dyDescent="0.3">
      <c r="A1532" s="1">
        <v>57570</v>
      </c>
      <c r="B1532" s="2">
        <v>43736</v>
      </c>
      <c r="C1532" s="1" t="s">
        <v>9</v>
      </c>
      <c r="D1532" s="1">
        <v>27</v>
      </c>
      <c r="E1532" t="s">
        <v>20</v>
      </c>
      <c r="F1532" t="s">
        <v>20</v>
      </c>
      <c r="G1532" s="1">
        <v>1950.65</v>
      </c>
      <c r="H1532">
        <v>0</v>
      </c>
      <c r="I1532">
        <f>Sales_Data[[#This Row],[Sales]]*Sales_Data[[#This Row],[Discount]]</f>
        <v>0</v>
      </c>
      <c r="J1532">
        <v>1950.65</v>
      </c>
      <c r="K1532" s="1">
        <v>28.6</v>
      </c>
      <c r="L1532" s="1">
        <v>1950.65</v>
      </c>
      <c r="M1532" s="1" t="s">
        <v>13</v>
      </c>
      <c r="N1532" s="1">
        <f>IF(Sales_Data[[#This Row],[Sales with Discount]]&lt;Sales_Data[[#This Row],[Sales with Free Shipping]],Sales_Data[[#This Row],[Sales with Discount]],Sales_Data[[#This Row],[Sales with Free Shipping]])</f>
        <v>1950.65</v>
      </c>
      <c r="O1532" s="1" t="str">
        <f>TEXT(Sales_Data[[#This Row],[Order Date]], "MM-YYYY")</f>
        <v>09-2019</v>
      </c>
    </row>
    <row r="1533" spans="1:15" x14ac:dyDescent="0.3">
      <c r="A1533" s="1">
        <v>17831</v>
      </c>
      <c r="B1533" s="2">
        <v>43763</v>
      </c>
      <c r="C1533" s="1" t="s">
        <v>12</v>
      </c>
      <c r="D1533" s="1">
        <v>38</v>
      </c>
      <c r="E1533" t="s">
        <v>22</v>
      </c>
      <c r="F1533" t="s">
        <v>22</v>
      </c>
      <c r="G1533" s="1">
        <v>278.64</v>
      </c>
      <c r="H1533">
        <v>0.01</v>
      </c>
      <c r="I1533">
        <f>Sales_Data[[#This Row],[Sales]]*Sales_Data[[#This Row],[Discount]]</f>
        <v>2.7864</v>
      </c>
      <c r="J1533">
        <v>275.85359999999997</v>
      </c>
      <c r="K1533" s="1">
        <v>5.7</v>
      </c>
      <c r="L1533" s="1">
        <v>272.94</v>
      </c>
      <c r="M1533" s="1" t="s">
        <v>8</v>
      </c>
      <c r="N1533" s="1">
        <f>IF(Sales_Data[[#This Row],[Sales with Discount]]&lt;Sales_Data[[#This Row],[Sales with Free Shipping]],Sales_Data[[#This Row],[Sales with Discount]],Sales_Data[[#This Row],[Sales with Free Shipping]])</f>
        <v>272.94</v>
      </c>
      <c r="O1533" s="1" t="str">
        <f>TEXT(Sales_Data[[#This Row],[Order Date]], "MM-YYYY")</f>
        <v>10-2019</v>
      </c>
    </row>
    <row r="1534" spans="1:15" x14ac:dyDescent="0.3">
      <c r="A1534" s="1">
        <v>48128</v>
      </c>
      <c r="B1534" s="2">
        <v>43566</v>
      </c>
      <c r="C1534" s="1" t="s">
        <v>14</v>
      </c>
      <c r="D1534" s="1">
        <v>5</v>
      </c>
      <c r="E1534" t="s">
        <v>16</v>
      </c>
      <c r="F1534" t="s">
        <v>16</v>
      </c>
      <c r="G1534" s="1">
        <v>2782.47</v>
      </c>
      <c r="H1534">
        <v>0</v>
      </c>
      <c r="I1534">
        <f>Sales_Data[[#This Row],[Sales]]*Sales_Data[[#This Row],[Discount]]</f>
        <v>0</v>
      </c>
      <c r="J1534">
        <v>2782.47</v>
      </c>
      <c r="K1534" s="1">
        <v>26.2</v>
      </c>
      <c r="L1534" s="1">
        <v>2782.47</v>
      </c>
      <c r="M1534" s="1" t="s">
        <v>8</v>
      </c>
      <c r="N1534" s="1">
        <f>IF(Sales_Data[[#This Row],[Sales with Discount]]&lt;Sales_Data[[#This Row],[Sales with Free Shipping]],Sales_Data[[#This Row],[Sales with Discount]],Sales_Data[[#This Row],[Sales with Free Shipping]])</f>
        <v>2782.47</v>
      </c>
      <c r="O1534" s="1" t="str">
        <f>TEXT(Sales_Data[[#This Row],[Order Date]], "MM-YYYY")</f>
        <v>04-2019</v>
      </c>
    </row>
    <row r="1535" spans="1:15" x14ac:dyDescent="0.3">
      <c r="A1535" s="1">
        <v>10567</v>
      </c>
      <c r="B1535" s="2">
        <v>43553</v>
      </c>
      <c r="C1535" s="1" t="s">
        <v>9</v>
      </c>
      <c r="D1535" s="1">
        <v>10</v>
      </c>
      <c r="E1535" t="s">
        <v>17</v>
      </c>
      <c r="F1535" t="s">
        <v>17</v>
      </c>
      <c r="G1535" s="1">
        <v>1188.78</v>
      </c>
      <c r="H1535">
        <v>0</v>
      </c>
      <c r="I1535">
        <f>Sales_Data[[#This Row],[Sales]]*Sales_Data[[#This Row],[Discount]]</f>
        <v>0</v>
      </c>
      <c r="J1535">
        <v>1188.78</v>
      </c>
      <c r="K1535" s="1">
        <v>46.8</v>
      </c>
      <c r="L1535" s="1">
        <v>1188.78</v>
      </c>
      <c r="M1535" s="1" t="s">
        <v>13</v>
      </c>
      <c r="N1535" s="1">
        <f>IF(Sales_Data[[#This Row],[Sales with Discount]]&lt;Sales_Data[[#This Row],[Sales with Free Shipping]],Sales_Data[[#This Row],[Sales with Discount]],Sales_Data[[#This Row],[Sales with Free Shipping]])</f>
        <v>1188.78</v>
      </c>
      <c r="O1535" s="1" t="str">
        <f>TEXT(Sales_Data[[#This Row],[Order Date]], "MM-YYYY")</f>
        <v>03-2019</v>
      </c>
    </row>
    <row r="1536" spans="1:15" x14ac:dyDescent="0.3">
      <c r="A1536" s="1">
        <v>47846</v>
      </c>
      <c r="B1536" s="2">
        <v>43688</v>
      </c>
      <c r="C1536" s="1" t="s">
        <v>9</v>
      </c>
      <c r="D1536" s="1">
        <v>50</v>
      </c>
      <c r="E1536" t="s">
        <v>24</v>
      </c>
      <c r="F1536" t="s">
        <v>24</v>
      </c>
      <c r="G1536" s="1">
        <v>5899.79</v>
      </c>
      <c r="H1536">
        <v>0.01</v>
      </c>
      <c r="I1536">
        <f>Sales_Data[[#This Row],[Sales]]*Sales_Data[[#This Row],[Discount]]</f>
        <v>58.997900000000001</v>
      </c>
      <c r="J1536">
        <v>5840.7920999999997</v>
      </c>
      <c r="K1536" s="1">
        <v>15</v>
      </c>
      <c r="L1536" s="1">
        <v>5884.79</v>
      </c>
      <c r="M1536" s="1" t="s">
        <v>10</v>
      </c>
      <c r="N1536" s="1">
        <f>IF(Sales_Data[[#This Row],[Sales with Discount]]&lt;Sales_Data[[#This Row],[Sales with Free Shipping]],Sales_Data[[#This Row],[Sales with Discount]],Sales_Data[[#This Row],[Sales with Free Shipping]])</f>
        <v>5840.7920999999997</v>
      </c>
      <c r="O1536" s="1" t="str">
        <f>TEXT(Sales_Data[[#This Row],[Order Date]], "MM-YYYY")</f>
        <v>08-2019</v>
      </c>
    </row>
    <row r="1537" spans="1:15" x14ac:dyDescent="0.3">
      <c r="A1537" s="1">
        <v>46404</v>
      </c>
      <c r="B1537" s="2">
        <v>43528</v>
      </c>
      <c r="C1537" s="1" t="s">
        <v>12</v>
      </c>
      <c r="D1537" s="1">
        <v>50</v>
      </c>
      <c r="E1537" t="s">
        <v>24</v>
      </c>
      <c r="F1537" t="s">
        <v>24</v>
      </c>
      <c r="G1537" s="1">
        <v>2006.69</v>
      </c>
      <c r="H1537">
        <v>0.01</v>
      </c>
      <c r="I1537">
        <f>Sales_Data[[#This Row],[Sales]]*Sales_Data[[#This Row],[Discount]]</f>
        <v>20.0669</v>
      </c>
      <c r="J1537">
        <v>1986.6231</v>
      </c>
      <c r="K1537" s="1">
        <v>2.7</v>
      </c>
      <c r="L1537" s="1">
        <v>2003.99</v>
      </c>
      <c r="M1537" s="1" t="s">
        <v>10</v>
      </c>
      <c r="N1537" s="1">
        <f>IF(Sales_Data[[#This Row],[Sales with Discount]]&lt;Sales_Data[[#This Row],[Sales with Free Shipping]],Sales_Data[[#This Row],[Sales with Discount]],Sales_Data[[#This Row],[Sales with Free Shipping]])</f>
        <v>1986.6231</v>
      </c>
      <c r="O1537" s="1" t="str">
        <f>TEXT(Sales_Data[[#This Row],[Order Date]], "MM-YYYY")</f>
        <v>03-2019</v>
      </c>
    </row>
    <row r="1538" spans="1:15" x14ac:dyDescent="0.3">
      <c r="A1538" s="1">
        <v>29411</v>
      </c>
      <c r="B1538" s="2">
        <v>43561</v>
      </c>
      <c r="C1538" s="1" t="s">
        <v>9</v>
      </c>
      <c r="D1538" s="1">
        <v>33</v>
      </c>
      <c r="E1538" t="s">
        <v>21</v>
      </c>
      <c r="F1538" t="s">
        <v>21</v>
      </c>
      <c r="G1538" s="1">
        <v>580.20000000000005</v>
      </c>
      <c r="H1538">
        <v>0</v>
      </c>
      <c r="I1538">
        <f>Sales_Data[[#This Row],[Sales]]*Sales_Data[[#This Row],[Discount]]</f>
        <v>0</v>
      </c>
      <c r="J1538">
        <v>580.20000000000005</v>
      </c>
      <c r="K1538" s="1">
        <v>1.5</v>
      </c>
      <c r="L1538" s="1">
        <v>580.20000000000005</v>
      </c>
      <c r="M1538" s="1" t="s">
        <v>10</v>
      </c>
      <c r="N1538" s="1">
        <f>IF(Sales_Data[[#This Row],[Sales with Discount]]&lt;Sales_Data[[#This Row],[Sales with Free Shipping]],Sales_Data[[#This Row],[Sales with Discount]],Sales_Data[[#This Row],[Sales with Free Shipping]])</f>
        <v>580.20000000000005</v>
      </c>
      <c r="O1538" s="1" t="str">
        <f>TEXT(Sales_Data[[#This Row],[Order Date]], "MM-YYYY")</f>
        <v>04-2019</v>
      </c>
    </row>
    <row r="1539" spans="1:15" x14ac:dyDescent="0.3">
      <c r="A1539" s="1">
        <v>50950</v>
      </c>
      <c r="B1539" s="2">
        <v>43829</v>
      </c>
      <c r="C1539" s="1" t="s">
        <v>11</v>
      </c>
      <c r="D1539" s="1">
        <v>6</v>
      </c>
      <c r="E1539" t="s">
        <v>17</v>
      </c>
      <c r="F1539" t="s">
        <v>17</v>
      </c>
      <c r="G1539" s="1">
        <v>418.5</v>
      </c>
      <c r="H1539">
        <v>0</v>
      </c>
      <c r="I1539">
        <f>Sales_Data[[#This Row],[Sales]]*Sales_Data[[#This Row],[Discount]]</f>
        <v>0</v>
      </c>
      <c r="J1539">
        <v>418.5</v>
      </c>
      <c r="K1539" s="1">
        <v>32.1</v>
      </c>
      <c r="L1539" s="1">
        <v>418.5</v>
      </c>
      <c r="M1539" s="1" t="s">
        <v>13</v>
      </c>
      <c r="N1539" s="1">
        <f>IF(Sales_Data[[#This Row],[Sales with Discount]]&lt;Sales_Data[[#This Row],[Sales with Free Shipping]],Sales_Data[[#This Row],[Sales with Discount]],Sales_Data[[#This Row],[Sales with Free Shipping]])</f>
        <v>418.5</v>
      </c>
      <c r="O1539" s="1" t="str">
        <f>TEXT(Sales_Data[[#This Row],[Order Date]], "MM-YYYY")</f>
        <v>12-2019</v>
      </c>
    </row>
    <row r="1540" spans="1:15" x14ac:dyDescent="0.3">
      <c r="A1540" s="1">
        <v>18592</v>
      </c>
      <c r="B1540" s="2">
        <v>43738</v>
      </c>
      <c r="C1540" s="1" t="s">
        <v>12</v>
      </c>
      <c r="D1540" s="1">
        <v>2</v>
      </c>
      <c r="E1540" t="s">
        <v>16</v>
      </c>
      <c r="F1540" t="s">
        <v>16</v>
      </c>
      <c r="G1540" s="1">
        <v>27.52</v>
      </c>
      <c r="H1540">
        <v>0</v>
      </c>
      <c r="I1540">
        <f>Sales_Data[[#This Row],[Sales]]*Sales_Data[[#This Row],[Discount]]</f>
        <v>0</v>
      </c>
      <c r="J1540">
        <v>27.52</v>
      </c>
      <c r="K1540" s="1">
        <v>3.6</v>
      </c>
      <c r="L1540" s="1">
        <v>27.52</v>
      </c>
      <c r="M1540" s="1" t="s">
        <v>10</v>
      </c>
      <c r="N1540" s="1">
        <f>IF(Sales_Data[[#This Row],[Sales with Discount]]&lt;Sales_Data[[#This Row],[Sales with Free Shipping]],Sales_Data[[#This Row],[Sales with Discount]],Sales_Data[[#This Row],[Sales with Free Shipping]])</f>
        <v>27.52</v>
      </c>
      <c r="O1540" s="1" t="str">
        <f>TEXT(Sales_Data[[#This Row],[Order Date]], "MM-YYYY")</f>
        <v>09-2019</v>
      </c>
    </row>
    <row r="1541" spans="1:15" x14ac:dyDescent="0.3">
      <c r="A1541" s="1">
        <v>57698</v>
      </c>
      <c r="B1541" s="2">
        <v>43470</v>
      </c>
      <c r="C1541" s="1" t="s">
        <v>12</v>
      </c>
      <c r="D1541" s="1">
        <v>10</v>
      </c>
      <c r="E1541" t="s">
        <v>17</v>
      </c>
      <c r="F1541" t="s">
        <v>17</v>
      </c>
      <c r="G1541" s="1">
        <v>92.02</v>
      </c>
      <c r="H1541">
        <v>0</v>
      </c>
      <c r="I1541">
        <f>Sales_Data[[#This Row],[Sales]]*Sales_Data[[#This Row],[Discount]]</f>
        <v>0</v>
      </c>
      <c r="J1541">
        <v>92.02</v>
      </c>
      <c r="K1541" s="1">
        <v>9.9</v>
      </c>
      <c r="L1541" s="1">
        <v>92.02</v>
      </c>
      <c r="M1541" s="1" t="s">
        <v>10</v>
      </c>
      <c r="N1541" s="1">
        <f>IF(Sales_Data[[#This Row],[Sales with Discount]]&lt;Sales_Data[[#This Row],[Sales with Free Shipping]],Sales_Data[[#This Row],[Sales with Discount]],Sales_Data[[#This Row],[Sales with Free Shipping]])</f>
        <v>92.02</v>
      </c>
      <c r="O1541" s="1" t="str">
        <f>TEXT(Sales_Data[[#This Row],[Order Date]], "MM-YYYY")</f>
        <v>01-2019</v>
      </c>
    </row>
    <row r="1542" spans="1:15" x14ac:dyDescent="0.3">
      <c r="A1542" s="1">
        <v>28453</v>
      </c>
      <c r="B1542" s="2">
        <v>43827</v>
      </c>
      <c r="C1542" s="1" t="s">
        <v>12</v>
      </c>
      <c r="D1542" s="1">
        <v>26</v>
      </c>
      <c r="E1542" t="s">
        <v>20</v>
      </c>
      <c r="F1542" t="s">
        <v>20</v>
      </c>
      <c r="G1542" s="1">
        <v>599.23</v>
      </c>
      <c r="H1542">
        <v>0</v>
      </c>
      <c r="I1542">
        <f>Sales_Data[[#This Row],[Sales]]*Sales_Data[[#This Row],[Discount]]</f>
        <v>0</v>
      </c>
      <c r="J1542">
        <v>599.23</v>
      </c>
      <c r="K1542" s="1">
        <v>15</v>
      </c>
      <c r="L1542" s="1">
        <v>599.23</v>
      </c>
      <c r="M1542" s="1" t="s">
        <v>10</v>
      </c>
      <c r="N1542" s="1">
        <f>IF(Sales_Data[[#This Row],[Sales with Discount]]&lt;Sales_Data[[#This Row],[Sales with Free Shipping]],Sales_Data[[#This Row],[Sales with Discount]],Sales_Data[[#This Row],[Sales with Free Shipping]])</f>
        <v>599.23</v>
      </c>
      <c r="O1542" s="1" t="str">
        <f>TEXT(Sales_Data[[#This Row],[Order Date]], "MM-YYYY")</f>
        <v>12-2019</v>
      </c>
    </row>
    <row r="1543" spans="1:15" x14ac:dyDescent="0.3">
      <c r="A1543" s="1">
        <v>25314</v>
      </c>
      <c r="B1543" s="2">
        <v>43519</v>
      </c>
      <c r="C1543" s="1" t="s">
        <v>9</v>
      </c>
      <c r="D1543" s="1">
        <v>43</v>
      </c>
      <c r="E1543" t="s">
        <v>23</v>
      </c>
      <c r="F1543" t="s">
        <v>23</v>
      </c>
      <c r="G1543" s="1">
        <v>8217.08</v>
      </c>
      <c r="H1543">
        <v>0.01</v>
      </c>
      <c r="I1543">
        <f>Sales_Data[[#This Row],[Sales]]*Sales_Data[[#This Row],[Discount]]</f>
        <v>82.1708</v>
      </c>
      <c r="J1543">
        <v>8134.9092000000001</v>
      </c>
      <c r="K1543" s="1">
        <v>5.4</v>
      </c>
      <c r="L1543" s="1">
        <v>8211.68</v>
      </c>
      <c r="M1543" s="1" t="s">
        <v>10</v>
      </c>
      <c r="N1543" s="1">
        <f>IF(Sales_Data[[#This Row],[Sales with Discount]]&lt;Sales_Data[[#This Row],[Sales with Free Shipping]],Sales_Data[[#This Row],[Sales with Discount]],Sales_Data[[#This Row],[Sales with Free Shipping]])</f>
        <v>8134.9092000000001</v>
      </c>
      <c r="O1543" s="1" t="str">
        <f>TEXT(Sales_Data[[#This Row],[Order Date]], "MM-YYYY")</f>
        <v>02-2019</v>
      </c>
    </row>
    <row r="1544" spans="1:15" x14ac:dyDescent="0.3">
      <c r="A1544" s="1">
        <v>15142</v>
      </c>
      <c r="B1544" s="2">
        <v>43559</v>
      </c>
      <c r="C1544" s="1" t="s">
        <v>11</v>
      </c>
      <c r="D1544" s="1">
        <v>21</v>
      </c>
      <c r="E1544" t="s">
        <v>14</v>
      </c>
      <c r="F1544" t="s">
        <v>14</v>
      </c>
      <c r="G1544" s="1">
        <v>353.34</v>
      </c>
      <c r="H1544">
        <v>0</v>
      </c>
      <c r="I1544">
        <f>Sales_Data[[#This Row],[Sales]]*Sales_Data[[#This Row],[Discount]]</f>
        <v>0</v>
      </c>
      <c r="J1544">
        <v>353.34</v>
      </c>
      <c r="K1544" s="1">
        <v>11.7</v>
      </c>
      <c r="L1544" s="1">
        <v>353.34</v>
      </c>
      <c r="M1544" s="1" t="s">
        <v>10</v>
      </c>
      <c r="N1544" s="1">
        <f>IF(Sales_Data[[#This Row],[Sales with Discount]]&lt;Sales_Data[[#This Row],[Sales with Free Shipping]],Sales_Data[[#This Row],[Sales with Discount]],Sales_Data[[#This Row],[Sales with Free Shipping]])</f>
        <v>353.34</v>
      </c>
      <c r="O1544" s="1" t="str">
        <f>TEXT(Sales_Data[[#This Row],[Order Date]], "MM-YYYY")</f>
        <v>04-2019</v>
      </c>
    </row>
    <row r="1545" spans="1:15" x14ac:dyDescent="0.3">
      <c r="A1545" s="1">
        <v>30310</v>
      </c>
      <c r="B1545" s="2">
        <v>43581</v>
      </c>
      <c r="C1545" s="1" t="s">
        <v>14</v>
      </c>
      <c r="D1545" s="1">
        <v>21</v>
      </c>
      <c r="E1545" t="s">
        <v>14</v>
      </c>
      <c r="F1545" t="s">
        <v>14</v>
      </c>
      <c r="G1545" s="1">
        <v>2165.71</v>
      </c>
      <c r="H1545">
        <v>0</v>
      </c>
      <c r="I1545">
        <f>Sales_Data[[#This Row],[Sales]]*Sales_Data[[#This Row],[Discount]]</f>
        <v>0</v>
      </c>
      <c r="J1545">
        <v>2165.71</v>
      </c>
      <c r="K1545" s="1">
        <v>9.4</v>
      </c>
      <c r="L1545" s="1">
        <v>2165.71</v>
      </c>
      <c r="M1545" s="1" t="s">
        <v>10</v>
      </c>
      <c r="N1545" s="1">
        <f>IF(Sales_Data[[#This Row],[Sales with Discount]]&lt;Sales_Data[[#This Row],[Sales with Free Shipping]],Sales_Data[[#This Row],[Sales with Discount]],Sales_Data[[#This Row],[Sales with Free Shipping]])</f>
        <v>2165.71</v>
      </c>
      <c r="O1545" s="1" t="str">
        <f>TEXT(Sales_Data[[#This Row],[Order Date]], "MM-YYYY")</f>
        <v>04-2019</v>
      </c>
    </row>
    <row r="1546" spans="1:15" x14ac:dyDescent="0.3">
      <c r="A1546" s="1">
        <v>38336</v>
      </c>
      <c r="B1546" s="2">
        <v>43743</v>
      </c>
      <c r="C1546" s="1" t="s">
        <v>12</v>
      </c>
      <c r="D1546" s="1">
        <v>14</v>
      </c>
      <c r="E1546" t="s">
        <v>18</v>
      </c>
      <c r="F1546" t="s">
        <v>18</v>
      </c>
      <c r="G1546" s="1">
        <v>98.17</v>
      </c>
      <c r="H1546">
        <v>0</v>
      </c>
      <c r="I1546">
        <f>Sales_Data[[#This Row],[Sales]]*Sales_Data[[#This Row],[Discount]]</f>
        <v>0</v>
      </c>
      <c r="J1546">
        <v>98.17</v>
      </c>
      <c r="K1546" s="1">
        <v>3.2</v>
      </c>
      <c r="L1546" s="1">
        <v>98.17</v>
      </c>
      <c r="M1546" s="1" t="s">
        <v>10</v>
      </c>
      <c r="N1546" s="1">
        <f>IF(Sales_Data[[#This Row],[Sales with Discount]]&lt;Sales_Data[[#This Row],[Sales with Free Shipping]],Sales_Data[[#This Row],[Sales with Discount]],Sales_Data[[#This Row],[Sales with Free Shipping]])</f>
        <v>98.17</v>
      </c>
      <c r="O1546" s="1" t="str">
        <f>TEXT(Sales_Data[[#This Row],[Order Date]], "MM-YYYY")</f>
        <v>10-2019</v>
      </c>
    </row>
    <row r="1547" spans="1:15" x14ac:dyDescent="0.3">
      <c r="A1547" s="1">
        <v>11683</v>
      </c>
      <c r="B1547" s="2">
        <v>43502</v>
      </c>
      <c r="C1547" s="1" t="s">
        <v>11</v>
      </c>
      <c r="D1547" s="1">
        <v>28</v>
      </c>
      <c r="E1547" t="s">
        <v>20</v>
      </c>
      <c r="F1547" t="s">
        <v>20</v>
      </c>
      <c r="G1547" s="1">
        <v>1765.9398000000001</v>
      </c>
      <c r="H1547">
        <v>0</v>
      </c>
      <c r="I1547">
        <f>Sales_Data[[#This Row],[Sales]]*Sales_Data[[#This Row],[Discount]]</f>
        <v>0</v>
      </c>
      <c r="J1547">
        <v>1765.9398000000001</v>
      </c>
      <c r="K1547" s="1">
        <v>6.4</v>
      </c>
      <c r="L1547" s="1">
        <v>1765.9398000000001</v>
      </c>
      <c r="M1547" s="1" t="s">
        <v>10</v>
      </c>
      <c r="N1547" s="1">
        <f>IF(Sales_Data[[#This Row],[Sales with Discount]]&lt;Sales_Data[[#This Row],[Sales with Free Shipping]],Sales_Data[[#This Row],[Sales with Discount]],Sales_Data[[#This Row],[Sales with Free Shipping]])</f>
        <v>1765.9398000000001</v>
      </c>
      <c r="O1547" s="1" t="str">
        <f>TEXT(Sales_Data[[#This Row],[Order Date]], "MM-YYYY")</f>
        <v>02-2019</v>
      </c>
    </row>
    <row r="1548" spans="1:15" x14ac:dyDescent="0.3">
      <c r="A1548" s="1">
        <v>20194</v>
      </c>
      <c r="B1548" s="2">
        <v>43537</v>
      </c>
      <c r="C1548" s="1" t="s">
        <v>9</v>
      </c>
      <c r="D1548" s="1">
        <v>10</v>
      </c>
      <c r="E1548" t="s">
        <v>17</v>
      </c>
      <c r="F1548" t="s">
        <v>17</v>
      </c>
      <c r="G1548" s="1">
        <v>207.89</v>
      </c>
      <c r="H1548">
        <v>0</v>
      </c>
      <c r="I1548">
        <f>Sales_Data[[#This Row],[Sales]]*Sales_Data[[#This Row],[Discount]]</f>
        <v>0</v>
      </c>
      <c r="J1548">
        <v>207.89</v>
      </c>
      <c r="K1548" s="1">
        <v>7.1</v>
      </c>
      <c r="L1548" s="1">
        <v>207.89</v>
      </c>
      <c r="M1548" s="1" t="s">
        <v>10</v>
      </c>
      <c r="N1548" s="1">
        <f>IF(Sales_Data[[#This Row],[Sales with Discount]]&lt;Sales_Data[[#This Row],[Sales with Free Shipping]],Sales_Data[[#This Row],[Sales with Discount]],Sales_Data[[#This Row],[Sales with Free Shipping]])</f>
        <v>207.89</v>
      </c>
      <c r="O1548" s="1" t="str">
        <f>TEXT(Sales_Data[[#This Row],[Order Date]], "MM-YYYY")</f>
        <v>03-2019</v>
      </c>
    </row>
    <row r="1549" spans="1:15" x14ac:dyDescent="0.3">
      <c r="A1549" s="1">
        <v>5986</v>
      </c>
      <c r="B1549" s="2">
        <v>43576</v>
      </c>
      <c r="C1549" s="1" t="s">
        <v>9</v>
      </c>
      <c r="D1549" s="1">
        <v>48</v>
      </c>
      <c r="E1549" t="s">
        <v>24</v>
      </c>
      <c r="F1549" t="s">
        <v>24</v>
      </c>
      <c r="G1549" s="1">
        <v>5945.11</v>
      </c>
      <c r="H1549">
        <v>0.01</v>
      </c>
      <c r="I1549">
        <f>Sales_Data[[#This Row],[Sales]]*Sales_Data[[#This Row],[Discount]]</f>
        <v>59.451099999999997</v>
      </c>
      <c r="J1549">
        <v>5885.6588999999994</v>
      </c>
      <c r="K1549" s="1">
        <v>4.3</v>
      </c>
      <c r="L1549" s="1">
        <v>5940.8099999999995</v>
      </c>
      <c r="M1549" s="1" t="s">
        <v>10</v>
      </c>
      <c r="N1549" s="1">
        <f>IF(Sales_Data[[#This Row],[Sales with Discount]]&lt;Sales_Data[[#This Row],[Sales with Free Shipping]],Sales_Data[[#This Row],[Sales with Discount]],Sales_Data[[#This Row],[Sales with Free Shipping]])</f>
        <v>5885.6588999999994</v>
      </c>
      <c r="O1549" s="1" t="str">
        <f>TEXT(Sales_Data[[#This Row],[Order Date]], "MM-YYYY")</f>
        <v>04-2019</v>
      </c>
    </row>
    <row r="1550" spans="1:15" x14ac:dyDescent="0.3">
      <c r="A1550" s="1">
        <v>33893</v>
      </c>
      <c r="B1550" s="2">
        <v>43728</v>
      </c>
      <c r="C1550" s="1" t="s">
        <v>11</v>
      </c>
      <c r="D1550" s="1">
        <v>6</v>
      </c>
      <c r="E1550" t="s">
        <v>17</v>
      </c>
      <c r="F1550" t="s">
        <v>17</v>
      </c>
      <c r="G1550" s="1">
        <v>248.46</v>
      </c>
      <c r="H1550">
        <v>0</v>
      </c>
      <c r="I1550">
        <f>Sales_Data[[#This Row],[Sales]]*Sales_Data[[#This Row],[Discount]]</f>
        <v>0</v>
      </c>
      <c r="J1550">
        <v>248.46</v>
      </c>
      <c r="K1550" s="1">
        <v>15.8</v>
      </c>
      <c r="L1550" s="1">
        <v>248.46</v>
      </c>
      <c r="M1550" s="1" t="s">
        <v>10</v>
      </c>
      <c r="N1550" s="1">
        <f>IF(Sales_Data[[#This Row],[Sales with Discount]]&lt;Sales_Data[[#This Row],[Sales with Free Shipping]],Sales_Data[[#This Row],[Sales with Discount]],Sales_Data[[#This Row],[Sales with Free Shipping]])</f>
        <v>248.46</v>
      </c>
      <c r="O1550" s="1" t="str">
        <f>TEXT(Sales_Data[[#This Row],[Order Date]], "MM-YYYY")</f>
        <v>09-2019</v>
      </c>
    </row>
    <row r="1551" spans="1:15" x14ac:dyDescent="0.3">
      <c r="A1551" s="1">
        <v>6785</v>
      </c>
      <c r="B1551" s="2">
        <v>43591</v>
      </c>
      <c r="C1551" s="1" t="s">
        <v>14</v>
      </c>
      <c r="D1551" s="1">
        <v>7</v>
      </c>
      <c r="E1551" t="s">
        <v>17</v>
      </c>
      <c r="F1551" t="s">
        <v>17</v>
      </c>
      <c r="G1551" s="1">
        <v>194.01</v>
      </c>
      <c r="H1551">
        <v>0</v>
      </c>
      <c r="I1551">
        <f>Sales_Data[[#This Row],[Sales]]*Sales_Data[[#This Row],[Discount]]</f>
        <v>0</v>
      </c>
      <c r="J1551">
        <v>194.01</v>
      </c>
      <c r="K1551" s="1">
        <v>9.6</v>
      </c>
      <c r="L1551" s="1">
        <v>194.01</v>
      </c>
      <c r="M1551" s="1" t="s">
        <v>10</v>
      </c>
      <c r="N1551" s="1">
        <f>IF(Sales_Data[[#This Row],[Sales with Discount]]&lt;Sales_Data[[#This Row],[Sales with Free Shipping]],Sales_Data[[#This Row],[Sales with Discount]],Sales_Data[[#This Row],[Sales with Free Shipping]])</f>
        <v>194.01</v>
      </c>
      <c r="O1551" s="1" t="str">
        <f>TEXT(Sales_Data[[#This Row],[Order Date]], "MM-YYYY")</f>
        <v>05-2019</v>
      </c>
    </row>
    <row r="1552" spans="1:15" x14ac:dyDescent="0.3">
      <c r="A1552" s="1">
        <v>54791</v>
      </c>
      <c r="B1552" s="2">
        <v>43819</v>
      </c>
      <c r="C1552" s="1" t="s">
        <v>9</v>
      </c>
      <c r="D1552" s="1">
        <v>45</v>
      </c>
      <c r="E1552" t="s">
        <v>23</v>
      </c>
      <c r="F1552" t="s">
        <v>23</v>
      </c>
      <c r="G1552" s="1">
        <v>4456.59</v>
      </c>
      <c r="H1552">
        <v>0.01</v>
      </c>
      <c r="I1552">
        <f>Sales_Data[[#This Row],[Sales]]*Sales_Data[[#This Row],[Discount]]</f>
        <v>44.565899999999999</v>
      </c>
      <c r="J1552">
        <v>4412.0241000000005</v>
      </c>
      <c r="K1552" s="1">
        <v>32.1</v>
      </c>
      <c r="L1552" s="1">
        <v>4424.49</v>
      </c>
      <c r="M1552" s="1" t="s">
        <v>13</v>
      </c>
      <c r="N1552" s="1">
        <f>IF(Sales_Data[[#This Row],[Sales with Discount]]&lt;Sales_Data[[#This Row],[Sales with Free Shipping]],Sales_Data[[#This Row],[Sales with Discount]],Sales_Data[[#This Row],[Sales with Free Shipping]])</f>
        <v>4412.0241000000005</v>
      </c>
      <c r="O1552" s="1" t="str">
        <f>TEXT(Sales_Data[[#This Row],[Order Date]], "MM-YYYY")</f>
        <v>12-2019</v>
      </c>
    </row>
    <row r="1553" spans="1:15" x14ac:dyDescent="0.3">
      <c r="A1553" s="1">
        <v>12837</v>
      </c>
      <c r="B1553" s="2">
        <v>43801</v>
      </c>
      <c r="C1553" s="1" t="s">
        <v>14</v>
      </c>
      <c r="D1553" s="1">
        <v>50</v>
      </c>
      <c r="E1553" t="s">
        <v>24</v>
      </c>
      <c r="F1553" t="s">
        <v>24</v>
      </c>
      <c r="G1553" s="1">
        <v>1177.22</v>
      </c>
      <c r="H1553">
        <v>0.01</v>
      </c>
      <c r="I1553">
        <f>Sales_Data[[#This Row],[Sales]]*Sales_Data[[#This Row],[Discount]]</f>
        <v>11.7722</v>
      </c>
      <c r="J1553">
        <v>1165.4477999999999</v>
      </c>
      <c r="K1553" s="1">
        <v>2.1</v>
      </c>
      <c r="L1553" s="1">
        <v>1175.1200000000001</v>
      </c>
      <c r="M1553" s="1" t="s">
        <v>10</v>
      </c>
      <c r="N1553" s="1">
        <f>IF(Sales_Data[[#This Row],[Sales with Discount]]&lt;Sales_Data[[#This Row],[Sales with Free Shipping]],Sales_Data[[#This Row],[Sales with Discount]],Sales_Data[[#This Row],[Sales with Free Shipping]])</f>
        <v>1165.4477999999999</v>
      </c>
      <c r="O1553" s="1" t="str">
        <f>TEXT(Sales_Data[[#This Row],[Order Date]], "MM-YYYY")</f>
        <v>12-2019</v>
      </c>
    </row>
    <row r="1554" spans="1:15" x14ac:dyDescent="0.3">
      <c r="A1554" s="1">
        <v>58435</v>
      </c>
      <c r="B1554" s="2">
        <v>43592</v>
      </c>
      <c r="C1554" s="1" t="s">
        <v>7</v>
      </c>
      <c r="D1554" s="1">
        <v>11</v>
      </c>
      <c r="E1554" t="s">
        <v>18</v>
      </c>
      <c r="F1554" t="s">
        <v>18</v>
      </c>
      <c r="G1554" s="1">
        <v>292.58080000000001</v>
      </c>
      <c r="H1554">
        <v>0</v>
      </c>
      <c r="I1554">
        <f>Sales_Data[[#This Row],[Sales]]*Sales_Data[[#This Row],[Discount]]</f>
        <v>0</v>
      </c>
      <c r="J1554">
        <v>292.58080000000001</v>
      </c>
      <c r="K1554" s="1">
        <v>16.2</v>
      </c>
      <c r="L1554" s="1">
        <v>292.58080000000001</v>
      </c>
      <c r="M1554" s="1" t="s">
        <v>10</v>
      </c>
      <c r="N1554" s="1">
        <f>IF(Sales_Data[[#This Row],[Sales with Discount]]&lt;Sales_Data[[#This Row],[Sales with Free Shipping]],Sales_Data[[#This Row],[Sales with Discount]],Sales_Data[[#This Row],[Sales with Free Shipping]])</f>
        <v>292.58080000000001</v>
      </c>
      <c r="O1554" s="1" t="str">
        <f>TEXT(Sales_Data[[#This Row],[Order Date]], "MM-YYYY")</f>
        <v>05-2019</v>
      </c>
    </row>
    <row r="1555" spans="1:15" x14ac:dyDescent="0.3">
      <c r="A1555" s="1">
        <v>59425</v>
      </c>
      <c r="B1555" s="2">
        <v>43602</v>
      </c>
      <c r="C1555" s="1" t="s">
        <v>14</v>
      </c>
      <c r="D1555" s="1">
        <v>46</v>
      </c>
      <c r="E1555" t="s">
        <v>24</v>
      </c>
      <c r="F1555" t="s">
        <v>24</v>
      </c>
      <c r="G1555" s="1">
        <v>1834</v>
      </c>
      <c r="H1555">
        <v>0.01</v>
      </c>
      <c r="I1555">
        <f>Sales_Data[[#This Row],[Sales]]*Sales_Data[[#This Row],[Discount]]</f>
        <v>18.34</v>
      </c>
      <c r="J1555">
        <v>1815.66</v>
      </c>
      <c r="K1555" s="1">
        <v>5.4</v>
      </c>
      <c r="L1555" s="1">
        <v>1828.6</v>
      </c>
      <c r="M1555" s="1" t="s">
        <v>10</v>
      </c>
      <c r="N1555" s="1">
        <f>IF(Sales_Data[[#This Row],[Sales with Discount]]&lt;Sales_Data[[#This Row],[Sales with Free Shipping]],Sales_Data[[#This Row],[Sales with Discount]],Sales_Data[[#This Row],[Sales with Free Shipping]])</f>
        <v>1815.66</v>
      </c>
      <c r="O1555" s="1" t="str">
        <f>TEXT(Sales_Data[[#This Row],[Order Date]], "MM-YYYY")</f>
        <v>05-2019</v>
      </c>
    </row>
    <row r="1556" spans="1:15" x14ac:dyDescent="0.3">
      <c r="A1556" s="1">
        <v>3524</v>
      </c>
      <c r="B1556" s="2">
        <v>43587</v>
      </c>
      <c r="C1556" s="1" t="s">
        <v>9</v>
      </c>
      <c r="D1556" s="1">
        <v>21</v>
      </c>
      <c r="E1556" t="s">
        <v>14</v>
      </c>
      <c r="F1556" t="s">
        <v>14</v>
      </c>
      <c r="G1556" s="1">
        <v>457.23</v>
      </c>
      <c r="H1556">
        <v>0</v>
      </c>
      <c r="I1556">
        <f>Sales_Data[[#This Row],[Sales]]*Sales_Data[[#This Row],[Discount]]</f>
        <v>0</v>
      </c>
      <c r="J1556">
        <v>457.23</v>
      </c>
      <c r="K1556" s="1">
        <v>9.6999999999999993</v>
      </c>
      <c r="L1556" s="1">
        <v>457.23</v>
      </c>
      <c r="M1556" s="1" t="s">
        <v>10</v>
      </c>
      <c r="N1556" s="1">
        <f>IF(Sales_Data[[#This Row],[Sales with Discount]]&lt;Sales_Data[[#This Row],[Sales with Free Shipping]],Sales_Data[[#This Row],[Sales with Discount]],Sales_Data[[#This Row],[Sales with Free Shipping]])</f>
        <v>457.23</v>
      </c>
      <c r="O1556" s="1" t="str">
        <f>TEXT(Sales_Data[[#This Row],[Order Date]], "MM-YYYY")</f>
        <v>05-2019</v>
      </c>
    </row>
    <row r="1557" spans="1:15" x14ac:dyDescent="0.3">
      <c r="A1557" s="1">
        <v>33378</v>
      </c>
      <c r="B1557" s="2">
        <v>43582</v>
      </c>
      <c r="C1557" s="1" t="s">
        <v>9</v>
      </c>
      <c r="D1557" s="1">
        <v>25</v>
      </c>
      <c r="E1557" t="s">
        <v>14</v>
      </c>
      <c r="F1557" t="s">
        <v>14</v>
      </c>
      <c r="G1557" s="1">
        <v>1011.54</v>
      </c>
      <c r="H1557">
        <v>0</v>
      </c>
      <c r="I1557">
        <f>Sales_Data[[#This Row],[Sales]]*Sales_Data[[#This Row],[Discount]]</f>
        <v>0</v>
      </c>
      <c r="J1557">
        <v>1011.54</v>
      </c>
      <c r="K1557" s="1">
        <v>10.5</v>
      </c>
      <c r="L1557" s="1">
        <v>1011.54</v>
      </c>
      <c r="M1557" s="1" t="s">
        <v>10</v>
      </c>
      <c r="N1557" s="1">
        <f>IF(Sales_Data[[#This Row],[Sales with Discount]]&lt;Sales_Data[[#This Row],[Sales with Free Shipping]],Sales_Data[[#This Row],[Sales with Discount]],Sales_Data[[#This Row],[Sales with Free Shipping]])</f>
        <v>1011.54</v>
      </c>
      <c r="O1557" s="1" t="str">
        <f>TEXT(Sales_Data[[#This Row],[Order Date]], "MM-YYYY")</f>
        <v>04-2019</v>
      </c>
    </row>
    <row r="1558" spans="1:15" x14ac:dyDescent="0.3">
      <c r="A1558" s="1">
        <v>56384</v>
      </c>
      <c r="B1558" s="2">
        <v>43677</v>
      </c>
      <c r="C1558" s="1" t="s">
        <v>12</v>
      </c>
      <c r="D1558" s="1">
        <v>29</v>
      </c>
      <c r="E1558" t="s">
        <v>20</v>
      </c>
      <c r="F1558" t="s">
        <v>20</v>
      </c>
      <c r="G1558" s="1">
        <v>6569.09</v>
      </c>
      <c r="H1558">
        <v>0</v>
      </c>
      <c r="I1558">
        <f>Sales_Data[[#This Row],[Sales]]*Sales_Data[[#This Row],[Discount]]</f>
        <v>0</v>
      </c>
      <c r="J1558">
        <v>6569.09</v>
      </c>
      <c r="K1558" s="1">
        <v>74.5</v>
      </c>
      <c r="L1558" s="1">
        <v>6569.09</v>
      </c>
      <c r="M1558" s="1" t="s">
        <v>13</v>
      </c>
      <c r="N1558" s="1">
        <f>IF(Sales_Data[[#This Row],[Sales with Discount]]&lt;Sales_Data[[#This Row],[Sales with Free Shipping]],Sales_Data[[#This Row],[Sales with Discount]],Sales_Data[[#This Row],[Sales with Free Shipping]])</f>
        <v>6569.09</v>
      </c>
      <c r="O1558" s="1" t="str">
        <f>TEXT(Sales_Data[[#This Row],[Order Date]], "MM-YYYY")</f>
        <v>07-2019</v>
      </c>
    </row>
    <row r="1559" spans="1:15" x14ac:dyDescent="0.3">
      <c r="A1559" s="1">
        <v>48576</v>
      </c>
      <c r="B1559" s="2">
        <v>43800</v>
      </c>
      <c r="C1559" s="1" t="s">
        <v>11</v>
      </c>
      <c r="D1559" s="1">
        <v>47</v>
      </c>
      <c r="E1559" t="s">
        <v>24</v>
      </c>
      <c r="F1559" t="s">
        <v>24</v>
      </c>
      <c r="G1559" s="1">
        <v>338.85</v>
      </c>
      <c r="H1559">
        <v>0.01</v>
      </c>
      <c r="I1559">
        <f>Sales_Data[[#This Row],[Sales]]*Sales_Data[[#This Row],[Discount]]</f>
        <v>3.3885000000000005</v>
      </c>
      <c r="J1559">
        <v>335.4615</v>
      </c>
      <c r="K1559" s="1">
        <v>8</v>
      </c>
      <c r="L1559" s="1">
        <v>330.85</v>
      </c>
      <c r="M1559" s="1" t="s">
        <v>10</v>
      </c>
      <c r="N1559" s="1">
        <f>IF(Sales_Data[[#This Row],[Sales with Discount]]&lt;Sales_Data[[#This Row],[Sales with Free Shipping]],Sales_Data[[#This Row],[Sales with Discount]],Sales_Data[[#This Row],[Sales with Free Shipping]])</f>
        <v>330.85</v>
      </c>
      <c r="O1559" s="1" t="str">
        <f>TEXT(Sales_Data[[#This Row],[Order Date]], "MM-YYYY")</f>
        <v>12-2019</v>
      </c>
    </row>
    <row r="1560" spans="1:15" x14ac:dyDescent="0.3">
      <c r="A1560" s="1">
        <v>26469</v>
      </c>
      <c r="B1560" s="2">
        <v>43676</v>
      </c>
      <c r="C1560" s="1" t="s">
        <v>14</v>
      </c>
      <c r="D1560" s="1">
        <v>50</v>
      </c>
      <c r="E1560" t="s">
        <v>24</v>
      </c>
      <c r="F1560" t="s">
        <v>24</v>
      </c>
      <c r="G1560" s="1">
        <v>374.51069999999999</v>
      </c>
      <c r="H1560">
        <v>0.01</v>
      </c>
      <c r="I1560">
        <f>Sales_Data[[#This Row],[Sales]]*Sales_Data[[#This Row],[Discount]]</f>
        <v>3.745107</v>
      </c>
      <c r="J1560">
        <v>370.76559299999997</v>
      </c>
      <c r="K1560" s="1">
        <v>7.4</v>
      </c>
      <c r="L1560" s="1">
        <v>367.11070000000001</v>
      </c>
      <c r="M1560" s="1" t="s">
        <v>10</v>
      </c>
      <c r="N1560" s="1">
        <f>IF(Sales_Data[[#This Row],[Sales with Discount]]&lt;Sales_Data[[#This Row],[Sales with Free Shipping]],Sales_Data[[#This Row],[Sales with Discount]],Sales_Data[[#This Row],[Sales with Free Shipping]])</f>
        <v>367.11070000000001</v>
      </c>
      <c r="O1560" s="1" t="str">
        <f>TEXT(Sales_Data[[#This Row],[Order Date]], "MM-YYYY")</f>
        <v>07-2019</v>
      </c>
    </row>
    <row r="1561" spans="1:15" x14ac:dyDescent="0.3">
      <c r="A1561" s="1">
        <v>43493</v>
      </c>
      <c r="B1561" s="2">
        <v>43595</v>
      </c>
      <c r="C1561" s="1" t="s">
        <v>9</v>
      </c>
      <c r="D1561" s="1">
        <v>14</v>
      </c>
      <c r="E1561" t="s">
        <v>18</v>
      </c>
      <c r="F1561" t="s">
        <v>18</v>
      </c>
      <c r="G1561" s="1">
        <v>76.61</v>
      </c>
      <c r="H1561">
        <v>0</v>
      </c>
      <c r="I1561">
        <f>Sales_Data[[#This Row],[Sales]]*Sales_Data[[#This Row],[Discount]]</f>
        <v>0</v>
      </c>
      <c r="J1561">
        <v>76.61</v>
      </c>
      <c r="K1561" s="1">
        <v>5</v>
      </c>
      <c r="L1561" s="1">
        <v>76.61</v>
      </c>
      <c r="M1561" s="1" t="s">
        <v>10</v>
      </c>
      <c r="N1561" s="1">
        <f>IF(Sales_Data[[#This Row],[Sales with Discount]]&lt;Sales_Data[[#This Row],[Sales with Free Shipping]],Sales_Data[[#This Row],[Sales with Discount]],Sales_Data[[#This Row],[Sales with Free Shipping]])</f>
        <v>76.61</v>
      </c>
      <c r="O1561" s="1" t="str">
        <f>TEXT(Sales_Data[[#This Row],[Order Date]], "MM-YYYY")</f>
        <v>05-2019</v>
      </c>
    </row>
    <row r="1562" spans="1:15" x14ac:dyDescent="0.3">
      <c r="A1562" s="1">
        <v>20932</v>
      </c>
      <c r="B1562" s="2">
        <v>43675</v>
      </c>
      <c r="C1562" s="1" t="s">
        <v>9</v>
      </c>
      <c r="D1562" s="1">
        <v>38</v>
      </c>
      <c r="E1562" t="s">
        <v>22</v>
      </c>
      <c r="F1562" t="s">
        <v>22</v>
      </c>
      <c r="G1562" s="1">
        <v>131.88999999999999</v>
      </c>
      <c r="H1562">
        <v>0.01</v>
      </c>
      <c r="I1562">
        <f>Sales_Data[[#This Row],[Sales]]*Sales_Data[[#This Row],[Discount]]</f>
        <v>1.3189</v>
      </c>
      <c r="J1562">
        <v>130.57109999999997</v>
      </c>
      <c r="K1562" s="1">
        <v>2</v>
      </c>
      <c r="L1562" s="1">
        <v>129.88999999999999</v>
      </c>
      <c r="M1562" s="1" t="s">
        <v>10</v>
      </c>
      <c r="N1562" s="1">
        <f>IF(Sales_Data[[#This Row],[Sales with Discount]]&lt;Sales_Data[[#This Row],[Sales with Free Shipping]],Sales_Data[[#This Row],[Sales with Discount]],Sales_Data[[#This Row],[Sales with Free Shipping]])</f>
        <v>129.88999999999999</v>
      </c>
      <c r="O1562" s="1" t="str">
        <f>TEXT(Sales_Data[[#This Row],[Order Date]], "MM-YYYY")</f>
        <v>07-2019</v>
      </c>
    </row>
    <row r="1563" spans="1:15" x14ac:dyDescent="0.3">
      <c r="A1563" s="1">
        <v>13575</v>
      </c>
      <c r="B1563" s="2">
        <v>43706</v>
      </c>
      <c r="C1563" s="1" t="s">
        <v>12</v>
      </c>
      <c r="D1563" s="1">
        <v>15</v>
      </c>
      <c r="E1563" t="s">
        <v>18</v>
      </c>
      <c r="F1563" t="s">
        <v>18</v>
      </c>
      <c r="G1563" s="1">
        <v>113.53</v>
      </c>
      <c r="H1563">
        <v>0</v>
      </c>
      <c r="I1563">
        <f>Sales_Data[[#This Row],[Sales]]*Sales_Data[[#This Row],[Discount]]</f>
        <v>0</v>
      </c>
      <c r="J1563">
        <v>113.53</v>
      </c>
      <c r="K1563" s="1">
        <v>8.8000000000000007</v>
      </c>
      <c r="L1563" s="1">
        <v>113.53</v>
      </c>
      <c r="M1563" s="1" t="s">
        <v>8</v>
      </c>
      <c r="N1563" s="1">
        <f>IF(Sales_Data[[#This Row],[Sales with Discount]]&lt;Sales_Data[[#This Row],[Sales with Free Shipping]],Sales_Data[[#This Row],[Sales with Discount]],Sales_Data[[#This Row],[Sales with Free Shipping]])</f>
        <v>113.53</v>
      </c>
      <c r="O1563" s="1" t="str">
        <f>TEXT(Sales_Data[[#This Row],[Order Date]], "MM-YYYY")</f>
        <v>08-2019</v>
      </c>
    </row>
    <row r="1564" spans="1:15" x14ac:dyDescent="0.3">
      <c r="A1564" s="1">
        <v>16132</v>
      </c>
      <c r="B1564" s="2">
        <v>43765</v>
      </c>
      <c r="C1564" s="1" t="s">
        <v>14</v>
      </c>
      <c r="D1564" s="1">
        <v>26</v>
      </c>
      <c r="E1564" t="s">
        <v>20</v>
      </c>
      <c r="F1564" t="s">
        <v>20</v>
      </c>
      <c r="G1564" s="1">
        <v>556.36</v>
      </c>
      <c r="H1564">
        <v>0</v>
      </c>
      <c r="I1564">
        <f>Sales_Data[[#This Row],[Sales]]*Sales_Data[[#This Row],[Discount]]</f>
        <v>0</v>
      </c>
      <c r="J1564">
        <v>556.36</v>
      </c>
      <c r="K1564" s="1">
        <v>3.2</v>
      </c>
      <c r="L1564" s="1">
        <v>556.36</v>
      </c>
      <c r="M1564" s="1" t="s">
        <v>10</v>
      </c>
      <c r="N1564" s="1">
        <f>IF(Sales_Data[[#This Row],[Sales with Discount]]&lt;Sales_Data[[#This Row],[Sales with Free Shipping]],Sales_Data[[#This Row],[Sales with Discount]],Sales_Data[[#This Row],[Sales with Free Shipping]])</f>
        <v>556.36</v>
      </c>
      <c r="O1564" s="1" t="str">
        <f>TEXT(Sales_Data[[#This Row],[Order Date]], "MM-YYYY")</f>
        <v>10-2019</v>
      </c>
    </row>
    <row r="1565" spans="1:15" x14ac:dyDescent="0.3">
      <c r="A1565" s="1">
        <v>29926</v>
      </c>
      <c r="B1565" s="2">
        <v>43546</v>
      </c>
      <c r="C1565" s="1" t="s">
        <v>14</v>
      </c>
      <c r="D1565" s="1">
        <v>9</v>
      </c>
      <c r="E1565" t="s">
        <v>17</v>
      </c>
      <c r="F1565" t="s">
        <v>17</v>
      </c>
      <c r="G1565" s="1">
        <v>21.62</v>
      </c>
      <c r="H1565">
        <v>0</v>
      </c>
      <c r="I1565">
        <f>Sales_Data[[#This Row],[Sales]]*Sales_Data[[#This Row],[Discount]]</f>
        <v>0</v>
      </c>
      <c r="J1565">
        <v>21.62</v>
      </c>
      <c r="K1565" s="1">
        <v>1.6</v>
      </c>
      <c r="L1565" s="1">
        <v>21.62</v>
      </c>
      <c r="M1565" s="1" t="s">
        <v>10</v>
      </c>
      <c r="N1565" s="1">
        <f>IF(Sales_Data[[#This Row],[Sales with Discount]]&lt;Sales_Data[[#This Row],[Sales with Free Shipping]],Sales_Data[[#This Row],[Sales with Discount]],Sales_Data[[#This Row],[Sales with Free Shipping]])</f>
        <v>21.62</v>
      </c>
      <c r="O1565" s="1" t="str">
        <f>TEXT(Sales_Data[[#This Row],[Order Date]], "MM-YYYY")</f>
        <v>03-2019</v>
      </c>
    </row>
    <row r="1566" spans="1:15" x14ac:dyDescent="0.3">
      <c r="A1566" s="1">
        <v>57152</v>
      </c>
      <c r="B1566" s="2">
        <v>43711</v>
      </c>
      <c r="C1566" s="1" t="s">
        <v>7</v>
      </c>
      <c r="D1566" s="1">
        <v>6</v>
      </c>
      <c r="E1566" t="s">
        <v>17</v>
      </c>
      <c r="F1566" t="s">
        <v>17</v>
      </c>
      <c r="G1566" s="1">
        <v>24.49</v>
      </c>
      <c r="H1566">
        <v>0</v>
      </c>
      <c r="I1566">
        <f>Sales_Data[[#This Row],[Sales]]*Sales_Data[[#This Row],[Discount]]</f>
        <v>0</v>
      </c>
      <c r="J1566">
        <v>24.49</v>
      </c>
      <c r="K1566" s="1">
        <v>1.6</v>
      </c>
      <c r="L1566" s="1">
        <v>24.49</v>
      </c>
      <c r="M1566" s="1" t="s">
        <v>10</v>
      </c>
      <c r="N1566" s="1">
        <f>IF(Sales_Data[[#This Row],[Sales with Discount]]&lt;Sales_Data[[#This Row],[Sales with Free Shipping]],Sales_Data[[#This Row],[Sales with Discount]],Sales_Data[[#This Row],[Sales with Free Shipping]])</f>
        <v>24.49</v>
      </c>
      <c r="O1566" s="1" t="str">
        <f>TEXT(Sales_Data[[#This Row],[Order Date]], "MM-YYYY")</f>
        <v>09-2019</v>
      </c>
    </row>
    <row r="1567" spans="1:15" x14ac:dyDescent="0.3">
      <c r="A1567" s="1">
        <v>21827</v>
      </c>
      <c r="B1567" s="2">
        <v>43778</v>
      </c>
      <c r="C1567" s="1" t="s">
        <v>11</v>
      </c>
      <c r="D1567" s="1">
        <v>21</v>
      </c>
      <c r="E1567" t="s">
        <v>14</v>
      </c>
      <c r="F1567" t="s">
        <v>14</v>
      </c>
      <c r="G1567" s="1">
        <v>1670.23</v>
      </c>
      <c r="H1567">
        <v>0</v>
      </c>
      <c r="I1567">
        <f>Sales_Data[[#This Row],[Sales]]*Sales_Data[[#This Row],[Discount]]</f>
        <v>0</v>
      </c>
      <c r="J1567">
        <v>1670.23</v>
      </c>
      <c r="K1567" s="1">
        <v>4.3</v>
      </c>
      <c r="L1567" s="1">
        <v>1670.23</v>
      </c>
      <c r="M1567" s="1" t="s">
        <v>8</v>
      </c>
      <c r="N1567" s="1">
        <f>IF(Sales_Data[[#This Row],[Sales with Discount]]&lt;Sales_Data[[#This Row],[Sales with Free Shipping]],Sales_Data[[#This Row],[Sales with Discount]],Sales_Data[[#This Row],[Sales with Free Shipping]])</f>
        <v>1670.23</v>
      </c>
      <c r="O1567" s="1" t="str">
        <f>TEXT(Sales_Data[[#This Row],[Order Date]], "MM-YYYY")</f>
        <v>11-2019</v>
      </c>
    </row>
    <row r="1568" spans="1:15" x14ac:dyDescent="0.3">
      <c r="A1568" s="1">
        <v>7458</v>
      </c>
      <c r="B1568" s="2">
        <v>43559</v>
      </c>
      <c r="C1568" s="1" t="s">
        <v>12</v>
      </c>
      <c r="D1568" s="1">
        <v>16</v>
      </c>
      <c r="E1568" t="s">
        <v>19</v>
      </c>
      <c r="F1568" t="s">
        <v>19</v>
      </c>
      <c r="G1568" s="1">
        <v>242.69</v>
      </c>
      <c r="H1568">
        <v>0</v>
      </c>
      <c r="I1568">
        <f>Sales_Data[[#This Row],[Sales]]*Sales_Data[[#This Row],[Discount]]</f>
        <v>0</v>
      </c>
      <c r="J1568">
        <v>242.69</v>
      </c>
      <c r="K1568" s="1">
        <v>7.7</v>
      </c>
      <c r="L1568" s="1">
        <v>242.69</v>
      </c>
      <c r="M1568" s="1" t="s">
        <v>10</v>
      </c>
      <c r="N1568" s="1">
        <f>IF(Sales_Data[[#This Row],[Sales with Discount]]&lt;Sales_Data[[#This Row],[Sales with Free Shipping]],Sales_Data[[#This Row],[Sales with Discount]],Sales_Data[[#This Row],[Sales with Free Shipping]])</f>
        <v>242.69</v>
      </c>
      <c r="O1568" s="1" t="str">
        <f>TEXT(Sales_Data[[#This Row],[Order Date]], "MM-YYYY")</f>
        <v>04-2019</v>
      </c>
    </row>
    <row r="1569" spans="1:15" x14ac:dyDescent="0.3">
      <c r="A1569" s="1">
        <v>17698</v>
      </c>
      <c r="B1569" s="2">
        <v>43598</v>
      </c>
      <c r="C1569" s="1" t="s">
        <v>9</v>
      </c>
      <c r="D1569" s="1">
        <v>40</v>
      </c>
      <c r="E1569" t="s">
        <v>22</v>
      </c>
      <c r="F1569" t="s">
        <v>22</v>
      </c>
      <c r="G1569" s="1">
        <v>652.05999999999995</v>
      </c>
      <c r="H1569">
        <v>0.01</v>
      </c>
      <c r="I1569">
        <f>Sales_Data[[#This Row],[Sales]]*Sales_Data[[#This Row],[Discount]]</f>
        <v>6.5206</v>
      </c>
      <c r="J1569">
        <v>645.53939999999989</v>
      </c>
      <c r="K1569" s="1">
        <v>11.7</v>
      </c>
      <c r="L1569" s="1">
        <v>640.3599999999999</v>
      </c>
      <c r="M1569" s="1" t="s">
        <v>10</v>
      </c>
      <c r="N1569" s="1">
        <f>IF(Sales_Data[[#This Row],[Sales with Discount]]&lt;Sales_Data[[#This Row],[Sales with Free Shipping]],Sales_Data[[#This Row],[Sales with Discount]],Sales_Data[[#This Row],[Sales with Free Shipping]])</f>
        <v>640.3599999999999</v>
      </c>
      <c r="O1569" s="1" t="str">
        <f>TEXT(Sales_Data[[#This Row],[Order Date]], "MM-YYYY")</f>
        <v>05-2019</v>
      </c>
    </row>
    <row r="1570" spans="1:15" x14ac:dyDescent="0.3">
      <c r="A1570" s="1">
        <v>51970</v>
      </c>
      <c r="B1570" s="2">
        <v>43475</v>
      </c>
      <c r="C1570" s="1" t="s">
        <v>11</v>
      </c>
      <c r="D1570" s="1">
        <v>1</v>
      </c>
      <c r="E1570" t="s">
        <v>16</v>
      </c>
      <c r="F1570" t="s">
        <v>16</v>
      </c>
      <c r="G1570" s="1">
        <v>183.73</v>
      </c>
      <c r="H1570">
        <v>0</v>
      </c>
      <c r="I1570">
        <f>Sales_Data[[#This Row],[Sales]]*Sales_Data[[#This Row],[Discount]]</f>
        <v>0</v>
      </c>
      <c r="J1570">
        <v>183.73</v>
      </c>
      <c r="K1570" s="1">
        <v>60.1</v>
      </c>
      <c r="L1570" s="1">
        <v>183.73</v>
      </c>
      <c r="M1570" s="1" t="s">
        <v>13</v>
      </c>
      <c r="N1570" s="1">
        <f>IF(Sales_Data[[#This Row],[Sales with Discount]]&lt;Sales_Data[[#This Row],[Sales with Free Shipping]],Sales_Data[[#This Row],[Sales with Discount]],Sales_Data[[#This Row],[Sales with Free Shipping]])</f>
        <v>183.73</v>
      </c>
      <c r="O1570" s="1" t="str">
        <f>TEXT(Sales_Data[[#This Row],[Order Date]], "MM-YYYY")</f>
        <v>01-2019</v>
      </c>
    </row>
    <row r="1571" spans="1:15" x14ac:dyDescent="0.3">
      <c r="A1571" s="1">
        <v>22373</v>
      </c>
      <c r="B1571" s="2">
        <v>43552</v>
      </c>
      <c r="C1571" s="1" t="s">
        <v>9</v>
      </c>
      <c r="D1571" s="1">
        <v>26</v>
      </c>
      <c r="E1571" t="s">
        <v>20</v>
      </c>
      <c r="F1571" t="s">
        <v>20</v>
      </c>
      <c r="G1571" s="1">
        <v>249.34209999999999</v>
      </c>
      <c r="H1571">
        <v>0</v>
      </c>
      <c r="I1571">
        <f>Sales_Data[[#This Row],[Sales]]*Sales_Data[[#This Row],[Discount]]</f>
        <v>0</v>
      </c>
      <c r="J1571">
        <v>249.34209999999999</v>
      </c>
      <c r="K1571" s="1">
        <v>8.9</v>
      </c>
      <c r="L1571" s="1">
        <v>249.34209999999999</v>
      </c>
      <c r="M1571" s="1" t="s">
        <v>8</v>
      </c>
      <c r="N1571" s="1">
        <f>IF(Sales_Data[[#This Row],[Sales with Discount]]&lt;Sales_Data[[#This Row],[Sales with Free Shipping]],Sales_Data[[#This Row],[Sales with Discount]],Sales_Data[[#This Row],[Sales with Free Shipping]])</f>
        <v>249.34209999999999</v>
      </c>
      <c r="O1571" s="1" t="str">
        <f>TEXT(Sales_Data[[#This Row],[Order Date]], "MM-YYYY")</f>
        <v>03-2019</v>
      </c>
    </row>
    <row r="1572" spans="1:15" x14ac:dyDescent="0.3">
      <c r="A1572" s="1">
        <v>41063</v>
      </c>
      <c r="B1572" s="2">
        <v>43790</v>
      </c>
      <c r="C1572" s="1" t="s">
        <v>7</v>
      </c>
      <c r="D1572" s="1">
        <v>26</v>
      </c>
      <c r="E1572" t="s">
        <v>20</v>
      </c>
      <c r="F1572" t="s">
        <v>20</v>
      </c>
      <c r="G1572" s="1">
        <v>2045.2</v>
      </c>
      <c r="H1572">
        <v>0</v>
      </c>
      <c r="I1572">
        <f>Sales_Data[[#This Row],[Sales]]*Sales_Data[[#This Row],[Discount]]</f>
        <v>0</v>
      </c>
      <c r="J1572">
        <v>2045.2</v>
      </c>
      <c r="K1572" s="1">
        <v>1.3</v>
      </c>
      <c r="L1572" s="1">
        <v>2045.2</v>
      </c>
      <c r="M1572" s="1" t="s">
        <v>10</v>
      </c>
      <c r="N1572" s="1">
        <f>IF(Sales_Data[[#This Row],[Sales with Discount]]&lt;Sales_Data[[#This Row],[Sales with Free Shipping]],Sales_Data[[#This Row],[Sales with Discount]],Sales_Data[[#This Row],[Sales with Free Shipping]])</f>
        <v>2045.2</v>
      </c>
      <c r="O1572" s="1" t="str">
        <f>TEXT(Sales_Data[[#This Row],[Order Date]], "MM-YYYY")</f>
        <v>11-2019</v>
      </c>
    </row>
    <row r="1573" spans="1:15" x14ac:dyDescent="0.3">
      <c r="A1573" s="1">
        <v>8007</v>
      </c>
      <c r="B1573" s="2">
        <v>43506</v>
      </c>
      <c r="C1573" s="1" t="s">
        <v>7</v>
      </c>
      <c r="D1573" s="1">
        <v>5</v>
      </c>
      <c r="E1573" t="s">
        <v>16</v>
      </c>
      <c r="F1573" t="s">
        <v>16</v>
      </c>
      <c r="G1573" s="1">
        <v>878</v>
      </c>
      <c r="H1573">
        <v>0</v>
      </c>
      <c r="I1573">
        <f>Sales_Data[[#This Row],[Sales]]*Sales_Data[[#This Row],[Discount]]</f>
        <v>0</v>
      </c>
      <c r="J1573">
        <v>878</v>
      </c>
      <c r="K1573" s="1">
        <v>9.6</v>
      </c>
      <c r="L1573" s="1">
        <v>878</v>
      </c>
      <c r="M1573" s="1" t="s">
        <v>10</v>
      </c>
      <c r="N1573" s="1">
        <f>IF(Sales_Data[[#This Row],[Sales with Discount]]&lt;Sales_Data[[#This Row],[Sales with Free Shipping]],Sales_Data[[#This Row],[Sales with Discount]],Sales_Data[[#This Row],[Sales with Free Shipping]])</f>
        <v>878</v>
      </c>
      <c r="O1573" s="1" t="str">
        <f>TEXT(Sales_Data[[#This Row],[Order Date]], "MM-YYYY")</f>
        <v>02-2019</v>
      </c>
    </row>
    <row r="1574" spans="1:15" x14ac:dyDescent="0.3">
      <c r="A1574" s="1">
        <v>12005</v>
      </c>
      <c r="B1574" s="2">
        <v>43640</v>
      </c>
      <c r="C1574" s="1" t="s">
        <v>11</v>
      </c>
      <c r="D1574" s="1">
        <v>4</v>
      </c>
      <c r="E1574" t="s">
        <v>16</v>
      </c>
      <c r="F1574" t="s">
        <v>16</v>
      </c>
      <c r="G1574" s="1">
        <v>1777.12</v>
      </c>
      <c r="H1574">
        <v>0</v>
      </c>
      <c r="I1574">
        <f>Sales_Data[[#This Row],[Sales]]*Sales_Data[[#This Row],[Discount]]</f>
        <v>0</v>
      </c>
      <c r="J1574">
        <v>1777.12</v>
      </c>
      <c r="K1574" s="1">
        <v>12.2</v>
      </c>
      <c r="L1574" s="1">
        <v>1777.12</v>
      </c>
      <c r="M1574" s="1" t="s">
        <v>10</v>
      </c>
      <c r="N1574" s="1">
        <f>IF(Sales_Data[[#This Row],[Sales with Discount]]&lt;Sales_Data[[#This Row],[Sales with Free Shipping]],Sales_Data[[#This Row],[Sales with Discount]],Sales_Data[[#This Row],[Sales with Free Shipping]])</f>
        <v>1777.12</v>
      </c>
      <c r="O1574" s="1" t="str">
        <f>TEXT(Sales_Data[[#This Row],[Order Date]], "MM-YYYY")</f>
        <v>06-2019</v>
      </c>
    </row>
    <row r="1575" spans="1:15" x14ac:dyDescent="0.3">
      <c r="A1575" s="1">
        <v>28742</v>
      </c>
      <c r="B1575" s="2">
        <v>43584</v>
      </c>
      <c r="C1575" s="1" t="s">
        <v>7</v>
      </c>
      <c r="D1575" s="1">
        <v>35</v>
      </c>
      <c r="E1575" t="s">
        <v>21</v>
      </c>
      <c r="F1575" t="s">
        <v>21</v>
      </c>
      <c r="G1575" s="1">
        <v>629.07000000000005</v>
      </c>
      <c r="H1575">
        <v>0</v>
      </c>
      <c r="I1575">
        <f>Sales_Data[[#This Row],[Sales]]*Sales_Data[[#This Row],[Discount]]</f>
        <v>0</v>
      </c>
      <c r="J1575">
        <v>629.07000000000005</v>
      </c>
      <c r="K1575" s="1">
        <v>6.7</v>
      </c>
      <c r="L1575" s="1">
        <v>629.07000000000005</v>
      </c>
      <c r="M1575" s="1" t="s">
        <v>10</v>
      </c>
      <c r="N1575" s="1">
        <f>IF(Sales_Data[[#This Row],[Sales with Discount]]&lt;Sales_Data[[#This Row],[Sales with Free Shipping]],Sales_Data[[#This Row],[Sales with Discount]],Sales_Data[[#This Row],[Sales with Free Shipping]])</f>
        <v>629.07000000000005</v>
      </c>
      <c r="O1575" s="1" t="str">
        <f>TEXT(Sales_Data[[#This Row],[Order Date]], "MM-YYYY")</f>
        <v>04-2019</v>
      </c>
    </row>
    <row r="1576" spans="1:15" x14ac:dyDescent="0.3">
      <c r="A1576" s="1">
        <v>51620</v>
      </c>
      <c r="B1576" s="2">
        <v>43532</v>
      </c>
      <c r="C1576" s="1" t="s">
        <v>14</v>
      </c>
      <c r="D1576" s="1">
        <v>12</v>
      </c>
      <c r="E1576" t="s">
        <v>18</v>
      </c>
      <c r="F1576" t="s">
        <v>18</v>
      </c>
      <c r="G1576" s="1">
        <v>186.15</v>
      </c>
      <c r="H1576">
        <v>0</v>
      </c>
      <c r="I1576">
        <f>Sales_Data[[#This Row],[Sales]]*Sales_Data[[#This Row],[Discount]]</f>
        <v>0</v>
      </c>
      <c r="J1576">
        <v>186.15</v>
      </c>
      <c r="K1576" s="1">
        <v>4.8</v>
      </c>
      <c r="L1576" s="1">
        <v>186.15</v>
      </c>
      <c r="M1576" s="1" t="s">
        <v>10</v>
      </c>
      <c r="N1576" s="1">
        <f>IF(Sales_Data[[#This Row],[Sales with Discount]]&lt;Sales_Data[[#This Row],[Sales with Free Shipping]],Sales_Data[[#This Row],[Sales with Discount]],Sales_Data[[#This Row],[Sales with Free Shipping]])</f>
        <v>186.15</v>
      </c>
      <c r="O1576" s="1" t="str">
        <f>TEXT(Sales_Data[[#This Row],[Order Date]], "MM-YYYY")</f>
        <v>03-2019</v>
      </c>
    </row>
    <row r="1577" spans="1:15" x14ac:dyDescent="0.3">
      <c r="A1577" s="1">
        <v>39555</v>
      </c>
      <c r="B1577" s="2">
        <v>43712</v>
      </c>
      <c r="C1577" s="1" t="s">
        <v>7</v>
      </c>
      <c r="D1577" s="1">
        <v>38</v>
      </c>
      <c r="E1577" t="s">
        <v>22</v>
      </c>
      <c r="F1577" t="s">
        <v>22</v>
      </c>
      <c r="G1577" s="1">
        <v>1190.42</v>
      </c>
      <c r="H1577">
        <v>0.01</v>
      </c>
      <c r="I1577">
        <f>Sales_Data[[#This Row],[Sales]]*Sales_Data[[#This Row],[Discount]]</f>
        <v>11.904200000000001</v>
      </c>
      <c r="J1577">
        <v>1178.5158000000001</v>
      </c>
      <c r="K1577" s="1">
        <v>8.8000000000000007</v>
      </c>
      <c r="L1577" s="1">
        <v>1181.6200000000001</v>
      </c>
      <c r="M1577" s="1" t="s">
        <v>10</v>
      </c>
      <c r="N1577" s="1">
        <f>IF(Sales_Data[[#This Row],[Sales with Discount]]&lt;Sales_Data[[#This Row],[Sales with Free Shipping]],Sales_Data[[#This Row],[Sales with Discount]],Sales_Data[[#This Row],[Sales with Free Shipping]])</f>
        <v>1178.5158000000001</v>
      </c>
      <c r="O1577" s="1" t="str">
        <f>TEXT(Sales_Data[[#This Row],[Order Date]], "MM-YYYY")</f>
        <v>09-2019</v>
      </c>
    </row>
    <row r="1578" spans="1:15" x14ac:dyDescent="0.3">
      <c r="A1578" s="1">
        <v>17634</v>
      </c>
      <c r="B1578" s="2">
        <v>43667</v>
      </c>
      <c r="C1578" s="1" t="s">
        <v>9</v>
      </c>
      <c r="D1578" s="1">
        <v>5</v>
      </c>
      <c r="E1578" t="s">
        <v>16</v>
      </c>
      <c r="F1578" t="s">
        <v>16</v>
      </c>
      <c r="G1578" s="1">
        <v>523.29999999999995</v>
      </c>
      <c r="H1578">
        <v>0</v>
      </c>
      <c r="I1578">
        <f>Sales_Data[[#This Row],[Sales]]*Sales_Data[[#This Row],[Discount]]</f>
        <v>0</v>
      </c>
      <c r="J1578">
        <v>523.29999999999995</v>
      </c>
      <c r="K1578" s="1">
        <v>44.9</v>
      </c>
      <c r="L1578" s="1">
        <v>523.29999999999995</v>
      </c>
      <c r="M1578" s="1" t="s">
        <v>13</v>
      </c>
      <c r="N1578" s="1">
        <f>IF(Sales_Data[[#This Row],[Sales with Discount]]&lt;Sales_Data[[#This Row],[Sales with Free Shipping]],Sales_Data[[#This Row],[Sales with Discount]],Sales_Data[[#This Row],[Sales with Free Shipping]])</f>
        <v>523.29999999999995</v>
      </c>
      <c r="O1578" s="1" t="str">
        <f>TEXT(Sales_Data[[#This Row],[Order Date]], "MM-YYYY")</f>
        <v>07-2019</v>
      </c>
    </row>
    <row r="1579" spans="1:15" x14ac:dyDescent="0.3">
      <c r="A1579" s="1">
        <v>28738</v>
      </c>
      <c r="B1579" s="2">
        <v>43687</v>
      </c>
      <c r="C1579" s="1" t="s">
        <v>14</v>
      </c>
      <c r="D1579" s="1">
        <v>2</v>
      </c>
      <c r="E1579" t="s">
        <v>16</v>
      </c>
      <c r="F1579" t="s">
        <v>16</v>
      </c>
      <c r="G1579" s="1">
        <v>25.19</v>
      </c>
      <c r="H1579">
        <v>0</v>
      </c>
      <c r="I1579">
        <f>Sales_Data[[#This Row],[Sales]]*Sales_Data[[#This Row],[Discount]]</f>
        <v>0</v>
      </c>
      <c r="J1579">
        <v>25.19</v>
      </c>
      <c r="K1579" s="1">
        <v>6.6</v>
      </c>
      <c r="L1579" s="1">
        <v>25.19</v>
      </c>
      <c r="M1579" s="1" t="s">
        <v>10</v>
      </c>
      <c r="N1579" s="1">
        <f>IF(Sales_Data[[#This Row],[Sales with Discount]]&lt;Sales_Data[[#This Row],[Sales with Free Shipping]],Sales_Data[[#This Row],[Sales with Discount]],Sales_Data[[#This Row],[Sales with Free Shipping]])</f>
        <v>25.19</v>
      </c>
      <c r="O1579" s="1" t="str">
        <f>TEXT(Sales_Data[[#This Row],[Order Date]], "MM-YYYY")</f>
        <v>08-2019</v>
      </c>
    </row>
    <row r="1580" spans="1:15" x14ac:dyDescent="0.3">
      <c r="A1580" s="1">
        <v>8679</v>
      </c>
      <c r="B1580" s="2">
        <v>43591</v>
      </c>
      <c r="C1580" s="1" t="s">
        <v>14</v>
      </c>
      <c r="D1580" s="1">
        <v>46</v>
      </c>
      <c r="E1580" t="s">
        <v>24</v>
      </c>
      <c r="F1580" t="s">
        <v>24</v>
      </c>
      <c r="G1580" s="1">
        <v>477.28</v>
      </c>
      <c r="H1580">
        <v>0.01</v>
      </c>
      <c r="I1580">
        <f>Sales_Data[[#This Row],[Sales]]*Sales_Data[[#This Row],[Discount]]</f>
        <v>4.7728000000000002</v>
      </c>
      <c r="J1580">
        <v>472.50719999999995</v>
      </c>
      <c r="K1580" s="1">
        <v>2.2999999999999998</v>
      </c>
      <c r="L1580" s="1">
        <v>474.97999999999996</v>
      </c>
      <c r="M1580" s="1" t="s">
        <v>10</v>
      </c>
      <c r="N1580" s="1">
        <f>IF(Sales_Data[[#This Row],[Sales with Discount]]&lt;Sales_Data[[#This Row],[Sales with Free Shipping]],Sales_Data[[#This Row],[Sales with Discount]],Sales_Data[[#This Row],[Sales with Free Shipping]])</f>
        <v>472.50719999999995</v>
      </c>
      <c r="O1580" s="1" t="str">
        <f>TEXT(Sales_Data[[#This Row],[Order Date]], "MM-YYYY")</f>
        <v>05-2019</v>
      </c>
    </row>
    <row r="1581" spans="1:15" x14ac:dyDescent="0.3">
      <c r="A1581" s="1">
        <v>52003</v>
      </c>
      <c r="B1581" s="2">
        <v>43513</v>
      </c>
      <c r="C1581" s="1" t="s">
        <v>7</v>
      </c>
      <c r="D1581" s="1">
        <v>11</v>
      </c>
      <c r="E1581" t="s">
        <v>18</v>
      </c>
      <c r="F1581" t="s">
        <v>18</v>
      </c>
      <c r="G1581" s="1">
        <v>2016.1</v>
      </c>
      <c r="H1581">
        <v>0</v>
      </c>
      <c r="I1581">
        <f>Sales_Data[[#This Row],[Sales]]*Sales_Data[[#This Row],[Discount]]</f>
        <v>0</v>
      </c>
      <c r="J1581">
        <v>2016.1</v>
      </c>
      <c r="K1581" s="1">
        <v>117.9</v>
      </c>
      <c r="L1581" s="1">
        <v>2016.1</v>
      </c>
      <c r="M1581" s="1" t="s">
        <v>13</v>
      </c>
      <c r="N1581" s="1">
        <f>IF(Sales_Data[[#This Row],[Sales with Discount]]&lt;Sales_Data[[#This Row],[Sales with Free Shipping]],Sales_Data[[#This Row],[Sales with Discount]],Sales_Data[[#This Row],[Sales with Free Shipping]])</f>
        <v>2016.1</v>
      </c>
      <c r="O1581" s="1" t="str">
        <f>TEXT(Sales_Data[[#This Row],[Order Date]], "MM-YYYY")</f>
        <v>02-2019</v>
      </c>
    </row>
    <row r="1582" spans="1:15" x14ac:dyDescent="0.3">
      <c r="A1582" s="1">
        <v>24775</v>
      </c>
      <c r="B1582" s="2">
        <v>43512</v>
      </c>
      <c r="C1582" s="1" t="s">
        <v>12</v>
      </c>
      <c r="D1582" s="1">
        <v>6</v>
      </c>
      <c r="E1582" t="s">
        <v>17</v>
      </c>
      <c r="F1582" t="s">
        <v>17</v>
      </c>
      <c r="G1582" s="1">
        <v>102.9447</v>
      </c>
      <c r="H1582">
        <v>0</v>
      </c>
      <c r="I1582">
        <f>Sales_Data[[#This Row],[Sales]]*Sales_Data[[#This Row],[Discount]]</f>
        <v>0</v>
      </c>
      <c r="J1582">
        <v>102.9447</v>
      </c>
      <c r="K1582" s="1">
        <v>61.4</v>
      </c>
      <c r="L1582" s="1">
        <v>102.9447</v>
      </c>
      <c r="M1582" s="1" t="s">
        <v>10</v>
      </c>
      <c r="N1582" s="1">
        <f>IF(Sales_Data[[#This Row],[Sales with Discount]]&lt;Sales_Data[[#This Row],[Sales with Free Shipping]],Sales_Data[[#This Row],[Sales with Discount]],Sales_Data[[#This Row],[Sales with Free Shipping]])</f>
        <v>102.9447</v>
      </c>
      <c r="O1582" s="1" t="str">
        <f>TEXT(Sales_Data[[#This Row],[Order Date]], "MM-YYYY")</f>
        <v>02-2019</v>
      </c>
    </row>
    <row r="1583" spans="1:15" x14ac:dyDescent="0.3">
      <c r="A1583" s="1">
        <v>12711</v>
      </c>
      <c r="B1583" s="2">
        <v>43514</v>
      </c>
      <c r="C1583" s="1" t="s">
        <v>12</v>
      </c>
      <c r="D1583" s="1">
        <v>32</v>
      </c>
      <c r="E1583" t="s">
        <v>21</v>
      </c>
      <c r="F1583" t="s">
        <v>21</v>
      </c>
      <c r="G1583" s="1">
        <v>1590.79</v>
      </c>
      <c r="H1583">
        <v>0</v>
      </c>
      <c r="I1583">
        <f>Sales_Data[[#This Row],[Sales]]*Sales_Data[[#This Row],[Discount]]</f>
        <v>0</v>
      </c>
      <c r="J1583">
        <v>1590.79</v>
      </c>
      <c r="K1583" s="1">
        <v>9.6</v>
      </c>
      <c r="L1583" s="1">
        <v>1590.79</v>
      </c>
      <c r="M1583" s="1" t="s">
        <v>10</v>
      </c>
      <c r="N1583" s="1">
        <f>IF(Sales_Data[[#This Row],[Sales with Discount]]&lt;Sales_Data[[#This Row],[Sales with Free Shipping]],Sales_Data[[#This Row],[Sales with Discount]],Sales_Data[[#This Row],[Sales with Free Shipping]])</f>
        <v>1590.79</v>
      </c>
      <c r="O1583" s="1" t="str">
        <f>TEXT(Sales_Data[[#This Row],[Order Date]], "MM-YYYY")</f>
        <v>02-2019</v>
      </c>
    </row>
    <row r="1584" spans="1:15" x14ac:dyDescent="0.3">
      <c r="A1584" s="1">
        <v>32356</v>
      </c>
      <c r="B1584" s="2">
        <v>43748</v>
      </c>
      <c r="C1584" s="1" t="s">
        <v>11</v>
      </c>
      <c r="D1584" s="1">
        <v>12</v>
      </c>
      <c r="E1584" t="s">
        <v>18</v>
      </c>
      <c r="F1584" t="s">
        <v>18</v>
      </c>
      <c r="G1584" s="1">
        <v>822.2</v>
      </c>
      <c r="H1584">
        <v>0</v>
      </c>
      <c r="I1584">
        <f>Sales_Data[[#This Row],[Sales]]*Sales_Data[[#This Row],[Discount]]</f>
        <v>0</v>
      </c>
      <c r="J1584">
        <v>822.2</v>
      </c>
      <c r="K1584" s="1">
        <v>21.4</v>
      </c>
      <c r="L1584" s="1">
        <v>822.2</v>
      </c>
      <c r="M1584" s="1" t="s">
        <v>10</v>
      </c>
      <c r="N1584" s="1">
        <f>IF(Sales_Data[[#This Row],[Sales with Discount]]&lt;Sales_Data[[#This Row],[Sales with Free Shipping]],Sales_Data[[#This Row],[Sales with Discount]],Sales_Data[[#This Row],[Sales with Free Shipping]])</f>
        <v>822.2</v>
      </c>
      <c r="O1584" s="1" t="str">
        <f>TEXT(Sales_Data[[#This Row],[Order Date]], "MM-YYYY")</f>
        <v>10-2019</v>
      </c>
    </row>
    <row r="1585" spans="1:15" x14ac:dyDescent="0.3">
      <c r="A1585" s="1">
        <v>44422</v>
      </c>
      <c r="B1585" s="2">
        <v>43568</v>
      </c>
      <c r="C1585" s="1" t="s">
        <v>14</v>
      </c>
      <c r="D1585" s="1">
        <v>36</v>
      </c>
      <c r="E1585" t="s">
        <v>22</v>
      </c>
      <c r="F1585" t="s">
        <v>22</v>
      </c>
      <c r="G1585" s="1">
        <v>335.8</v>
      </c>
      <c r="H1585">
        <v>0.01</v>
      </c>
      <c r="I1585">
        <f>Sales_Data[[#This Row],[Sales]]*Sales_Data[[#This Row],[Discount]]</f>
        <v>3.3580000000000001</v>
      </c>
      <c r="J1585">
        <v>332.44200000000001</v>
      </c>
      <c r="K1585" s="1">
        <v>3.2</v>
      </c>
      <c r="L1585" s="1">
        <v>332.6</v>
      </c>
      <c r="M1585" s="1" t="s">
        <v>10</v>
      </c>
      <c r="N1585" s="1">
        <f>IF(Sales_Data[[#This Row],[Sales with Discount]]&lt;Sales_Data[[#This Row],[Sales with Free Shipping]],Sales_Data[[#This Row],[Sales with Discount]],Sales_Data[[#This Row],[Sales with Free Shipping]])</f>
        <v>332.44200000000001</v>
      </c>
      <c r="O1585" s="1" t="str">
        <f>TEXT(Sales_Data[[#This Row],[Order Date]], "MM-YYYY")</f>
        <v>04-2019</v>
      </c>
    </row>
    <row r="1586" spans="1:15" x14ac:dyDescent="0.3">
      <c r="A1586" s="1">
        <v>22563</v>
      </c>
      <c r="B1586" s="2">
        <v>43605</v>
      </c>
      <c r="C1586" s="1" t="s">
        <v>12</v>
      </c>
      <c r="D1586" s="1">
        <v>32</v>
      </c>
      <c r="E1586" t="s">
        <v>21</v>
      </c>
      <c r="F1586" t="s">
        <v>21</v>
      </c>
      <c r="G1586" s="1">
        <v>269.12</v>
      </c>
      <c r="H1586">
        <v>0</v>
      </c>
      <c r="I1586">
        <f>Sales_Data[[#This Row],[Sales]]*Sales_Data[[#This Row],[Discount]]</f>
        <v>0</v>
      </c>
      <c r="J1586">
        <v>269.12</v>
      </c>
      <c r="K1586" s="1">
        <v>3.9</v>
      </c>
      <c r="L1586" s="1">
        <v>269.12</v>
      </c>
      <c r="M1586" s="1" t="s">
        <v>10</v>
      </c>
      <c r="N1586" s="1">
        <f>IF(Sales_Data[[#This Row],[Sales with Discount]]&lt;Sales_Data[[#This Row],[Sales with Free Shipping]],Sales_Data[[#This Row],[Sales with Discount]],Sales_Data[[#This Row],[Sales with Free Shipping]])</f>
        <v>269.12</v>
      </c>
      <c r="O1586" s="1" t="str">
        <f>TEXT(Sales_Data[[#This Row],[Order Date]], "MM-YYYY")</f>
        <v>05-2019</v>
      </c>
    </row>
    <row r="1587" spans="1:15" x14ac:dyDescent="0.3">
      <c r="A1587" s="1">
        <v>42945</v>
      </c>
      <c r="B1587" s="2">
        <v>43828</v>
      </c>
      <c r="C1587" s="1" t="s">
        <v>11</v>
      </c>
      <c r="D1587" s="1">
        <v>45</v>
      </c>
      <c r="E1587" t="s">
        <v>23</v>
      </c>
      <c r="F1587" t="s">
        <v>23</v>
      </c>
      <c r="G1587" s="1">
        <v>191.21</v>
      </c>
      <c r="H1587">
        <v>0.01</v>
      </c>
      <c r="I1587">
        <f>Sales_Data[[#This Row],[Sales]]*Sales_Data[[#This Row],[Discount]]</f>
        <v>1.9121000000000001</v>
      </c>
      <c r="J1587">
        <v>189.2979</v>
      </c>
      <c r="K1587" s="1">
        <v>5.5</v>
      </c>
      <c r="L1587" s="1">
        <v>185.71</v>
      </c>
      <c r="M1587" s="1" t="s">
        <v>10</v>
      </c>
      <c r="N1587" s="1">
        <f>IF(Sales_Data[[#This Row],[Sales with Discount]]&lt;Sales_Data[[#This Row],[Sales with Free Shipping]],Sales_Data[[#This Row],[Sales with Discount]],Sales_Data[[#This Row],[Sales with Free Shipping]])</f>
        <v>185.71</v>
      </c>
      <c r="O1587" s="1" t="str">
        <f>TEXT(Sales_Data[[#This Row],[Order Date]], "MM-YYYY")</f>
        <v>12-2019</v>
      </c>
    </row>
    <row r="1588" spans="1:15" x14ac:dyDescent="0.3">
      <c r="A1588" s="1">
        <v>51269</v>
      </c>
      <c r="B1588" s="2">
        <v>43476</v>
      </c>
      <c r="C1588" s="1" t="s">
        <v>9</v>
      </c>
      <c r="D1588" s="1">
        <v>2</v>
      </c>
      <c r="E1588" t="s">
        <v>16</v>
      </c>
      <c r="F1588" t="s">
        <v>16</v>
      </c>
      <c r="G1588" s="1">
        <v>22.544899999999998</v>
      </c>
      <c r="H1588">
        <v>0</v>
      </c>
      <c r="I1588">
        <f>Sales_Data[[#This Row],[Sales]]*Sales_Data[[#This Row],[Discount]]</f>
        <v>0</v>
      </c>
      <c r="J1588">
        <v>22.544899999999998</v>
      </c>
      <c r="K1588" s="1">
        <v>3.2</v>
      </c>
      <c r="L1588" s="1">
        <v>22.544899999999998</v>
      </c>
      <c r="M1588" s="1" t="s">
        <v>10</v>
      </c>
      <c r="N1588" s="1">
        <f>IF(Sales_Data[[#This Row],[Sales with Discount]]&lt;Sales_Data[[#This Row],[Sales with Free Shipping]],Sales_Data[[#This Row],[Sales with Discount]],Sales_Data[[#This Row],[Sales with Free Shipping]])</f>
        <v>22.544899999999998</v>
      </c>
      <c r="O1588" s="1" t="str">
        <f>TEXT(Sales_Data[[#This Row],[Order Date]], "MM-YYYY")</f>
        <v>01-2019</v>
      </c>
    </row>
    <row r="1589" spans="1:15" x14ac:dyDescent="0.3">
      <c r="A1589" s="1">
        <v>55431</v>
      </c>
      <c r="B1589" s="2">
        <v>43624</v>
      </c>
      <c r="C1589" s="1" t="s">
        <v>11</v>
      </c>
      <c r="D1589" s="1">
        <v>39</v>
      </c>
      <c r="E1589" t="s">
        <v>22</v>
      </c>
      <c r="F1589" t="s">
        <v>22</v>
      </c>
      <c r="G1589" s="1">
        <v>66.28</v>
      </c>
      <c r="H1589">
        <v>0.01</v>
      </c>
      <c r="I1589">
        <f>Sales_Data[[#This Row],[Sales]]*Sales_Data[[#This Row],[Discount]]</f>
        <v>0.66280000000000006</v>
      </c>
      <c r="J1589">
        <v>65.617199999999997</v>
      </c>
      <c r="K1589" s="1">
        <v>1.4</v>
      </c>
      <c r="L1589" s="1">
        <v>64.88</v>
      </c>
      <c r="M1589" s="1" t="s">
        <v>10</v>
      </c>
      <c r="N1589" s="1">
        <f>IF(Sales_Data[[#This Row],[Sales with Discount]]&lt;Sales_Data[[#This Row],[Sales with Free Shipping]],Sales_Data[[#This Row],[Sales with Discount]],Sales_Data[[#This Row],[Sales with Free Shipping]])</f>
        <v>64.88</v>
      </c>
      <c r="O1589" s="1" t="str">
        <f>TEXT(Sales_Data[[#This Row],[Order Date]], "MM-YYYY")</f>
        <v>06-2019</v>
      </c>
    </row>
    <row r="1590" spans="1:15" x14ac:dyDescent="0.3">
      <c r="A1590" s="1">
        <v>28544</v>
      </c>
      <c r="B1590" s="2">
        <v>43705</v>
      </c>
      <c r="C1590" s="1" t="s">
        <v>12</v>
      </c>
      <c r="D1590" s="1">
        <v>24</v>
      </c>
      <c r="E1590" t="s">
        <v>14</v>
      </c>
      <c r="F1590" t="s">
        <v>14</v>
      </c>
      <c r="G1590" s="1">
        <v>73.3</v>
      </c>
      <c r="H1590">
        <v>0</v>
      </c>
      <c r="I1590">
        <f>Sales_Data[[#This Row],[Sales]]*Sales_Data[[#This Row],[Discount]]</f>
        <v>0</v>
      </c>
      <c r="J1590">
        <v>73.3</v>
      </c>
      <c r="K1590" s="1">
        <v>1.6</v>
      </c>
      <c r="L1590" s="1">
        <v>73.3</v>
      </c>
      <c r="M1590" s="1" t="s">
        <v>10</v>
      </c>
      <c r="N1590" s="1">
        <f>IF(Sales_Data[[#This Row],[Sales with Discount]]&lt;Sales_Data[[#This Row],[Sales with Free Shipping]],Sales_Data[[#This Row],[Sales with Discount]],Sales_Data[[#This Row],[Sales with Free Shipping]])</f>
        <v>73.3</v>
      </c>
      <c r="O1590" s="1" t="str">
        <f>TEXT(Sales_Data[[#This Row],[Order Date]], "MM-YYYY")</f>
        <v>08-2019</v>
      </c>
    </row>
    <row r="1591" spans="1:15" x14ac:dyDescent="0.3">
      <c r="A1591" s="1">
        <v>5858</v>
      </c>
      <c r="B1591" s="2">
        <v>43659</v>
      </c>
      <c r="C1591" s="1" t="s">
        <v>11</v>
      </c>
      <c r="D1591" s="1">
        <v>29</v>
      </c>
      <c r="E1591" t="s">
        <v>20</v>
      </c>
      <c r="F1591" t="s">
        <v>20</v>
      </c>
      <c r="G1591" s="1">
        <v>5759.07</v>
      </c>
      <c r="H1591">
        <v>0</v>
      </c>
      <c r="I1591">
        <f>Sales_Data[[#This Row],[Sales]]*Sales_Data[[#This Row],[Discount]]</f>
        <v>0</v>
      </c>
      <c r="J1591">
        <v>5759.07</v>
      </c>
      <c r="K1591" s="1">
        <v>9.6</v>
      </c>
      <c r="L1591" s="1">
        <v>5759.07</v>
      </c>
      <c r="M1591" s="1" t="s">
        <v>10</v>
      </c>
      <c r="N1591" s="1">
        <f>IF(Sales_Data[[#This Row],[Sales with Discount]]&lt;Sales_Data[[#This Row],[Sales with Free Shipping]],Sales_Data[[#This Row],[Sales with Discount]],Sales_Data[[#This Row],[Sales with Free Shipping]])</f>
        <v>5759.07</v>
      </c>
      <c r="O1591" s="1" t="str">
        <f>TEXT(Sales_Data[[#This Row],[Order Date]], "MM-YYYY")</f>
        <v>07-2019</v>
      </c>
    </row>
    <row r="1592" spans="1:15" x14ac:dyDescent="0.3">
      <c r="A1592" s="1">
        <v>40611</v>
      </c>
      <c r="B1592" s="2">
        <v>43552</v>
      </c>
      <c r="C1592" s="1" t="s">
        <v>11</v>
      </c>
      <c r="D1592" s="1">
        <v>43</v>
      </c>
      <c r="E1592" t="s">
        <v>23</v>
      </c>
      <c r="F1592" t="s">
        <v>23</v>
      </c>
      <c r="G1592" s="1">
        <v>1506.04</v>
      </c>
      <c r="H1592">
        <v>0.01</v>
      </c>
      <c r="I1592">
        <f>Sales_Data[[#This Row],[Sales]]*Sales_Data[[#This Row],[Discount]]</f>
        <v>15.0604</v>
      </c>
      <c r="J1592">
        <v>1490.9795999999999</v>
      </c>
      <c r="K1592" s="1">
        <v>3.5</v>
      </c>
      <c r="L1592" s="1">
        <v>1502.54</v>
      </c>
      <c r="M1592" s="1" t="s">
        <v>10</v>
      </c>
      <c r="N1592" s="1">
        <f>IF(Sales_Data[[#This Row],[Sales with Discount]]&lt;Sales_Data[[#This Row],[Sales with Free Shipping]],Sales_Data[[#This Row],[Sales with Discount]],Sales_Data[[#This Row],[Sales with Free Shipping]])</f>
        <v>1490.9795999999999</v>
      </c>
      <c r="O1592" s="1" t="str">
        <f>TEXT(Sales_Data[[#This Row],[Order Date]], "MM-YYYY")</f>
        <v>03-2019</v>
      </c>
    </row>
    <row r="1593" spans="1:15" x14ac:dyDescent="0.3">
      <c r="A1593" s="1">
        <v>16164</v>
      </c>
      <c r="B1593" s="2">
        <v>43467</v>
      </c>
      <c r="C1593" s="1" t="s">
        <v>7</v>
      </c>
      <c r="D1593" s="1">
        <v>22</v>
      </c>
      <c r="E1593" t="s">
        <v>14</v>
      </c>
      <c r="F1593" t="s">
        <v>14</v>
      </c>
      <c r="G1593" s="1">
        <v>3588.2878000000001</v>
      </c>
      <c r="H1593">
        <v>0</v>
      </c>
      <c r="I1593">
        <f>Sales_Data[[#This Row],[Sales]]*Sales_Data[[#This Row],[Discount]]</f>
        <v>0</v>
      </c>
      <c r="J1593">
        <v>3588.2878000000001</v>
      </c>
      <c r="K1593" s="1">
        <v>21.4</v>
      </c>
      <c r="L1593" s="1">
        <v>3588.2878000000001</v>
      </c>
      <c r="M1593" s="1" t="s">
        <v>10</v>
      </c>
      <c r="N1593" s="1">
        <f>IF(Sales_Data[[#This Row],[Sales with Discount]]&lt;Sales_Data[[#This Row],[Sales with Free Shipping]],Sales_Data[[#This Row],[Sales with Discount]],Sales_Data[[#This Row],[Sales with Free Shipping]])</f>
        <v>3588.2878000000001</v>
      </c>
      <c r="O1593" s="1" t="str">
        <f>TEXT(Sales_Data[[#This Row],[Order Date]], "MM-YYYY")</f>
        <v>01-2019</v>
      </c>
    </row>
    <row r="1594" spans="1:15" x14ac:dyDescent="0.3">
      <c r="A1594" s="1">
        <v>24386</v>
      </c>
      <c r="B1594" s="2">
        <v>43642</v>
      </c>
      <c r="C1594" s="1" t="s">
        <v>9</v>
      </c>
      <c r="D1594" s="1">
        <v>41</v>
      </c>
      <c r="E1594" t="s">
        <v>23</v>
      </c>
      <c r="F1594" t="s">
        <v>23</v>
      </c>
      <c r="G1594" s="1">
        <v>4554.47</v>
      </c>
      <c r="H1594">
        <v>0.01</v>
      </c>
      <c r="I1594">
        <f>Sales_Data[[#This Row],[Sales]]*Sales_Data[[#This Row],[Discount]]</f>
        <v>45.544700000000006</v>
      </c>
      <c r="J1594">
        <v>4508.9252999999999</v>
      </c>
      <c r="K1594" s="1">
        <v>7.7</v>
      </c>
      <c r="L1594" s="1">
        <v>4546.7700000000004</v>
      </c>
      <c r="M1594" s="1" t="s">
        <v>10</v>
      </c>
      <c r="N1594" s="1">
        <f>IF(Sales_Data[[#This Row],[Sales with Discount]]&lt;Sales_Data[[#This Row],[Sales with Free Shipping]],Sales_Data[[#This Row],[Sales with Discount]],Sales_Data[[#This Row],[Sales with Free Shipping]])</f>
        <v>4508.9252999999999</v>
      </c>
      <c r="O1594" s="1" t="str">
        <f>TEXT(Sales_Data[[#This Row],[Order Date]], "MM-YYYY")</f>
        <v>06-2019</v>
      </c>
    </row>
    <row r="1595" spans="1:15" x14ac:dyDescent="0.3">
      <c r="A1595" s="1">
        <v>46212</v>
      </c>
      <c r="B1595" s="2">
        <v>43720</v>
      </c>
      <c r="C1595" s="1" t="s">
        <v>11</v>
      </c>
      <c r="D1595" s="1">
        <v>7</v>
      </c>
      <c r="E1595" t="s">
        <v>17</v>
      </c>
      <c r="F1595" t="s">
        <v>17</v>
      </c>
      <c r="G1595" s="1">
        <v>4149.33</v>
      </c>
      <c r="H1595">
        <v>0</v>
      </c>
      <c r="I1595">
        <f>Sales_Data[[#This Row],[Sales]]*Sales_Data[[#This Row],[Discount]]</f>
        <v>0</v>
      </c>
      <c r="J1595">
        <v>4149.33</v>
      </c>
      <c r="K1595" s="1">
        <v>48.9</v>
      </c>
      <c r="L1595" s="1">
        <v>4149.33</v>
      </c>
      <c r="M1595" s="1" t="s">
        <v>13</v>
      </c>
      <c r="N1595" s="1">
        <f>IF(Sales_Data[[#This Row],[Sales with Discount]]&lt;Sales_Data[[#This Row],[Sales with Free Shipping]],Sales_Data[[#This Row],[Sales with Discount]],Sales_Data[[#This Row],[Sales with Free Shipping]])</f>
        <v>4149.33</v>
      </c>
      <c r="O1595" s="1" t="str">
        <f>TEXT(Sales_Data[[#This Row],[Order Date]], "MM-YYYY")</f>
        <v>09-2019</v>
      </c>
    </row>
    <row r="1596" spans="1:15" x14ac:dyDescent="0.3">
      <c r="A1596" s="1">
        <v>26469</v>
      </c>
      <c r="B1596" s="2">
        <v>43676</v>
      </c>
      <c r="C1596" s="1" t="s">
        <v>14</v>
      </c>
      <c r="D1596" s="1">
        <v>4</v>
      </c>
      <c r="E1596" t="s">
        <v>16</v>
      </c>
      <c r="F1596" t="s">
        <v>16</v>
      </c>
      <c r="G1596" s="1">
        <v>7924.94</v>
      </c>
      <c r="H1596">
        <v>0</v>
      </c>
      <c r="I1596">
        <f>Sales_Data[[#This Row],[Sales]]*Sales_Data[[#This Row],[Discount]]</f>
        <v>0</v>
      </c>
      <c r="J1596">
        <v>7924.94</v>
      </c>
      <c r="K1596" s="1">
        <v>21.4</v>
      </c>
      <c r="L1596" s="1">
        <v>7924.94</v>
      </c>
      <c r="M1596" s="1" t="s">
        <v>10</v>
      </c>
      <c r="N1596" s="1">
        <f>IF(Sales_Data[[#This Row],[Sales with Discount]]&lt;Sales_Data[[#This Row],[Sales with Free Shipping]],Sales_Data[[#This Row],[Sales with Discount]],Sales_Data[[#This Row],[Sales with Free Shipping]])</f>
        <v>7924.94</v>
      </c>
      <c r="O1596" s="1" t="str">
        <f>TEXT(Sales_Data[[#This Row],[Order Date]], "MM-YYYY")</f>
        <v>07-2019</v>
      </c>
    </row>
    <row r="1597" spans="1:15" x14ac:dyDescent="0.3">
      <c r="A1597" s="1">
        <v>25542</v>
      </c>
      <c r="B1597" s="2">
        <v>43829</v>
      </c>
      <c r="C1597" s="1" t="s">
        <v>7</v>
      </c>
      <c r="D1597" s="1">
        <v>37</v>
      </c>
      <c r="E1597" t="s">
        <v>22</v>
      </c>
      <c r="F1597" t="s">
        <v>22</v>
      </c>
      <c r="G1597" s="1">
        <v>275.48</v>
      </c>
      <c r="H1597">
        <v>0.01</v>
      </c>
      <c r="I1597">
        <f>Sales_Data[[#This Row],[Sales]]*Sales_Data[[#This Row],[Discount]]</f>
        <v>2.7548000000000004</v>
      </c>
      <c r="J1597">
        <v>272.72520000000003</v>
      </c>
      <c r="K1597" s="1">
        <v>4.5</v>
      </c>
      <c r="L1597" s="1">
        <v>270.98</v>
      </c>
      <c r="M1597" s="1" t="s">
        <v>8</v>
      </c>
      <c r="N1597" s="1">
        <f>IF(Sales_Data[[#This Row],[Sales with Discount]]&lt;Sales_Data[[#This Row],[Sales with Free Shipping]],Sales_Data[[#This Row],[Sales with Discount]],Sales_Data[[#This Row],[Sales with Free Shipping]])</f>
        <v>270.98</v>
      </c>
      <c r="O1597" s="1" t="str">
        <f>TEXT(Sales_Data[[#This Row],[Order Date]], "MM-YYYY")</f>
        <v>12-2019</v>
      </c>
    </row>
    <row r="1598" spans="1:15" x14ac:dyDescent="0.3">
      <c r="A1598" s="1">
        <v>22752</v>
      </c>
      <c r="B1598" s="2">
        <v>43806</v>
      </c>
      <c r="C1598" s="1" t="s">
        <v>7</v>
      </c>
      <c r="D1598" s="1">
        <v>2</v>
      </c>
      <c r="E1598" t="s">
        <v>16</v>
      </c>
      <c r="F1598" t="s">
        <v>16</v>
      </c>
      <c r="G1598" s="1">
        <v>255.47</v>
      </c>
      <c r="H1598">
        <v>0</v>
      </c>
      <c r="I1598">
        <f>Sales_Data[[#This Row],[Sales]]*Sales_Data[[#This Row],[Discount]]</f>
        <v>0</v>
      </c>
      <c r="J1598">
        <v>255.47</v>
      </c>
      <c r="K1598" s="1">
        <v>37.5</v>
      </c>
      <c r="L1598" s="1">
        <v>255.47</v>
      </c>
      <c r="M1598" s="1" t="s">
        <v>10</v>
      </c>
      <c r="N1598" s="1">
        <f>IF(Sales_Data[[#This Row],[Sales with Discount]]&lt;Sales_Data[[#This Row],[Sales with Free Shipping]],Sales_Data[[#This Row],[Sales with Discount]],Sales_Data[[#This Row],[Sales with Free Shipping]])</f>
        <v>255.47</v>
      </c>
      <c r="O1598" s="1" t="str">
        <f>TEXT(Sales_Data[[#This Row],[Order Date]], "MM-YYYY")</f>
        <v>12-2019</v>
      </c>
    </row>
    <row r="1599" spans="1:15" x14ac:dyDescent="0.3">
      <c r="A1599" s="1">
        <v>51140</v>
      </c>
      <c r="B1599" s="2">
        <v>43722</v>
      </c>
      <c r="C1599" s="1" t="s">
        <v>7</v>
      </c>
      <c r="D1599" s="1">
        <v>3</v>
      </c>
      <c r="E1599" t="s">
        <v>16</v>
      </c>
      <c r="F1599" t="s">
        <v>16</v>
      </c>
      <c r="G1599" s="1">
        <v>421.94</v>
      </c>
      <c r="H1599">
        <v>0</v>
      </c>
      <c r="I1599">
        <f>Sales_Data[[#This Row],[Sales]]*Sales_Data[[#This Row],[Discount]]</f>
        <v>0</v>
      </c>
      <c r="J1599">
        <v>421.94</v>
      </c>
      <c r="K1599" s="1">
        <v>26.2</v>
      </c>
      <c r="L1599" s="1">
        <v>421.94</v>
      </c>
      <c r="M1599" s="1" t="s">
        <v>10</v>
      </c>
      <c r="N1599" s="1">
        <f>IF(Sales_Data[[#This Row],[Sales with Discount]]&lt;Sales_Data[[#This Row],[Sales with Free Shipping]],Sales_Data[[#This Row],[Sales with Discount]],Sales_Data[[#This Row],[Sales with Free Shipping]])</f>
        <v>421.94</v>
      </c>
      <c r="O1599" s="1" t="str">
        <f>TEXT(Sales_Data[[#This Row],[Order Date]], "MM-YYYY")</f>
        <v>09-2019</v>
      </c>
    </row>
    <row r="1600" spans="1:15" x14ac:dyDescent="0.3">
      <c r="A1600" s="1">
        <v>34659</v>
      </c>
      <c r="B1600" s="2">
        <v>43788</v>
      </c>
      <c r="C1600" s="1" t="s">
        <v>9</v>
      </c>
      <c r="D1600" s="1">
        <v>42</v>
      </c>
      <c r="E1600" t="s">
        <v>23</v>
      </c>
      <c r="F1600" t="s">
        <v>23</v>
      </c>
      <c r="G1600" s="1">
        <v>277.58999999999997</v>
      </c>
      <c r="H1600">
        <v>0.01</v>
      </c>
      <c r="I1600">
        <f>Sales_Data[[#This Row],[Sales]]*Sales_Data[[#This Row],[Discount]]</f>
        <v>2.7758999999999996</v>
      </c>
      <c r="J1600">
        <v>274.8141</v>
      </c>
      <c r="K1600" s="1">
        <v>5.3</v>
      </c>
      <c r="L1600" s="1">
        <v>272.28999999999996</v>
      </c>
      <c r="M1600" s="1" t="s">
        <v>10</v>
      </c>
      <c r="N1600" s="1">
        <f>IF(Sales_Data[[#This Row],[Sales with Discount]]&lt;Sales_Data[[#This Row],[Sales with Free Shipping]],Sales_Data[[#This Row],[Sales with Discount]],Sales_Data[[#This Row],[Sales with Free Shipping]])</f>
        <v>272.28999999999996</v>
      </c>
      <c r="O1600" s="1" t="str">
        <f>TEXT(Sales_Data[[#This Row],[Order Date]], "MM-YYYY")</f>
        <v>11-2019</v>
      </c>
    </row>
    <row r="1601" spans="1:15" x14ac:dyDescent="0.3">
      <c r="A1601" s="1">
        <v>9350</v>
      </c>
      <c r="B1601" s="2">
        <v>43769</v>
      </c>
      <c r="C1601" s="1" t="s">
        <v>12</v>
      </c>
      <c r="D1601" s="1">
        <v>13</v>
      </c>
      <c r="E1601" t="s">
        <v>18</v>
      </c>
      <c r="F1601" t="s">
        <v>18</v>
      </c>
      <c r="G1601" s="1">
        <v>1857.4558</v>
      </c>
      <c r="H1601">
        <v>0</v>
      </c>
      <c r="I1601">
        <f>Sales_Data[[#This Row],[Sales]]*Sales_Data[[#This Row],[Discount]]</f>
        <v>0</v>
      </c>
      <c r="J1601">
        <v>1857.4558</v>
      </c>
      <c r="K1601" s="1">
        <v>57.2</v>
      </c>
      <c r="L1601" s="1">
        <v>1857.4558</v>
      </c>
      <c r="M1601" s="1" t="s">
        <v>13</v>
      </c>
      <c r="N1601" s="1">
        <f>IF(Sales_Data[[#This Row],[Sales with Discount]]&lt;Sales_Data[[#This Row],[Sales with Free Shipping]],Sales_Data[[#This Row],[Sales with Discount]],Sales_Data[[#This Row],[Sales with Free Shipping]])</f>
        <v>1857.4558</v>
      </c>
      <c r="O1601" s="1" t="str">
        <f>TEXT(Sales_Data[[#This Row],[Order Date]], "MM-YYYY")</f>
        <v>10-2019</v>
      </c>
    </row>
    <row r="1602" spans="1:15" x14ac:dyDescent="0.3">
      <c r="A1602" s="1">
        <v>49634</v>
      </c>
      <c r="B1602" s="2">
        <v>43547</v>
      </c>
      <c r="C1602" s="1" t="s">
        <v>11</v>
      </c>
      <c r="D1602" s="1">
        <v>45</v>
      </c>
      <c r="E1602" t="s">
        <v>23</v>
      </c>
      <c r="F1602" t="s">
        <v>23</v>
      </c>
      <c r="G1602" s="1">
        <v>141.57169999999999</v>
      </c>
      <c r="H1602">
        <v>0.01</v>
      </c>
      <c r="I1602">
        <f>Sales_Data[[#This Row],[Sales]]*Sales_Data[[#This Row],[Discount]]</f>
        <v>1.4157169999999999</v>
      </c>
      <c r="J1602">
        <v>140.15598299999999</v>
      </c>
      <c r="K1602" s="1">
        <v>1.6</v>
      </c>
      <c r="L1602" s="1">
        <v>139.9717</v>
      </c>
      <c r="M1602" s="1" t="s">
        <v>10</v>
      </c>
      <c r="N1602" s="1">
        <f>IF(Sales_Data[[#This Row],[Sales with Discount]]&lt;Sales_Data[[#This Row],[Sales with Free Shipping]],Sales_Data[[#This Row],[Sales with Discount]],Sales_Data[[#This Row],[Sales with Free Shipping]])</f>
        <v>139.9717</v>
      </c>
      <c r="O1602" s="1" t="str">
        <f>TEXT(Sales_Data[[#This Row],[Order Date]], "MM-YYYY")</f>
        <v>03-2019</v>
      </c>
    </row>
    <row r="1603" spans="1:15" x14ac:dyDescent="0.3">
      <c r="A1603" s="1">
        <v>38884</v>
      </c>
      <c r="B1603" s="2">
        <v>43694</v>
      </c>
      <c r="C1603" s="1" t="s">
        <v>9</v>
      </c>
      <c r="D1603" s="1">
        <v>47</v>
      </c>
      <c r="E1603" t="s">
        <v>24</v>
      </c>
      <c r="F1603" t="s">
        <v>24</v>
      </c>
      <c r="G1603" s="1">
        <v>273.92</v>
      </c>
      <c r="H1603">
        <v>0.01</v>
      </c>
      <c r="I1603">
        <f>Sales_Data[[#This Row],[Sales]]*Sales_Data[[#This Row],[Discount]]</f>
        <v>2.7392000000000003</v>
      </c>
      <c r="J1603">
        <v>271.18080000000003</v>
      </c>
      <c r="K1603" s="1">
        <v>6.1</v>
      </c>
      <c r="L1603" s="1">
        <v>267.82</v>
      </c>
      <c r="M1603" s="1" t="s">
        <v>10</v>
      </c>
      <c r="N1603" s="1">
        <f>IF(Sales_Data[[#This Row],[Sales with Discount]]&lt;Sales_Data[[#This Row],[Sales with Free Shipping]],Sales_Data[[#This Row],[Sales with Discount]],Sales_Data[[#This Row],[Sales with Free Shipping]])</f>
        <v>267.82</v>
      </c>
      <c r="O1603" s="1" t="str">
        <f>TEXT(Sales_Data[[#This Row],[Order Date]], "MM-YYYY")</f>
        <v>08-2019</v>
      </c>
    </row>
    <row r="1604" spans="1:15" x14ac:dyDescent="0.3">
      <c r="A1604" s="1">
        <v>54534</v>
      </c>
      <c r="B1604" s="2">
        <v>43543</v>
      </c>
      <c r="C1604" s="1" t="s">
        <v>11</v>
      </c>
      <c r="D1604" s="1">
        <v>16</v>
      </c>
      <c r="E1604" t="s">
        <v>19</v>
      </c>
      <c r="F1604" t="s">
        <v>19</v>
      </c>
      <c r="G1604" s="1">
        <v>133.44</v>
      </c>
      <c r="H1604">
        <v>0</v>
      </c>
      <c r="I1604">
        <f>Sales_Data[[#This Row],[Sales]]*Sales_Data[[#This Row],[Discount]]</f>
        <v>0</v>
      </c>
      <c r="J1604">
        <v>133.44</v>
      </c>
      <c r="K1604" s="1">
        <v>6.4</v>
      </c>
      <c r="L1604" s="1">
        <v>133.44</v>
      </c>
      <c r="M1604" s="1" t="s">
        <v>10</v>
      </c>
      <c r="N1604" s="1">
        <f>IF(Sales_Data[[#This Row],[Sales with Discount]]&lt;Sales_Data[[#This Row],[Sales with Free Shipping]],Sales_Data[[#This Row],[Sales with Discount]],Sales_Data[[#This Row],[Sales with Free Shipping]])</f>
        <v>133.44</v>
      </c>
      <c r="O1604" s="1" t="str">
        <f>TEXT(Sales_Data[[#This Row],[Order Date]], "MM-YYYY")</f>
        <v>03-2019</v>
      </c>
    </row>
    <row r="1605" spans="1:15" x14ac:dyDescent="0.3">
      <c r="A1605" s="1">
        <v>29218</v>
      </c>
      <c r="B1605" s="2">
        <v>43614</v>
      </c>
      <c r="C1605" s="1" t="s">
        <v>7</v>
      </c>
      <c r="D1605" s="1">
        <v>13</v>
      </c>
      <c r="E1605" t="s">
        <v>18</v>
      </c>
      <c r="F1605" t="s">
        <v>18</v>
      </c>
      <c r="G1605" s="1">
        <v>2410.6799999999998</v>
      </c>
      <c r="H1605">
        <v>0</v>
      </c>
      <c r="I1605">
        <f>Sales_Data[[#This Row],[Sales]]*Sales_Data[[#This Row],[Discount]]</f>
        <v>0</v>
      </c>
      <c r="J1605">
        <v>2410.6799999999998</v>
      </c>
      <c r="K1605" s="1">
        <v>9.6</v>
      </c>
      <c r="L1605" s="1">
        <v>2410.6799999999998</v>
      </c>
      <c r="M1605" s="1" t="s">
        <v>10</v>
      </c>
      <c r="N1605" s="1">
        <f>IF(Sales_Data[[#This Row],[Sales with Discount]]&lt;Sales_Data[[#This Row],[Sales with Free Shipping]],Sales_Data[[#This Row],[Sales with Discount]],Sales_Data[[#This Row],[Sales with Free Shipping]])</f>
        <v>2410.6799999999998</v>
      </c>
      <c r="O1605" s="1" t="str">
        <f>TEXT(Sales_Data[[#This Row],[Order Date]], "MM-YYYY")</f>
        <v>05-2019</v>
      </c>
    </row>
    <row r="1606" spans="1:15" x14ac:dyDescent="0.3">
      <c r="A1606" s="1">
        <v>1991</v>
      </c>
      <c r="B1606" s="2">
        <v>43714</v>
      </c>
      <c r="C1606" s="1" t="s">
        <v>11</v>
      </c>
      <c r="D1606" s="1">
        <v>37</v>
      </c>
      <c r="E1606" t="s">
        <v>22</v>
      </c>
      <c r="F1606" t="s">
        <v>22</v>
      </c>
      <c r="G1606" s="1">
        <v>15390.7</v>
      </c>
      <c r="H1606">
        <v>0.01</v>
      </c>
      <c r="I1606">
        <f>Sales_Data[[#This Row],[Sales]]*Sales_Data[[#This Row],[Discount]]</f>
        <v>153.90700000000001</v>
      </c>
      <c r="J1606">
        <v>15236.793000000001</v>
      </c>
      <c r="K1606" s="1">
        <v>12.9</v>
      </c>
      <c r="L1606" s="1">
        <v>15377.800000000001</v>
      </c>
      <c r="M1606" s="1" t="s">
        <v>13</v>
      </c>
      <c r="N1606" s="1">
        <f>IF(Sales_Data[[#This Row],[Sales with Discount]]&lt;Sales_Data[[#This Row],[Sales with Free Shipping]],Sales_Data[[#This Row],[Sales with Discount]],Sales_Data[[#This Row],[Sales with Free Shipping]])</f>
        <v>15236.793000000001</v>
      </c>
      <c r="O1606" s="1" t="str">
        <f>TEXT(Sales_Data[[#This Row],[Order Date]], "MM-YYYY")</f>
        <v>09-2019</v>
      </c>
    </row>
    <row r="1607" spans="1:15" x14ac:dyDescent="0.3">
      <c r="A1607" s="1">
        <v>53477</v>
      </c>
      <c r="B1607" s="2">
        <v>43590</v>
      </c>
      <c r="C1607" s="1" t="s">
        <v>9</v>
      </c>
      <c r="D1607" s="1">
        <v>27</v>
      </c>
      <c r="E1607" t="s">
        <v>20</v>
      </c>
      <c r="F1607" t="s">
        <v>20</v>
      </c>
      <c r="G1607" s="1">
        <v>8733.27</v>
      </c>
      <c r="H1607">
        <v>0</v>
      </c>
      <c r="I1607">
        <f>Sales_Data[[#This Row],[Sales]]*Sales_Data[[#This Row],[Discount]]</f>
        <v>0</v>
      </c>
      <c r="J1607">
        <v>8733.27</v>
      </c>
      <c r="K1607" s="1">
        <v>69.3</v>
      </c>
      <c r="L1607" s="1">
        <v>8733.27</v>
      </c>
      <c r="M1607" s="1" t="s">
        <v>13</v>
      </c>
      <c r="N1607" s="1">
        <f>IF(Sales_Data[[#This Row],[Sales with Discount]]&lt;Sales_Data[[#This Row],[Sales with Free Shipping]],Sales_Data[[#This Row],[Sales with Discount]],Sales_Data[[#This Row],[Sales with Free Shipping]])</f>
        <v>8733.27</v>
      </c>
      <c r="O1607" s="1" t="str">
        <f>TEXT(Sales_Data[[#This Row],[Order Date]], "MM-YYYY")</f>
        <v>05-2019</v>
      </c>
    </row>
    <row r="1608" spans="1:15" x14ac:dyDescent="0.3">
      <c r="A1608" s="1">
        <v>24261</v>
      </c>
      <c r="B1608" s="2">
        <v>43725</v>
      </c>
      <c r="C1608" s="1" t="s">
        <v>12</v>
      </c>
      <c r="D1608" s="1">
        <v>28</v>
      </c>
      <c r="E1608" t="s">
        <v>20</v>
      </c>
      <c r="F1608" t="s">
        <v>20</v>
      </c>
      <c r="G1608" s="1">
        <v>1012.51</v>
      </c>
      <c r="H1608">
        <v>0</v>
      </c>
      <c r="I1608">
        <f>Sales_Data[[#This Row],[Sales]]*Sales_Data[[#This Row],[Discount]]</f>
        <v>0</v>
      </c>
      <c r="J1608">
        <v>1012.51</v>
      </c>
      <c r="K1608" s="1">
        <v>9.4</v>
      </c>
      <c r="L1608" s="1">
        <v>1012.51</v>
      </c>
      <c r="M1608" s="1" t="s">
        <v>10</v>
      </c>
      <c r="N1608" s="1">
        <f>IF(Sales_Data[[#This Row],[Sales with Discount]]&lt;Sales_Data[[#This Row],[Sales with Free Shipping]],Sales_Data[[#This Row],[Sales with Discount]],Sales_Data[[#This Row],[Sales with Free Shipping]])</f>
        <v>1012.51</v>
      </c>
      <c r="O1608" s="1" t="str">
        <f>TEXT(Sales_Data[[#This Row],[Order Date]], "MM-YYYY")</f>
        <v>09-2019</v>
      </c>
    </row>
    <row r="1609" spans="1:15" x14ac:dyDescent="0.3">
      <c r="A1609" s="1">
        <v>8289</v>
      </c>
      <c r="B1609" s="2">
        <v>43766</v>
      </c>
      <c r="C1609" s="1" t="s">
        <v>7</v>
      </c>
      <c r="D1609" s="1">
        <v>38</v>
      </c>
      <c r="E1609" t="s">
        <v>22</v>
      </c>
      <c r="F1609" t="s">
        <v>22</v>
      </c>
      <c r="G1609" s="1">
        <v>612.83000000000004</v>
      </c>
      <c r="H1609">
        <v>0.01</v>
      </c>
      <c r="I1609">
        <f>Sales_Data[[#This Row],[Sales]]*Sales_Data[[#This Row],[Discount]]</f>
        <v>6.1283000000000003</v>
      </c>
      <c r="J1609">
        <v>606.70170000000007</v>
      </c>
      <c r="K1609" s="1">
        <v>7.7</v>
      </c>
      <c r="L1609" s="1">
        <v>605.13</v>
      </c>
      <c r="M1609" s="1" t="s">
        <v>10</v>
      </c>
      <c r="N1609" s="1">
        <f>IF(Sales_Data[[#This Row],[Sales with Discount]]&lt;Sales_Data[[#This Row],[Sales with Free Shipping]],Sales_Data[[#This Row],[Sales with Discount]],Sales_Data[[#This Row],[Sales with Free Shipping]])</f>
        <v>605.13</v>
      </c>
      <c r="O1609" s="1" t="str">
        <f>TEXT(Sales_Data[[#This Row],[Order Date]], "MM-YYYY")</f>
        <v>10-2019</v>
      </c>
    </row>
    <row r="1610" spans="1:15" x14ac:dyDescent="0.3">
      <c r="A1610" s="1">
        <v>46243</v>
      </c>
      <c r="B1610" s="2">
        <v>43488</v>
      </c>
      <c r="C1610" s="1" t="s">
        <v>7</v>
      </c>
      <c r="D1610" s="1">
        <v>1</v>
      </c>
      <c r="E1610" t="s">
        <v>16</v>
      </c>
      <c r="F1610" t="s">
        <v>16</v>
      </c>
      <c r="G1610" s="1">
        <v>3.8841000000000001</v>
      </c>
      <c r="H1610">
        <v>0</v>
      </c>
      <c r="I1610">
        <f>Sales_Data[[#This Row],[Sales]]*Sales_Data[[#This Row],[Discount]]</f>
        <v>0</v>
      </c>
      <c r="J1610">
        <v>3.8841000000000001</v>
      </c>
      <c r="K1610" s="1">
        <v>0.7</v>
      </c>
      <c r="L1610" s="1">
        <v>3.8841000000000001</v>
      </c>
      <c r="M1610" s="1" t="s">
        <v>10</v>
      </c>
      <c r="N1610" s="1">
        <f>IF(Sales_Data[[#This Row],[Sales with Discount]]&lt;Sales_Data[[#This Row],[Sales with Free Shipping]],Sales_Data[[#This Row],[Sales with Discount]],Sales_Data[[#This Row],[Sales with Free Shipping]])</f>
        <v>3.8841000000000001</v>
      </c>
      <c r="O1610" s="1" t="str">
        <f>TEXT(Sales_Data[[#This Row],[Order Date]], "MM-YYYY")</f>
        <v>01-2019</v>
      </c>
    </row>
    <row r="1611" spans="1:15" x14ac:dyDescent="0.3">
      <c r="A1611" s="1">
        <v>4391</v>
      </c>
      <c r="B1611" s="2">
        <v>43512</v>
      </c>
      <c r="C1611" s="1" t="s">
        <v>9</v>
      </c>
      <c r="D1611" s="1">
        <v>20</v>
      </c>
      <c r="E1611" t="s">
        <v>19</v>
      </c>
      <c r="F1611" t="s">
        <v>19</v>
      </c>
      <c r="G1611" s="1">
        <v>2773.9</v>
      </c>
      <c r="H1611">
        <v>0</v>
      </c>
      <c r="I1611">
        <f>Sales_Data[[#This Row],[Sales]]*Sales_Data[[#This Row],[Discount]]</f>
        <v>0</v>
      </c>
      <c r="J1611">
        <v>2773.9</v>
      </c>
      <c r="K1611" s="1">
        <v>4.2</v>
      </c>
      <c r="L1611" s="1">
        <v>2773.9</v>
      </c>
      <c r="M1611" s="1" t="s">
        <v>10</v>
      </c>
      <c r="N1611" s="1">
        <f>IF(Sales_Data[[#This Row],[Sales with Discount]]&lt;Sales_Data[[#This Row],[Sales with Free Shipping]],Sales_Data[[#This Row],[Sales with Discount]],Sales_Data[[#This Row],[Sales with Free Shipping]])</f>
        <v>2773.9</v>
      </c>
      <c r="O1611" s="1" t="str">
        <f>TEXT(Sales_Data[[#This Row],[Order Date]], "MM-YYYY")</f>
        <v>02-2019</v>
      </c>
    </row>
    <row r="1612" spans="1:15" x14ac:dyDescent="0.3">
      <c r="A1612" s="1">
        <v>18596</v>
      </c>
      <c r="B1612" s="2">
        <v>43740</v>
      </c>
      <c r="C1612" s="1" t="s">
        <v>7</v>
      </c>
      <c r="D1612" s="1">
        <v>42</v>
      </c>
      <c r="E1612" t="s">
        <v>23</v>
      </c>
      <c r="F1612" t="s">
        <v>23</v>
      </c>
      <c r="G1612" s="1">
        <v>5261.93</v>
      </c>
      <c r="H1612">
        <v>0.01</v>
      </c>
      <c r="I1612">
        <f>Sales_Data[[#This Row],[Sales]]*Sales_Data[[#This Row],[Discount]]</f>
        <v>52.619300000000003</v>
      </c>
      <c r="J1612">
        <v>5209.3107</v>
      </c>
      <c r="K1612" s="1">
        <v>32.1</v>
      </c>
      <c r="L1612" s="1">
        <v>5229.83</v>
      </c>
      <c r="M1612" s="1" t="s">
        <v>13</v>
      </c>
      <c r="N1612" s="1">
        <f>IF(Sales_Data[[#This Row],[Sales with Discount]]&lt;Sales_Data[[#This Row],[Sales with Free Shipping]],Sales_Data[[#This Row],[Sales with Discount]],Sales_Data[[#This Row],[Sales with Free Shipping]])</f>
        <v>5209.3107</v>
      </c>
      <c r="O1612" s="1" t="str">
        <f>TEXT(Sales_Data[[#This Row],[Order Date]], "MM-YYYY")</f>
        <v>10-2019</v>
      </c>
    </row>
    <row r="1613" spans="1:15" x14ac:dyDescent="0.3">
      <c r="A1613" s="1">
        <v>36644</v>
      </c>
      <c r="B1613" s="2">
        <v>43598</v>
      </c>
      <c r="C1613" s="1" t="s">
        <v>9</v>
      </c>
      <c r="D1613" s="1">
        <v>24</v>
      </c>
      <c r="E1613" t="s">
        <v>14</v>
      </c>
      <c r="F1613" t="s">
        <v>14</v>
      </c>
      <c r="G1613" s="1">
        <v>2459.1999999999998</v>
      </c>
      <c r="H1613">
        <v>0</v>
      </c>
      <c r="I1613">
        <f>Sales_Data[[#This Row],[Sales]]*Sales_Data[[#This Row],[Discount]]</f>
        <v>0</v>
      </c>
      <c r="J1613">
        <v>2459.1999999999998</v>
      </c>
      <c r="K1613" s="1">
        <v>21.4</v>
      </c>
      <c r="L1613" s="1">
        <v>2459.1999999999998</v>
      </c>
      <c r="M1613" s="1" t="s">
        <v>10</v>
      </c>
      <c r="N1613" s="1">
        <f>IF(Sales_Data[[#This Row],[Sales with Discount]]&lt;Sales_Data[[#This Row],[Sales with Free Shipping]],Sales_Data[[#This Row],[Sales with Discount]],Sales_Data[[#This Row],[Sales with Free Shipping]])</f>
        <v>2459.1999999999998</v>
      </c>
      <c r="O1613" s="1" t="str">
        <f>TEXT(Sales_Data[[#This Row],[Order Date]], "MM-YYYY")</f>
        <v>05-2019</v>
      </c>
    </row>
    <row r="1614" spans="1:15" x14ac:dyDescent="0.3">
      <c r="A1614" s="1">
        <v>25666</v>
      </c>
      <c r="B1614" s="2">
        <v>43710</v>
      </c>
      <c r="C1614" s="1" t="s">
        <v>12</v>
      </c>
      <c r="D1614" s="1">
        <v>23</v>
      </c>
      <c r="E1614" t="s">
        <v>14</v>
      </c>
      <c r="F1614" t="s">
        <v>14</v>
      </c>
      <c r="G1614" s="1">
        <v>278.29000000000002</v>
      </c>
      <c r="H1614">
        <v>0</v>
      </c>
      <c r="I1614">
        <f>Sales_Data[[#This Row],[Sales]]*Sales_Data[[#This Row],[Discount]]</f>
        <v>0</v>
      </c>
      <c r="J1614">
        <v>278.29000000000002</v>
      </c>
      <c r="K1614" s="1">
        <v>5.0999999999999996</v>
      </c>
      <c r="L1614" s="1">
        <v>278.29000000000002</v>
      </c>
      <c r="M1614" s="1" t="s">
        <v>10</v>
      </c>
      <c r="N1614" s="1">
        <f>IF(Sales_Data[[#This Row],[Sales with Discount]]&lt;Sales_Data[[#This Row],[Sales with Free Shipping]],Sales_Data[[#This Row],[Sales with Discount]],Sales_Data[[#This Row],[Sales with Free Shipping]])</f>
        <v>278.29000000000002</v>
      </c>
      <c r="O1614" s="1" t="str">
        <f>TEXT(Sales_Data[[#This Row],[Order Date]], "MM-YYYY")</f>
        <v>09-2019</v>
      </c>
    </row>
    <row r="1615" spans="1:15" x14ac:dyDescent="0.3">
      <c r="A1615" s="1">
        <v>27909</v>
      </c>
      <c r="B1615" s="2">
        <v>43502</v>
      </c>
      <c r="C1615" s="1" t="s">
        <v>12</v>
      </c>
      <c r="D1615" s="1">
        <v>1</v>
      </c>
      <c r="E1615" t="s">
        <v>16</v>
      </c>
      <c r="F1615" t="s">
        <v>16</v>
      </c>
      <c r="G1615" s="1">
        <v>66.62</v>
      </c>
      <c r="H1615">
        <v>0</v>
      </c>
      <c r="I1615">
        <f>Sales_Data[[#This Row],[Sales]]*Sales_Data[[#This Row],[Discount]]</f>
        <v>0</v>
      </c>
      <c r="J1615">
        <v>66.62</v>
      </c>
      <c r="K1615" s="1">
        <v>11.5</v>
      </c>
      <c r="L1615" s="1">
        <v>66.62</v>
      </c>
      <c r="M1615" s="1" t="s">
        <v>10</v>
      </c>
      <c r="N1615" s="1">
        <f>IF(Sales_Data[[#This Row],[Sales with Discount]]&lt;Sales_Data[[#This Row],[Sales with Free Shipping]],Sales_Data[[#This Row],[Sales with Discount]],Sales_Data[[#This Row],[Sales with Free Shipping]])</f>
        <v>66.62</v>
      </c>
      <c r="O1615" s="1" t="str">
        <f>TEXT(Sales_Data[[#This Row],[Order Date]], "MM-YYYY")</f>
        <v>02-2019</v>
      </c>
    </row>
    <row r="1616" spans="1:15" x14ac:dyDescent="0.3">
      <c r="A1616" s="1">
        <v>52197</v>
      </c>
      <c r="B1616" s="2">
        <v>43681</v>
      </c>
      <c r="C1616" s="1" t="s">
        <v>12</v>
      </c>
      <c r="D1616" s="1">
        <v>23</v>
      </c>
      <c r="E1616" t="s">
        <v>14</v>
      </c>
      <c r="F1616" t="s">
        <v>14</v>
      </c>
      <c r="G1616" s="1">
        <v>98.375799999999998</v>
      </c>
      <c r="H1616">
        <v>0</v>
      </c>
      <c r="I1616">
        <f>Sales_Data[[#This Row],[Sales]]*Sales_Data[[#This Row],[Discount]]</f>
        <v>0</v>
      </c>
      <c r="J1616">
        <v>98.375799999999998</v>
      </c>
      <c r="K1616" s="1">
        <v>2.1</v>
      </c>
      <c r="L1616" s="1">
        <v>98.375799999999998</v>
      </c>
      <c r="M1616" s="1" t="s">
        <v>10</v>
      </c>
      <c r="N1616" s="1">
        <f>IF(Sales_Data[[#This Row],[Sales with Discount]]&lt;Sales_Data[[#This Row],[Sales with Free Shipping]],Sales_Data[[#This Row],[Sales with Discount]],Sales_Data[[#This Row],[Sales with Free Shipping]])</f>
        <v>98.375799999999998</v>
      </c>
      <c r="O1616" s="1" t="str">
        <f>TEXT(Sales_Data[[#This Row],[Order Date]], "MM-YYYY")</f>
        <v>08-2019</v>
      </c>
    </row>
    <row r="1617" spans="1:15" x14ac:dyDescent="0.3">
      <c r="A1617" s="1">
        <v>46852</v>
      </c>
      <c r="B1617" s="2">
        <v>43492</v>
      </c>
      <c r="C1617" s="1" t="s">
        <v>11</v>
      </c>
      <c r="D1617" s="1">
        <v>46</v>
      </c>
      <c r="E1617" t="s">
        <v>24</v>
      </c>
      <c r="F1617" t="s">
        <v>24</v>
      </c>
      <c r="G1617" s="1">
        <v>1703.32</v>
      </c>
      <c r="H1617">
        <v>0.01</v>
      </c>
      <c r="I1617">
        <f>Sales_Data[[#This Row],[Sales]]*Sales_Data[[#This Row],[Discount]]</f>
        <v>17.033200000000001</v>
      </c>
      <c r="J1617">
        <v>1686.2867999999999</v>
      </c>
      <c r="K1617" s="1">
        <v>8.1</v>
      </c>
      <c r="L1617" s="1">
        <v>1695.22</v>
      </c>
      <c r="M1617" s="1" t="s">
        <v>8</v>
      </c>
      <c r="N1617" s="1">
        <f>IF(Sales_Data[[#This Row],[Sales with Discount]]&lt;Sales_Data[[#This Row],[Sales with Free Shipping]],Sales_Data[[#This Row],[Sales with Discount]],Sales_Data[[#This Row],[Sales with Free Shipping]])</f>
        <v>1686.2867999999999</v>
      </c>
      <c r="O1617" s="1" t="str">
        <f>TEXT(Sales_Data[[#This Row],[Order Date]], "MM-YYYY")</f>
        <v>01-2019</v>
      </c>
    </row>
    <row r="1618" spans="1:15" x14ac:dyDescent="0.3">
      <c r="A1618" s="1">
        <v>54307</v>
      </c>
      <c r="B1618" s="2">
        <v>43472</v>
      </c>
      <c r="C1618" s="1" t="s">
        <v>9</v>
      </c>
      <c r="D1618" s="1">
        <v>15</v>
      </c>
      <c r="E1618" t="s">
        <v>18</v>
      </c>
      <c r="F1618" t="s">
        <v>18</v>
      </c>
      <c r="G1618" s="1">
        <v>260.57</v>
      </c>
      <c r="H1618">
        <v>0</v>
      </c>
      <c r="I1618">
        <f>Sales_Data[[#This Row],[Sales]]*Sales_Data[[#This Row],[Discount]]</f>
        <v>0</v>
      </c>
      <c r="J1618">
        <v>260.57</v>
      </c>
      <c r="K1618" s="1">
        <v>14.5</v>
      </c>
      <c r="L1618" s="1">
        <v>260.57</v>
      </c>
      <c r="M1618" s="1" t="s">
        <v>10</v>
      </c>
      <c r="N1618" s="1">
        <f>IF(Sales_Data[[#This Row],[Sales with Discount]]&lt;Sales_Data[[#This Row],[Sales with Free Shipping]],Sales_Data[[#This Row],[Sales with Discount]],Sales_Data[[#This Row],[Sales with Free Shipping]])</f>
        <v>260.57</v>
      </c>
      <c r="O1618" s="1" t="str">
        <f>TEXT(Sales_Data[[#This Row],[Order Date]], "MM-YYYY")</f>
        <v>01-2019</v>
      </c>
    </row>
    <row r="1619" spans="1:15" x14ac:dyDescent="0.3">
      <c r="A1619" s="1">
        <v>27078</v>
      </c>
      <c r="B1619" s="2">
        <v>43689</v>
      </c>
      <c r="C1619" s="1" t="s">
        <v>11</v>
      </c>
      <c r="D1619" s="1">
        <v>22</v>
      </c>
      <c r="E1619" t="s">
        <v>14</v>
      </c>
      <c r="F1619" t="s">
        <v>14</v>
      </c>
      <c r="G1619" s="1">
        <v>163.11080000000001</v>
      </c>
      <c r="H1619">
        <v>0</v>
      </c>
      <c r="I1619">
        <f>Sales_Data[[#This Row],[Sales]]*Sales_Data[[#This Row],[Discount]]</f>
        <v>0</v>
      </c>
      <c r="J1619">
        <v>163.11080000000001</v>
      </c>
      <c r="K1619" s="1">
        <v>6.3</v>
      </c>
      <c r="L1619" s="1">
        <v>163.11080000000001</v>
      </c>
      <c r="M1619" s="1" t="s">
        <v>10</v>
      </c>
      <c r="N1619" s="1">
        <f>IF(Sales_Data[[#This Row],[Sales with Discount]]&lt;Sales_Data[[#This Row],[Sales with Free Shipping]],Sales_Data[[#This Row],[Sales with Discount]],Sales_Data[[#This Row],[Sales with Free Shipping]])</f>
        <v>163.11080000000001</v>
      </c>
      <c r="O1619" s="1" t="str">
        <f>TEXT(Sales_Data[[#This Row],[Order Date]], "MM-YYYY")</f>
        <v>08-2019</v>
      </c>
    </row>
    <row r="1620" spans="1:15" x14ac:dyDescent="0.3">
      <c r="A1620" s="1">
        <v>28387</v>
      </c>
      <c r="B1620" s="2">
        <v>43645</v>
      </c>
      <c r="C1620" s="1" t="s">
        <v>11</v>
      </c>
      <c r="D1620" s="1">
        <v>37</v>
      </c>
      <c r="E1620" t="s">
        <v>22</v>
      </c>
      <c r="F1620" t="s">
        <v>22</v>
      </c>
      <c r="G1620" s="1">
        <v>3437.88</v>
      </c>
      <c r="H1620">
        <v>0.01</v>
      </c>
      <c r="I1620">
        <f>Sales_Data[[#This Row],[Sales]]*Sales_Data[[#This Row],[Discount]]</f>
        <v>34.378800000000005</v>
      </c>
      <c r="J1620">
        <v>3403.5012000000002</v>
      </c>
      <c r="K1620" s="1">
        <v>21.4</v>
      </c>
      <c r="L1620" s="1">
        <v>3416.48</v>
      </c>
      <c r="M1620" s="1" t="s">
        <v>10</v>
      </c>
      <c r="N1620" s="1">
        <f>IF(Sales_Data[[#This Row],[Sales with Discount]]&lt;Sales_Data[[#This Row],[Sales with Free Shipping]],Sales_Data[[#This Row],[Sales with Discount]],Sales_Data[[#This Row],[Sales with Free Shipping]])</f>
        <v>3403.5012000000002</v>
      </c>
      <c r="O1620" s="1" t="str">
        <f>TEXT(Sales_Data[[#This Row],[Order Date]], "MM-YYYY")</f>
        <v>06-2019</v>
      </c>
    </row>
    <row r="1621" spans="1:15" x14ac:dyDescent="0.3">
      <c r="A1621" s="1">
        <v>27201</v>
      </c>
      <c r="B1621" s="2">
        <v>43671</v>
      </c>
      <c r="C1621" s="1" t="s">
        <v>9</v>
      </c>
      <c r="D1621" s="1">
        <v>45</v>
      </c>
      <c r="E1621" t="s">
        <v>23</v>
      </c>
      <c r="F1621" t="s">
        <v>23</v>
      </c>
      <c r="G1621" s="1">
        <v>3745.107</v>
      </c>
      <c r="H1621">
        <v>0.01</v>
      </c>
      <c r="I1621">
        <f>Sales_Data[[#This Row],[Sales]]*Sales_Data[[#This Row],[Discount]]</f>
        <v>37.451070000000001</v>
      </c>
      <c r="J1621">
        <v>3707.6559299999999</v>
      </c>
      <c r="K1621" s="1">
        <v>95.6</v>
      </c>
      <c r="L1621" s="1">
        <v>3649.5070000000001</v>
      </c>
      <c r="M1621" s="1" t="s">
        <v>13</v>
      </c>
      <c r="N1621" s="1">
        <f>IF(Sales_Data[[#This Row],[Sales with Discount]]&lt;Sales_Data[[#This Row],[Sales with Free Shipping]],Sales_Data[[#This Row],[Sales with Discount]],Sales_Data[[#This Row],[Sales with Free Shipping]])</f>
        <v>3649.5070000000001</v>
      </c>
      <c r="O1621" s="1" t="str">
        <f>TEXT(Sales_Data[[#This Row],[Order Date]], "MM-YYYY")</f>
        <v>07-2019</v>
      </c>
    </row>
    <row r="1622" spans="1:15" x14ac:dyDescent="0.3">
      <c r="A1622" s="1">
        <v>6757</v>
      </c>
      <c r="B1622" s="2">
        <v>43496</v>
      </c>
      <c r="C1622" s="1" t="s">
        <v>14</v>
      </c>
      <c r="D1622" s="1">
        <v>27</v>
      </c>
      <c r="E1622" t="s">
        <v>20</v>
      </c>
      <c r="F1622" t="s">
        <v>20</v>
      </c>
      <c r="G1622" s="1">
        <v>930.66</v>
      </c>
      <c r="H1622">
        <v>0</v>
      </c>
      <c r="I1622">
        <f>Sales_Data[[#This Row],[Sales]]*Sales_Data[[#This Row],[Discount]]</f>
        <v>0</v>
      </c>
      <c r="J1622">
        <v>930.66</v>
      </c>
      <c r="K1622" s="1">
        <v>8.8000000000000007</v>
      </c>
      <c r="L1622" s="1">
        <v>930.66</v>
      </c>
      <c r="M1622" s="1" t="s">
        <v>10</v>
      </c>
      <c r="N1622" s="1">
        <f>IF(Sales_Data[[#This Row],[Sales with Discount]]&lt;Sales_Data[[#This Row],[Sales with Free Shipping]],Sales_Data[[#This Row],[Sales with Discount]],Sales_Data[[#This Row],[Sales with Free Shipping]])</f>
        <v>930.66</v>
      </c>
      <c r="O1622" s="1" t="str">
        <f>TEXT(Sales_Data[[#This Row],[Order Date]], "MM-YYYY")</f>
        <v>01-2019</v>
      </c>
    </row>
    <row r="1623" spans="1:15" x14ac:dyDescent="0.3">
      <c r="A1623" s="1">
        <v>1185</v>
      </c>
      <c r="B1623" s="2">
        <v>43700</v>
      </c>
      <c r="C1623" s="1" t="s">
        <v>7</v>
      </c>
      <c r="D1623" s="1">
        <v>7</v>
      </c>
      <c r="E1623" t="s">
        <v>17</v>
      </c>
      <c r="F1623" t="s">
        <v>17</v>
      </c>
      <c r="G1623" s="1">
        <v>401.01</v>
      </c>
      <c r="H1623">
        <v>0</v>
      </c>
      <c r="I1623">
        <f>Sales_Data[[#This Row],[Sales]]*Sales_Data[[#This Row],[Discount]]</f>
        <v>0</v>
      </c>
      <c r="J1623">
        <v>401.01</v>
      </c>
      <c r="K1623" s="1">
        <v>15.3</v>
      </c>
      <c r="L1623" s="1">
        <v>401.01</v>
      </c>
      <c r="M1623" s="1" t="s">
        <v>10</v>
      </c>
      <c r="N1623" s="1">
        <f>IF(Sales_Data[[#This Row],[Sales with Discount]]&lt;Sales_Data[[#This Row],[Sales with Free Shipping]],Sales_Data[[#This Row],[Sales with Discount]],Sales_Data[[#This Row],[Sales with Free Shipping]])</f>
        <v>401.01</v>
      </c>
      <c r="O1623" s="1" t="str">
        <f>TEXT(Sales_Data[[#This Row],[Order Date]], "MM-YYYY")</f>
        <v>08-2019</v>
      </c>
    </row>
    <row r="1624" spans="1:15" x14ac:dyDescent="0.3">
      <c r="A1624" s="1">
        <v>19361</v>
      </c>
      <c r="B1624" s="2">
        <v>43731</v>
      </c>
      <c r="C1624" s="1" t="s">
        <v>7</v>
      </c>
      <c r="D1624" s="1">
        <v>21</v>
      </c>
      <c r="E1624" t="s">
        <v>14</v>
      </c>
      <c r="F1624" t="s">
        <v>14</v>
      </c>
      <c r="G1624" s="1">
        <v>844.07</v>
      </c>
      <c r="H1624">
        <v>0</v>
      </c>
      <c r="I1624">
        <f>Sales_Data[[#This Row],[Sales]]*Sales_Data[[#This Row],[Discount]]</f>
        <v>0</v>
      </c>
      <c r="J1624">
        <v>844.07</v>
      </c>
      <c r="K1624" s="1">
        <v>3.2</v>
      </c>
      <c r="L1624" s="1">
        <v>844.07</v>
      </c>
      <c r="M1624" s="1" t="s">
        <v>10</v>
      </c>
      <c r="N1624" s="1">
        <f>IF(Sales_Data[[#This Row],[Sales with Discount]]&lt;Sales_Data[[#This Row],[Sales with Free Shipping]],Sales_Data[[#This Row],[Sales with Discount]],Sales_Data[[#This Row],[Sales with Free Shipping]])</f>
        <v>844.07</v>
      </c>
      <c r="O1624" s="1" t="str">
        <f>TEXT(Sales_Data[[#This Row],[Order Date]], "MM-YYYY")</f>
        <v>09-2019</v>
      </c>
    </row>
    <row r="1625" spans="1:15" x14ac:dyDescent="0.3">
      <c r="A1625" s="1">
        <v>46787</v>
      </c>
      <c r="B1625" s="2">
        <v>43553</v>
      </c>
      <c r="C1625" s="1" t="s">
        <v>14</v>
      </c>
      <c r="D1625" s="1">
        <v>32</v>
      </c>
      <c r="E1625" t="s">
        <v>21</v>
      </c>
      <c r="F1625" t="s">
        <v>21</v>
      </c>
      <c r="G1625" s="1">
        <v>741.69</v>
      </c>
      <c r="H1625">
        <v>0</v>
      </c>
      <c r="I1625">
        <f>Sales_Data[[#This Row],[Sales]]*Sales_Data[[#This Row],[Discount]]</f>
        <v>0</v>
      </c>
      <c r="J1625">
        <v>741.69</v>
      </c>
      <c r="K1625" s="1">
        <v>9.6</v>
      </c>
      <c r="L1625" s="1">
        <v>741.69</v>
      </c>
      <c r="M1625" s="1" t="s">
        <v>10</v>
      </c>
      <c r="N1625" s="1">
        <f>IF(Sales_Data[[#This Row],[Sales with Discount]]&lt;Sales_Data[[#This Row],[Sales with Free Shipping]],Sales_Data[[#This Row],[Sales with Discount]],Sales_Data[[#This Row],[Sales with Free Shipping]])</f>
        <v>741.69</v>
      </c>
      <c r="O1625" s="1" t="str">
        <f>TEXT(Sales_Data[[#This Row],[Order Date]], "MM-YYYY")</f>
        <v>03-2019</v>
      </c>
    </row>
    <row r="1626" spans="1:15" x14ac:dyDescent="0.3">
      <c r="A1626" s="1">
        <v>43493</v>
      </c>
      <c r="B1626" s="2">
        <v>43595</v>
      </c>
      <c r="C1626" s="1" t="s">
        <v>9</v>
      </c>
      <c r="D1626" s="1">
        <v>37</v>
      </c>
      <c r="E1626" t="s">
        <v>22</v>
      </c>
      <c r="F1626" t="s">
        <v>22</v>
      </c>
      <c r="G1626" s="1">
        <v>1818.98</v>
      </c>
      <c r="H1626">
        <v>0.01</v>
      </c>
      <c r="I1626">
        <f>Sales_Data[[#This Row],[Sales]]*Sales_Data[[#This Row],[Discount]]</f>
        <v>18.189800000000002</v>
      </c>
      <c r="J1626">
        <v>1800.7901999999999</v>
      </c>
      <c r="K1626" s="1">
        <v>5.4</v>
      </c>
      <c r="L1626" s="1">
        <v>1813.58</v>
      </c>
      <c r="M1626" s="1" t="s">
        <v>10</v>
      </c>
      <c r="N1626" s="1">
        <f>IF(Sales_Data[[#This Row],[Sales with Discount]]&lt;Sales_Data[[#This Row],[Sales with Free Shipping]],Sales_Data[[#This Row],[Sales with Discount]],Sales_Data[[#This Row],[Sales with Free Shipping]])</f>
        <v>1800.7901999999999</v>
      </c>
      <c r="O1626" s="1" t="str">
        <f>TEXT(Sales_Data[[#This Row],[Order Date]], "MM-YYYY")</f>
        <v>05-2019</v>
      </c>
    </row>
    <row r="1627" spans="1:15" x14ac:dyDescent="0.3">
      <c r="A1627" s="1">
        <v>37634</v>
      </c>
      <c r="B1627" s="2">
        <v>43606</v>
      </c>
      <c r="C1627" s="1" t="s">
        <v>14</v>
      </c>
      <c r="D1627" s="1">
        <v>32</v>
      </c>
      <c r="E1627" t="s">
        <v>21</v>
      </c>
      <c r="F1627" t="s">
        <v>21</v>
      </c>
      <c r="G1627" s="1">
        <v>393.95</v>
      </c>
      <c r="H1627">
        <v>0</v>
      </c>
      <c r="I1627">
        <f>Sales_Data[[#This Row],[Sales]]*Sales_Data[[#This Row],[Discount]]</f>
        <v>0</v>
      </c>
      <c r="J1627">
        <v>393.95</v>
      </c>
      <c r="K1627" s="1">
        <v>5.0999999999999996</v>
      </c>
      <c r="L1627" s="1">
        <v>393.95</v>
      </c>
      <c r="M1627" s="1" t="s">
        <v>10</v>
      </c>
      <c r="N1627" s="1">
        <f>IF(Sales_Data[[#This Row],[Sales with Discount]]&lt;Sales_Data[[#This Row],[Sales with Free Shipping]],Sales_Data[[#This Row],[Sales with Discount]],Sales_Data[[#This Row],[Sales with Free Shipping]])</f>
        <v>393.95</v>
      </c>
      <c r="O1627" s="1" t="str">
        <f>TEXT(Sales_Data[[#This Row],[Order Date]], "MM-YYYY")</f>
        <v>05-2019</v>
      </c>
    </row>
    <row r="1628" spans="1:15" x14ac:dyDescent="0.3">
      <c r="A1628" s="1">
        <v>56740</v>
      </c>
      <c r="B1628" s="2">
        <v>43754</v>
      </c>
      <c r="C1628" s="1" t="s">
        <v>7</v>
      </c>
      <c r="D1628" s="1">
        <v>29</v>
      </c>
      <c r="E1628" t="s">
        <v>20</v>
      </c>
      <c r="F1628" t="s">
        <v>20</v>
      </c>
      <c r="G1628" s="1">
        <v>25162.45</v>
      </c>
      <c r="H1628">
        <v>0</v>
      </c>
      <c r="I1628">
        <f>Sales_Data[[#This Row],[Sales]]*Sales_Data[[#This Row],[Discount]]</f>
        <v>0</v>
      </c>
      <c r="J1628">
        <v>25162.45</v>
      </c>
      <c r="K1628" s="1">
        <v>26.2</v>
      </c>
      <c r="L1628" s="1">
        <v>25162.45</v>
      </c>
      <c r="M1628" s="1" t="s">
        <v>10</v>
      </c>
      <c r="N1628" s="1">
        <f>IF(Sales_Data[[#This Row],[Sales with Discount]]&lt;Sales_Data[[#This Row],[Sales with Free Shipping]],Sales_Data[[#This Row],[Sales with Discount]],Sales_Data[[#This Row],[Sales with Free Shipping]])</f>
        <v>25162.45</v>
      </c>
      <c r="O1628" s="1" t="str">
        <f>TEXT(Sales_Data[[#This Row],[Order Date]], "MM-YYYY")</f>
        <v>10-2019</v>
      </c>
    </row>
    <row r="1629" spans="1:15" x14ac:dyDescent="0.3">
      <c r="A1629" s="1">
        <v>18368</v>
      </c>
      <c r="B1629" s="2">
        <v>43799</v>
      </c>
      <c r="C1629" s="1" t="s">
        <v>11</v>
      </c>
      <c r="D1629" s="1">
        <v>3</v>
      </c>
      <c r="E1629" t="s">
        <v>16</v>
      </c>
      <c r="F1629" t="s">
        <v>16</v>
      </c>
      <c r="G1629" s="1">
        <v>6390.67</v>
      </c>
      <c r="H1629">
        <v>0</v>
      </c>
      <c r="I1629">
        <f>Sales_Data[[#This Row],[Sales]]*Sales_Data[[#This Row],[Discount]]</f>
        <v>0</v>
      </c>
      <c r="J1629">
        <v>6390.67</v>
      </c>
      <c r="K1629" s="1">
        <v>15.7</v>
      </c>
      <c r="L1629" s="1">
        <v>6390.67</v>
      </c>
      <c r="M1629" s="1" t="s">
        <v>13</v>
      </c>
      <c r="N1629" s="1">
        <f>IF(Sales_Data[[#This Row],[Sales with Discount]]&lt;Sales_Data[[#This Row],[Sales with Free Shipping]],Sales_Data[[#This Row],[Sales with Discount]],Sales_Data[[#This Row],[Sales with Free Shipping]])</f>
        <v>6390.67</v>
      </c>
      <c r="O1629" s="1" t="str">
        <f>TEXT(Sales_Data[[#This Row],[Order Date]], "MM-YYYY")</f>
        <v>11-2019</v>
      </c>
    </row>
    <row r="1630" spans="1:15" x14ac:dyDescent="0.3">
      <c r="A1630" s="1">
        <v>50181</v>
      </c>
      <c r="B1630" s="2">
        <v>43615</v>
      </c>
      <c r="C1630" s="1" t="s">
        <v>9</v>
      </c>
      <c r="D1630" s="1">
        <v>2</v>
      </c>
      <c r="E1630" t="s">
        <v>16</v>
      </c>
      <c r="F1630" t="s">
        <v>16</v>
      </c>
      <c r="G1630" s="1">
        <v>310.01</v>
      </c>
      <c r="H1630">
        <v>0</v>
      </c>
      <c r="I1630">
        <f>Sales_Data[[#This Row],[Sales]]*Sales_Data[[#This Row],[Discount]]</f>
        <v>0</v>
      </c>
      <c r="J1630">
        <v>310.01</v>
      </c>
      <c r="K1630" s="1">
        <v>30.6</v>
      </c>
      <c r="L1630" s="1">
        <v>310.01</v>
      </c>
      <c r="M1630" s="1" t="s">
        <v>13</v>
      </c>
      <c r="N1630" s="1">
        <f>IF(Sales_Data[[#This Row],[Sales with Discount]]&lt;Sales_Data[[#This Row],[Sales with Free Shipping]],Sales_Data[[#This Row],[Sales with Discount]],Sales_Data[[#This Row],[Sales with Free Shipping]])</f>
        <v>310.01</v>
      </c>
      <c r="O1630" s="1" t="str">
        <f>TEXT(Sales_Data[[#This Row],[Order Date]], "MM-YYYY")</f>
        <v>05-2019</v>
      </c>
    </row>
    <row r="1631" spans="1:15" x14ac:dyDescent="0.3">
      <c r="A1631" s="1">
        <v>37063</v>
      </c>
      <c r="B1631" s="2">
        <v>43808</v>
      </c>
      <c r="C1631" s="1" t="s">
        <v>11</v>
      </c>
      <c r="D1631" s="1">
        <v>50</v>
      </c>
      <c r="E1631" t="s">
        <v>24</v>
      </c>
      <c r="F1631" t="s">
        <v>24</v>
      </c>
      <c r="G1631" s="1">
        <v>983.33</v>
      </c>
      <c r="H1631">
        <v>0.01</v>
      </c>
      <c r="I1631">
        <f>Sales_Data[[#This Row],[Sales]]*Sales_Data[[#This Row],[Discount]]</f>
        <v>9.8333000000000013</v>
      </c>
      <c r="J1631">
        <v>973.49670000000003</v>
      </c>
      <c r="K1631" s="1">
        <v>9.6</v>
      </c>
      <c r="L1631" s="1">
        <v>973.73</v>
      </c>
      <c r="M1631" s="1" t="s">
        <v>10</v>
      </c>
      <c r="N1631" s="1">
        <f>IF(Sales_Data[[#This Row],[Sales with Discount]]&lt;Sales_Data[[#This Row],[Sales with Free Shipping]],Sales_Data[[#This Row],[Sales with Discount]],Sales_Data[[#This Row],[Sales with Free Shipping]])</f>
        <v>973.49670000000003</v>
      </c>
      <c r="O1631" s="1" t="str">
        <f>TEXT(Sales_Data[[#This Row],[Order Date]], "MM-YYYY")</f>
        <v>12-2019</v>
      </c>
    </row>
    <row r="1632" spans="1:15" x14ac:dyDescent="0.3">
      <c r="A1632" s="1">
        <v>56740</v>
      </c>
      <c r="B1632" s="2">
        <v>43754</v>
      </c>
      <c r="C1632" s="1" t="s">
        <v>7</v>
      </c>
      <c r="D1632" s="1">
        <v>6</v>
      </c>
      <c r="E1632" t="s">
        <v>17</v>
      </c>
      <c r="F1632" t="s">
        <v>17</v>
      </c>
      <c r="G1632" s="1">
        <v>36.69</v>
      </c>
      <c r="H1632">
        <v>0</v>
      </c>
      <c r="I1632">
        <f>Sales_Data[[#This Row],[Sales]]*Sales_Data[[#This Row],[Discount]]</f>
        <v>0</v>
      </c>
      <c r="J1632">
        <v>36.69</v>
      </c>
      <c r="K1632" s="1">
        <v>3.2</v>
      </c>
      <c r="L1632" s="1">
        <v>36.69</v>
      </c>
      <c r="M1632" s="1" t="s">
        <v>10</v>
      </c>
      <c r="N1632" s="1">
        <f>IF(Sales_Data[[#This Row],[Sales with Discount]]&lt;Sales_Data[[#This Row],[Sales with Free Shipping]],Sales_Data[[#This Row],[Sales with Discount]],Sales_Data[[#This Row],[Sales with Free Shipping]])</f>
        <v>36.69</v>
      </c>
      <c r="O1632" s="1" t="str">
        <f>TEXT(Sales_Data[[#This Row],[Order Date]], "MM-YYYY")</f>
        <v>10-2019</v>
      </c>
    </row>
    <row r="1633" spans="1:15" x14ac:dyDescent="0.3">
      <c r="A1633" s="1">
        <v>21729</v>
      </c>
      <c r="B1633" s="2">
        <v>43805</v>
      </c>
      <c r="C1633" s="1" t="s">
        <v>7</v>
      </c>
      <c r="D1633" s="1">
        <v>14</v>
      </c>
      <c r="E1633" t="s">
        <v>18</v>
      </c>
      <c r="F1633" t="s">
        <v>18</v>
      </c>
      <c r="G1633" s="1">
        <v>1158.4462000000001</v>
      </c>
      <c r="H1633">
        <v>0</v>
      </c>
      <c r="I1633">
        <f>Sales_Data[[#This Row],[Sales]]*Sales_Data[[#This Row],[Discount]]</f>
        <v>0</v>
      </c>
      <c r="J1633">
        <v>1158.4462000000001</v>
      </c>
      <c r="K1633" s="1">
        <v>51.6</v>
      </c>
      <c r="L1633" s="1">
        <v>1158.4462000000001</v>
      </c>
      <c r="M1633" s="1" t="s">
        <v>10</v>
      </c>
      <c r="N1633" s="1">
        <f>IF(Sales_Data[[#This Row],[Sales with Discount]]&lt;Sales_Data[[#This Row],[Sales with Free Shipping]],Sales_Data[[#This Row],[Sales with Discount]],Sales_Data[[#This Row],[Sales with Free Shipping]])</f>
        <v>1158.4462000000001</v>
      </c>
      <c r="O1633" s="1" t="str">
        <f>TEXT(Sales_Data[[#This Row],[Order Date]], "MM-YYYY")</f>
        <v>12-2019</v>
      </c>
    </row>
    <row r="1634" spans="1:15" x14ac:dyDescent="0.3">
      <c r="A1634" s="1">
        <v>16518</v>
      </c>
      <c r="B1634" s="2">
        <v>43737</v>
      </c>
      <c r="C1634" s="1" t="s">
        <v>12</v>
      </c>
      <c r="D1634" s="1">
        <v>36</v>
      </c>
      <c r="E1634" t="s">
        <v>22</v>
      </c>
      <c r="F1634" t="s">
        <v>22</v>
      </c>
      <c r="G1634" s="1">
        <v>2812.95</v>
      </c>
      <c r="H1634">
        <v>0.01</v>
      </c>
      <c r="I1634">
        <f>Sales_Data[[#This Row],[Sales]]*Sales_Data[[#This Row],[Discount]]</f>
        <v>28.1295</v>
      </c>
      <c r="J1634">
        <v>2784.8204999999998</v>
      </c>
      <c r="K1634" s="1">
        <v>1.1000000000000001</v>
      </c>
      <c r="L1634" s="1">
        <v>2811.85</v>
      </c>
      <c r="M1634" s="1" t="s">
        <v>10</v>
      </c>
      <c r="N1634" s="1">
        <f>IF(Sales_Data[[#This Row],[Sales with Discount]]&lt;Sales_Data[[#This Row],[Sales with Free Shipping]],Sales_Data[[#This Row],[Sales with Discount]],Sales_Data[[#This Row],[Sales with Free Shipping]])</f>
        <v>2784.8204999999998</v>
      </c>
      <c r="O1634" s="1" t="str">
        <f>TEXT(Sales_Data[[#This Row],[Order Date]], "MM-YYYY")</f>
        <v>09-2019</v>
      </c>
    </row>
    <row r="1635" spans="1:15" x14ac:dyDescent="0.3">
      <c r="A1635" s="1">
        <v>15937</v>
      </c>
      <c r="B1635" s="2">
        <v>43775</v>
      </c>
      <c r="C1635" s="1" t="s">
        <v>7</v>
      </c>
      <c r="D1635" s="1">
        <v>32</v>
      </c>
      <c r="E1635" t="s">
        <v>21</v>
      </c>
      <c r="F1635" t="s">
        <v>21</v>
      </c>
      <c r="G1635" s="1">
        <v>333.24</v>
      </c>
      <c r="H1635">
        <v>0</v>
      </c>
      <c r="I1635">
        <f>Sales_Data[[#This Row],[Sales]]*Sales_Data[[#This Row],[Discount]]</f>
        <v>0</v>
      </c>
      <c r="J1635">
        <v>333.24</v>
      </c>
      <c r="K1635" s="1">
        <v>2.1</v>
      </c>
      <c r="L1635" s="1">
        <v>333.24</v>
      </c>
      <c r="M1635" s="1" t="s">
        <v>10</v>
      </c>
      <c r="N1635" s="1">
        <f>IF(Sales_Data[[#This Row],[Sales with Discount]]&lt;Sales_Data[[#This Row],[Sales with Free Shipping]],Sales_Data[[#This Row],[Sales with Discount]],Sales_Data[[#This Row],[Sales with Free Shipping]])</f>
        <v>333.24</v>
      </c>
      <c r="O1635" s="1" t="str">
        <f>TEXT(Sales_Data[[#This Row],[Order Date]], "MM-YYYY")</f>
        <v>11-2019</v>
      </c>
    </row>
    <row r="1636" spans="1:15" x14ac:dyDescent="0.3">
      <c r="A1636" s="1">
        <v>3654</v>
      </c>
      <c r="B1636" s="2">
        <v>43618</v>
      </c>
      <c r="C1636" s="1" t="s">
        <v>7</v>
      </c>
      <c r="D1636" s="1">
        <v>41</v>
      </c>
      <c r="E1636" t="s">
        <v>23</v>
      </c>
      <c r="F1636" t="s">
        <v>23</v>
      </c>
      <c r="G1636" s="1">
        <v>102.43</v>
      </c>
      <c r="H1636">
        <v>0.01</v>
      </c>
      <c r="I1636">
        <f>Sales_Data[[#This Row],[Sales]]*Sales_Data[[#This Row],[Discount]]</f>
        <v>1.0243</v>
      </c>
      <c r="J1636">
        <v>101.40570000000001</v>
      </c>
      <c r="K1636" s="1">
        <v>5.7</v>
      </c>
      <c r="L1636" s="1">
        <v>96.73</v>
      </c>
      <c r="M1636" s="1" t="s">
        <v>10</v>
      </c>
      <c r="N1636" s="1">
        <f>IF(Sales_Data[[#This Row],[Sales with Discount]]&lt;Sales_Data[[#This Row],[Sales with Free Shipping]],Sales_Data[[#This Row],[Sales with Discount]],Sales_Data[[#This Row],[Sales with Free Shipping]])</f>
        <v>96.73</v>
      </c>
      <c r="O1636" s="1" t="str">
        <f>TEXT(Sales_Data[[#This Row],[Order Date]], "MM-YYYY")</f>
        <v>06-2019</v>
      </c>
    </row>
    <row r="1637" spans="1:15" x14ac:dyDescent="0.3">
      <c r="A1637" s="1">
        <v>55494</v>
      </c>
      <c r="B1637" s="2">
        <v>43641</v>
      </c>
      <c r="C1637" s="1" t="s">
        <v>11</v>
      </c>
      <c r="D1637" s="1">
        <v>4</v>
      </c>
      <c r="E1637" t="s">
        <v>16</v>
      </c>
      <c r="F1637" t="s">
        <v>16</v>
      </c>
      <c r="G1637" s="1">
        <v>61.87</v>
      </c>
      <c r="H1637">
        <v>0</v>
      </c>
      <c r="I1637">
        <f>Sales_Data[[#This Row],[Sales]]*Sales_Data[[#This Row],[Discount]]</f>
        <v>0</v>
      </c>
      <c r="J1637">
        <v>61.87</v>
      </c>
      <c r="K1637" s="1">
        <v>5.0999999999999996</v>
      </c>
      <c r="L1637" s="1">
        <v>61.87</v>
      </c>
      <c r="M1637" s="1" t="s">
        <v>8</v>
      </c>
      <c r="N1637" s="1">
        <f>IF(Sales_Data[[#This Row],[Sales with Discount]]&lt;Sales_Data[[#This Row],[Sales with Free Shipping]],Sales_Data[[#This Row],[Sales with Discount]],Sales_Data[[#This Row],[Sales with Free Shipping]])</f>
        <v>61.87</v>
      </c>
      <c r="O1637" s="1" t="str">
        <f>TEXT(Sales_Data[[#This Row],[Order Date]], "MM-YYYY")</f>
        <v>06-2019</v>
      </c>
    </row>
    <row r="1638" spans="1:15" x14ac:dyDescent="0.3">
      <c r="A1638" s="1">
        <v>8070</v>
      </c>
      <c r="B1638" s="2">
        <v>43492</v>
      </c>
      <c r="C1638" s="1" t="s">
        <v>14</v>
      </c>
      <c r="D1638" s="1">
        <v>14</v>
      </c>
      <c r="E1638" t="s">
        <v>18</v>
      </c>
      <c r="F1638" t="s">
        <v>18</v>
      </c>
      <c r="G1638" s="1">
        <v>666.31</v>
      </c>
      <c r="H1638">
        <v>0</v>
      </c>
      <c r="I1638">
        <f>Sales_Data[[#This Row],[Sales]]*Sales_Data[[#This Row],[Discount]]</f>
        <v>0</v>
      </c>
      <c r="J1638">
        <v>666.31</v>
      </c>
      <c r="K1638" s="1">
        <v>9.6</v>
      </c>
      <c r="L1638" s="1">
        <v>666.31</v>
      </c>
      <c r="M1638" s="1" t="s">
        <v>10</v>
      </c>
      <c r="N1638" s="1">
        <f>IF(Sales_Data[[#This Row],[Sales with Discount]]&lt;Sales_Data[[#This Row],[Sales with Free Shipping]],Sales_Data[[#This Row],[Sales with Discount]],Sales_Data[[#This Row],[Sales with Free Shipping]])</f>
        <v>666.31</v>
      </c>
      <c r="O1638" s="1" t="str">
        <f>TEXT(Sales_Data[[#This Row],[Order Date]], "MM-YYYY")</f>
        <v>01-2019</v>
      </c>
    </row>
    <row r="1639" spans="1:15" x14ac:dyDescent="0.3">
      <c r="A1639" s="1">
        <v>16161</v>
      </c>
      <c r="B1639" s="2">
        <v>43674</v>
      </c>
      <c r="C1639" s="1" t="s">
        <v>14</v>
      </c>
      <c r="D1639" s="1">
        <v>49</v>
      </c>
      <c r="E1639" t="s">
        <v>24</v>
      </c>
      <c r="F1639" t="s">
        <v>24</v>
      </c>
      <c r="G1639" s="1">
        <v>2881.18</v>
      </c>
      <c r="H1639">
        <v>0.01</v>
      </c>
      <c r="I1639">
        <f>Sales_Data[[#This Row],[Sales]]*Sales_Data[[#This Row],[Discount]]</f>
        <v>28.811799999999998</v>
      </c>
      <c r="J1639">
        <v>2852.3681999999999</v>
      </c>
      <c r="K1639" s="1">
        <v>4.5</v>
      </c>
      <c r="L1639" s="1">
        <v>2876.68</v>
      </c>
      <c r="M1639" s="1" t="s">
        <v>10</v>
      </c>
      <c r="N1639" s="1">
        <f>IF(Sales_Data[[#This Row],[Sales with Discount]]&lt;Sales_Data[[#This Row],[Sales with Free Shipping]],Sales_Data[[#This Row],[Sales with Discount]],Sales_Data[[#This Row],[Sales with Free Shipping]])</f>
        <v>2852.3681999999999</v>
      </c>
      <c r="O1639" s="1" t="str">
        <f>TEXT(Sales_Data[[#This Row],[Order Date]], "MM-YYYY")</f>
        <v>07-2019</v>
      </c>
    </row>
    <row r="1640" spans="1:15" x14ac:dyDescent="0.3">
      <c r="A1640" s="1">
        <v>20292</v>
      </c>
      <c r="B1640" s="2">
        <v>43777</v>
      </c>
      <c r="C1640" s="1" t="s">
        <v>14</v>
      </c>
      <c r="D1640" s="1">
        <v>5</v>
      </c>
      <c r="E1640" t="s">
        <v>16</v>
      </c>
      <c r="F1640" t="s">
        <v>16</v>
      </c>
      <c r="G1640" s="1">
        <v>125.33</v>
      </c>
      <c r="H1640">
        <v>0</v>
      </c>
      <c r="I1640">
        <f>Sales_Data[[#This Row],[Sales]]*Sales_Data[[#This Row],[Discount]]</f>
        <v>0</v>
      </c>
      <c r="J1640">
        <v>125.33</v>
      </c>
      <c r="K1640" s="1">
        <v>4.3</v>
      </c>
      <c r="L1640" s="1">
        <v>125.33</v>
      </c>
      <c r="M1640" s="1" t="s">
        <v>10</v>
      </c>
      <c r="N1640" s="1">
        <f>IF(Sales_Data[[#This Row],[Sales with Discount]]&lt;Sales_Data[[#This Row],[Sales with Free Shipping]],Sales_Data[[#This Row],[Sales with Discount]],Sales_Data[[#This Row],[Sales with Free Shipping]])</f>
        <v>125.33</v>
      </c>
      <c r="O1640" s="1" t="str">
        <f>TEXT(Sales_Data[[#This Row],[Order Date]], "MM-YYYY")</f>
        <v>11-2019</v>
      </c>
    </row>
    <row r="1641" spans="1:15" x14ac:dyDescent="0.3">
      <c r="A1641" s="1">
        <v>8609</v>
      </c>
      <c r="B1641" s="2">
        <v>43569</v>
      </c>
      <c r="C1641" s="1" t="s">
        <v>12</v>
      </c>
      <c r="D1641" s="1">
        <v>4</v>
      </c>
      <c r="E1641" t="s">
        <v>16</v>
      </c>
      <c r="F1641" t="s">
        <v>16</v>
      </c>
      <c r="G1641" s="1">
        <v>77.040000000000006</v>
      </c>
      <c r="H1641">
        <v>0</v>
      </c>
      <c r="I1641">
        <f>Sales_Data[[#This Row],[Sales]]*Sales_Data[[#This Row],[Discount]]</f>
        <v>0</v>
      </c>
      <c r="J1641">
        <v>77.040000000000006</v>
      </c>
      <c r="K1641" s="1">
        <v>2.7</v>
      </c>
      <c r="L1641" s="1">
        <v>77.040000000000006</v>
      </c>
      <c r="M1641" s="1" t="s">
        <v>10</v>
      </c>
      <c r="N1641" s="1">
        <f>IF(Sales_Data[[#This Row],[Sales with Discount]]&lt;Sales_Data[[#This Row],[Sales with Free Shipping]],Sales_Data[[#This Row],[Sales with Discount]],Sales_Data[[#This Row],[Sales with Free Shipping]])</f>
        <v>77.040000000000006</v>
      </c>
      <c r="O1641" s="1" t="str">
        <f>TEXT(Sales_Data[[#This Row],[Order Date]], "MM-YYYY")</f>
        <v>04-2019</v>
      </c>
    </row>
    <row r="1642" spans="1:15" x14ac:dyDescent="0.3">
      <c r="A1642" s="1">
        <v>13572</v>
      </c>
      <c r="B1642" s="2">
        <v>43602</v>
      </c>
      <c r="C1642" s="1" t="s">
        <v>12</v>
      </c>
      <c r="D1642" s="1">
        <v>7</v>
      </c>
      <c r="E1642" t="s">
        <v>17</v>
      </c>
      <c r="F1642" t="s">
        <v>17</v>
      </c>
      <c r="G1642" s="1">
        <v>42.92</v>
      </c>
      <c r="H1642">
        <v>0</v>
      </c>
      <c r="I1642">
        <f>Sales_Data[[#This Row],[Sales]]*Sales_Data[[#This Row],[Discount]]</f>
        <v>0</v>
      </c>
      <c r="J1642">
        <v>42.92</v>
      </c>
      <c r="K1642" s="1">
        <v>5.5</v>
      </c>
      <c r="L1642" s="1">
        <v>42.92</v>
      </c>
      <c r="M1642" s="1" t="s">
        <v>10</v>
      </c>
      <c r="N1642" s="1">
        <f>IF(Sales_Data[[#This Row],[Sales with Discount]]&lt;Sales_Data[[#This Row],[Sales with Free Shipping]],Sales_Data[[#This Row],[Sales with Discount]],Sales_Data[[#This Row],[Sales with Free Shipping]])</f>
        <v>42.92</v>
      </c>
      <c r="O1642" s="1" t="str">
        <f>TEXT(Sales_Data[[#This Row],[Order Date]], "MM-YYYY")</f>
        <v>05-2019</v>
      </c>
    </row>
    <row r="1643" spans="1:15" x14ac:dyDescent="0.3">
      <c r="A1643" s="1">
        <v>57600</v>
      </c>
      <c r="B1643" s="2">
        <v>43780</v>
      </c>
      <c r="C1643" s="1" t="s">
        <v>12</v>
      </c>
      <c r="D1643" s="1">
        <v>44</v>
      </c>
      <c r="E1643" t="s">
        <v>23</v>
      </c>
      <c r="F1643" t="s">
        <v>23</v>
      </c>
      <c r="G1643" s="1">
        <v>200.03</v>
      </c>
      <c r="H1643">
        <v>0.01</v>
      </c>
      <c r="I1643">
        <f>Sales_Data[[#This Row],[Sales]]*Sales_Data[[#This Row],[Discount]]</f>
        <v>2.0003000000000002</v>
      </c>
      <c r="J1643">
        <v>198.02969999999999</v>
      </c>
      <c r="K1643" s="1">
        <v>0.5</v>
      </c>
      <c r="L1643" s="1">
        <v>199.53</v>
      </c>
      <c r="M1643" s="1" t="s">
        <v>10</v>
      </c>
      <c r="N1643" s="1">
        <f>IF(Sales_Data[[#This Row],[Sales with Discount]]&lt;Sales_Data[[#This Row],[Sales with Free Shipping]],Sales_Data[[#This Row],[Sales with Discount]],Sales_Data[[#This Row],[Sales with Free Shipping]])</f>
        <v>198.02969999999999</v>
      </c>
      <c r="O1643" s="1" t="str">
        <f>TEXT(Sales_Data[[#This Row],[Order Date]], "MM-YYYY")</f>
        <v>11-2019</v>
      </c>
    </row>
    <row r="1644" spans="1:15" x14ac:dyDescent="0.3">
      <c r="A1644" s="1">
        <v>12931</v>
      </c>
      <c r="B1644" s="2">
        <v>43579</v>
      </c>
      <c r="C1644" s="1" t="s">
        <v>14</v>
      </c>
      <c r="D1644" s="1">
        <v>11</v>
      </c>
      <c r="E1644" t="s">
        <v>18</v>
      </c>
      <c r="F1644" t="s">
        <v>18</v>
      </c>
      <c r="G1644" s="1">
        <v>699.69</v>
      </c>
      <c r="H1644">
        <v>0</v>
      </c>
      <c r="I1644">
        <f>Sales_Data[[#This Row],[Sales]]*Sales_Data[[#This Row],[Discount]]</f>
        <v>0</v>
      </c>
      <c r="J1644">
        <v>699.69</v>
      </c>
      <c r="K1644" s="1">
        <v>10.4</v>
      </c>
      <c r="L1644" s="1">
        <v>699.69</v>
      </c>
      <c r="M1644" s="1" t="s">
        <v>10</v>
      </c>
      <c r="N1644" s="1">
        <f>IF(Sales_Data[[#This Row],[Sales with Discount]]&lt;Sales_Data[[#This Row],[Sales with Free Shipping]],Sales_Data[[#This Row],[Sales with Discount]],Sales_Data[[#This Row],[Sales with Free Shipping]])</f>
        <v>699.69</v>
      </c>
      <c r="O1644" s="1" t="str">
        <f>TEXT(Sales_Data[[#This Row],[Order Date]], "MM-YYYY")</f>
        <v>04-2019</v>
      </c>
    </row>
    <row r="1645" spans="1:15" x14ac:dyDescent="0.3">
      <c r="A1645" s="1">
        <v>46534</v>
      </c>
      <c r="B1645" s="2">
        <v>43741</v>
      </c>
      <c r="C1645" s="1" t="s">
        <v>9</v>
      </c>
      <c r="D1645" s="1">
        <v>13</v>
      </c>
      <c r="E1645" t="s">
        <v>18</v>
      </c>
      <c r="F1645" t="s">
        <v>18</v>
      </c>
      <c r="G1645" s="1">
        <v>1435.2</v>
      </c>
      <c r="H1645">
        <v>0</v>
      </c>
      <c r="I1645">
        <f>Sales_Data[[#This Row],[Sales]]*Sales_Data[[#This Row],[Discount]]</f>
        <v>0</v>
      </c>
      <c r="J1645">
        <v>1435.2</v>
      </c>
      <c r="K1645" s="1">
        <v>21.4</v>
      </c>
      <c r="L1645" s="1">
        <v>1435.2</v>
      </c>
      <c r="M1645" s="1" t="s">
        <v>10</v>
      </c>
      <c r="N1645" s="1">
        <f>IF(Sales_Data[[#This Row],[Sales with Discount]]&lt;Sales_Data[[#This Row],[Sales with Free Shipping]],Sales_Data[[#This Row],[Sales with Discount]],Sales_Data[[#This Row],[Sales with Free Shipping]])</f>
        <v>1435.2</v>
      </c>
      <c r="O1645" s="1" t="str">
        <f>TEXT(Sales_Data[[#This Row],[Order Date]], "MM-YYYY")</f>
        <v>10-2019</v>
      </c>
    </row>
    <row r="1646" spans="1:15" x14ac:dyDescent="0.3">
      <c r="A1646" s="1">
        <v>27841</v>
      </c>
      <c r="B1646" s="2">
        <v>43724</v>
      </c>
      <c r="C1646" s="1" t="s">
        <v>9</v>
      </c>
      <c r="D1646" s="1">
        <v>33</v>
      </c>
      <c r="E1646" t="s">
        <v>21</v>
      </c>
      <c r="F1646" t="s">
        <v>21</v>
      </c>
      <c r="G1646" s="1">
        <v>72.599999999999994</v>
      </c>
      <c r="H1646">
        <v>0</v>
      </c>
      <c r="I1646">
        <f>Sales_Data[[#This Row],[Sales]]*Sales_Data[[#This Row],[Discount]]</f>
        <v>0</v>
      </c>
      <c r="J1646">
        <v>72.599999999999994</v>
      </c>
      <c r="K1646" s="1">
        <v>0.7</v>
      </c>
      <c r="L1646" s="1">
        <v>72.599999999999994</v>
      </c>
      <c r="M1646" s="1" t="s">
        <v>10</v>
      </c>
      <c r="N1646" s="1">
        <f>IF(Sales_Data[[#This Row],[Sales with Discount]]&lt;Sales_Data[[#This Row],[Sales with Free Shipping]],Sales_Data[[#This Row],[Sales with Discount]],Sales_Data[[#This Row],[Sales with Free Shipping]])</f>
        <v>72.599999999999994</v>
      </c>
      <c r="O1646" s="1" t="str">
        <f>TEXT(Sales_Data[[#This Row],[Order Date]], "MM-YYYY")</f>
        <v>09-2019</v>
      </c>
    </row>
    <row r="1647" spans="1:15" x14ac:dyDescent="0.3">
      <c r="A1647" s="1">
        <v>47686</v>
      </c>
      <c r="B1647" s="2">
        <v>43749</v>
      </c>
      <c r="C1647" s="1" t="s">
        <v>11</v>
      </c>
      <c r="D1647" s="1">
        <v>48</v>
      </c>
      <c r="E1647" t="s">
        <v>24</v>
      </c>
      <c r="F1647" t="s">
        <v>24</v>
      </c>
      <c r="G1647" s="1">
        <v>192.23</v>
      </c>
      <c r="H1647">
        <v>0.01</v>
      </c>
      <c r="I1647">
        <f>Sales_Data[[#This Row],[Sales]]*Sales_Data[[#This Row],[Discount]]</f>
        <v>1.9222999999999999</v>
      </c>
      <c r="J1647">
        <v>190.30769999999998</v>
      </c>
      <c r="K1647" s="1">
        <v>1.3</v>
      </c>
      <c r="L1647" s="1">
        <v>190.92999999999998</v>
      </c>
      <c r="M1647" s="1" t="s">
        <v>10</v>
      </c>
      <c r="N1647" s="1">
        <f>IF(Sales_Data[[#This Row],[Sales with Discount]]&lt;Sales_Data[[#This Row],[Sales with Free Shipping]],Sales_Data[[#This Row],[Sales with Discount]],Sales_Data[[#This Row],[Sales with Free Shipping]])</f>
        <v>190.30769999999998</v>
      </c>
      <c r="O1647" s="1" t="str">
        <f>TEXT(Sales_Data[[#This Row],[Order Date]], "MM-YYYY")</f>
        <v>10-2019</v>
      </c>
    </row>
    <row r="1648" spans="1:15" x14ac:dyDescent="0.3">
      <c r="A1648" s="1">
        <v>54791</v>
      </c>
      <c r="B1648" s="2">
        <v>43819</v>
      </c>
      <c r="C1648" s="1" t="s">
        <v>9</v>
      </c>
      <c r="D1648" s="1">
        <v>42</v>
      </c>
      <c r="E1648" t="s">
        <v>23</v>
      </c>
      <c r="F1648" t="s">
        <v>23</v>
      </c>
      <c r="G1648" s="1">
        <v>4572.4799999999996</v>
      </c>
      <c r="H1648">
        <v>0.01</v>
      </c>
      <c r="I1648">
        <f>Sales_Data[[#This Row],[Sales]]*Sales_Data[[#This Row],[Discount]]</f>
        <v>45.724799999999995</v>
      </c>
      <c r="J1648">
        <v>4526.7551999999996</v>
      </c>
      <c r="K1648" s="1">
        <v>37.5</v>
      </c>
      <c r="L1648" s="1">
        <v>4534.9799999999996</v>
      </c>
      <c r="M1648" s="1" t="s">
        <v>10</v>
      </c>
      <c r="N1648" s="1">
        <f>IF(Sales_Data[[#This Row],[Sales with Discount]]&lt;Sales_Data[[#This Row],[Sales with Free Shipping]],Sales_Data[[#This Row],[Sales with Discount]],Sales_Data[[#This Row],[Sales with Free Shipping]])</f>
        <v>4526.7551999999996</v>
      </c>
      <c r="O1648" s="1" t="str">
        <f>TEXT(Sales_Data[[#This Row],[Order Date]], "MM-YYYY")</f>
        <v>12-2019</v>
      </c>
    </row>
    <row r="1649" spans="1:15" x14ac:dyDescent="0.3">
      <c r="A1649" s="1">
        <v>39075</v>
      </c>
      <c r="B1649" s="2">
        <v>43514</v>
      </c>
      <c r="C1649" s="1" t="s">
        <v>11</v>
      </c>
      <c r="D1649" s="1">
        <v>50</v>
      </c>
      <c r="E1649" t="s">
        <v>24</v>
      </c>
      <c r="F1649" t="s">
        <v>24</v>
      </c>
      <c r="G1649" s="1">
        <v>548.19000000000005</v>
      </c>
      <c r="H1649">
        <v>0.01</v>
      </c>
      <c r="I1649">
        <f>Sales_Data[[#This Row],[Sales]]*Sales_Data[[#This Row],[Discount]]</f>
        <v>5.4819000000000004</v>
      </c>
      <c r="J1649">
        <v>542.70810000000006</v>
      </c>
      <c r="K1649" s="1">
        <v>1.1000000000000001</v>
      </c>
      <c r="L1649" s="1">
        <v>547.09</v>
      </c>
      <c r="M1649" s="1" t="s">
        <v>10</v>
      </c>
      <c r="N1649" s="1">
        <f>IF(Sales_Data[[#This Row],[Sales with Discount]]&lt;Sales_Data[[#This Row],[Sales with Free Shipping]],Sales_Data[[#This Row],[Sales with Discount]],Sales_Data[[#This Row],[Sales with Free Shipping]])</f>
        <v>542.70810000000006</v>
      </c>
      <c r="O1649" s="1" t="str">
        <f>TEXT(Sales_Data[[#This Row],[Order Date]], "MM-YYYY")</f>
        <v>02-2019</v>
      </c>
    </row>
    <row r="1650" spans="1:15" x14ac:dyDescent="0.3">
      <c r="A1650" s="1">
        <v>9024</v>
      </c>
      <c r="B1650" s="2">
        <v>43618</v>
      </c>
      <c r="C1650" s="1" t="s">
        <v>14</v>
      </c>
      <c r="D1650" s="1">
        <v>2</v>
      </c>
      <c r="E1650" t="s">
        <v>16</v>
      </c>
      <c r="F1650" t="s">
        <v>16</v>
      </c>
      <c r="G1650" s="1">
        <v>12.968400000000001</v>
      </c>
      <c r="H1650">
        <v>0</v>
      </c>
      <c r="I1650">
        <f>Sales_Data[[#This Row],[Sales]]*Sales_Data[[#This Row],[Discount]]</f>
        <v>0</v>
      </c>
      <c r="J1650">
        <v>12.968400000000001</v>
      </c>
      <c r="K1650" s="1">
        <v>1</v>
      </c>
      <c r="L1650" s="1">
        <v>12.968400000000001</v>
      </c>
      <c r="M1650" s="1" t="s">
        <v>10</v>
      </c>
      <c r="N1650" s="1">
        <f>IF(Sales_Data[[#This Row],[Sales with Discount]]&lt;Sales_Data[[#This Row],[Sales with Free Shipping]],Sales_Data[[#This Row],[Sales with Discount]],Sales_Data[[#This Row],[Sales with Free Shipping]])</f>
        <v>12.968400000000001</v>
      </c>
      <c r="O1650" s="1" t="str">
        <f>TEXT(Sales_Data[[#This Row],[Order Date]], "MM-YYYY")</f>
        <v>06-2019</v>
      </c>
    </row>
    <row r="1651" spans="1:15" x14ac:dyDescent="0.3">
      <c r="A1651" s="1">
        <v>44037</v>
      </c>
      <c r="B1651" s="2">
        <v>43644</v>
      </c>
      <c r="C1651" s="1" t="s">
        <v>9</v>
      </c>
      <c r="D1651" s="1">
        <v>39</v>
      </c>
      <c r="E1651" t="s">
        <v>22</v>
      </c>
      <c r="F1651" t="s">
        <v>22</v>
      </c>
      <c r="G1651" s="1">
        <v>894.04</v>
      </c>
      <c r="H1651">
        <v>0.01</v>
      </c>
      <c r="I1651">
        <f>Sales_Data[[#This Row],[Sales]]*Sales_Data[[#This Row],[Discount]]</f>
        <v>8.9404000000000003</v>
      </c>
      <c r="J1651">
        <v>885.09960000000001</v>
      </c>
      <c r="K1651" s="1">
        <v>5.4</v>
      </c>
      <c r="L1651" s="1">
        <v>888.64</v>
      </c>
      <c r="M1651" s="1" t="s">
        <v>10</v>
      </c>
      <c r="N1651" s="1">
        <f>IF(Sales_Data[[#This Row],[Sales with Discount]]&lt;Sales_Data[[#This Row],[Sales with Free Shipping]],Sales_Data[[#This Row],[Sales with Discount]],Sales_Data[[#This Row],[Sales with Free Shipping]])</f>
        <v>885.09960000000001</v>
      </c>
      <c r="O1651" s="1" t="str">
        <f>TEXT(Sales_Data[[#This Row],[Order Date]], "MM-YYYY")</f>
        <v>06-2019</v>
      </c>
    </row>
    <row r="1652" spans="1:15" x14ac:dyDescent="0.3">
      <c r="A1652" s="1">
        <v>7042</v>
      </c>
      <c r="B1652" s="2">
        <v>43472</v>
      </c>
      <c r="C1652" s="1" t="s">
        <v>14</v>
      </c>
      <c r="D1652" s="1">
        <v>4</v>
      </c>
      <c r="E1652" t="s">
        <v>16</v>
      </c>
      <c r="F1652" t="s">
        <v>16</v>
      </c>
      <c r="G1652" s="1">
        <v>1271.0145</v>
      </c>
      <c r="H1652">
        <v>0</v>
      </c>
      <c r="I1652">
        <f>Sales_Data[[#This Row],[Sales]]*Sales_Data[[#This Row],[Discount]]</f>
        <v>0</v>
      </c>
      <c r="J1652">
        <v>1271.0145</v>
      </c>
      <c r="K1652" s="1">
        <v>91.6</v>
      </c>
      <c r="L1652" s="1">
        <v>1271.0145</v>
      </c>
      <c r="M1652" s="1" t="s">
        <v>13</v>
      </c>
      <c r="N1652" s="1">
        <f>IF(Sales_Data[[#This Row],[Sales with Discount]]&lt;Sales_Data[[#This Row],[Sales with Free Shipping]],Sales_Data[[#This Row],[Sales with Discount]],Sales_Data[[#This Row],[Sales with Free Shipping]])</f>
        <v>1271.0145</v>
      </c>
      <c r="O1652" s="1" t="str">
        <f>TEXT(Sales_Data[[#This Row],[Order Date]], "MM-YYYY")</f>
        <v>01-2019</v>
      </c>
    </row>
    <row r="1653" spans="1:15" x14ac:dyDescent="0.3">
      <c r="A1653" s="1">
        <v>26919</v>
      </c>
      <c r="B1653" s="2">
        <v>43809</v>
      </c>
      <c r="C1653" s="1" t="s">
        <v>7</v>
      </c>
      <c r="D1653" s="1">
        <v>12</v>
      </c>
      <c r="E1653" t="s">
        <v>18</v>
      </c>
      <c r="F1653" t="s">
        <v>18</v>
      </c>
      <c r="G1653" s="1">
        <v>3781.98</v>
      </c>
      <c r="H1653">
        <v>0</v>
      </c>
      <c r="I1653">
        <f>Sales_Data[[#This Row],[Sales]]*Sales_Data[[#This Row],[Discount]]</f>
        <v>0</v>
      </c>
      <c r="J1653">
        <v>3781.98</v>
      </c>
      <c r="K1653" s="1">
        <v>26.2</v>
      </c>
      <c r="L1653" s="1">
        <v>3781.98</v>
      </c>
      <c r="M1653" s="1" t="s">
        <v>10</v>
      </c>
      <c r="N1653" s="1">
        <f>IF(Sales_Data[[#This Row],[Sales with Discount]]&lt;Sales_Data[[#This Row],[Sales with Free Shipping]],Sales_Data[[#This Row],[Sales with Discount]],Sales_Data[[#This Row],[Sales with Free Shipping]])</f>
        <v>3781.98</v>
      </c>
      <c r="O1653" s="1" t="str">
        <f>TEXT(Sales_Data[[#This Row],[Order Date]], "MM-YYYY")</f>
        <v>12-2019</v>
      </c>
    </row>
    <row r="1654" spans="1:15" x14ac:dyDescent="0.3">
      <c r="A1654" s="1">
        <v>4800</v>
      </c>
      <c r="B1654" s="2">
        <v>43469</v>
      </c>
      <c r="C1654" s="1" t="s">
        <v>7</v>
      </c>
      <c r="D1654" s="1">
        <v>17</v>
      </c>
      <c r="E1654" t="s">
        <v>19</v>
      </c>
      <c r="F1654" t="s">
        <v>19</v>
      </c>
      <c r="G1654" s="1">
        <v>95.5</v>
      </c>
      <c r="H1654">
        <v>0</v>
      </c>
      <c r="I1654">
        <f>Sales_Data[[#This Row],[Sales]]*Sales_Data[[#This Row],[Discount]]</f>
        <v>0</v>
      </c>
      <c r="J1654">
        <v>95.5</v>
      </c>
      <c r="K1654" s="1">
        <v>0.5</v>
      </c>
      <c r="L1654" s="1">
        <v>95.5</v>
      </c>
      <c r="M1654" s="1" t="s">
        <v>10</v>
      </c>
      <c r="N1654" s="1">
        <f>IF(Sales_Data[[#This Row],[Sales with Discount]]&lt;Sales_Data[[#This Row],[Sales with Free Shipping]],Sales_Data[[#This Row],[Sales with Discount]],Sales_Data[[#This Row],[Sales with Free Shipping]])</f>
        <v>95.5</v>
      </c>
      <c r="O1654" s="1" t="str">
        <f>TEXT(Sales_Data[[#This Row],[Order Date]], "MM-YYYY")</f>
        <v>01-2019</v>
      </c>
    </row>
    <row r="1655" spans="1:15" x14ac:dyDescent="0.3">
      <c r="A1655" s="1">
        <v>10470</v>
      </c>
      <c r="B1655" s="2">
        <v>43589</v>
      </c>
      <c r="C1655" s="1" t="s">
        <v>7</v>
      </c>
      <c r="D1655" s="1">
        <v>40</v>
      </c>
      <c r="E1655" t="s">
        <v>22</v>
      </c>
      <c r="F1655" t="s">
        <v>22</v>
      </c>
      <c r="G1655" s="1">
        <v>1880.4501</v>
      </c>
      <c r="H1655">
        <v>0.01</v>
      </c>
      <c r="I1655">
        <f>Sales_Data[[#This Row],[Sales]]*Sales_Data[[#This Row],[Discount]]</f>
        <v>18.804501000000002</v>
      </c>
      <c r="J1655">
        <v>1861.6455989999999</v>
      </c>
      <c r="K1655" s="1">
        <v>3.7</v>
      </c>
      <c r="L1655" s="1">
        <v>1876.7501</v>
      </c>
      <c r="M1655" s="1" t="s">
        <v>8</v>
      </c>
      <c r="N1655" s="1">
        <f>IF(Sales_Data[[#This Row],[Sales with Discount]]&lt;Sales_Data[[#This Row],[Sales with Free Shipping]],Sales_Data[[#This Row],[Sales with Discount]],Sales_Data[[#This Row],[Sales with Free Shipping]])</f>
        <v>1861.6455989999999</v>
      </c>
      <c r="O1655" s="1" t="str">
        <f>TEXT(Sales_Data[[#This Row],[Order Date]], "MM-YYYY")</f>
        <v>05-2019</v>
      </c>
    </row>
    <row r="1656" spans="1:15" x14ac:dyDescent="0.3">
      <c r="A1656" s="1">
        <v>13031</v>
      </c>
      <c r="B1656" s="2">
        <v>43803</v>
      </c>
      <c r="C1656" s="1" t="s">
        <v>7</v>
      </c>
      <c r="D1656" s="1">
        <v>34</v>
      </c>
      <c r="E1656" t="s">
        <v>21</v>
      </c>
      <c r="F1656" t="s">
        <v>21</v>
      </c>
      <c r="G1656" s="1">
        <v>224.76</v>
      </c>
      <c r="H1656">
        <v>0</v>
      </c>
      <c r="I1656">
        <f>Sales_Data[[#This Row],[Sales]]*Sales_Data[[#This Row],[Discount]]</f>
        <v>0</v>
      </c>
      <c r="J1656">
        <v>224.76</v>
      </c>
      <c r="K1656" s="1">
        <v>7.9</v>
      </c>
      <c r="L1656" s="1">
        <v>224.76</v>
      </c>
      <c r="M1656" s="1" t="s">
        <v>10</v>
      </c>
      <c r="N1656" s="1">
        <f>IF(Sales_Data[[#This Row],[Sales with Discount]]&lt;Sales_Data[[#This Row],[Sales with Free Shipping]],Sales_Data[[#This Row],[Sales with Discount]],Sales_Data[[#This Row],[Sales with Free Shipping]])</f>
        <v>224.76</v>
      </c>
      <c r="O1656" s="1" t="str">
        <f>TEXT(Sales_Data[[#This Row],[Order Date]], "MM-YYYY")</f>
        <v>12-2019</v>
      </c>
    </row>
    <row r="1657" spans="1:15" x14ac:dyDescent="0.3">
      <c r="A1657" s="1">
        <v>11398</v>
      </c>
      <c r="B1657" s="2">
        <v>43683</v>
      </c>
      <c r="C1657" s="1" t="s">
        <v>9</v>
      </c>
      <c r="D1657" s="1">
        <v>26</v>
      </c>
      <c r="E1657" t="s">
        <v>20</v>
      </c>
      <c r="F1657" t="s">
        <v>20</v>
      </c>
      <c r="G1657" s="1">
        <v>86.55</v>
      </c>
      <c r="H1657">
        <v>0</v>
      </c>
      <c r="I1657">
        <f>Sales_Data[[#This Row],[Sales]]*Sales_Data[[#This Row],[Discount]]</f>
        <v>0</v>
      </c>
      <c r="J1657">
        <v>86.55</v>
      </c>
      <c r="K1657" s="1">
        <v>0.9</v>
      </c>
      <c r="L1657" s="1">
        <v>86.55</v>
      </c>
      <c r="M1657" s="1" t="s">
        <v>10</v>
      </c>
      <c r="N1657" s="1">
        <f>IF(Sales_Data[[#This Row],[Sales with Discount]]&lt;Sales_Data[[#This Row],[Sales with Free Shipping]],Sales_Data[[#This Row],[Sales with Discount]],Sales_Data[[#This Row],[Sales with Free Shipping]])</f>
        <v>86.55</v>
      </c>
      <c r="O1657" s="1" t="str">
        <f>TEXT(Sales_Data[[#This Row],[Order Date]], "MM-YYYY")</f>
        <v>08-2019</v>
      </c>
    </row>
    <row r="1658" spans="1:15" x14ac:dyDescent="0.3">
      <c r="A1658" s="1">
        <v>8231</v>
      </c>
      <c r="B1658" s="2">
        <v>43756</v>
      </c>
      <c r="C1658" s="1" t="s">
        <v>12</v>
      </c>
      <c r="D1658" s="1">
        <v>27</v>
      </c>
      <c r="E1658" t="s">
        <v>20</v>
      </c>
      <c r="F1658" t="s">
        <v>20</v>
      </c>
      <c r="G1658" s="1">
        <v>85</v>
      </c>
      <c r="H1658">
        <v>0</v>
      </c>
      <c r="I1658">
        <f>Sales_Data[[#This Row],[Sales]]*Sales_Data[[#This Row],[Discount]]</f>
        <v>0</v>
      </c>
      <c r="J1658">
        <v>85</v>
      </c>
      <c r="K1658" s="1">
        <v>0.5</v>
      </c>
      <c r="L1658" s="1">
        <v>85</v>
      </c>
      <c r="M1658" s="1" t="s">
        <v>10</v>
      </c>
      <c r="N1658" s="1">
        <f>IF(Sales_Data[[#This Row],[Sales with Discount]]&lt;Sales_Data[[#This Row],[Sales with Free Shipping]],Sales_Data[[#This Row],[Sales with Discount]],Sales_Data[[#This Row],[Sales with Free Shipping]])</f>
        <v>85</v>
      </c>
      <c r="O1658" s="1" t="str">
        <f>TEXT(Sales_Data[[#This Row],[Order Date]], "MM-YYYY")</f>
        <v>10-2019</v>
      </c>
    </row>
    <row r="1659" spans="1:15" x14ac:dyDescent="0.3">
      <c r="A1659" s="1">
        <v>26818</v>
      </c>
      <c r="B1659" s="2">
        <v>43472</v>
      </c>
      <c r="C1659" s="1" t="s">
        <v>11</v>
      </c>
      <c r="D1659" s="1">
        <v>5</v>
      </c>
      <c r="E1659" t="s">
        <v>16</v>
      </c>
      <c r="F1659" t="s">
        <v>16</v>
      </c>
      <c r="G1659" s="1">
        <v>83.88</v>
      </c>
      <c r="H1659">
        <v>0</v>
      </c>
      <c r="I1659">
        <f>Sales_Data[[#This Row],[Sales]]*Sales_Data[[#This Row],[Discount]]</f>
        <v>0</v>
      </c>
      <c r="J1659">
        <v>83.88</v>
      </c>
      <c r="K1659" s="1">
        <v>5.3</v>
      </c>
      <c r="L1659" s="1">
        <v>83.88</v>
      </c>
      <c r="M1659" s="1" t="s">
        <v>8</v>
      </c>
      <c r="N1659" s="1">
        <f>IF(Sales_Data[[#This Row],[Sales with Discount]]&lt;Sales_Data[[#This Row],[Sales with Free Shipping]],Sales_Data[[#This Row],[Sales with Discount]],Sales_Data[[#This Row],[Sales with Free Shipping]])</f>
        <v>83.88</v>
      </c>
      <c r="O1659" s="1" t="str">
        <f>TEXT(Sales_Data[[#This Row],[Order Date]], "MM-YYYY")</f>
        <v>01-2019</v>
      </c>
    </row>
    <row r="1660" spans="1:15" x14ac:dyDescent="0.3">
      <c r="A1660" s="1">
        <v>4738</v>
      </c>
      <c r="B1660" s="2">
        <v>43562</v>
      </c>
      <c r="C1660" s="1" t="s">
        <v>9</v>
      </c>
      <c r="D1660" s="1">
        <v>2</v>
      </c>
      <c r="E1660" t="s">
        <v>16</v>
      </c>
      <c r="F1660" t="s">
        <v>16</v>
      </c>
      <c r="G1660" s="1">
        <v>11.12</v>
      </c>
      <c r="H1660">
        <v>0</v>
      </c>
      <c r="I1660">
        <f>Sales_Data[[#This Row],[Sales]]*Sales_Data[[#This Row],[Discount]]</f>
        <v>0</v>
      </c>
      <c r="J1660">
        <v>11.12</v>
      </c>
      <c r="K1660" s="1">
        <v>0.7</v>
      </c>
      <c r="L1660" s="1">
        <v>11.12</v>
      </c>
      <c r="M1660" s="1" t="s">
        <v>10</v>
      </c>
      <c r="N1660" s="1">
        <f>IF(Sales_Data[[#This Row],[Sales with Discount]]&lt;Sales_Data[[#This Row],[Sales with Free Shipping]],Sales_Data[[#This Row],[Sales with Discount]],Sales_Data[[#This Row],[Sales with Free Shipping]])</f>
        <v>11.12</v>
      </c>
      <c r="O1660" s="1" t="str">
        <f>TEXT(Sales_Data[[#This Row],[Order Date]], "MM-YYYY")</f>
        <v>04-2019</v>
      </c>
    </row>
    <row r="1661" spans="1:15" x14ac:dyDescent="0.3">
      <c r="A1661" s="1">
        <v>19361</v>
      </c>
      <c r="B1661" s="2">
        <v>43731</v>
      </c>
      <c r="C1661" s="1" t="s">
        <v>7</v>
      </c>
      <c r="D1661" s="1">
        <v>43</v>
      </c>
      <c r="E1661" t="s">
        <v>23</v>
      </c>
      <c r="F1661" t="s">
        <v>23</v>
      </c>
      <c r="G1661" s="1">
        <v>390.11</v>
      </c>
      <c r="H1661">
        <v>0.01</v>
      </c>
      <c r="I1661">
        <f>Sales_Data[[#This Row],[Sales]]*Sales_Data[[#This Row],[Discount]]</f>
        <v>3.9011</v>
      </c>
      <c r="J1661">
        <v>386.20890000000003</v>
      </c>
      <c r="K1661" s="1">
        <v>5.5</v>
      </c>
      <c r="L1661" s="1">
        <v>384.61</v>
      </c>
      <c r="M1661" s="1" t="s">
        <v>10</v>
      </c>
      <c r="N1661" s="1">
        <f>IF(Sales_Data[[#This Row],[Sales with Discount]]&lt;Sales_Data[[#This Row],[Sales with Free Shipping]],Sales_Data[[#This Row],[Sales with Discount]],Sales_Data[[#This Row],[Sales with Free Shipping]])</f>
        <v>384.61</v>
      </c>
      <c r="O1661" s="1" t="str">
        <f>TEXT(Sales_Data[[#This Row],[Order Date]], "MM-YYYY")</f>
        <v>09-2019</v>
      </c>
    </row>
    <row r="1662" spans="1:15" x14ac:dyDescent="0.3">
      <c r="A1662" s="1">
        <v>42400</v>
      </c>
      <c r="B1662" s="2">
        <v>43686</v>
      </c>
      <c r="C1662" s="1" t="s">
        <v>7</v>
      </c>
      <c r="D1662" s="1">
        <v>41</v>
      </c>
      <c r="E1662" t="s">
        <v>23</v>
      </c>
      <c r="F1662" t="s">
        <v>23</v>
      </c>
      <c r="G1662" s="1">
        <v>459.33</v>
      </c>
      <c r="H1662">
        <v>0.01</v>
      </c>
      <c r="I1662">
        <f>Sales_Data[[#This Row],[Sales]]*Sales_Data[[#This Row],[Discount]]</f>
        <v>4.5933000000000002</v>
      </c>
      <c r="J1662">
        <v>454.73669999999998</v>
      </c>
      <c r="K1662" s="1">
        <v>7</v>
      </c>
      <c r="L1662" s="1">
        <v>452.33</v>
      </c>
      <c r="M1662" s="1" t="s">
        <v>10</v>
      </c>
      <c r="N1662" s="1">
        <f>IF(Sales_Data[[#This Row],[Sales with Discount]]&lt;Sales_Data[[#This Row],[Sales with Free Shipping]],Sales_Data[[#This Row],[Sales with Discount]],Sales_Data[[#This Row],[Sales with Free Shipping]])</f>
        <v>452.33</v>
      </c>
      <c r="O1662" s="1" t="str">
        <f>TEXT(Sales_Data[[#This Row],[Order Date]], "MM-YYYY")</f>
        <v>08-2019</v>
      </c>
    </row>
    <row r="1663" spans="1:15" x14ac:dyDescent="0.3">
      <c r="A1663" s="1">
        <v>28129</v>
      </c>
      <c r="B1663" s="2">
        <v>43490</v>
      </c>
      <c r="C1663" s="1" t="s">
        <v>14</v>
      </c>
      <c r="D1663" s="1">
        <v>5</v>
      </c>
      <c r="E1663" t="s">
        <v>16</v>
      </c>
      <c r="F1663" t="s">
        <v>16</v>
      </c>
      <c r="G1663" s="1">
        <v>114.93</v>
      </c>
      <c r="H1663">
        <v>0</v>
      </c>
      <c r="I1663">
        <f>Sales_Data[[#This Row],[Sales]]*Sales_Data[[#This Row],[Discount]]</f>
        <v>0</v>
      </c>
      <c r="J1663">
        <v>114.93</v>
      </c>
      <c r="K1663" s="1">
        <v>6.3</v>
      </c>
      <c r="L1663" s="1">
        <v>114.93</v>
      </c>
      <c r="M1663" s="1" t="s">
        <v>10</v>
      </c>
      <c r="N1663" s="1">
        <f>IF(Sales_Data[[#This Row],[Sales with Discount]]&lt;Sales_Data[[#This Row],[Sales with Free Shipping]],Sales_Data[[#This Row],[Sales with Discount]],Sales_Data[[#This Row],[Sales with Free Shipping]])</f>
        <v>114.93</v>
      </c>
      <c r="O1663" s="1" t="str">
        <f>TEXT(Sales_Data[[#This Row],[Order Date]], "MM-YYYY")</f>
        <v>01-2019</v>
      </c>
    </row>
    <row r="1664" spans="1:15" x14ac:dyDescent="0.3">
      <c r="A1664" s="1">
        <v>21344</v>
      </c>
      <c r="B1664" s="2">
        <v>43808</v>
      </c>
      <c r="C1664" s="1" t="s">
        <v>7</v>
      </c>
      <c r="D1664" s="1">
        <v>48</v>
      </c>
      <c r="E1664" t="s">
        <v>24</v>
      </c>
      <c r="F1664" t="s">
        <v>24</v>
      </c>
      <c r="G1664" s="1">
        <v>2152.2600000000002</v>
      </c>
      <c r="H1664">
        <v>0.01</v>
      </c>
      <c r="I1664">
        <f>Sales_Data[[#This Row],[Sales]]*Sales_Data[[#This Row],[Discount]]</f>
        <v>21.522600000000004</v>
      </c>
      <c r="J1664">
        <v>2130.7374</v>
      </c>
      <c r="K1664" s="1">
        <v>9.3000000000000007</v>
      </c>
      <c r="L1664" s="1">
        <v>2142.96</v>
      </c>
      <c r="M1664" s="1" t="s">
        <v>10</v>
      </c>
      <c r="N1664" s="1">
        <f>IF(Sales_Data[[#This Row],[Sales with Discount]]&lt;Sales_Data[[#This Row],[Sales with Free Shipping]],Sales_Data[[#This Row],[Sales with Discount]],Sales_Data[[#This Row],[Sales with Free Shipping]])</f>
        <v>2130.7374</v>
      </c>
      <c r="O1664" s="1" t="str">
        <f>TEXT(Sales_Data[[#This Row],[Order Date]], "MM-YYYY")</f>
        <v>12-2019</v>
      </c>
    </row>
    <row r="1665" spans="1:15" x14ac:dyDescent="0.3">
      <c r="A1665" s="1">
        <v>30469</v>
      </c>
      <c r="B1665" s="2">
        <v>43824</v>
      </c>
      <c r="C1665" s="1" t="s">
        <v>11</v>
      </c>
      <c r="D1665" s="1">
        <v>46</v>
      </c>
      <c r="E1665" t="s">
        <v>24</v>
      </c>
      <c r="F1665" t="s">
        <v>24</v>
      </c>
      <c r="G1665" s="1">
        <v>325.5582</v>
      </c>
      <c r="H1665">
        <v>0.01</v>
      </c>
      <c r="I1665">
        <f>Sales_Data[[#This Row],[Sales]]*Sales_Data[[#This Row],[Discount]]</f>
        <v>3.255582</v>
      </c>
      <c r="J1665">
        <v>322.302618</v>
      </c>
      <c r="K1665" s="1">
        <v>2.5</v>
      </c>
      <c r="L1665" s="1">
        <v>323.0582</v>
      </c>
      <c r="M1665" s="1" t="s">
        <v>10</v>
      </c>
      <c r="N1665" s="1">
        <f>IF(Sales_Data[[#This Row],[Sales with Discount]]&lt;Sales_Data[[#This Row],[Sales with Free Shipping]],Sales_Data[[#This Row],[Sales with Discount]],Sales_Data[[#This Row],[Sales with Free Shipping]])</f>
        <v>322.302618</v>
      </c>
      <c r="O1665" s="1" t="str">
        <f>TEXT(Sales_Data[[#This Row],[Order Date]], "MM-YYYY")</f>
        <v>12-2019</v>
      </c>
    </row>
    <row r="1666" spans="1:15" x14ac:dyDescent="0.3">
      <c r="A1666" s="1">
        <v>27265</v>
      </c>
      <c r="B1666" s="2">
        <v>43591</v>
      </c>
      <c r="C1666" s="1" t="s">
        <v>12</v>
      </c>
      <c r="D1666" s="1">
        <v>36</v>
      </c>
      <c r="E1666" t="s">
        <v>22</v>
      </c>
      <c r="F1666" t="s">
        <v>22</v>
      </c>
      <c r="G1666" s="1">
        <v>5978.3</v>
      </c>
      <c r="H1666">
        <v>0.01</v>
      </c>
      <c r="I1666">
        <f>Sales_Data[[#This Row],[Sales]]*Sales_Data[[#This Row],[Discount]]</f>
        <v>59.783000000000001</v>
      </c>
      <c r="J1666">
        <v>5918.5169999999998</v>
      </c>
      <c r="K1666" s="1">
        <v>21.4</v>
      </c>
      <c r="L1666" s="1">
        <v>5956.9000000000005</v>
      </c>
      <c r="M1666" s="1" t="s">
        <v>8</v>
      </c>
      <c r="N1666" s="1">
        <f>IF(Sales_Data[[#This Row],[Sales with Discount]]&lt;Sales_Data[[#This Row],[Sales with Free Shipping]],Sales_Data[[#This Row],[Sales with Discount]],Sales_Data[[#This Row],[Sales with Free Shipping]])</f>
        <v>5918.5169999999998</v>
      </c>
      <c r="O1666" s="1" t="str">
        <f>TEXT(Sales_Data[[#This Row],[Order Date]], "MM-YYYY")</f>
        <v>05-2019</v>
      </c>
    </row>
    <row r="1667" spans="1:15" x14ac:dyDescent="0.3">
      <c r="A1667" s="1">
        <v>612</v>
      </c>
      <c r="B1667" s="2">
        <v>43758</v>
      </c>
      <c r="C1667" s="1" t="s">
        <v>14</v>
      </c>
      <c r="D1667" s="1">
        <v>43</v>
      </c>
      <c r="E1667" t="s">
        <v>23</v>
      </c>
      <c r="F1667" t="s">
        <v>23</v>
      </c>
      <c r="G1667" s="1">
        <v>2708.26</v>
      </c>
      <c r="H1667">
        <v>0.01</v>
      </c>
      <c r="I1667">
        <f>Sales_Data[[#This Row],[Sales]]*Sales_Data[[#This Row],[Discount]]</f>
        <v>27.082600000000003</v>
      </c>
      <c r="J1667">
        <v>2681.1774</v>
      </c>
      <c r="K1667" s="1">
        <v>2.7</v>
      </c>
      <c r="L1667" s="1">
        <v>2705.5600000000004</v>
      </c>
      <c r="M1667" s="1" t="s">
        <v>10</v>
      </c>
      <c r="N1667" s="1">
        <f>IF(Sales_Data[[#This Row],[Sales with Discount]]&lt;Sales_Data[[#This Row],[Sales with Free Shipping]],Sales_Data[[#This Row],[Sales with Discount]],Sales_Data[[#This Row],[Sales with Free Shipping]])</f>
        <v>2681.1774</v>
      </c>
      <c r="O1667" s="1" t="str">
        <f>TEXT(Sales_Data[[#This Row],[Order Date]], "MM-YYYY")</f>
        <v>10-2019</v>
      </c>
    </row>
    <row r="1668" spans="1:15" x14ac:dyDescent="0.3">
      <c r="A1668" s="1">
        <v>8801</v>
      </c>
      <c r="B1668" s="2">
        <v>43687</v>
      </c>
      <c r="C1668" s="1" t="s">
        <v>7</v>
      </c>
      <c r="D1668" s="1">
        <v>32</v>
      </c>
      <c r="E1668" t="s">
        <v>21</v>
      </c>
      <c r="F1668" t="s">
        <v>21</v>
      </c>
      <c r="G1668" s="1">
        <v>2774.5956000000001</v>
      </c>
      <c r="H1668">
        <v>0</v>
      </c>
      <c r="I1668">
        <f>Sales_Data[[#This Row],[Sales]]*Sales_Data[[#This Row],[Discount]]</f>
        <v>0</v>
      </c>
      <c r="J1668">
        <v>2774.5956000000001</v>
      </c>
      <c r="K1668" s="1">
        <v>51.6</v>
      </c>
      <c r="L1668" s="1">
        <v>2774.5956000000001</v>
      </c>
      <c r="M1668" s="1" t="s">
        <v>8</v>
      </c>
      <c r="N1668" s="1">
        <f>IF(Sales_Data[[#This Row],[Sales with Discount]]&lt;Sales_Data[[#This Row],[Sales with Free Shipping]],Sales_Data[[#This Row],[Sales with Discount]],Sales_Data[[#This Row],[Sales with Free Shipping]])</f>
        <v>2774.5956000000001</v>
      </c>
      <c r="O1668" s="1" t="str">
        <f>TEXT(Sales_Data[[#This Row],[Order Date]], "MM-YYYY")</f>
        <v>08-2019</v>
      </c>
    </row>
    <row r="1669" spans="1:15" x14ac:dyDescent="0.3">
      <c r="A1669" s="1">
        <v>50308</v>
      </c>
      <c r="B1669" s="2">
        <v>43756</v>
      </c>
      <c r="C1669" s="1" t="s">
        <v>7</v>
      </c>
      <c r="D1669" s="1">
        <v>19</v>
      </c>
      <c r="E1669" t="s">
        <v>19</v>
      </c>
      <c r="F1669" t="s">
        <v>19</v>
      </c>
      <c r="G1669" s="1">
        <v>92.53</v>
      </c>
      <c r="H1669">
        <v>0</v>
      </c>
      <c r="I1669">
        <f>Sales_Data[[#This Row],[Sales]]*Sales_Data[[#This Row],[Discount]]</f>
        <v>0</v>
      </c>
      <c r="J1669">
        <v>92.53</v>
      </c>
      <c r="K1669" s="1">
        <v>0.5</v>
      </c>
      <c r="L1669" s="1">
        <v>92.53</v>
      </c>
      <c r="M1669" s="1" t="s">
        <v>10</v>
      </c>
      <c r="N1669" s="1">
        <f>IF(Sales_Data[[#This Row],[Sales with Discount]]&lt;Sales_Data[[#This Row],[Sales with Free Shipping]],Sales_Data[[#This Row],[Sales with Discount]],Sales_Data[[#This Row],[Sales with Free Shipping]])</f>
        <v>92.53</v>
      </c>
      <c r="O1669" s="1" t="str">
        <f>TEXT(Sales_Data[[#This Row],[Order Date]], "MM-YYYY")</f>
        <v>10-2019</v>
      </c>
    </row>
    <row r="1670" spans="1:15" x14ac:dyDescent="0.3">
      <c r="A1670" s="1">
        <v>26853</v>
      </c>
      <c r="B1670" s="2">
        <v>43628</v>
      </c>
      <c r="C1670" s="1" t="s">
        <v>7</v>
      </c>
      <c r="D1670" s="1">
        <v>21</v>
      </c>
      <c r="E1670" t="s">
        <v>14</v>
      </c>
      <c r="F1670" t="s">
        <v>14</v>
      </c>
      <c r="G1670" s="1">
        <v>68.95</v>
      </c>
      <c r="H1670">
        <v>0</v>
      </c>
      <c r="I1670">
        <f>Sales_Data[[#This Row],[Sales]]*Sales_Data[[#This Row],[Discount]]</f>
        <v>0</v>
      </c>
      <c r="J1670">
        <v>68.95</v>
      </c>
      <c r="K1670" s="1">
        <v>6.8</v>
      </c>
      <c r="L1670" s="1">
        <v>68.95</v>
      </c>
      <c r="M1670" s="1" t="s">
        <v>10</v>
      </c>
      <c r="N1670" s="1">
        <f>IF(Sales_Data[[#This Row],[Sales with Discount]]&lt;Sales_Data[[#This Row],[Sales with Free Shipping]],Sales_Data[[#This Row],[Sales with Discount]],Sales_Data[[#This Row],[Sales with Free Shipping]])</f>
        <v>68.95</v>
      </c>
      <c r="O1670" s="1" t="str">
        <f>TEXT(Sales_Data[[#This Row],[Order Date]], "MM-YYYY")</f>
        <v>06-2019</v>
      </c>
    </row>
    <row r="1671" spans="1:15" x14ac:dyDescent="0.3">
      <c r="A1671" s="1">
        <v>17543</v>
      </c>
      <c r="B1671" s="2">
        <v>43610</v>
      </c>
      <c r="C1671" s="1" t="s">
        <v>12</v>
      </c>
      <c r="D1671" s="1">
        <v>35</v>
      </c>
      <c r="E1671" t="s">
        <v>21</v>
      </c>
      <c r="F1671" t="s">
        <v>21</v>
      </c>
      <c r="G1671" s="1">
        <v>1114.6600000000001</v>
      </c>
      <c r="H1671">
        <v>0</v>
      </c>
      <c r="I1671">
        <f>Sales_Data[[#This Row],[Sales]]*Sales_Data[[#This Row],[Discount]]</f>
        <v>0</v>
      </c>
      <c r="J1671">
        <v>1114.6600000000001</v>
      </c>
      <c r="K1671" s="1">
        <v>18.3</v>
      </c>
      <c r="L1671" s="1">
        <v>1114.6600000000001</v>
      </c>
      <c r="M1671" s="1" t="s">
        <v>10</v>
      </c>
      <c r="N1671" s="1">
        <f>IF(Sales_Data[[#This Row],[Sales with Discount]]&lt;Sales_Data[[#This Row],[Sales with Free Shipping]],Sales_Data[[#This Row],[Sales with Discount]],Sales_Data[[#This Row],[Sales with Free Shipping]])</f>
        <v>1114.6600000000001</v>
      </c>
      <c r="O1671" s="1" t="str">
        <f>TEXT(Sales_Data[[#This Row],[Order Date]], "MM-YYYY")</f>
        <v>05-2019</v>
      </c>
    </row>
    <row r="1672" spans="1:15" x14ac:dyDescent="0.3">
      <c r="A1672" s="1">
        <v>55458</v>
      </c>
      <c r="B1672" s="2">
        <v>43540</v>
      </c>
      <c r="C1672" s="1" t="s">
        <v>9</v>
      </c>
      <c r="D1672" s="1">
        <v>32</v>
      </c>
      <c r="E1672" t="s">
        <v>21</v>
      </c>
      <c r="F1672" t="s">
        <v>21</v>
      </c>
      <c r="G1672" s="1">
        <v>123.88</v>
      </c>
      <c r="H1672">
        <v>0</v>
      </c>
      <c r="I1672">
        <f>Sales_Data[[#This Row],[Sales]]*Sales_Data[[#This Row],[Discount]]</f>
        <v>0</v>
      </c>
      <c r="J1672">
        <v>123.88</v>
      </c>
      <c r="K1672" s="1">
        <v>7.3</v>
      </c>
      <c r="L1672" s="1">
        <v>123.88</v>
      </c>
      <c r="M1672" s="1" t="s">
        <v>10</v>
      </c>
      <c r="N1672" s="1">
        <f>IF(Sales_Data[[#This Row],[Sales with Discount]]&lt;Sales_Data[[#This Row],[Sales with Free Shipping]],Sales_Data[[#This Row],[Sales with Discount]],Sales_Data[[#This Row],[Sales with Free Shipping]])</f>
        <v>123.88</v>
      </c>
      <c r="O1672" s="1" t="str">
        <f>TEXT(Sales_Data[[#This Row],[Order Date]], "MM-YYYY")</f>
        <v>03-2019</v>
      </c>
    </row>
    <row r="1673" spans="1:15" x14ac:dyDescent="0.3">
      <c r="A1673" s="1">
        <v>11782</v>
      </c>
      <c r="B1673" s="2">
        <v>43674</v>
      </c>
      <c r="C1673" s="1" t="s">
        <v>7</v>
      </c>
      <c r="D1673" s="1">
        <v>27</v>
      </c>
      <c r="E1673" t="s">
        <v>20</v>
      </c>
      <c r="F1673" t="s">
        <v>20</v>
      </c>
      <c r="G1673" s="1">
        <v>1649.71</v>
      </c>
      <c r="H1673">
        <v>0</v>
      </c>
      <c r="I1673">
        <f>Sales_Data[[#This Row],[Sales]]*Sales_Data[[#This Row],[Discount]]</f>
        <v>0</v>
      </c>
      <c r="J1673">
        <v>1649.71</v>
      </c>
      <c r="K1673" s="1">
        <v>15</v>
      </c>
      <c r="L1673" s="1">
        <v>1649.71</v>
      </c>
      <c r="M1673" s="1" t="s">
        <v>10</v>
      </c>
      <c r="N1673" s="1">
        <f>IF(Sales_Data[[#This Row],[Sales with Discount]]&lt;Sales_Data[[#This Row],[Sales with Free Shipping]],Sales_Data[[#This Row],[Sales with Discount]],Sales_Data[[#This Row],[Sales with Free Shipping]])</f>
        <v>1649.71</v>
      </c>
      <c r="O1673" s="1" t="str">
        <f>TEXT(Sales_Data[[#This Row],[Order Date]], "MM-YYYY")</f>
        <v>07-2019</v>
      </c>
    </row>
    <row r="1674" spans="1:15" x14ac:dyDescent="0.3">
      <c r="A1674" s="1">
        <v>17152</v>
      </c>
      <c r="B1674" s="2">
        <v>43536</v>
      </c>
      <c r="C1674" s="1" t="s">
        <v>9</v>
      </c>
      <c r="D1674" s="1">
        <v>32</v>
      </c>
      <c r="E1674" t="s">
        <v>21</v>
      </c>
      <c r="F1674" t="s">
        <v>21</v>
      </c>
      <c r="G1674" s="1">
        <v>253</v>
      </c>
      <c r="H1674">
        <v>0</v>
      </c>
      <c r="I1674">
        <f>Sales_Data[[#This Row],[Sales]]*Sales_Data[[#This Row],[Discount]]</f>
        <v>0</v>
      </c>
      <c r="J1674">
        <v>253</v>
      </c>
      <c r="K1674" s="1">
        <v>10.4</v>
      </c>
      <c r="L1674" s="1">
        <v>253</v>
      </c>
      <c r="M1674" s="1" t="s">
        <v>10</v>
      </c>
      <c r="N1674" s="1">
        <f>IF(Sales_Data[[#This Row],[Sales with Discount]]&lt;Sales_Data[[#This Row],[Sales with Free Shipping]],Sales_Data[[#This Row],[Sales with Discount]],Sales_Data[[#This Row],[Sales with Free Shipping]])</f>
        <v>253</v>
      </c>
      <c r="O1674" s="1" t="str">
        <f>TEXT(Sales_Data[[#This Row],[Order Date]], "MM-YYYY")</f>
        <v>03-2019</v>
      </c>
    </row>
    <row r="1675" spans="1:15" x14ac:dyDescent="0.3">
      <c r="A1675" s="1">
        <v>29536</v>
      </c>
      <c r="B1675" s="2">
        <v>43715</v>
      </c>
      <c r="C1675" s="1" t="s">
        <v>14</v>
      </c>
      <c r="D1675" s="1">
        <v>11</v>
      </c>
      <c r="E1675" t="s">
        <v>18</v>
      </c>
      <c r="F1675" t="s">
        <v>18</v>
      </c>
      <c r="G1675" s="1">
        <v>2657.38</v>
      </c>
      <c r="H1675">
        <v>0</v>
      </c>
      <c r="I1675">
        <f>Sales_Data[[#This Row],[Sales]]*Sales_Data[[#This Row],[Discount]]</f>
        <v>0</v>
      </c>
      <c r="J1675">
        <v>2657.38</v>
      </c>
      <c r="K1675" s="1">
        <v>69.2</v>
      </c>
      <c r="L1675" s="1">
        <v>2657.38</v>
      </c>
      <c r="M1675" s="1" t="s">
        <v>13</v>
      </c>
      <c r="N1675" s="1">
        <f>IF(Sales_Data[[#This Row],[Sales with Discount]]&lt;Sales_Data[[#This Row],[Sales with Free Shipping]],Sales_Data[[#This Row],[Sales with Discount]],Sales_Data[[#This Row],[Sales with Free Shipping]])</f>
        <v>2657.38</v>
      </c>
      <c r="O1675" s="1" t="str">
        <f>TEXT(Sales_Data[[#This Row],[Order Date]], "MM-YYYY")</f>
        <v>09-2019</v>
      </c>
    </row>
    <row r="1676" spans="1:15" x14ac:dyDescent="0.3">
      <c r="A1676" s="1">
        <v>31523</v>
      </c>
      <c r="B1676" s="2">
        <v>43532</v>
      </c>
      <c r="C1676" s="1" t="s">
        <v>7</v>
      </c>
      <c r="D1676" s="1">
        <v>19</v>
      </c>
      <c r="E1676" t="s">
        <v>19</v>
      </c>
      <c r="F1676" t="s">
        <v>19</v>
      </c>
      <c r="G1676" s="1">
        <v>191.88310000000001</v>
      </c>
      <c r="H1676">
        <v>0</v>
      </c>
      <c r="I1676">
        <f>Sales_Data[[#This Row],[Sales]]*Sales_Data[[#This Row],[Discount]]</f>
        <v>0</v>
      </c>
      <c r="J1676">
        <v>191.88310000000001</v>
      </c>
      <c r="K1676" s="1">
        <v>8.9</v>
      </c>
      <c r="L1676" s="1">
        <v>191.88310000000001</v>
      </c>
      <c r="M1676" s="1" t="s">
        <v>10</v>
      </c>
      <c r="N1676" s="1">
        <f>IF(Sales_Data[[#This Row],[Sales with Discount]]&lt;Sales_Data[[#This Row],[Sales with Free Shipping]],Sales_Data[[#This Row],[Sales with Discount]],Sales_Data[[#This Row],[Sales with Free Shipping]])</f>
        <v>191.88310000000001</v>
      </c>
      <c r="O1676" s="1" t="str">
        <f>TEXT(Sales_Data[[#This Row],[Order Date]], "MM-YYYY")</f>
        <v>03-2019</v>
      </c>
    </row>
    <row r="1677" spans="1:15" x14ac:dyDescent="0.3">
      <c r="A1677" s="1">
        <v>14372</v>
      </c>
      <c r="B1677" s="2">
        <v>43761</v>
      </c>
      <c r="C1677" s="1" t="s">
        <v>12</v>
      </c>
      <c r="D1677" s="1">
        <v>34</v>
      </c>
      <c r="E1677" t="s">
        <v>21</v>
      </c>
      <c r="F1677" t="s">
        <v>21</v>
      </c>
      <c r="G1677" s="1">
        <v>5725.15</v>
      </c>
      <c r="H1677">
        <v>0</v>
      </c>
      <c r="I1677">
        <f>Sales_Data[[#This Row],[Sales]]*Sales_Data[[#This Row],[Discount]]</f>
        <v>0</v>
      </c>
      <c r="J1677">
        <v>5725.15</v>
      </c>
      <c r="K1677" s="1">
        <v>64.7</v>
      </c>
      <c r="L1677" s="1">
        <v>5725.15</v>
      </c>
      <c r="M1677" s="1" t="s">
        <v>13</v>
      </c>
      <c r="N1677" s="1">
        <f>IF(Sales_Data[[#This Row],[Sales with Discount]]&lt;Sales_Data[[#This Row],[Sales with Free Shipping]],Sales_Data[[#This Row],[Sales with Discount]],Sales_Data[[#This Row],[Sales with Free Shipping]])</f>
        <v>5725.15</v>
      </c>
      <c r="O1677" s="1" t="str">
        <f>TEXT(Sales_Data[[#This Row],[Order Date]], "MM-YYYY")</f>
        <v>10-2019</v>
      </c>
    </row>
    <row r="1678" spans="1:15" x14ac:dyDescent="0.3">
      <c r="A1678" s="1">
        <v>34148</v>
      </c>
      <c r="B1678" s="2">
        <v>43698</v>
      </c>
      <c r="C1678" s="1" t="s">
        <v>12</v>
      </c>
      <c r="D1678" s="1">
        <v>33</v>
      </c>
      <c r="E1678" t="s">
        <v>21</v>
      </c>
      <c r="F1678" t="s">
        <v>21</v>
      </c>
      <c r="G1678" s="1">
        <v>146.37</v>
      </c>
      <c r="H1678">
        <v>0</v>
      </c>
      <c r="I1678">
        <f>Sales_Data[[#This Row],[Sales]]*Sales_Data[[#This Row],[Discount]]</f>
        <v>0</v>
      </c>
      <c r="J1678">
        <v>146.37</v>
      </c>
      <c r="K1678" s="1">
        <v>1.1000000000000001</v>
      </c>
      <c r="L1678" s="1">
        <v>146.37</v>
      </c>
      <c r="M1678" s="1" t="s">
        <v>10</v>
      </c>
      <c r="N1678" s="1">
        <f>IF(Sales_Data[[#This Row],[Sales with Discount]]&lt;Sales_Data[[#This Row],[Sales with Free Shipping]],Sales_Data[[#This Row],[Sales with Discount]],Sales_Data[[#This Row],[Sales with Free Shipping]])</f>
        <v>146.37</v>
      </c>
      <c r="O1678" s="1" t="str">
        <f>TEXT(Sales_Data[[#This Row],[Order Date]], "MM-YYYY")</f>
        <v>08-2019</v>
      </c>
    </row>
    <row r="1679" spans="1:15" x14ac:dyDescent="0.3">
      <c r="A1679" s="1">
        <v>13346</v>
      </c>
      <c r="B1679" s="2">
        <v>43784</v>
      </c>
      <c r="C1679" s="1" t="s">
        <v>7</v>
      </c>
      <c r="D1679" s="1">
        <v>44</v>
      </c>
      <c r="E1679" t="s">
        <v>23</v>
      </c>
      <c r="F1679" t="s">
        <v>23</v>
      </c>
      <c r="G1679" s="1">
        <v>287.12</v>
      </c>
      <c r="H1679">
        <v>0.01</v>
      </c>
      <c r="I1679">
        <f>Sales_Data[[#This Row],[Sales]]*Sales_Data[[#This Row],[Discount]]</f>
        <v>2.8712</v>
      </c>
      <c r="J1679">
        <v>284.24880000000002</v>
      </c>
      <c r="K1679" s="1">
        <v>9.5</v>
      </c>
      <c r="L1679" s="1">
        <v>277.62</v>
      </c>
      <c r="M1679" s="1" t="s">
        <v>10</v>
      </c>
      <c r="N1679" s="1">
        <f>IF(Sales_Data[[#This Row],[Sales with Discount]]&lt;Sales_Data[[#This Row],[Sales with Free Shipping]],Sales_Data[[#This Row],[Sales with Discount]],Sales_Data[[#This Row],[Sales with Free Shipping]])</f>
        <v>277.62</v>
      </c>
      <c r="O1679" s="1" t="str">
        <f>TEXT(Sales_Data[[#This Row],[Order Date]], "MM-YYYY")</f>
        <v>11-2019</v>
      </c>
    </row>
    <row r="1680" spans="1:15" x14ac:dyDescent="0.3">
      <c r="A1680" s="1">
        <v>18851</v>
      </c>
      <c r="B1680" s="2">
        <v>43815</v>
      </c>
      <c r="C1680" s="1" t="s">
        <v>12</v>
      </c>
      <c r="D1680" s="1">
        <v>32</v>
      </c>
      <c r="E1680" t="s">
        <v>21</v>
      </c>
      <c r="F1680" t="s">
        <v>21</v>
      </c>
      <c r="G1680" s="1">
        <v>218.5</v>
      </c>
      <c r="H1680">
        <v>0</v>
      </c>
      <c r="I1680">
        <f>Sales_Data[[#This Row],[Sales]]*Sales_Data[[#This Row],[Discount]]</f>
        <v>0</v>
      </c>
      <c r="J1680">
        <v>218.5</v>
      </c>
      <c r="K1680" s="1">
        <v>11.1</v>
      </c>
      <c r="L1680" s="1">
        <v>218.5</v>
      </c>
      <c r="M1680" s="1" t="s">
        <v>8</v>
      </c>
      <c r="N1680" s="1">
        <f>IF(Sales_Data[[#This Row],[Sales with Discount]]&lt;Sales_Data[[#This Row],[Sales with Free Shipping]],Sales_Data[[#This Row],[Sales with Discount]],Sales_Data[[#This Row],[Sales with Free Shipping]])</f>
        <v>218.5</v>
      </c>
      <c r="O1680" s="1" t="str">
        <f>TEXT(Sales_Data[[#This Row],[Order Date]], "MM-YYYY")</f>
        <v>12-2019</v>
      </c>
    </row>
    <row r="1681" spans="1:15" x14ac:dyDescent="0.3">
      <c r="A1681" s="1">
        <v>15616</v>
      </c>
      <c r="B1681" s="2">
        <v>43547</v>
      </c>
      <c r="C1681" s="1" t="s">
        <v>12</v>
      </c>
      <c r="D1681" s="1">
        <v>12</v>
      </c>
      <c r="E1681" t="s">
        <v>18</v>
      </c>
      <c r="F1681" t="s">
        <v>18</v>
      </c>
      <c r="G1681" s="1">
        <v>413.78</v>
      </c>
      <c r="H1681">
        <v>0</v>
      </c>
      <c r="I1681">
        <f>Sales_Data[[#This Row],[Sales]]*Sales_Data[[#This Row],[Discount]]</f>
        <v>0</v>
      </c>
      <c r="J1681">
        <v>413.78</v>
      </c>
      <c r="K1681" s="1">
        <v>7</v>
      </c>
      <c r="L1681" s="1">
        <v>413.78</v>
      </c>
      <c r="M1681" s="1" t="s">
        <v>8</v>
      </c>
      <c r="N1681" s="1">
        <f>IF(Sales_Data[[#This Row],[Sales with Discount]]&lt;Sales_Data[[#This Row],[Sales with Free Shipping]],Sales_Data[[#This Row],[Sales with Discount]],Sales_Data[[#This Row],[Sales with Free Shipping]])</f>
        <v>413.78</v>
      </c>
      <c r="O1681" s="1" t="str">
        <f>TEXT(Sales_Data[[#This Row],[Order Date]], "MM-YYYY")</f>
        <v>03-2019</v>
      </c>
    </row>
    <row r="1682" spans="1:15" x14ac:dyDescent="0.3">
      <c r="A1682" s="1">
        <v>15782</v>
      </c>
      <c r="B1682" s="2">
        <v>43554</v>
      </c>
      <c r="C1682" s="1" t="s">
        <v>9</v>
      </c>
      <c r="D1682" s="1">
        <v>35</v>
      </c>
      <c r="E1682" t="s">
        <v>21</v>
      </c>
      <c r="F1682" t="s">
        <v>21</v>
      </c>
      <c r="G1682" s="1">
        <v>2503.4148</v>
      </c>
      <c r="H1682">
        <v>0</v>
      </c>
      <c r="I1682">
        <f>Sales_Data[[#This Row],[Sales]]*Sales_Data[[#This Row],[Discount]]</f>
        <v>0</v>
      </c>
      <c r="J1682">
        <v>2503.4148</v>
      </c>
      <c r="K1682" s="1">
        <v>73.8</v>
      </c>
      <c r="L1682" s="1">
        <v>2503.4148</v>
      </c>
      <c r="M1682" s="1" t="s">
        <v>10</v>
      </c>
      <c r="N1682" s="1">
        <f>IF(Sales_Data[[#This Row],[Sales with Discount]]&lt;Sales_Data[[#This Row],[Sales with Free Shipping]],Sales_Data[[#This Row],[Sales with Discount]],Sales_Data[[#This Row],[Sales with Free Shipping]])</f>
        <v>2503.4148</v>
      </c>
      <c r="O1682" s="1" t="str">
        <f>TEXT(Sales_Data[[#This Row],[Order Date]], "MM-YYYY")</f>
        <v>03-2019</v>
      </c>
    </row>
    <row r="1683" spans="1:15" x14ac:dyDescent="0.3">
      <c r="A1683" s="1">
        <v>32067</v>
      </c>
      <c r="B1683" s="2">
        <v>43536</v>
      </c>
      <c r="C1683" s="1" t="s">
        <v>9</v>
      </c>
      <c r="D1683" s="1">
        <v>27</v>
      </c>
      <c r="E1683" t="s">
        <v>20</v>
      </c>
      <c r="F1683" t="s">
        <v>20</v>
      </c>
      <c r="G1683" s="1">
        <v>3053.66</v>
      </c>
      <c r="H1683">
        <v>0</v>
      </c>
      <c r="I1683">
        <f>Sales_Data[[#This Row],[Sales]]*Sales_Data[[#This Row],[Discount]]</f>
        <v>0</v>
      </c>
      <c r="J1683">
        <v>3053.66</v>
      </c>
      <c r="K1683" s="1">
        <v>8.1999999999999993</v>
      </c>
      <c r="L1683" s="1">
        <v>3053.66</v>
      </c>
      <c r="M1683" s="1" t="s">
        <v>10</v>
      </c>
      <c r="N1683" s="1">
        <f>IF(Sales_Data[[#This Row],[Sales with Discount]]&lt;Sales_Data[[#This Row],[Sales with Free Shipping]],Sales_Data[[#This Row],[Sales with Discount]],Sales_Data[[#This Row],[Sales with Free Shipping]])</f>
        <v>3053.66</v>
      </c>
      <c r="O1683" s="1" t="str">
        <f>TEXT(Sales_Data[[#This Row],[Order Date]], "MM-YYYY")</f>
        <v>03-2019</v>
      </c>
    </row>
    <row r="1684" spans="1:15" x14ac:dyDescent="0.3">
      <c r="A1684" s="1">
        <v>18373</v>
      </c>
      <c r="B1684" s="2">
        <v>43567</v>
      </c>
      <c r="C1684" s="1" t="s">
        <v>12</v>
      </c>
      <c r="D1684" s="1">
        <v>35</v>
      </c>
      <c r="E1684" t="s">
        <v>21</v>
      </c>
      <c r="F1684" t="s">
        <v>21</v>
      </c>
      <c r="G1684" s="1">
        <v>7070.82</v>
      </c>
      <c r="H1684">
        <v>0</v>
      </c>
      <c r="I1684">
        <f>Sales_Data[[#This Row],[Sales]]*Sales_Data[[#This Row],[Discount]]</f>
        <v>0</v>
      </c>
      <c r="J1684">
        <v>7070.82</v>
      </c>
      <c r="K1684" s="1">
        <v>1.1000000000000001</v>
      </c>
      <c r="L1684" s="1">
        <v>7070.82</v>
      </c>
      <c r="M1684" s="1" t="s">
        <v>10</v>
      </c>
      <c r="N1684" s="1">
        <f>IF(Sales_Data[[#This Row],[Sales with Discount]]&lt;Sales_Data[[#This Row],[Sales with Free Shipping]],Sales_Data[[#This Row],[Sales with Discount]],Sales_Data[[#This Row],[Sales with Free Shipping]])</f>
        <v>7070.82</v>
      </c>
      <c r="O1684" s="1" t="str">
        <f>TEXT(Sales_Data[[#This Row],[Order Date]], "MM-YYYY")</f>
        <v>04-2019</v>
      </c>
    </row>
    <row r="1685" spans="1:15" x14ac:dyDescent="0.3">
      <c r="A1685" s="1">
        <v>57058</v>
      </c>
      <c r="B1685" s="2">
        <v>43594</v>
      </c>
      <c r="C1685" s="1" t="s">
        <v>14</v>
      </c>
      <c r="D1685" s="1">
        <v>27</v>
      </c>
      <c r="E1685" t="s">
        <v>20</v>
      </c>
      <c r="F1685" t="s">
        <v>20</v>
      </c>
      <c r="G1685" s="1">
        <v>1047.5899999999999</v>
      </c>
      <c r="H1685">
        <v>0</v>
      </c>
      <c r="I1685">
        <f>Sales_Data[[#This Row],[Sales]]*Sales_Data[[#This Row],[Discount]]</f>
        <v>0</v>
      </c>
      <c r="J1685">
        <v>1047.5899999999999</v>
      </c>
      <c r="K1685" s="1">
        <v>9.6999999999999993</v>
      </c>
      <c r="L1685" s="1">
        <v>1047.5899999999999</v>
      </c>
      <c r="M1685" s="1" t="s">
        <v>10</v>
      </c>
      <c r="N1685" s="1">
        <f>IF(Sales_Data[[#This Row],[Sales with Discount]]&lt;Sales_Data[[#This Row],[Sales with Free Shipping]],Sales_Data[[#This Row],[Sales with Discount]],Sales_Data[[#This Row],[Sales with Free Shipping]])</f>
        <v>1047.5899999999999</v>
      </c>
      <c r="O1685" s="1" t="str">
        <f>TEXT(Sales_Data[[#This Row],[Order Date]], "MM-YYYY")</f>
        <v>05-2019</v>
      </c>
    </row>
    <row r="1686" spans="1:15" x14ac:dyDescent="0.3">
      <c r="A1686" s="1">
        <v>24613</v>
      </c>
      <c r="B1686" s="2">
        <v>43662</v>
      </c>
      <c r="C1686" s="1" t="s">
        <v>7</v>
      </c>
      <c r="D1686" s="1">
        <v>36</v>
      </c>
      <c r="E1686" t="s">
        <v>22</v>
      </c>
      <c r="F1686" t="s">
        <v>22</v>
      </c>
      <c r="G1686" s="1">
        <v>264.07</v>
      </c>
      <c r="H1686">
        <v>0.01</v>
      </c>
      <c r="I1686">
        <f>Sales_Data[[#This Row],[Sales]]*Sales_Data[[#This Row],[Discount]]</f>
        <v>2.6406999999999998</v>
      </c>
      <c r="J1686">
        <v>261.42930000000001</v>
      </c>
      <c r="K1686" s="1">
        <v>7.1</v>
      </c>
      <c r="L1686" s="1">
        <v>256.96999999999997</v>
      </c>
      <c r="M1686" s="1" t="s">
        <v>10</v>
      </c>
      <c r="N1686" s="1">
        <f>IF(Sales_Data[[#This Row],[Sales with Discount]]&lt;Sales_Data[[#This Row],[Sales with Free Shipping]],Sales_Data[[#This Row],[Sales with Discount]],Sales_Data[[#This Row],[Sales with Free Shipping]])</f>
        <v>256.96999999999997</v>
      </c>
      <c r="O1686" s="1" t="str">
        <f>TEXT(Sales_Data[[#This Row],[Order Date]], "MM-YYYY")</f>
        <v>07-2019</v>
      </c>
    </row>
    <row r="1687" spans="1:15" x14ac:dyDescent="0.3">
      <c r="A1687" s="1">
        <v>19617</v>
      </c>
      <c r="B1687" s="2">
        <v>43484</v>
      </c>
      <c r="C1687" s="1" t="s">
        <v>7</v>
      </c>
      <c r="D1687" s="1">
        <v>3</v>
      </c>
      <c r="E1687" t="s">
        <v>16</v>
      </c>
      <c r="F1687" t="s">
        <v>16</v>
      </c>
      <c r="G1687" s="1">
        <v>184.0009</v>
      </c>
      <c r="H1687">
        <v>0</v>
      </c>
      <c r="I1687">
        <f>Sales_Data[[#This Row],[Sales]]*Sales_Data[[#This Row],[Discount]]</f>
        <v>0</v>
      </c>
      <c r="J1687">
        <v>184.0009</v>
      </c>
      <c r="K1687" s="1">
        <v>9.6</v>
      </c>
      <c r="L1687" s="1">
        <v>184.0009</v>
      </c>
      <c r="M1687" s="1" t="s">
        <v>10</v>
      </c>
      <c r="N1687" s="1">
        <f>IF(Sales_Data[[#This Row],[Sales with Discount]]&lt;Sales_Data[[#This Row],[Sales with Free Shipping]],Sales_Data[[#This Row],[Sales with Discount]],Sales_Data[[#This Row],[Sales with Free Shipping]])</f>
        <v>184.0009</v>
      </c>
      <c r="O1687" s="1" t="str">
        <f>TEXT(Sales_Data[[#This Row],[Order Date]], "MM-YYYY")</f>
        <v>01-2019</v>
      </c>
    </row>
    <row r="1688" spans="1:15" x14ac:dyDescent="0.3">
      <c r="A1688" s="1">
        <v>40289</v>
      </c>
      <c r="B1688" s="2">
        <v>43795</v>
      </c>
      <c r="C1688" s="1" t="s">
        <v>11</v>
      </c>
      <c r="D1688" s="1">
        <v>26</v>
      </c>
      <c r="E1688" t="s">
        <v>20</v>
      </c>
      <c r="F1688" t="s">
        <v>20</v>
      </c>
      <c r="G1688" s="1">
        <v>83.56</v>
      </c>
      <c r="H1688">
        <v>0</v>
      </c>
      <c r="I1688">
        <f>Sales_Data[[#This Row],[Sales]]*Sales_Data[[#This Row],[Discount]]</f>
        <v>0</v>
      </c>
      <c r="J1688">
        <v>83.56</v>
      </c>
      <c r="K1688" s="1">
        <v>1.1000000000000001</v>
      </c>
      <c r="L1688" s="1">
        <v>83.56</v>
      </c>
      <c r="M1688" s="1" t="s">
        <v>10</v>
      </c>
      <c r="N1688" s="1">
        <f>IF(Sales_Data[[#This Row],[Sales with Discount]]&lt;Sales_Data[[#This Row],[Sales with Free Shipping]],Sales_Data[[#This Row],[Sales with Discount]],Sales_Data[[#This Row],[Sales with Free Shipping]])</f>
        <v>83.56</v>
      </c>
      <c r="O1688" s="1" t="str">
        <f>TEXT(Sales_Data[[#This Row],[Order Date]], "MM-YYYY")</f>
        <v>11-2019</v>
      </c>
    </row>
    <row r="1689" spans="1:15" x14ac:dyDescent="0.3">
      <c r="A1689" s="1">
        <v>38817</v>
      </c>
      <c r="B1689" s="2">
        <v>43605</v>
      </c>
      <c r="C1689" s="1" t="s">
        <v>11</v>
      </c>
      <c r="D1689" s="1">
        <v>1</v>
      </c>
      <c r="E1689" t="s">
        <v>16</v>
      </c>
      <c r="F1689" t="s">
        <v>16</v>
      </c>
      <c r="G1689" s="1">
        <v>10.38</v>
      </c>
      <c r="H1689">
        <v>0</v>
      </c>
      <c r="I1689">
        <f>Sales_Data[[#This Row],[Sales]]*Sales_Data[[#This Row],[Discount]]</f>
        <v>0</v>
      </c>
      <c r="J1689">
        <v>10.38</v>
      </c>
      <c r="K1689" s="1">
        <v>4.9000000000000004</v>
      </c>
      <c r="L1689" s="1">
        <v>10.38</v>
      </c>
      <c r="M1689" s="1" t="s">
        <v>10</v>
      </c>
      <c r="N1689" s="1">
        <f>IF(Sales_Data[[#This Row],[Sales with Discount]]&lt;Sales_Data[[#This Row],[Sales with Free Shipping]],Sales_Data[[#This Row],[Sales with Discount]],Sales_Data[[#This Row],[Sales with Free Shipping]])</f>
        <v>10.38</v>
      </c>
      <c r="O1689" s="1" t="str">
        <f>TEXT(Sales_Data[[#This Row],[Order Date]], "MM-YYYY")</f>
        <v>05-2019</v>
      </c>
    </row>
    <row r="1690" spans="1:15" x14ac:dyDescent="0.3">
      <c r="A1690" s="1">
        <v>11808</v>
      </c>
      <c r="B1690" s="2">
        <v>43677</v>
      </c>
      <c r="C1690" s="1" t="s">
        <v>11</v>
      </c>
      <c r="D1690" s="1">
        <v>1</v>
      </c>
      <c r="E1690" t="s">
        <v>16</v>
      </c>
      <c r="F1690" t="s">
        <v>16</v>
      </c>
      <c r="G1690" s="1">
        <v>158.72999999999999</v>
      </c>
      <c r="H1690">
        <v>0</v>
      </c>
      <c r="I1690">
        <f>Sales_Data[[#This Row],[Sales]]*Sales_Data[[#This Row],[Discount]]</f>
        <v>0</v>
      </c>
      <c r="J1690">
        <v>158.72999999999999</v>
      </c>
      <c r="K1690" s="1">
        <v>42</v>
      </c>
      <c r="L1690" s="1">
        <v>158.72999999999999</v>
      </c>
      <c r="M1690" s="1" t="s">
        <v>13</v>
      </c>
      <c r="N1690" s="1">
        <f>IF(Sales_Data[[#This Row],[Sales with Discount]]&lt;Sales_Data[[#This Row],[Sales with Free Shipping]],Sales_Data[[#This Row],[Sales with Discount]],Sales_Data[[#This Row],[Sales with Free Shipping]])</f>
        <v>158.72999999999999</v>
      </c>
      <c r="O1690" s="1" t="str">
        <f>TEXT(Sales_Data[[#This Row],[Order Date]], "MM-YYYY")</f>
        <v>07-2019</v>
      </c>
    </row>
    <row r="1691" spans="1:15" x14ac:dyDescent="0.3">
      <c r="A1691" s="1">
        <v>2023</v>
      </c>
      <c r="B1691" s="2">
        <v>43590</v>
      </c>
      <c r="C1691" s="1" t="s">
        <v>7</v>
      </c>
      <c r="D1691" s="1">
        <v>50</v>
      </c>
      <c r="E1691" t="s">
        <v>24</v>
      </c>
      <c r="F1691" t="s">
        <v>24</v>
      </c>
      <c r="G1691" s="1">
        <v>263.82990000000001</v>
      </c>
      <c r="H1691">
        <v>0.01</v>
      </c>
      <c r="I1691">
        <f>Sales_Data[[#This Row],[Sales]]*Sales_Data[[#This Row],[Discount]]</f>
        <v>2.6382989999999999</v>
      </c>
      <c r="J1691">
        <v>261.19160099999999</v>
      </c>
      <c r="K1691" s="1">
        <v>5.9</v>
      </c>
      <c r="L1691" s="1">
        <v>257.92990000000003</v>
      </c>
      <c r="M1691" s="1" t="s">
        <v>10</v>
      </c>
      <c r="N1691" s="1">
        <f>IF(Sales_Data[[#This Row],[Sales with Discount]]&lt;Sales_Data[[#This Row],[Sales with Free Shipping]],Sales_Data[[#This Row],[Sales with Discount]],Sales_Data[[#This Row],[Sales with Free Shipping]])</f>
        <v>257.92990000000003</v>
      </c>
      <c r="O1691" s="1" t="str">
        <f>TEXT(Sales_Data[[#This Row],[Order Date]], "MM-YYYY")</f>
        <v>05-2019</v>
      </c>
    </row>
    <row r="1692" spans="1:15" x14ac:dyDescent="0.3">
      <c r="A1692" s="1">
        <v>12551</v>
      </c>
      <c r="B1692" s="2">
        <v>43627</v>
      </c>
      <c r="C1692" s="1" t="s">
        <v>7</v>
      </c>
      <c r="D1692" s="1">
        <v>46</v>
      </c>
      <c r="E1692" t="s">
        <v>24</v>
      </c>
      <c r="F1692" t="s">
        <v>24</v>
      </c>
      <c r="G1692" s="1">
        <v>5374.8811999999998</v>
      </c>
      <c r="H1692">
        <v>0.01</v>
      </c>
      <c r="I1692">
        <f>Sales_Data[[#This Row],[Sales]]*Sales_Data[[#This Row],[Discount]]</f>
        <v>53.748812000000001</v>
      </c>
      <c r="J1692">
        <v>5321.132388</v>
      </c>
      <c r="K1692" s="1">
        <v>5.6</v>
      </c>
      <c r="L1692" s="1">
        <v>5369.2811999999994</v>
      </c>
      <c r="M1692" s="1" t="s">
        <v>10</v>
      </c>
      <c r="N1692" s="1">
        <f>IF(Sales_Data[[#This Row],[Sales with Discount]]&lt;Sales_Data[[#This Row],[Sales with Free Shipping]],Sales_Data[[#This Row],[Sales with Discount]],Sales_Data[[#This Row],[Sales with Free Shipping]])</f>
        <v>5321.132388</v>
      </c>
      <c r="O1692" s="1" t="str">
        <f>TEXT(Sales_Data[[#This Row],[Order Date]], "MM-YYYY")</f>
        <v>06-2019</v>
      </c>
    </row>
    <row r="1693" spans="1:15" x14ac:dyDescent="0.3">
      <c r="A1693" s="1">
        <v>51175</v>
      </c>
      <c r="B1693" s="2">
        <v>43691</v>
      </c>
      <c r="C1693" s="1" t="s">
        <v>9</v>
      </c>
      <c r="D1693" s="1">
        <v>3</v>
      </c>
      <c r="E1693" t="s">
        <v>16</v>
      </c>
      <c r="F1693" t="s">
        <v>16</v>
      </c>
      <c r="G1693" s="1">
        <v>2286.52</v>
      </c>
      <c r="H1693">
        <v>0</v>
      </c>
      <c r="I1693">
        <f>Sales_Data[[#This Row],[Sales]]*Sales_Data[[#This Row],[Discount]]</f>
        <v>0</v>
      </c>
      <c r="J1693">
        <v>2286.52</v>
      </c>
      <c r="K1693" s="1">
        <v>26.2</v>
      </c>
      <c r="L1693" s="1">
        <v>2286.52</v>
      </c>
      <c r="M1693" s="1" t="s">
        <v>10</v>
      </c>
      <c r="N1693" s="1">
        <f>IF(Sales_Data[[#This Row],[Sales with Discount]]&lt;Sales_Data[[#This Row],[Sales with Free Shipping]],Sales_Data[[#This Row],[Sales with Discount]],Sales_Data[[#This Row],[Sales with Free Shipping]])</f>
        <v>2286.52</v>
      </c>
      <c r="O1693" s="1" t="str">
        <f>TEXT(Sales_Data[[#This Row],[Order Date]], "MM-YYYY")</f>
        <v>08-2019</v>
      </c>
    </row>
    <row r="1694" spans="1:15" x14ac:dyDescent="0.3">
      <c r="A1694" s="1">
        <v>38912</v>
      </c>
      <c r="B1694" s="2">
        <v>43766</v>
      </c>
      <c r="C1694" s="1" t="s">
        <v>7</v>
      </c>
      <c r="D1694" s="1">
        <v>46</v>
      </c>
      <c r="E1694" t="s">
        <v>24</v>
      </c>
      <c r="F1694" t="s">
        <v>24</v>
      </c>
      <c r="G1694" s="1">
        <v>7430.02</v>
      </c>
      <c r="H1694">
        <v>0.01</v>
      </c>
      <c r="I1694">
        <f>Sales_Data[[#This Row],[Sales]]*Sales_Data[[#This Row],[Discount]]</f>
        <v>74.300200000000004</v>
      </c>
      <c r="J1694">
        <v>7355.7198000000008</v>
      </c>
      <c r="K1694" s="1">
        <v>4.3</v>
      </c>
      <c r="L1694" s="1">
        <v>7425.72</v>
      </c>
      <c r="M1694" s="1" t="s">
        <v>10</v>
      </c>
      <c r="N1694" s="1">
        <f>IF(Sales_Data[[#This Row],[Sales with Discount]]&lt;Sales_Data[[#This Row],[Sales with Free Shipping]],Sales_Data[[#This Row],[Sales with Discount]],Sales_Data[[#This Row],[Sales with Free Shipping]])</f>
        <v>7355.7198000000008</v>
      </c>
      <c r="O1694" s="1" t="str">
        <f>TEXT(Sales_Data[[#This Row],[Order Date]], "MM-YYYY")</f>
        <v>10-2019</v>
      </c>
    </row>
    <row r="1695" spans="1:15" x14ac:dyDescent="0.3">
      <c r="A1695" s="1">
        <v>42246</v>
      </c>
      <c r="B1695" s="2">
        <v>43581</v>
      </c>
      <c r="C1695" s="1" t="s">
        <v>11</v>
      </c>
      <c r="D1695" s="1">
        <v>40</v>
      </c>
      <c r="E1695" t="s">
        <v>22</v>
      </c>
      <c r="F1695" t="s">
        <v>22</v>
      </c>
      <c r="G1695" s="1">
        <v>3274.6</v>
      </c>
      <c r="H1695">
        <v>0.01</v>
      </c>
      <c r="I1695">
        <f>Sales_Data[[#This Row],[Sales]]*Sales_Data[[#This Row],[Discount]]</f>
        <v>32.746000000000002</v>
      </c>
      <c r="J1695">
        <v>3241.8539999999998</v>
      </c>
      <c r="K1695" s="1">
        <v>4.3</v>
      </c>
      <c r="L1695" s="1">
        <v>3270.2999999999997</v>
      </c>
      <c r="M1695" s="1" t="s">
        <v>10</v>
      </c>
      <c r="N1695" s="1">
        <f>IF(Sales_Data[[#This Row],[Sales with Discount]]&lt;Sales_Data[[#This Row],[Sales with Free Shipping]],Sales_Data[[#This Row],[Sales with Discount]],Sales_Data[[#This Row],[Sales with Free Shipping]])</f>
        <v>3241.8539999999998</v>
      </c>
      <c r="O1695" s="1" t="str">
        <f>TEXT(Sales_Data[[#This Row],[Order Date]], "MM-YYYY")</f>
        <v>04-2019</v>
      </c>
    </row>
    <row r="1696" spans="1:15" x14ac:dyDescent="0.3">
      <c r="A1696" s="1">
        <v>44261</v>
      </c>
      <c r="B1696" s="2">
        <v>43547</v>
      </c>
      <c r="C1696" s="1" t="s">
        <v>9</v>
      </c>
      <c r="D1696" s="1">
        <v>31</v>
      </c>
      <c r="E1696" t="s">
        <v>21</v>
      </c>
      <c r="F1696" t="s">
        <v>21</v>
      </c>
      <c r="G1696" s="1">
        <v>13978.54</v>
      </c>
      <c r="H1696">
        <v>0</v>
      </c>
      <c r="I1696">
        <f>Sales_Data[[#This Row],[Sales]]*Sales_Data[[#This Row],[Discount]]</f>
        <v>0</v>
      </c>
      <c r="J1696">
        <v>13978.54</v>
      </c>
      <c r="K1696" s="1">
        <v>21.4</v>
      </c>
      <c r="L1696" s="1">
        <v>13978.54</v>
      </c>
      <c r="M1696" s="1" t="s">
        <v>8</v>
      </c>
      <c r="N1696" s="1">
        <f>IF(Sales_Data[[#This Row],[Sales with Discount]]&lt;Sales_Data[[#This Row],[Sales with Free Shipping]],Sales_Data[[#This Row],[Sales with Discount]],Sales_Data[[#This Row],[Sales with Free Shipping]])</f>
        <v>13978.54</v>
      </c>
      <c r="O1696" s="1" t="str">
        <f>TEXT(Sales_Data[[#This Row],[Order Date]], "MM-YYYY")</f>
        <v>03-2019</v>
      </c>
    </row>
    <row r="1697" spans="1:15" x14ac:dyDescent="0.3">
      <c r="A1697" s="1">
        <v>31232</v>
      </c>
      <c r="B1697" s="2">
        <v>43706</v>
      </c>
      <c r="C1697" s="1" t="s">
        <v>9</v>
      </c>
      <c r="D1697" s="1">
        <v>9</v>
      </c>
      <c r="E1697" t="s">
        <v>17</v>
      </c>
      <c r="F1697" t="s">
        <v>17</v>
      </c>
      <c r="G1697" s="1">
        <v>2828.1705000000002</v>
      </c>
      <c r="H1697">
        <v>0</v>
      </c>
      <c r="I1697">
        <f>Sales_Data[[#This Row],[Sales]]*Sales_Data[[#This Row],[Discount]]</f>
        <v>0</v>
      </c>
      <c r="J1697">
        <v>2828.1705000000002</v>
      </c>
      <c r="K1697" s="1">
        <v>66.099999999999994</v>
      </c>
      <c r="L1697" s="1">
        <v>2828.1705000000002</v>
      </c>
      <c r="M1697" s="1" t="s">
        <v>13</v>
      </c>
      <c r="N1697" s="1">
        <f>IF(Sales_Data[[#This Row],[Sales with Discount]]&lt;Sales_Data[[#This Row],[Sales with Free Shipping]],Sales_Data[[#This Row],[Sales with Discount]],Sales_Data[[#This Row],[Sales with Free Shipping]])</f>
        <v>2828.1705000000002</v>
      </c>
      <c r="O1697" s="1" t="str">
        <f>TEXT(Sales_Data[[#This Row],[Order Date]], "MM-YYYY")</f>
        <v>08-2019</v>
      </c>
    </row>
    <row r="1698" spans="1:15" x14ac:dyDescent="0.3">
      <c r="A1698" s="1">
        <v>25985</v>
      </c>
      <c r="B1698" s="2">
        <v>43710</v>
      </c>
      <c r="C1698" s="1" t="s">
        <v>7</v>
      </c>
      <c r="D1698" s="1">
        <v>50</v>
      </c>
      <c r="E1698" t="s">
        <v>24</v>
      </c>
      <c r="F1698" t="s">
        <v>24</v>
      </c>
      <c r="G1698" s="1">
        <v>246.77</v>
      </c>
      <c r="H1698">
        <v>0.01</v>
      </c>
      <c r="I1698">
        <f>Sales_Data[[#This Row],[Sales]]*Sales_Data[[#This Row],[Discount]]</f>
        <v>2.4677000000000002</v>
      </c>
      <c r="J1698">
        <v>244.3023</v>
      </c>
      <c r="K1698" s="1">
        <v>3.3</v>
      </c>
      <c r="L1698" s="1">
        <v>243.47</v>
      </c>
      <c r="M1698" s="1" t="s">
        <v>10</v>
      </c>
      <c r="N1698" s="1">
        <f>IF(Sales_Data[[#This Row],[Sales with Discount]]&lt;Sales_Data[[#This Row],[Sales with Free Shipping]],Sales_Data[[#This Row],[Sales with Discount]],Sales_Data[[#This Row],[Sales with Free Shipping]])</f>
        <v>243.47</v>
      </c>
      <c r="O1698" s="1" t="str">
        <f>TEXT(Sales_Data[[#This Row],[Order Date]], "MM-YYYY")</f>
        <v>09-2019</v>
      </c>
    </row>
    <row r="1699" spans="1:15" x14ac:dyDescent="0.3">
      <c r="A1699" s="1">
        <v>26535</v>
      </c>
      <c r="B1699" s="2">
        <v>43544</v>
      </c>
      <c r="C1699" s="1" t="s">
        <v>11</v>
      </c>
      <c r="D1699" s="1">
        <v>33</v>
      </c>
      <c r="E1699" t="s">
        <v>21</v>
      </c>
      <c r="F1699" t="s">
        <v>21</v>
      </c>
      <c r="G1699" s="1">
        <v>151.62</v>
      </c>
      <c r="H1699">
        <v>0</v>
      </c>
      <c r="I1699">
        <f>Sales_Data[[#This Row],[Sales]]*Sales_Data[[#This Row],[Discount]]</f>
        <v>0</v>
      </c>
      <c r="J1699">
        <v>151.62</v>
      </c>
      <c r="K1699" s="1">
        <v>5.6</v>
      </c>
      <c r="L1699" s="1">
        <v>151.62</v>
      </c>
      <c r="M1699" s="1" t="s">
        <v>10</v>
      </c>
      <c r="N1699" s="1">
        <f>IF(Sales_Data[[#This Row],[Sales with Discount]]&lt;Sales_Data[[#This Row],[Sales with Free Shipping]],Sales_Data[[#This Row],[Sales with Discount]],Sales_Data[[#This Row],[Sales with Free Shipping]])</f>
        <v>151.62</v>
      </c>
      <c r="O1699" s="1" t="str">
        <f>TEXT(Sales_Data[[#This Row],[Order Date]], "MM-YYYY")</f>
        <v>03-2019</v>
      </c>
    </row>
    <row r="1700" spans="1:15" x14ac:dyDescent="0.3">
      <c r="A1700" s="1">
        <v>21792</v>
      </c>
      <c r="B1700" s="2">
        <v>43733</v>
      </c>
      <c r="C1700" s="1" t="s">
        <v>11</v>
      </c>
      <c r="D1700" s="1">
        <v>26</v>
      </c>
      <c r="E1700" t="s">
        <v>20</v>
      </c>
      <c r="F1700" t="s">
        <v>20</v>
      </c>
      <c r="G1700" s="1">
        <v>388.15320000000003</v>
      </c>
      <c r="H1700">
        <v>0</v>
      </c>
      <c r="I1700">
        <f>Sales_Data[[#This Row],[Sales]]*Sales_Data[[#This Row],[Discount]]</f>
        <v>0</v>
      </c>
      <c r="J1700">
        <v>388.15320000000003</v>
      </c>
      <c r="K1700" s="1">
        <v>6.9</v>
      </c>
      <c r="L1700" s="1">
        <v>388.15320000000003</v>
      </c>
      <c r="M1700" s="1" t="s">
        <v>10</v>
      </c>
      <c r="N1700" s="1">
        <f>IF(Sales_Data[[#This Row],[Sales with Discount]]&lt;Sales_Data[[#This Row],[Sales with Free Shipping]],Sales_Data[[#This Row],[Sales with Discount]],Sales_Data[[#This Row],[Sales with Free Shipping]])</f>
        <v>388.15320000000003</v>
      </c>
      <c r="O1700" s="1" t="str">
        <f>TEXT(Sales_Data[[#This Row],[Order Date]], "MM-YYYY")</f>
        <v>09-2019</v>
      </c>
    </row>
    <row r="1701" spans="1:15" x14ac:dyDescent="0.3">
      <c r="A1701" s="1">
        <v>12418</v>
      </c>
      <c r="B1701" s="2">
        <v>43513</v>
      </c>
      <c r="C1701" s="1" t="s">
        <v>11</v>
      </c>
      <c r="D1701" s="1">
        <v>38</v>
      </c>
      <c r="E1701" t="s">
        <v>22</v>
      </c>
      <c r="F1701" t="s">
        <v>22</v>
      </c>
      <c r="G1701" s="1">
        <v>319.94</v>
      </c>
      <c r="H1701">
        <v>0.01</v>
      </c>
      <c r="I1701">
        <f>Sales_Data[[#This Row],[Sales]]*Sales_Data[[#This Row],[Discount]]</f>
        <v>3.1994000000000002</v>
      </c>
      <c r="J1701">
        <v>316.74059999999997</v>
      </c>
      <c r="K1701" s="1">
        <v>7</v>
      </c>
      <c r="L1701" s="1">
        <v>312.94</v>
      </c>
      <c r="M1701" s="1" t="s">
        <v>10</v>
      </c>
      <c r="N1701" s="1">
        <f>IF(Sales_Data[[#This Row],[Sales with Discount]]&lt;Sales_Data[[#This Row],[Sales with Free Shipping]],Sales_Data[[#This Row],[Sales with Discount]],Sales_Data[[#This Row],[Sales with Free Shipping]])</f>
        <v>312.94</v>
      </c>
      <c r="O1701" s="1" t="str">
        <f>TEXT(Sales_Data[[#This Row],[Order Date]], "MM-YYYY")</f>
        <v>02-2019</v>
      </c>
    </row>
    <row r="1702" spans="1:15" x14ac:dyDescent="0.3">
      <c r="A1702" s="1">
        <v>2052</v>
      </c>
      <c r="B1702" s="2">
        <v>43567</v>
      </c>
      <c r="C1702" s="1" t="s">
        <v>9</v>
      </c>
      <c r="D1702" s="1">
        <v>23</v>
      </c>
      <c r="E1702" t="s">
        <v>14</v>
      </c>
      <c r="F1702" t="s">
        <v>14</v>
      </c>
      <c r="G1702" s="1">
        <v>115.4851</v>
      </c>
      <c r="H1702">
        <v>0</v>
      </c>
      <c r="I1702">
        <f>Sales_Data[[#This Row],[Sales]]*Sales_Data[[#This Row],[Discount]]</f>
        <v>0</v>
      </c>
      <c r="J1702">
        <v>115.4851</v>
      </c>
      <c r="K1702" s="1">
        <v>5.7</v>
      </c>
      <c r="L1702" s="1">
        <v>115.4851</v>
      </c>
      <c r="M1702" s="1" t="s">
        <v>10</v>
      </c>
      <c r="N1702" s="1">
        <f>IF(Sales_Data[[#This Row],[Sales with Discount]]&lt;Sales_Data[[#This Row],[Sales with Free Shipping]],Sales_Data[[#This Row],[Sales with Discount]],Sales_Data[[#This Row],[Sales with Free Shipping]])</f>
        <v>115.4851</v>
      </c>
      <c r="O1702" s="1" t="str">
        <f>TEXT(Sales_Data[[#This Row],[Order Date]], "MM-YYYY")</f>
        <v>04-2019</v>
      </c>
    </row>
    <row r="1703" spans="1:15" x14ac:dyDescent="0.3">
      <c r="A1703" s="1">
        <v>44679</v>
      </c>
      <c r="B1703" s="2">
        <v>43619</v>
      </c>
      <c r="C1703" s="1" t="s">
        <v>14</v>
      </c>
      <c r="D1703" s="1">
        <v>35</v>
      </c>
      <c r="E1703" t="s">
        <v>21</v>
      </c>
      <c r="F1703" t="s">
        <v>21</v>
      </c>
      <c r="G1703" s="1">
        <v>2144.52</v>
      </c>
      <c r="H1703">
        <v>0</v>
      </c>
      <c r="I1703">
        <f>Sales_Data[[#This Row],[Sales]]*Sales_Data[[#This Row],[Discount]]</f>
        <v>0</v>
      </c>
      <c r="J1703">
        <v>2144.52</v>
      </c>
      <c r="K1703" s="1">
        <v>13.1</v>
      </c>
      <c r="L1703" s="1">
        <v>2144.52</v>
      </c>
      <c r="M1703" s="1" t="s">
        <v>10</v>
      </c>
      <c r="N1703" s="1">
        <f>IF(Sales_Data[[#This Row],[Sales with Discount]]&lt;Sales_Data[[#This Row],[Sales with Free Shipping]],Sales_Data[[#This Row],[Sales with Discount]],Sales_Data[[#This Row],[Sales with Free Shipping]])</f>
        <v>2144.52</v>
      </c>
      <c r="O1703" s="1" t="str">
        <f>TEXT(Sales_Data[[#This Row],[Order Date]], "MM-YYYY")</f>
        <v>06-2019</v>
      </c>
    </row>
    <row r="1704" spans="1:15" x14ac:dyDescent="0.3">
      <c r="A1704" s="1">
        <v>57894</v>
      </c>
      <c r="B1704" s="2">
        <v>43558</v>
      </c>
      <c r="C1704" s="1" t="s">
        <v>7</v>
      </c>
      <c r="D1704" s="1">
        <v>47</v>
      </c>
      <c r="E1704" t="s">
        <v>24</v>
      </c>
      <c r="F1704" t="s">
        <v>24</v>
      </c>
      <c r="G1704" s="1">
        <v>14318.75</v>
      </c>
      <c r="H1704">
        <v>0.01</v>
      </c>
      <c r="I1704">
        <f>Sales_Data[[#This Row],[Sales]]*Sales_Data[[#This Row],[Discount]]</f>
        <v>143.1875</v>
      </c>
      <c r="J1704">
        <v>14175.5625</v>
      </c>
      <c r="K1704" s="1">
        <v>28.4</v>
      </c>
      <c r="L1704" s="1">
        <v>14290.35</v>
      </c>
      <c r="M1704" s="1" t="s">
        <v>13</v>
      </c>
      <c r="N1704" s="1">
        <f>IF(Sales_Data[[#This Row],[Sales with Discount]]&lt;Sales_Data[[#This Row],[Sales with Free Shipping]],Sales_Data[[#This Row],[Sales with Discount]],Sales_Data[[#This Row],[Sales with Free Shipping]])</f>
        <v>14175.5625</v>
      </c>
      <c r="O1704" s="1" t="str">
        <f>TEXT(Sales_Data[[#This Row],[Order Date]], "MM-YYYY")</f>
        <v>04-2019</v>
      </c>
    </row>
    <row r="1705" spans="1:15" x14ac:dyDescent="0.3">
      <c r="A1705" s="1">
        <v>50471</v>
      </c>
      <c r="B1705" s="2">
        <v>43467</v>
      </c>
      <c r="C1705" s="1" t="s">
        <v>7</v>
      </c>
      <c r="D1705" s="1">
        <v>25</v>
      </c>
      <c r="E1705" t="s">
        <v>14</v>
      </c>
      <c r="F1705" t="s">
        <v>14</v>
      </c>
      <c r="G1705" s="1">
        <v>6269.4</v>
      </c>
      <c r="H1705">
        <v>0</v>
      </c>
      <c r="I1705">
        <f>Sales_Data[[#This Row],[Sales]]*Sales_Data[[#This Row],[Discount]]</f>
        <v>0</v>
      </c>
      <c r="J1705">
        <v>6269.4</v>
      </c>
      <c r="K1705" s="1">
        <v>30.1</v>
      </c>
      <c r="L1705" s="1">
        <v>6269.4</v>
      </c>
      <c r="M1705" s="1" t="s">
        <v>13</v>
      </c>
      <c r="N1705" s="1">
        <f>IF(Sales_Data[[#This Row],[Sales with Discount]]&lt;Sales_Data[[#This Row],[Sales with Free Shipping]],Sales_Data[[#This Row],[Sales with Discount]],Sales_Data[[#This Row],[Sales with Free Shipping]])</f>
        <v>6269.4</v>
      </c>
      <c r="O1705" s="1" t="str">
        <f>TEXT(Sales_Data[[#This Row],[Order Date]], "MM-YYYY")</f>
        <v>01-2019</v>
      </c>
    </row>
    <row r="1706" spans="1:15" x14ac:dyDescent="0.3">
      <c r="A1706" s="1">
        <v>39876</v>
      </c>
      <c r="B1706" s="2">
        <v>43568</v>
      </c>
      <c r="C1706" s="1" t="s">
        <v>9</v>
      </c>
      <c r="D1706" s="1">
        <v>43</v>
      </c>
      <c r="E1706" t="s">
        <v>23</v>
      </c>
      <c r="F1706" t="s">
        <v>23</v>
      </c>
      <c r="G1706" s="1">
        <v>17408.71</v>
      </c>
      <c r="H1706">
        <v>0.01</v>
      </c>
      <c r="I1706">
        <f>Sales_Data[[#This Row],[Sales]]*Sales_Data[[#This Row],[Discount]]</f>
        <v>174.08709999999999</v>
      </c>
      <c r="J1706">
        <v>17234.622899999998</v>
      </c>
      <c r="K1706" s="1">
        <v>21.4</v>
      </c>
      <c r="L1706" s="1">
        <v>17387.309999999998</v>
      </c>
      <c r="M1706" s="1" t="s">
        <v>10</v>
      </c>
      <c r="N1706" s="1">
        <f>IF(Sales_Data[[#This Row],[Sales with Discount]]&lt;Sales_Data[[#This Row],[Sales with Free Shipping]],Sales_Data[[#This Row],[Sales with Discount]],Sales_Data[[#This Row],[Sales with Free Shipping]])</f>
        <v>17234.622899999998</v>
      </c>
      <c r="O1706" s="1" t="str">
        <f>TEXT(Sales_Data[[#This Row],[Order Date]], "MM-YYYY")</f>
        <v>04-2019</v>
      </c>
    </row>
    <row r="1707" spans="1:15" x14ac:dyDescent="0.3">
      <c r="A1707" s="1">
        <v>39652</v>
      </c>
      <c r="B1707" s="2">
        <v>43589</v>
      </c>
      <c r="C1707" s="1" t="s">
        <v>7</v>
      </c>
      <c r="D1707" s="1">
        <v>5</v>
      </c>
      <c r="E1707" t="s">
        <v>16</v>
      </c>
      <c r="F1707" t="s">
        <v>16</v>
      </c>
      <c r="G1707" s="1">
        <v>15.63</v>
      </c>
      <c r="H1707">
        <v>0</v>
      </c>
      <c r="I1707">
        <f>Sales_Data[[#This Row],[Sales]]*Sales_Data[[#This Row],[Discount]]</f>
        <v>0</v>
      </c>
      <c r="J1707">
        <v>15.63</v>
      </c>
      <c r="K1707" s="1">
        <v>0.5</v>
      </c>
      <c r="L1707" s="1">
        <v>15.63</v>
      </c>
      <c r="M1707" s="1" t="s">
        <v>10</v>
      </c>
      <c r="N1707" s="1">
        <f>IF(Sales_Data[[#This Row],[Sales with Discount]]&lt;Sales_Data[[#This Row],[Sales with Free Shipping]],Sales_Data[[#This Row],[Sales with Discount]],Sales_Data[[#This Row],[Sales with Free Shipping]])</f>
        <v>15.63</v>
      </c>
      <c r="O1707" s="1" t="str">
        <f>TEXT(Sales_Data[[#This Row],[Order Date]], "MM-YYYY")</f>
        <v>05-2019</v>
      </c>
    </row>
    <row r="1708" spans="1:15" x14ac:dyDescent="0.3">
      <c r="A1708" s="1">
        <v>1826</v>
      </c>
      <c r="B1708" s="2">
        <v>43570</v>
      </c>
      <c r="C1708" s="1" t="s">
        <v>11</v>
      </c>
      <c r="D1708" s="1">
        <v>5</v>
      </c>
      <c r="E1708" t="s">
        <v>16</v>
      </c>
      <c r="F1708" t="s">
        <v>16</v>
      </c>
      <c r="G1708" s="1">
        <v>30.302399999999999</v>
      </c>
      <c r="H1708">
        <v>0</v>
      </c>
      <c r="I1708">
        <f>Sales_Data[[#This Row],[Sales]]*Sales_Data[[#This Row],[Discount]]</f>
        <v>0</v>
      </c>
      <c r="J1708">
        <v>30.302399999999999</v>
      </c>
      <c r="K1708" s="1">
        <v>5.0999999999999996</v>
      </c>
      <c r="L1708" s="1">
        <v>30.302399999999999</v>
      </c>
      <c r="M1708" s="1" t="s">
        <v>10</v>
      </c>
      <c r="N1708" s="1">
        <f>IF(Sales_Data[[#This Row],[Sales with Discount]]&lt;Sales_Data[[#This Row],[Sales with Free Shipping]],Sales_Data[[#This Row],[Sales with Discount]],Sales_Data[[#This Row],[Sales with Free Shipping]])</f>
        <v>30.302399999999999</v>
      </c>
      <c r="O1708" s="1" t="str">
        <f>TEXT(Sales_Data[[#This Row],[Order Date]], "MM-YYYY")</f>
        <v>04-2019</v>
      </c>
    </row>
    <row r="1709" spans="1:15" x14ac:dyDescent="0.3">
      <c r="A1709" s="1">
        <v>20579</v>
      </c>
      <c r="B1709" s="2">
        <v>43739</v>
      </c>
      <c r="C1709" s="1" t="s">
        <v>14</v>
      </c>
      <c r="D1709" s="1">
        <v>16</v>
      </c>
      <c r="E1709" t="s">
        <v>19</v>
      </c>
      <c r="F1709" t="s">
        <v>19</v>
      </c>
      <c r="G1709" s="1">
        <v>1534.47</v>
      </c>
      <c r="H1709">
        <v>0</v>
      </c>
      <c r="I1709">
        <f>Sales_Data[[#This Row],[Sales]]*Sales_Data[[#This Row],[Discount]]</f>
        <v>0</v>
      </c>
      <c r="J1709">
        <v>1534.47</v>
      </c>
      <c r="K1709" s="1">
        <v>9.6</v>
      </c>
      <c r="L1709" s="1">
        <v>1534.47</v>
      </c>
      <c r="M1709" s="1" t="s">
        <v>10</v>
      </c>
      <c r="N1709" s="1">
        <f>IF(Sales_Data[[#This Row],[Sales with Discount]]&lt;Sales_Data[[#This Row],[Sales with Free Shipping]],Sales_Data[[#This Row],[Sales with Discount]],Sales_Data[[#This Row],[Sales with Free Shipping]])</f>
        <v>1534.47</v>
      </c>
      <c r="O1709" s="1" t="str">
        <f>TEXT(Sales_Data[[#This Row],[Order Date]], "MM-YYYY")</f>
        <v>10-2019</v>
      </c>
    </row>
    <row r="1710" spans="1:15" x14ac:dyDescent="0.3">
      <c r="A1710" s="1">
        <v>49927</v>
      </c>
      <c r="B1710" s="2">
        <v>43666</v>
      </c>
      <c r="C1710" s="1" t="s">
        <v>11</v>
      </c>
      <c r="D1710" s="1">
        <v>28</v>
      </c>
      <c r="E1710" t="s">
        <v>20</v>
      </c>
      <c r="F1710" t="s">
        <v>20</v>
      </c>
      <c r="G1710" s="1">
        <v>213.49</v>
      </c>
      <c r="H1710">
        <v>0</v>
      </c>
      <c r="I1710">
        <f>Sales_Data[[#This Row],[Sales]]*Sales_Data[[#This Row],[Discount]]</f>
        <v>0</v>
      </c>
      <c r="J1710">
        <v>213.49</v>
      </c>
      <c r="K1710" s="1">
        <v>4.3</v>
      </c>
      <c r="L1710" s="1">
        <v>213.49</v>
      </c>
      <c r="M1710" s="1" t="s">
        <v>10</v>
      </c>
      <c r="N1710" s="1">
        <f>IF(Sales_Data[[#This Row],[Sales with Discount]]&lt;Sales_Data[[#This Row],[Sales with Free Shipping]],Sales_Data[[#This Row],[Sales with Discount]],Sales_Data[[#This Row],[Sales with Free Shipping]])</f>
        <v>213.49</v>
      </c>
      <c r="O1710" s="1" t="str">
        <f>TEXT(Sales_Data[[#This Row],[Order Date]], "MM-YYYY")</f>
        <v>07-2019</v>
      </c>
    </row>
    <row r="1711" spans="1:15" x14ac:dyDescent="0.3">
      <c r="A1711" s="1">
        <v>39877</v>
      </c>
      <c r="B1711" s="2">
        <v>43693</v>
      </c>
      <c r="C1711" s="1" t="s">
        <v>12</v>
      </c>
      <c r="D1711" s="1">
        <v>41</v>
      </c>
      <c r="E1711" t="s">
        <v>23</v>
      </c>
      <c r="F1711" t="s">
        <v>23</v>
      </c>
      <c r="G1711" s="1">
        <v>97.24</v>
      </c>
      <c r="H1711">
        <v>0.01</v>
      </c>
      <c r="I1711">
        <f>Sales_Data[[#This Row],[Sales]]*Sales_Data[[#This Row],[Discount]]</f>
        <v>0.97239999999999993</v>
      </c>
      <c r="J1711">
        <v>96.267599999999987</v>
      </c>
      <c r="K1711" s="1">
        <v>0.8</v>
      </c>
      <c r="L1711" s="1">
        <v>96.44</v>
      </c>
      <c r="M1711" s="1" t="s">
        <v>10</v>
      </c>
      <c r="N1711" s="1">
        <f>IF(Sales_Data[[#This Row],[Sales with Discount]]&lt;Sales_Data[[#This Row],[Sales with Free Shipping]],Sales_Data[[#This Row],[Sales with Discount]],Sales_Data[[#This Row],[Sales with Free Shipping]])</f>
        <v>96.267599999999987</v>
      </c>
      <c r="O1711" s="1" t="str">
        <f>TEXT(Sales_Data[[#This Row],[Order Date]], "MM-YYYY")</f>
        <v>08-2019</v>
      </c>
    </row>
    <row r="1712" spans="1:15" x14ac:dyDescent="0.3">
      <c r="A1712" s="1">
        <v>24390</v>
      </c>
      <c r="B1712" s="2">
        <v>43622</v>
      </c>
      <c r="C1712" s="1" t="s">
        <v>7</v>
      </c>
      <c r="D1712" s="1">
        <v>2</v>
      </c>
      <c r="E1712" t="s">
        <v>16</v>
      </c>
      <c r="F1712" t="s">
        <v>16</v>
      </c>
      <c r="G1712" s="1">
        <v>115.21</v>
      </c>
      <c r="H1712">
        <v>0</v>
      </c>
      <c r="I1712">
        <f>Sales_Data[[#This Row],[Sales]]*Sales_Data[[#This Row],[Discount]]</f>
        <v>0</v>
      </c>
      <c r="J1712">
        <v>115.21</v>
      </c>
      <c r="K1712" s="1">
        <v>7</v>
      </c>
      <c r="L1712" s="1">
        <v>115.21</v>
      </c>
      <c r="M1712" s="1" t="s">
        <v>8</v>
      </c>
      <c r="N1712" s="1">
        <f>IF(Sales_Data[[#This Row],[Sales with Discount]]&lt;Sales_Data[[#This Row],[Sales with Free Shipping]],Sales_Data[[#This Row],[Sales with Discount]],Sales_Data[[#This Row],[Sales with Free Shipping]])</f>
        <v>115.21</v>
      </c>
      <c r="O1712" s="1" t="str">
        <f>TEXT(Sales_Data[[#This Row],[Order Date]], "MM-YYYY")</f>
        <v>06-2019</v>
      </c>
    </row>
    <row r="1713" spans="1:15" x14ac:dyDescent="0.3">
      <c r="A1713" s="1">
        <v>2022</v>
      </c>
      <c r="B1713" s="2">
        <v>43538</v>
      </c>
      <c r="C1713" s="1" t="s">
        <v>12</v>
      </c>
      <c r="D1713" s="1">
        <v>45</v>
      </c>
      <c r="E1713" t="s">
        <v>23</v>
      </c>
      <c r="F1713" t="s">
        <v>23</v>
      </c>
      <c r="G1713" s="1">
        <v>199.49</v>
      </c>
      <c r="H1713">
        <v>0.01</v>
      </c>
      <c r="I1713">
        <f>Sales_Data[[#This Row],[Sales]]*Sales_Data[[#This Row],[Discount]]</f>
        <v>1.9949000000000001</v>
      </c>
      <c r="J1713">
        <v>197.49510000000001</v>
      </c>
      <c r="K1713" s="1">
        <v>5.5</v>
      </c>
      <c r="L1713" s="1">
        <v>193.99</v>
      </c>
      <c r="M1713" s="1" t="s">
        <v>10</v>
      </c>
      <c r="N1713" s="1">
        <f>IF(Sales_Data[[#This Row],[Sales with Discount]]&lt;Sales_Data[[#This Row],[Sales with Free Shipping]],Sales_Data[[#This Row],[Sales with Discount]],Sales_Data[[#This Row],[Sales with Free Shipping]])</f>
        <v>193.99</v>
      </c>
      <c r="O1713" s="1" t="str">
        <f>TEXT(Sales_Data[[#This Row],[Order Date]], "MM-YYYY")</f>
        <v>03-2019</v>
      </c>
    </row>
    <row r="1714" spans="1:15" x14ac:dyDescent="0.3">
      <c r="A1714" s="1">
        <v>39266</v>
      </c>
      <c r="B1714" s="2">
        <v>43704</v>
      </c>
      <c r="C1714" s="1" t="s">
        <v>9</v>
      </c>
      <c r="D1714" s="1">
        <v>16</v>
      </c>
      <c r="E1714" t="s">
        <v>19</v>
      </c>
      <c r="F1714" t="s">
        <v>19</v>
      </c>
      <c r="G1714" s="1">
        <v>1049.95</v>
      </c>
      <c r="H1714">
        <v>0</v>
      </c>
      <c r="I1714">
        <f>Sales_Data[[#This Row],[Sales]]*Sales_Data[[#This Row],[Discount]]</f>
        <v>0</v>
      </c>
      <c r="J1714">
        <v>1049.95</v>
      </c>
      <c r="K1714" s="1">
        <v>52.4</v>
      </c>
      <c r="L1714" s="1">
        <v>1049.95</v>
      </c>
      <c r="M1714" s="1" t="s">
        <v>10</v>
      </c>
      <c r="N1714" s="1">
        <f>IF(Sales_Data[[#This Row],[Sales with Discount]]&lt;Sales_Data[[#This Row],[Sales with Free Shipping]],Sales_Data[[#This Row],[Sales with Discount]],Sales_Data[[#This Row],[Sales with Free Shipping]])</f>
        <v>1049.95</v>
      </c>
      <c r="O1714" s="1" t="str">
        <f>TEXT(Sales_Data[[#This Row],[Order Date]], "MM-YYYY")</f>
        <v>08-2019</v>
      </c>
    </row>
    <row r="1715" spans="1:15" x14ac:dyDescent="0.3">
      <c r="A1715" s="1">
        <v>15781</v>
      </c>
      <c r="B1715" s="2">
        <v>43711</v>
      </c>
      <c r="C1715" s="1" t="s">
        <v>9</v>
      </c>
      <c r="D1715" s="1">
        <v>29</v>
      </c>
      <c r="E1715" t="s">
        <v>20</v>
      </c>
      <c r="F1715" t="s">
        <v>20</v>
      </c>
      <c r="G1715" s="1">
        <v>882.23</v>
      </c>
      <c r="H1715">
        <v>0</v>
      </c>
      <c r="I1715">
        <f>Sales_Data[[#This Row],[Sales]]*Sales_Data[[#This Row],[Discount]]</f>
        <v>0</v>
      </c>
      <c r="J1715">
        <v>882.23</v>
      </c>
      <c r="K1715" s="1">
        <v>4.3</v>
      </c>
      <c r="L1715" s="1">
        <v>882.23</v>
      </c>
      <c r="M1715" s="1" t="s">
        <v>10</v>
      </c>
      <c r="N1715" s="1">
        <f>IF(Sales_Data[[#This Row],[Sales with Discount]]&lt;Sales_Data[[#This Row],[Sales with Free Shipping]],Sales_Data[[#This Row],[Sales with Discount]],Sales_Data[[#This Row],[Sales with Free Shipping]])</f>
        <v>882.23</v>
      </c>
      <c r="O1715" s="1" t="str">
        <f>TEXT(Sales_Data[[#This Row],[Order Date]], "MM-YYYY")</f>
        <v>09-2019</v>
      </c>
    </row>
    <row r="1716" spans="1:15" x14ac:dyDescent="0.3">
      <c r="A1716" s="1">
        <v>4896</v>
      </c>
      <c r="B1716" s="2">
        <v>43698</v>
      </c>
      <c r="C1716" s="1" t="s">
        <v>12</v>
      </c>
      <c r="D1716" s="1">
        <v>10</v>
      </c>
      <c r="E1716" t="s">
        <v>17</v>
      </c>
      <c r="F1716" t="s">
        <v>17</v>
      </c>
      <c r="G1716" s="1">
        <v>1166.1609000000001</v>
      </c>
      <c r="H1716">
        <v>0</v>
      </c>
      <c r="I1716">
        <f>Sales_Data[[#This Row],[Sales]]*Sales_Data[[#This Row],[Discount]]</f>
        <v>0</v>
      </c>
      <c r="J1716">
        <v>1166.1609000000001</v>
      </c>
      <c r="K1716" s="1">
        <v>6.4</v>
      </c>
      <c r="L1716" s="1">
        <v>1166.1609000000001</v>
      </c>
      <c r="M1716" s="1" t="s">
        <v>8</v>
      </c>
      <c r="N1716" s="1">
        <f>IF(Sales_Data[[#This Row],[Sales with Discount]]&lt;Sales_Data[[#This Row],[Sales with Free Shipping]],Sales_Data[[#This Row],[Sales with Discount]],Sales_Data[[#This Row],[Sales with Free Shipping]])</f>
        <v>1166.1609000000001</v>
      </c>
      <c r="O1716" s="1" t="str">
        <f>TEXT(Sales_Data[[#This Row],[Order Date]], "MM-YYYY")</f>
        <v>08-2019</v>
      </c>
    </row>
    <row r="1717" spans="1:15" x14ac:dyDescent="0.3">
      <c r="A1717" s="1">
        <v>40289</v>
      </c>
      <c r="B1717" s="2">
        <v>43795</v>
      </c>
      <c r="C1717" s="1" t="s">
        <v>11</v>
      </c>
      <c r="D1717" s="1">
        <v>4</v>
      </c>
      <c r="E1717" t="s">
        <v>16</v>
      </c>
      <c r="F1717" t="s">
        <v>16</v>
      </c>
      <c r="G1717" s="1">
        <v>45.76</v>
      </c>
      <c r="H1717">
        <v>0</v>
      </c>
      <c r="I1717">
        <f>Sales_Data[[#This Row],[Sales]]*Sales_Data[[#This Row],[Discount]]</f>
        <v>0</v>
      </c>
      <c r="J1717">
        <v>45.76</v>
      </c>
      <c r="K1717" s="1">
        <v>2.4</v>
      </c>
      <c r="L1717" s="1">
        <v>45.76</v>
      </c>
      <c r="M1717" s="1" t="s">
        <v>10</v>
      </c>
      <c r="N1717" s="1">
        <f>IF(Sales_Data[[#This Row],[Sales with Discount]]&lt;Sales_Data[[#This Row],[Sales with Free Shipping]],Sales_Data[[#This Row],[Sales with Discount]],Sales_Data[[#This Row],[Sales with Free Shipping]])</f>
        <v>45.76</v>
      </c>
      <c r="O1717" s="1" t="str">
        <f>TEXT(Sales_Data[[#This Row],[Order Date]], "MM-YYYY")</f>
        <v>11-2019</v>
      </c>
    </row>
    <row r="1718" spans="1:15" x14ac:dyDescent="0.3">
      <c r="A1718" s="1">
        <v>46048</v>
      </c>
      <c r="B1718" s="2">
        <v>43810</v>
      </c>
      <c r="C1718" s="1" t="s">
        <v>14</v>
      </c>
      <c r="D1718" s="1">
        <v>35</v>
      </c>
      <c r="E1718" t="s">
        <v>21</v>
      </c>
      <c r="F1718" t="s">
        <v>21</v>
      </c>
      <c r="G1718" s="1">
        <v>478.56</v>
      </c>
      <c r="H1718">
        <v>0</v>
      </c>
      <c r="I1718">
        <f>Sales_Data[[#This Row],[Sales]]*Sales_Data[[#This Row],[Discount]]</f>
        <v>0</v>
      </c>
      <c r="J1718">
        <v>478.56</v>
      </c>
      <c r="K1718" s="1">
        <v>4.8</v>
      </c>
      <c r="L1718" s="1">
        <v>478.56</v>
      </c>
      <c r="M1718" s="1" t="s">
        <v>10</v>
      </c>
      <c r="N1718" s="1">
        <f>IF(Sales_Data[[#This Row],[Sales with Discount]]&lt;Sales_Data[[#This Row],[Sales with Free Shipping]],Sales_Data[[#This Row],[Sales with Discount]],Sales_Data[[#This Row],[Sales with Free Shipping]])</f>
        <v>478.56</v>
      </c>
      <c r="O1718" s="1" t="str">
        <f>TEXT(Sales_Data[[#This Row],[Order Date]], "MM-YYYY")</f>
        <v>12-2019</v>
      </c>
    </row>
    <row r="1719" spans="1:15" x14ac:dyDescent="0.3">
      <c r="A1719" s="1">
        <v>26726</v>
      </c>
      <c r="B1719" s="2">
        <v>43826</v>
      </c>
      <c r="C1719" s="1" t="s">
        <v>9</v>
      </c>
      <c r="D1719" s="1">
        <v>37</v>
      </c>
      <c r="E1719" t="s">
        <v>22</v>
      </c>
      <c r="F1719" t="s">
        <v>22</v>
      </c>
      <c r="G1719" s="1">
        <v>185.2277</v>
      </c>
      <c r="H1719">
        <v>0.01</v>
      </c>
      <c r="I1719">
        <f>Sales_Data[[#This Row],[Sales]]*Sales_Data[[#This Row],[Discount]]</f>
        <v>1.852277</v>
      </c>
      <c r="J1719">
        <v>183.37542299999998</v>
      </c>
      <c r="K1719" s="1">
        <v>5.5</v>
      </c>
      <c r="L1719" s="1">
        <v>179.7277</v>
      </c>
      <c r="M1719" s="1" t="s">
        <v>10</v>
      </c>
      <c r="N1719" s="1">
        <f>IF(Sales_Data[[#This Row],[Sales with Discount]]&lt;Sales_Data[[#This Row],[Sales with Free Shipping]],Sales_Data[[#This Row],[Sales with Discount]],Sales_Data[[#This Row],[Sales with Free Shipping]])</f>
        <v>179.7277</v>
      </c>
      <c r="O1719" s="1" t="str">
        <f>TEXT(Sales_Data[[#This Row],[Order Date]], "MM-YYYY")</f>
        <v>12-2019</v>
      </c>
    </row>
    <row r="1720" spans="1:15" x14ac:dyDescent="0.3">
      <c r="A1720" s="1">
        <v>30597</v>
      </c>
      <c r="B1720" s="2">
        <v>43682</v>
      </c>
      <c r="C1720" s="1" t="s">
        <v>9</v>
      </c>
      <c r="D1720" s="1">
        <v>18</v>
      </c>
      <c r="E1720" t="s">
        <v>19</v>
      </c>
      <c r="F1720" t="s">
        <v>19</v>
      </c>
      <c r="G1720" s="1">
        <v>99.53</v>
      </c>
      <c r="H1720">
        <v>0</v>
      </c>
      <c r="I1720">
        <f>Sales_Data[[#This Row],[Sales]]*Sales_Data[[#This Row],[Discount]]</f>
        <v>0</v>
      </c>
      <c r="J1720">
        <v>99.53</v>
      </c>
      <c r="K1720" s="1">
        <v>2.2000000000000002</v>
      </c>
      <c r="L1720" s="1">
        <v>99.53</v>
      </c>
      <c r="M1720" s="1" t="s">
        <v>10</v>
      </c>
      <c r="N1720" s="1">
        <f>IF(Sales_Data[[#This Row],[Sales with Discount]]&lt;Sales_Data[[#This Row],[Sales with Free Shipping]],Sales_Data[[#This Row],[Sales with Discount]],Sales_Data[[#This Row],[Sales with Free Shipping]])</f>
        <v>99.53</v>
      </c>
      <c r="O1720" s="1" t="str">
        <f>TEXT(Sales_Data[[#This Row],[Order Date]], "MM-YYYY")</f>
        <v>08-2019</v>
      </c>
    </row>
    <row r="1721" spans="1:15" x14ac:dyDescent="0.3">
      <c r="A1721" s="1">
        <v>26691</v>
      </c>
      <c r="B1721" s="2">
        <v>43680</v>
      </c>
      <c r="C1721" s="1" t="s">
        <v>11</v>
      </c>
      <c r="D1721" s="1">
        <v>37</v>
      </c>
      <c r="E1721" t="s">
        <v>22</v>
      </c>
      <c r="F1721" t="s">
        <v>22</v>
      </c>
      <c r="G1721" s="1">
        <v>289.36</v>
      </c>
      <c r="H1721">
        <v>0.01</v>
      </c>
      <c r="I1721">
        <f>Sales_Data[[#This Row],[Sales]]*Sales_Data[[#This Row],[Discount]]</f>
        <v>2.8936000000000002</v>
      </c>
      <c r="J1721">
        <v>286.46640000000002</v>
      </c>
      <c r="K1721" s="1">
        <v>6.6</v>
      </c>
      <c r="L1721" s="1">
        <v>282.76</v>
      </c>
      <c r="M1721" s="1" t="s">
        <v>10</v>
      </c>
      <c r="N1721" s="1">
        <f>IF(Sales_Data[[#This Row],[Sales with Discount]]&lt;Sales_Data[[#This Row],[Sales with Free Shipping]],Sales_Data[[#This Row],[Sales with Discount]],Sales_Data[[#This Row],[Sales with Free Shipping]])</f>
        <v>282.76</v>
      </c>
      <c r="O1721" s="1" t="str">
        <f>TEXT(Sales_Data[[#This Row],[Order Date]], "MM-YYYY")</f>
        <v>08-2019</v>
      </c>
    </row>
    <row r="1722" spans="1:15" x14ac:dyDescent="0.3">
      <c r="A1722" s="1">
        <v>52516</v>
      </c>
      <c r="B1722" s="2">
        <v>43469</v>
      </c>
      <c r="C1722" s="1" t="s">
        <v>9</v>
      </c>
      <c r="D1722" s="1">
        <v>19</v>
      </c>
      <c r="E1722" t="s">
        <v>19</v>
      </c>
      <c r="F1722" t="s">
        <v>19</v>
      </c>
      <c r="G1722" s="1">
        <v>205.86</v>
      </c>
      <c r="H1722">
        <v>0</v>
      </c>
      <c r="I1722">
        <f>Sales_Data[[#This Row],[Sales]]*Sales_Data[[#This Row],[Discount]]</f>
        <v>0</v>
      </c>
      <c r="J1722">
        <v>205.86</v>
      </c>
      <c r="K1722" s="1">
        <v>5</v>
      </c>
      <c r="L1722" s="1">
        <v>205.86</v>
      </c>
      <c r="M1722" s="1" t="s">
        <v>8</v>
      </c>
      <c r="N1722" s="1">
        <f>IF(Sales_Data[[#This Row],[Sales with Discount]]&lt;Sales_Data[[#This Row],[Sales with Free Shipping]],Sales_Data[[#This Row],[Sales with Discount]],Sales_Data[[#This Row],[Sales with Free Shipping]])</f>
        <v>205.86</v>
      </c>
      <c r="O1722" s="1" t="str">
        <f>TEXT(Sales_Data[[#This Row],[Order Date]], "MM-YYYY")</f>
        <v>01-2019</v>
      </c>
    </row>
    <row r="1723" spans="1:15" x14ac:dyDescent="0.3">
      <c r="A1723" s="1">
        <v>21634</v>
      </c>
      <c r="B1723" s="2">
        <v>43766</v>
      </c>
      <c r="C1723" s="1" t="s">
        <v>11</v>
      </c>
      <c r="D1723" s="1">
        <v>1</v>
      </c>
      <c r="E1723" t="s">
        <v>16</v>
      </c>
      <c r="F1723" t="s">
        <v>16</v>
      </c>
      <c r="G1723" s="1">
        <v>2082.81</v>
      </c>
      <c r="H1723">
        <v>0</v>
      </c>
      <c r="I1723">
        <f>Sales_Data[[#This Row],[Sales]]*Sales_Data[[#This Row],[Discount]]</f>
        <v>0</v>
      </c>
      <c r="J1723">
        <v>2082.81</v>
      </c>
      <c r="K1723" s="1">
        <v>15</v>
      </c>
      <c r="L1723" s="1">
        <v>2082.81</v>
      </c>
      <c r="M1723" s="1" t="s">
        <v>10</v>
      </c>
      <c r="N1723" s="1">
        <f>IF(Sales_Data[[#This Row],[Sales with Discount]]&lt;Sales_Data[[#This Row],[Sales with Free Shipping]],Sales_Data[[#This Row],[Sales with Discount]],Sales_Data[[#This Row],[Sales with Free Shipping]])</f>
        <v>2082.81</v>
      </c>
      <c r="O1723" s="1" t="str">
        <f>TEXT(Sales_Data[[#This Row],[Order Date]], "MM-YYYY")</f>
        <v>10-2019</v>
      </c>
    </row>
    <row r="1724" spans="1:15" x14ac:dyDescent="0.3">
      <c r="A1724" s="1">
        <v>28165</v>
      </c>
      <c r="B1724" s="2">
        <v>43655</v>
      </c>
      <c r="C1724" s="1" t="s">
        <v>11</v>
      </c>
      <c r="D1724" s="1">
        <v>2</v>
      </c>
      <c r="E1724" t="s">
        <v>16</v>
      </c>
      <c r="F1724" t="s">
        <v>16</v>
      </c>
      <c r="G1724" s="1">
        <v>26.71</v>
      </c>
      <c r="H1724">
        <v>0</v>
      </c>
      <c r="I1724">
        <f>Sales_Data[[#This Row],[Sales]]*Sales_Data[[#This Row],[Discount]]</f>
        <v>0</v>
      </c>
      <c r="J1724">
        <v>26.71</v>
      </c>
      <c r="K1724" s="1">
        <v>3.2</v>
      </c>
      <c r="L1724" s="1">
        <v>26.71</v>
      </c>
      <c r="M1724" s="1" t="s">
        <v>10</v>
      </c>
      <c r="N1724" s="1">
        <f>IF(Sales_Data[[#This Row],[Sales with Discount]]&lt;Sales_Data[[#This Row],[Sales with Free Shipping]],Sales_Data[[#This Row],[Sales with Discount]],Sales_Data[[#This Row],[Sales with Free Shipping]])</f>
        <v>26.71</v>
      </c>
      <c r="O1724" s="1" t="str">
        <f>TEXT(Sales_Data[[#This Row],[Order Date]], "MM-YYYY")</f>
        <v>07-2019</v>
      </c>
    </row>
    <row r="1725" spans="1:15" x14ac:dyDescent="0.3">
      <c r="A1725" s="1">
        <v>6529</v>
      </c>
      <c r="B1725" s="2">
        <v>43795</v>
      </c>
      <c r="C1725" s="1" t="s">
        <v>14</v>
      </c>
      <c r="D1725" s="1">
        <v>35</v>
      </c>
      <c r="E1725" t="s">
        <v>21</v>
      </c>
      <c r="F1725" t="s">
        <v>21</v>
      </c>
      <c r="G1725" s="1">
        <v>95.99</v>
      </c>
      <c r="H1725">
        <v>0</v>
      </c>
      <c r="I1725">
        <f>Sales_Data[[#This Row],[Sales]]*Sales_Data[[#This Row],[Discount]]</f>
        <v>0</v>
      </c>
      <c r="J1725">
        <v>95.99</v>
      </c>
      <c r="K1725" s="1">
        <v>0.9</v>
      </c>
      <c r="L1725" s="1">
        <v>95.99</v>
      </c>
      <c r="M1725" s="1" t="s">
        <v>10</v>
      </c>
      <c r="N1725" s="1">
        <f>IF(Sales_Data[[#This Row],[Sales with Discount]]&lt;Sales_Data[[#This Row],[Sales with Free Shipping]],Sales_Data[[#This Row],[Sales with Discount]],Sales_Data[[#This Row],[Sales with Free Shipping]])</f>
        <v>95.99</v>
      </c>
      <c r="O1725" s="1" t="str">
        <f>TEXT(Sales_Data[[#This Row],[Order Date]], "MM-YYYY")</f>
        <v>11-2019</v>
      </c>
    </row>
    <row r="1726" spans="1:15" x14ac:dyDescent="0.3">
      <c r="A1726" s="1">
        <v>48067</v>
      </c>
      <c r="B1726" s="2">
        <v>43645</v>
      </c>
      <c r="C1726" s="1" t="s">
        <v>7</v>
      </c>
      <c r="D1726" s="1">
        <v>24</v>
      </c>
      <c r="E1726" t="s">
        <v>14</v>
      </c>
      <c r="F1726" t="s">
        <v>14</v>
      </c>
      <c r="G1726" s="1">
        <v>4291.7</v>
      </c>
      <c r="H1726">
        <v>0</v>
      </c>
      <c r="I1726">
        <f>Sales_Data[[#This Row],[Sales]]*Sales_Data[[#This Row],[Discount]]</f>
        <v>0</v>
      </c>
      <c r="J1726">
        <v>4291.7</v>
      </c>
      <c r="K1726" s="1">
        <v>9.6</v>
      </c>
      <c r="L1726" s="1">
        <v>4291.7</v>
      </c>
      <c r="M1726" s="1" t="s">
        <v>8</v>
      </c>
      <c r="N1726" s="1">
        <f>IF(Sales_Data[[#This Row],[Sales with Discount]]&lt;Sales_Data[[#This Row],[Sales with Free Shipping]],Sales_Data[[#This Row],[Sales with Discount]],Sales_Data[[#This Row],[Sales with Free Shipping]])</f>
        <v>4291.7</v>
      </c>
      <c r="O1726" s="1" t="str">
        <f>TEXT(Sales_Data[[#This Row],[Order Date]], "MM-YYYY")</f>
        <v>06-2019</v>
      </c>
    </row>
    <row r="1727" spans="1:15" x14ac:dyDescent="0.3">
      <c r="A1727" s="1">
        <v>11269</v>
      </c>
      <c r="B1727" s="2">
        <v>43611</v>
      </c>
      <c r="C1727" s="1" t="s">
        <v>7</v>
      </c>
      <c r="D1727" s="1">
        <v>1</v>
      </c>
      <c r="E1727" t="s">
        <v>16</v>
      </c>
      <c r="F1727" t="s">
        <v>16</v>
      </c>
      <c r="G1727" s="1">
        <v>50.3</v>
      </c>
      <c r="H1727">
        <v>0</v>
      </c>
      <c r="I1727">
        <f>Sales_Data[[#This Row],[Sales]]*Sales_Data[[#This Row],[Discount]]</f>
        <v>0</v>
      </c>
      <c r="J1727">
        <v>50.3</v>
      </c>
      <c r="K1727" s="1">
        <v>21.4</v>
      </c>
      <c r="L1727" s="1">
        <v>50.3</v>
      </c>
      <c r="M1727" s="1" t="s">
        <v>10</v>
      </c>
      <c r="N1727" s="1">
        <f>IF(Sales_Data[[#This Row],[Sales with Discount]]&lt;Sales_Data[[#This Row],[Sales with Free Shipping]],Sales_Data[[#This Row],[Sales with Discount]],Sales_Data[[#This Row],[Sales with Free Shipping]])</f>
        <v>50.3</v>
      </c>
      <c r="O1727" s="1" t="str">
        <f>TEXT(Sales_Data[[#This Row],[Order Date]], "MM-YYYY")</f>
        <v>05-2019</v>
      </c>
    </row>
    <row r="1728" spans="1:15" x14ac:dyDescent="0.3">
      <c r="A1728" s="1">
        <v>36101</v>
      </c>
      <c r="B1728" s="2">
        <v>43697</v>
      </c>
      <c r="C1728" s="1" t="s">
        <v>9</v>
      </c>
      <c r="D1728" s="1">
        <v>3</v>
      </c>
      <c r="E1728" t="s">
        <v>16</v>
      </c>
      <c r="F1728" t="s">
        <v>16</v>
      </c>
      <c r="G1728" s="1">
        <v>477.27</v>
      </c>
      <c r="H1728">
        <v>0</v>
      </c>
      <c r="I1728">
        <f>Sales_Data[[#This Row],[Sales]]*Sales_Data[[#This Row],[Discount]]</f>
        <v>0</v>
      </c>
      <c r="J1728">
        <v>477.27</v>
      </c>
      <c r="K1728" s="1">
        <v>57.2</v>
      </c>
      <c r="L1728" s="1">
        <v>477.27</v>
      </c>
      <c r="M1728" s="1" t="s">
        <v>13</v>
      </c>
      <c r="N1728" s="1">
        <f>IF(Sales_Data[[#This Row],[Sales with Discount]]&lt;Sales_Data[[#This Row],[Sales with Free Shipping]],Sales_Data[[#This Row],[Sales with Discount]],Sales_Data[[#This Row],[Sales with Free Shipping]])</f>
        <v>477.27</v>
      </c>
      <c r="O1728" s="1" t="str">
        <f>TEXT(Sales_Data[[#This Row],[Order Date]], "MM-YYYY")</f>
        <v>08-2019</v>
      </c>
    </row>
    <row r="1729" spans="1:15" x14ac:dyDescent="0.3">
      <c r="A1729" s="1">
        <v>47591</v>
      </c>
      <c r="B1729" s="2">
        <v>43466</v>
      </c>
      <c r="C1729" s="1" t="s">
        <v>12</v>
      </c>
      <c r="D1729" s="1">
        <v>27</v>
      </c>
      <c r="E1729" t="s">
        <v>20</v>
      </c>
      <c r="F1729" t="s">
        <v>20</v>
      </c>
      <c r="G1729" s="1">
        <v>298.95999999999998</v>
      </c>
      <c r="H1729">
        <v>0</v>
      </c>
      <c r="I1729">
        <f>Sales_Data[[#This Row],[Sales]]*Sales_Data[[#This Row],[Discount]]</f>
        <v>0</v>
      </c>
      <c r="J1729">
        <v>298.95999999999998</v>
      </c>
      <c r="K1729" s="1">
        <v>7.4</v>
      </c>
      <c r="L1729" s="1">
        <v>298.95999999999998</v>
      </c>
      <c r="M1729" s="1" t="s">
        <v>10</v>
      </c>
      <c r="N1729" s="1">
        <f>IF(Sales_Data[[#This Row],[Sales with Discount]]&lt;Sales_Data[[#This Row],[Sales with Free Shipping]],Sales_Data[[#This Row],[Sales with Discount]],Sales_Data[[#This Row],[Sales with Free Shipping]])</f>
        <v>298.95999999999998</v>
      </c>
      <c r="O1729" s="1" t="str">
        <f>TEXT(Sales_Data[[#This Row],[Order Date]], "MM-YYYY")</f>
        <v>01-2019</v>
      </c>
    </row>
    <row r="1730" spans="1:15" x14ac:dyDescent="0.3">
      <c r="A1730" s="1">
        <v>38498</v>
      </c>
      <c r="B1730" s="2">
        <v>43582</v>
      </c>
      <c r="C1730" s="1" t="s">
        <v>12</v>
      </c>
      <c r="D1730" s="1">
        <v>30</v>
      </c>
      <c r="E1730" t="s">
        <v>20</v>
      </c>
      <c r="F1730" t="s">
        <v>20</v>
      </c>
      <c r="G1730" s="1">
        <v>3525.81</v>
      </c>
      <c r="H1730">
        <v>0</v>
      </c>
      <c r="I1730">
        <f>Sales_Data[[#This Row],[Sales]]*Sales_Data[[#This Row],[Discount]]</f>
        <v>0</v>
      </c>
      <c r="J1730">
        <v>3525.81</v>
      </c>
      <c r="K1730" s="1">
        <v>2.1</v>
      </c>
      <c r="L1730" s="1">
        <v>3525.81</v>
      </c>
      <c r="M1730" s="1" t="s">
        <v>10</v>
      </c>
      <c r="N1730" s="1">
        <f>IF(Sales_Data[[#This Row],[Sales with Discount]]&lt;Sales_Data[[#This Row],[Sales with Free Shipping]],Sales_Data[[#This Row],[Sales with Discount]],Sales_Data[[#This Row],[Sales with Free Shipping]])</f>
        <v>3525.81</v>
      </c>
      <c r="O1730" s="1" t="str">
        <f>TEXT(Sales_Data[[#This Row],[Order Date]], "MM-YYYY")</f>
        <v>04-2019</v>
      </c>
    </row>
    <row r="1731" spans="1:15" x14ac:dyDescent="0.3">
      <c r="A1731" s="1">
        <v>21827</v>
      </c>
      <c r="B1731" s="2">
        <v>43778</v>
      </c>
      <c r="C1731" s="1" t="s">
        <v>11</v>
      </c>
      <c r="D1731" s="1">
        <v>25</v>
      </c>
      <c r="E1731" t="s">
        <v>14</v>
      </c>
      <c r="F1731" t="s">
        <v>14</v>
      </c>
      <c r="G1731" s="1">
        <v>1446.4</v>
      </c>
      <c r="H1731">
        <v>0</v>
      </c>
      <c r="I1731">
        <f>Sales_Data[[#This Row],[Sales]]*Sales_Data[[#This Row],[Discount]]</f>
        <v>0</v>
      </c>
      <c r="J1731">
        <v>1446.4</v>
      </c>
      <c r="K1731" s="1">
        <v>14.1</v>
      </c>
      <c r="L1731" s="1">
        <v>1446.4</v>
      </c>
      <c r="M1731" s="1" t="s">
        <v>10</v>
      </c>
      <c r="N1731" s="1">
        <f>IF(Sales_Data[[#This Row],[Sales with Discount]]&lt;Sales_Data[[#This Row],[Sales with Free Shipping]],Sales_Data[[#This Row],[Sales with Discount]],Sales_Data[[#This Row],[Sales with Free Shipping]])</f>
        <v>1446.4</v>
      </c>
      <c r="O1731" s="1" t="str">
        <f>TEXT(Sales_Data[[#This Row],[Order Date]], "MM-YYYY")</f>
        <v>11-2019</v>
      </c>
    </row>
    <row r="1732" spans="1:15" x14ac:dyDescent="0.3">
      <c r="A1732" s="1">
        <v>481</v>
      </c>
      <c r="B1732" s="2">
        <v>43745</v>
      </c>
      <c r="C1732" s="1" t="s">
        <v>9</v>
      </c>
      <c r="D1732" s="1">
        <v>44</v>
      </c>
      <c r="E1732" t="s">
        <v>23</v>
      </c>
      <c r="F1732" t="s">
        <v>23</v>
      </c>
      <c r="G1732" s="1">
        <v>4825.03</v>
      </c>
      <c r="H1732">
        <v>0.01</v>
      </c>
      <c r="I1732">
        <f>Sales_Data[[#This Row],[Sales]]*Sales_Data[[#This Row],[Discount]]</f>
        <v>48.250299999999996</v>
      </c>
      <c r="J1732">
        <v>4776.7797</v>
      </c>
      <c r="K1732" s="1">
        <v>5.6</v>
      </c>
      <c r="L1732" s="1">
        <v>4819.4299999999994</v>
      </c>
      <c r="M1732" s="1" t="s">
        <v>10</v>
      </c>
      <c r="N1732" s="1">
        <f>IF(Sales_Data[[#This Row],[Sales with Discount]]&lt;Sales_Data[[#This Row],[Sales with Free Shipping]],Sales_Data[[#This Row],[Sales with Discount]],Sales_Data[[#This Row],[Sales with Free Shipping]])</f>
        <v>4776.7797</v>
      </c>
      <c r="O1732" s="1" t="str">
        <f>TEXT(Sales_Data[[#This Row],[Order Date]], "MM-YYYY")</f>
        <v>10-2019</v>
      </c>
    </row>
    <row r="1733" spans="1:15" x14ac:dyDescent="0.3">
      <c r="A1733" s="1">
        <v>19745</v>
      </c>
      <c r="B1733" s="2">
        <v>43817</v>
      </c>
      <c r="C1733" s="1" t="s">
        <v>9</v>
      </c>
      <c r="D1733" s="1">
        <v>2</v>
      </c>
      <c r="E1733" t="s">
        <v>16</v>
      </c>
      <c r="F1733" t="s">
        <v>16</v>
      </c>
      <c r="G1733" s="1">
        <v>68.44</v>
      </c>
      <c r="H1733">
        <v>0</v>
      </c>
      <c r="I1733">
        <f>Sales_Data[[#This Row],[Sales]]*Sales_Data[[#This Row],[Discount]]</f>
        <v>0</v>
      </c>
      <c r="J1733">
        <v>68.44</v>
      </c>
      <c r="K1733" s="1">
        <v>2.1</v>
      </c>
      <c r="L1733" s="1">
        <v>68.44</v>
      </c>
      <c r="M1733" s="1" t="s">
        <v>10</v>
      </c>
      <c r="N1733" s="1">
        <f>IF(Sales_Data[[#This Row],[Sales with Discount]]&lt;Sales_Data[[#This Row],[Sales with Free Shipping]],Sales_Data[[#This Row],[Sales with Discount]],Sales_Data[[#This Row],[Sales with Free Shipping]])</f>
        <v>68.44</v>
      </c>
      <c r="O1733" s="1" t="str">
        <f>TEXT(Sales_Data[[#This Row],[Order Date]], "MM-YYYY")</f>
        <v>12-2019</v>
      </c>
    </row>
    <row r="1734" spans="1:15" x14ac:dyDescent="0.3">
      <c r="A1734" s="1">
        <v>57600</v>
      </c>
      <c r="B1734" s="2">
        <v>43780</v>
      </c>
      <c r="C1734" s="1" t="s">
        <v>12</v>
      </c>
      <c r="D1734" s="1">
        <v>32</v>
      </c>
      <c r="E1734" t="s">
        <v>21</v>
      </c>
      <c r="F1734" t="s">
        <v>21</v>
      </c>
      <c r="G1734" s="1">
        <v>2013.87</v>
      </c>
      <c r="H1734">
        <v>0</v>
      </c>
      <c r="I1734">
        <f>Sales_Data[[#This Row],[Sales]]*Sales_Data[[#This Row],[Discount]]</f>
        <v>0</v>
      </c>
      <c r="J1734">
        <v>2013.87</v>
      </c>
      <c r="K1734" s="1">
        <v>11</v>
      </c>
      <c r="L1734" s="1">
        <v>2013.87</v>
      </c>
      <c r="M1734" s="1" t="s">
        <v>10</v>
      </c>
      <c r="N1734" s="1">
        <f>IF(Sales_Data[[#This Row],[Sales with Discount]]&lt;Sales_Data[[#This Row],[Sales with Free Shipping]],Sales_Data[[#This Row],[Sales with Discount]],Sales_Data[[#This Row],[Sales with Free Shipping]])</f>
        <v>2013.87</v>
      </c>
      <c r="O1734" s="1" t="str">
        <f>TEXT(Sales_Data[[#This Row],[Order Date]], "MM-YYYY")</f>
        <v>11-2019</v>
      </c>
    </row>
    <row r="1735" spans="1:15" x14ac:dyDescent="0.3">
      <c r="A1735" s="1">
        <v>31297</v>
      </c>
      <c r="B1735" s="2">
        <v>43695</v>
      </c>
      <c r="C1735" s="1" t="s">
        <v>7</v>
      </c>
      <c r="D1735" s="1">
        <v>39</v>
      </c>
      <c r="E1735" t="s">
        <v>22</v>
      </c>
      <c r="F1735" t="s">
        <v>22</v>
      </c>
      <c r="G1735" s="1">
        <v>727.55</v>
      </c>
      <c r="H1735">
        <v>0.01</v>
      </c>
      <c r="I1735">
        <f>Sales_Data[[#This Row],[Sales]]*Sales_Data[[#This Row],[Discount]]</f>
        <v>7.2755000000000001</v>
      </c>
      <c r="J1735">
        <v>720.27449999999999</v>
      </c>
      <c r="K1735" s="1">
        <v>9.3000000000000007</v>
      </c>
      <c r="L1735" s="1">
        <v>718.25</v>
      </c>
      <c r="M1735" s="1" t="s">
        <v>10</v>
      </c>
      <c r="N1735" s="1">
        <f>IF(Sales_Data[[#This Row],[Sales with Discount]]&lt;Sales_Data[[#This Row],[Sales with Free Shipping]],Sales_Data[[#This Row],[Sales with Discount]],Sales_Data[[#This Row],[Sales with Free Shipping]])</f>
        <v>718.25</v>
      </c>
      <c r="O1735" s="1" t="str">
        <f>TEXT(Sales_Data[[#This Row],[Order Date]], "MM-YYYY")</f>
        <v>08-2019</v>
      </c>
    </row>
    <row r="1736" spans="1:15" x14ac:dyDescent="0.3">
      <c r="A1736" s="1">
        <v>54115</v>
      </c>
      <c r="B1736" s="2">
        <v>43471</v>
      </c>
      <c r="C1736" s="1" t="s">
        <v>7</v>
      </c>
      <c r="D1736" s="1">
        <v>39</v>
      </c>
      <c r="E1736" t="s">
        <v>22</v>
      </c>
      <c r="F1736" t="s">
        <v>22</v>
      </c>
      <c r="G1736" s="1">
        <v>210.91</v>
      </c>
      <c r="H1736">
        <v>0.01</v>
      </c>
      <c r="I1736">
        <f>Sales_Data[[#This Row],[Sales]]*Sales_Data[[#This Row],[Discount]]</f>
        <v>2.1091000000000002</v>
      </c>
      <c r="J1736">
        <v>208.80089999999998</v>
      </c>
      <c r="K1736" s="1">
        <v>5.3</v>
      </c>
      <c r="L1736" s="1">
        <v>205.60999999999999</v>
      </c>
      <c r="M1736" s="1" t="s">
        <v>10</v>
      </c>
      <c r="N1736" s="1">
        <f>IF(Sales_Data[[#This Row],[Sales with Discount]]&lt;Sales_Data[[#This Row],[Sales with Free Shipping]],Sales_Data[[#This Row],[Sales with Discount]],Sales_Data[[#This Row],[Sales with Free Shipping]])</f>
        <v>205.60999999999999</v>
      </c>
      <c r="O1736" s="1" t="str">
        <f>TEXT(Sales_Data[[#This Row],[Order Date]], "MM-YYYY")</f>
        <v>01-2019</v>
      </c>
    </row>
    <row r="1737" spans="1:15" x14ac:dyDescent="0.3">
      <c r="A1737" s="1">
        <v>58181</v>
      </c>
      <c r="B1737" s="2">
        <v>43745</v>
      </c>
      <c r="C1737" s="1" t="s">
        <v>11</v>
      </c>
      <c r="D1737" s="1">
        <v>5</v>
      </c>
      <c r="E1737" t="s">
        <v>16</v>
      </c>
      <c r="F1737" t="s">
        <v>16</v>
      </c>
      <c r="G1737" s="1">
        <v>38.9801</v>
      </c>
      <c r="H1737">
        <v>0</v>
      </c>
      <c r="I1737">
        <f>Sales_Data[[#This Row],[Sales]]*Sales_Data[[#This Row],[Discount]]</f>
        <v>0</v>
      </c>
      <c r="J1737">
        <v>38.9801</v>
      </c>
      <c r="K1737" s="1">
        <v>7.7</v>
      </c>
      <c r="L1737" s="1">
        <v>38.9801</v>
      </c>
      <c r="M1737" s="1" t="s">
        <v>10</v>
      </c>
      <c r="N1737" s="1">
        <f>IF(Sales_Data[[#This Row],[Sales with Discount]]&lt;Sales_Data[[#This Row],[Sales with Free Shipping]],Sales_Data[[#This Row],[Sales with Discount]],Sales_Data[[#This Row],[Sales with Free Shipping]])</f>
        <v>38.9801</v>
      </c>
      <c r="O1737" s="1" t="str">
        <f>TEXT(Sales_Data[[#This Row],[Order Date]], "MM-YYYY")</f>
        <v>10-2019</v>
      </c>
    </row>
    <row r="1738" spans="1:15" x14ac:dyDescent="0.3">
      <c r="A1738" s="1">
        <v>18917</v>
      </c>
      <c r="B1738" s="2">
        <v>43588</v>
      </c>
      <c r="C1738" s="1" t="s">
        <v>12</v>
      </c>
      <c r="D1738" s="1">
        <v>14</v>
      </c>
      <c r="E1738" t="s">
        <v>18</v>
      </c>
      <c r="F1738" t="s">
        <v>18</v>
      </c>
      <c r="G1738" s="1">
        <v>30.84</v>
      </c>
      <c r="H1738">
        <v>0</v>
      </c>
      <c r="I1738">
        <f>Sales_Data[[#This Row],[Sales]]*Sales_Data[[#This Row],[Discount]]</f>
        <v>0</v>
      </c>
      <c r="J1738">
        <v>30.84</v>
      </c>
      <c r="K1738" s="1">
        <v>1.6</v>
      </c>
      <c r="L1738" s="1">
        <v>30.84</v>
      </c>
      <c r="M1738" s="1" t="s">
        <v>10</v>
      </c>
      <c r="N1738" s="1">
        <f>IF(Sales_Data[[#This Row],[Sales with Discount]]&lt;Sales_Data[[#This Row],[Sales with Free Shipping]],Sales_Data[[#This Row],[Sales with Discount]],Sales_Data[[#This Row],[Sales with Free Shipping]])</f>
        <v>30.84</v>
      </c>
      <c r="O1738" s="1" t="str">
        <f>TEXT(Sales_Data[[#This Row],[Order Date]], "MM-YYYY")</f>
        <v>05-2019</v>
      </c>
    </row>
    <row r="1739" spans="1:15" x14ac:dyDescent="0.3">
      <c r="A1739" s="1">
        <v>10951</v>
      </c>
      <c r="B1739" s="2">
        <v>43775</v>
      </c>
      <c r="C1739" s="1" t="s">
        <v>11</v>
      </c>
      <c r="D1739" s="1">
        <v>14</v>
      </c>
      <c r="E1739" t="s">
        <v>18</v>
      </c>
      <c r="F1739" t="s">
        <v>18</v>
      </c>
      <c r="G1739" s="1">
        <v>724.85</v>
      </c>
      <c r="H1739">
        <v>0</v>
      </c>
      <c r="I1739">
        <f>Sales_Data[[#This Row],[Sales]]*Sales_Data[[#This Row],[Discount]]</f>
        <v>0</v>
      </c>
      <c r="J1739">
        <v>724.85</v>
      </c>
      <c r="K1739" s="1">
        <v>23.8</v>
      </c>
      <c r="L1739" s="1">
        <v>724.85</v>
      </c>
      <c r="M1739" s="1" t="s">
        <v>10</v>
      </c>
      <c r="N1739" s="1">
        <f>IF(Sales_Data[[#This Row],[Sales with Discount]]&lt;Sales_Data[[#This Row],[Sales with Free Shipping]],Sales_Data[[#This Row],[Sales with Discount]],Sales_Data[[#This Row],[Sales with Free Shipping]])</f>
        <v>724.85</v>
      </c>
      <c r="O1739" s="1" t="str">
        <f>TEXT(Sales_Data[[#This Row],[Order Date]], "MM-YYYY")</f>
        <v>11-2019</v>
      </c>
    </row>
    <row r="1740" spans="1:15" x14ac:dyDescent="0.3">
      <c r="A1740" s="1">
        <v>9473</v>
      </c>
      <c r="B1740" s="2">
        <v>43749</v>
      </c>
      <c r="C1740" s="1" t="s">
        <v>11</v>
      </c>
      <c r="D1740" s="1">
        <v>3</v>
      </c>
      <c r="E1740" t="s">
        <v>16</v>
      </c>
      <c r="F1740" t="s">
        <v>16</v>
      </c>
      <c r="G1740" s="1">
        <v>34.19</v>
      </c>
      <c r="H1740">
        <v>0</v>
      </c>
      <c r="I1740">
        <f>Sales_Data[[#This Row],[Sales]]*Sales_Data[[#This Row],[Discount]]</f>
        <v>0</v>
      </c>
      <c r="J1740">
        <v>34.19</v>
      </c>
      <c r="K1740" s="1">
        <v>9.6</v>
      </c>
      <c r="L1740" s="1">
        <v>34.19</v>
      </c>
      <c r="M1740" s="1" t="s">
        <v>10</v>
      </c>
      <c r="N1740" s="1">
        <f>IF(Sales_Data[[#This Row],[Sales with Discount]]&lt;Sales_Data[[#This Row],[Sales with Free Shipping]],Sales_Data[[#This Row],[Sales with Discount]],Sales_Data[[#This Row],[Sales with Free Shipping]])</f>
        <v>34.19</v>
      </c>
      <c r="O1740" s="1" t="str">
        <f>TEXT(Sales_Data[[#This Row],[Order Date]], "MM-YYYY")</f>
        <v>10-2019</v>
      </c>
    </row>
    <row r="1741" spans="1:15" x14ac:dyDescent="0.3">
      <c r="A1741" s="1">
        <v>25443</v>
      </c>
      <c r="B1741" s="2">
        <v>43730</v>
      </c>
      <c r="C1741" s="1" t="s">
        <v>14</v>
      </c>
      <c r="D1741" s="1">
        <v>33</v>
      </c>
      <c r="E1741" t="s">
        <v>21</v>
      </c>
      <c r="F1741" t="s">
        <v>21</v>
      </c>
      <c r="G1741" s="1">
        <v>610.16</v>
      </c>
      <c r="H1741">
        <v>0</v>
      </c>
      <c r="I1741">
        <f>Sales_Data[[#This Row],[Sales]]*Sales_Data[[#This Row],[Discount]]</f>
        <v>0</v>
      </c>
      <c r="J1741">
        <v>610.16</v>
      </c>
      <c r="K1741" s="1">
        <v>12.1</v>
      </c>
      <c r="L1741" s="1">
        <v>610.16</v>
      </c>
      <c r="M1741" s="1" t="s">
        <v>10</v>
      </c>
      <c r="N1741" s="1">
        <f>IF(Sales_Data[[#This Row],[Sales with Discount]]&lt;Sales_Data[[#This Row],[Sales with Free Shipping]],Sales_Data[[#This Row],[Sales with Discount]],Sales_Data[[#This Row],[Sales with Free Shipping]])</f>
        <v>610.16</v>
      </c>
      <c r="O1741" s="1" t="str">
        <f>TEXT(Sales_Data[[#This Row],[Order Date]], "MM-YYYY")</f>
        <v>09-2019</v>
      </c>
    </row>
    <row r="1742" spans="1:15" x14ac:dyDescent="0.3">
      <c r="A1742" s="1">
        <v>13923</v>
      </c>
      <c r="B1742" s="2">
        <v>43654</v>
      </c>
      <c r="C1742" s="1" t="s">
        <v>9</v>
      </c>
      <c r="D1742" s="1">
        <v>39</v>
      </c>
      <c r="E1742" t="s">
        <v>22</v>
      </c>
      <c r="F1742" t="s">
        <v>22</v>
      </c>
      <c r="G1742" s="1">
        <v>235.5</v>
      </c>
      <c r="H1742">
        <v>0.01</v>
      </c>
      <c r="I1742">
        <f>Sales_Data[[#This Row],[Sales]]*Sales_Data[[#This Row],[Discount]]</f>
        <v>2.355</v>
      </c>
      <c r="J1742">
        <v>233.14500000000001</v>
      </c>
      <c r="K1742" s="1">
        <v>52.4</v>
      </c>
      <c r="L1742" s="1">
        <v>183.1</v>
      </c>
      <c r="M1742" s="1" t="s">
        <v>10</v>
      </c>
      <c r="N1742" s="1">
        <f>IF(Sales_Data[[#This Row],[Sales with Discount]]&lt;Sales_Data[[#This Row],[Sales with Free Shipping]],Sales_Data[[#This Row],[Sales with Discount]],Sales_Data[[#This Row],[Sales with Free Shipping]])</f>
        <v>183.1</v>
      </c>
      <c r="O1742" s="1" t="str">
        <f>TEXT(Sales_Data[[#This Row],[Order Date]], "MM-YYYY")</f>
        <v>07-2019</v>
      </c>
    </row>
    <row r="1743" spans="1:15" x14ac:dyDescent="0.3">
      <c r="A1743" s="1">
        <v>18757</v>
      </c>
      <c r="B1743" s="2">
        <v>43607</v>
      </c>
      <c r="C1743" s="1" t="s">
        <v>7</v>
      </c>
      <c r="D1743" s="1">
        <v>5</v>
      </c>
      <c r="E1743" t="s">
        <v>16</v>
      </c>
      <c r="F1743" t="s">
        <v>16</v>
      </c>
      <c r="G1743" s="1">
        <v>42.69</v>
      </c>
      <c r="H1743">
        <v>0</v>
      </c>
      <c r="I1743">
        <f>Sales_Data[[#This Row],[Sales]]*Sales_Data[[#This Row],[Discount]]</f>
        <v>0</v>
      </c>
      <c r="J1743">
        <v>42.69</v>
      </c>
      <c r="K1743" s="1">
        <v>10.6</v>
      </c>
      <c r="L1743" s="1">
        <v>42.69</v>
      </c>
      <c r="M1743" s="1" t="s">
        <v>10</v>
      </c>
      <c r="N1743" s="1">
        <f>IF(Sales_Data[[#This Row],[Sales with Discount]]&lt;Sales_Data[[#This Row],[Sales with Free Shipping]],Sales_Data[[#This Row],[Sales with Discount]],Sales_Data[[#This Row],[Sales with Free Shipping]])</f>
        <v>42.69</v>
      </c>
      <c r="O1743" s="1" t="str">
        <f>TEXT(Sales_Data[[#This Row],[Order Date]], "MM-YYYY")</f>
        <v>05-2019</v>
      </c>
    </row>
    <row r="1744" spans="1:15" x14ac:dyDescent="0.3">
      <c r="A1744" s="1">
        <v>19653</v>
      </c>
      <c r="B1744" s="2">
        <v>43719</v>
      </c>
      <c r="C1744" s="1" t="s">
        <v>11</v>
      </c>
      <c r="D1744" s="1">
        <v>34</v>
      </c>
      <c r="E1744" t="s">
        <v>21</v>
      </c>
      <c r="F1744" t="s">
        <v>21</v>
      </c>
      <c r="G1744" s="1">
        <v>134.2422</v>
      </c>
      <c r="H1744">
        <v>0</v>
      </c>
      <c r="I1744">
        <f>Sales_Data[[#This Row],[Sales]]*Sales_Data[[#This Row],[Discount]]</f>
        <v>0</v>
      </c>
      <c r="J1744">
        <v>134.2422</v>
      </c>
      <c r="K1744" s="1">
        <v>5.9</v>
      </c>
      <c r="L1744" s="1">
        <v>134.2422</v>
      </c>
      <c r="M1744" s="1" t="s">
        <v>10</v>
      </c>
      <c r="N1744" s="1">
        <f>IF(Sales_Data[[#This Row],[Sales with Discount]]&lt;Sales_Data[[#This Row],[Sales with Free Shipping]],Sales_Data[[#This Row],[Sales with Discount]],Sales_Data[[#This Row],[Sales with Free Shipping]])</f>
        <v>134.2422</v>
      </c>
      <c r="O1744" s="1" t="str">
        <f>TEXT(Sales_Data[[#This Row],[Order Date]], "MM-YYYY")</f>
        <v>09-2019</v>
      </c>
    </row>
    <row r="1745" spans="1:15" x14ac:dyDescent="0.3">
      <c r="A1745" s="1">
        <v>21860</v>
      </c>
      <c r="B1745" s="2">
        <v>43583</v>
      </c>
      <c r="C1745" s="1" t="s">
        <v>12</v>
      </c>
      <c r="D1745" s="1">
        <v>9</v>
      </c>
      <c r="E1745" t="s">
        <v>17</v>
      </c>
      <c r="F1745" t="s">
        <v>17</v>
      </c>
      <c r="G1745" s="1">
        <v>78.86</v>
      </c>
      <c r="H1745">
        <v>0</v>
      </c>
      <c r="I1745">
        <f>Sales_Data[[#This Row],[Sales]]*Sales_Data[[#This Row],[Discount]]</f>
        <v>0</v>
      </c>
      <c r="J1745">
        <v>78.86</v>
      </c>
      <c r="K1745" s="1">
        <v>4.3</v>
      </c>
      <c r="L1745" s="1">
        <v>78.86</v>
      </c>
      <c r="M1745" s="1" t="s">
        <v>8</v>
      </c>
      <c r="N1745" s="1">
        <f>IF(Sales_Data[[#This Row],[Sales with Discount]]&lt;Sales_Data[[#This Row],[Sales with Free Shipping]],Sales_Data[[#This Row],[Sales with Discount]],Sales_Data[[#This Row],[Sales with Free Shipping]])</f>
        <v>78.86</v>
      </c>
      <c r="O1745" s="1" t="str">
        <f>TEXT(Sales_Data[[#This Row],[Order Date]], "MM-YYYY")</f>
        <v>04-2019</v>
      </c>
    </row>
    <row r="1746" spans="1:15" x14ac:dyDescent="0.3">
      <c r="A1746" s="1">
        <v>59015</v>
      </c>
      <c r="B1746" s="2">
        <v>43611</v>
      </c>
      <c r="C1746" s="1" t="s">
        <v>14</v>
      </c>
      <c r="D1746" s="1">
        <v>32</v>
      </c>
      <c r="E1746" t="s">
        <v>21</v>
      </c>
      <c r="F1746" t="s">
        <v>21</v>
      </c>
      <c r="G1746" s="1">
        <v>1778.69</v>
      </c>
      <c r="H1746">
        <v>0</v>
      </c>
      <c r="I1746">
        <f>Sales_Data[[#This Row],[Sales]]*Sales_Data[[#This Row],[Discount]]</f>
        <v>0</v>
      </c>
      <c r="J1746">
        <v>1778.69</v>
      </c>
      <c r="K1746" s="1">
        <v>6.2</v>
      </c>
      <c r="L1746" s="1">
        <v>1778.69</v>
      </c>
      <c r="M1746" s="1" t="s">
        <v>10</v>
      </c>
      <c r="N1746" s="1">
        <f>IF(Sales_Data[[#This Row],[Sales with Discount]]&lt;Sales_Data[[#This Row],[Sales with Free Shipping]],Sales_Data[[#This Row],[Sales with Discount]],Sales_Data[[#This Row],[Sales with Free Shipping]])</f>
        <v>1778.69</v>
      </c>
      <c r="O1746" s="1" t="str">
        <f>TEXT(Sales_Data[[#This Row],[Order Date]], "MM-YYYY")</f>
        <v>05-2019</v>
      </c>
    </row>
    <row r="1747" spans="1:15" x14ac:dyDescent="0.3">
      <c r="A1747" s="1">
        <v>18464</v>
      </c>
      <c r="B1747" s="2">
        <v>43552</v>
      </c>
      <c r="C1747" s="1" t="s">
        <v>9</v>
      </c>
      <c r="D1747" s="1">
        <v>41</v>
      </c>
      <c r="E1747" t="s">
        <v>23</v>
      </c>
      <c r="F1747" t="s">
        <v>23</v>
      </c>
      <c r="G1747" s="1">
        <v>86.18</v>
      </c>
      <c r="H1747">
        <v>0.01</v>
      </c>
      <c r="I1747">
        <f>Sales_Data[[#This Row],[Sales]]*Sales_Data[[#This Row],[Discount]]</f>
        <v>0.86180000000000012</v>
      </c>
      <c r="J1747">
        <v>85.318200000000004</v>
      </c>
      <c r="K1747" s="1">
        <v>0.8</v>
      </c>
      <c r="L1747" s="1">
        <v>85.38000000000001</v>
      </c>
      <c r="M1747" s="1" t="s">
        <v>10</v>
      </c>
      <c r="N1747" s="1">
        <f>IF(Sales_Data[[#This Row],[Sales with Discount]]&lt;Sales_Data[[#This Row],[Sales with Free Shipping]],Sales_Data[[#This Row],[Sales with Discount]],Sales_Data[[#This Row],[Sales with Free Shipping]])</f>
        <v>85.318200000000004</v>
      </c>
      <c r="O1747" s="1" t="str">
        <f>TEXT(Sales_Data[[#This Row],[Order Date]], "MM-YYYY")</f>
        <v>03-2019</v>
      </c>
    </row>
    <row r="1748" spans="1:15" x14ac:dyDescent="0.3">
      <c r="A1748" s="1">
        <v>39876</v>
      </c>
      <c r="B1748" s="2">
        <v>43568</v>
      </c>
      <c r="C1748" s="1" t="s">
        <v>9</v>
      </c>
      <c r="D1748" s="1">
        <v>41</v>
      </c>
      <c r="E1748" t="s">
        <v>23</v>
      </c>
      <c r="F1748" t="s">
        <v>23</v>
      </c>
      <c r="G1748" s="1">
        <v>5350.93</v>
      </c>
      <c r="H1748">
        <v>0.01</v>
      </c>
      <c r="I1748">
        <f>Sales_Data[[#This Row],[Sales]]*Sales_Data[[#This Row],[Discount]]</f>
        <v>53.509300000000003</v>
      </c>
      <c r="J1748">
        <v>5297.4207000000006</v>
      </c>
      <c r="K1748" s="1">
        <v>55.6</v>
      </c>
      <c r="L1748" s="1">
        <v>5295.33</v>
      </c>
      <c r="M1748" s="1" t="s">
        <v>13</v>
      </c>
      <c r="N1748" s="1">
        <f>IF(Sales_Data[[#This Row],[Sales with Discount]]&lt;Sales_Data[[#This Row],[Sales with Free Shipping]],Sales_Data[[#This Row],[Sales with Discount]],Sales_Data[[#This Row],[Sales with Free Shipping]])</f>
        <v>5295.33</v>
      </c>
      <c r="O1748" s="1" t="str">
        <f>TEXT(Sales_Data[[#This Row],[Order Date]], "MM-YYYY")</f>
        <v>04-2019</v>
      </c>
    </row>
    <row r="1749" spans="1:15" x14ac:dyDescent="0.3">
      <c r="A1749" s="1">
        <v>36833</v>
      </c>
      <c r="B1749" s="2">
        <v>43657</v>
      </c>
      <c r="C1749" s="1" t="s">
        <v>7</v>
      </c>
      <c r="D1749" s="1">
        <v>25</v>
      </c>
      <c r="E1749" t="s">
        <v>14</v>
      </c>
      <c r="F1749" t="s">
        <v>14</v>
      </c>
      <c r="G1749" s="1">
        <v>197.22</v>
      </c>
      <c r="H1749">
        <v>0</v>
      </c>
      <c r="I1749">
        <f>Sales_Data[[#This Row],[Sales]]*Sales_Data[[#This Row],[Discount]]</f>
        <v>0</v>
      </c>
      <c r="J1749">
        <v>197.22</v>
      </c>
      <c r="K1749" s="1">
        <v>7.8</v>
      </c>
      <c r="L1749" s="1">
        <v>197.22</v>
      </c>
      <c r="M1749" s="1" t="s">
        <v>10</v>
      </c>
      <c r="N1749" s="1">
        <f>IF(Sales_Data[[#This Row],[Sales with Discount]]&lt;Sales_Data[[#This Row],[Sales with Free Shipping]],Sales_Data[[#This Row],[Sales with Discount]],Sales_Data[[#This Row],[Sales with Free Shipping]])</f>
        <v>197.22</v>
      </c>
      <c r="O1749" s="1" t="str">
        <f>TEXT(Sales_Data[[#This Row],[Order Date]], "MM-YYYY")</f>
        <v>07-2019</v>
      </c>
    </row>
    <row r="1750" spans="1:15" x14ac:dyDescent="0.3">
      <c r="A1750" s="1">
        <v>51205</v>
      </c>
      <c r="B1750" s="2">
        <v>43809</v>
      </c>
      <c r="C1750" s="1" t="s">
        <v>9</v>
      </c>
      <c r="D1750" s="1">
        <v>5</v>
      </c>
      <c r="E1750" t="s">
        <v>16</v>
      </c>
      <c r="F1750" t="s">
        <v>16</v>
      </c>
      <c r="G1750" s="1">
        <v>241.52</v>
      </c>
      <c r="H1750">
        <v>0</v>
      </c>
      <c r="I1750">
        <f>Sales_Data[[#This Row],[Sales]]*Sales_Data[[#This Row],[Discount]]</f>
        <v>0</v>
      </c>
      <c r="J1750">
        <v>241.52</v>
      </c>
      <c r="K1750" s="1">
        <v>10.5</v>
      </c>
      <c r="L1750" s="1">
        <v>241.52</v>
      </c>
      <c r="M1750" s="1" t="s">
        <v>10</v>
      </c>
      <c r="N1750" s="1">
        <f>IF(Sales_Data[[#This Row],[Sales with Discount]]&lt;Sales_Data[[#This Row],[Sales with Free Shipping]],Sales_Data[[#This Row],[Sales with Discount]],Sales_Data[[#This Row],[Sales with Free Shipping]])</f>
        <v>241.52</v>
      </c>
      <c r="O1750" s="1" t="str">
        <f>TEXT(Sales_Data[[#This Row],[Order Date]], "MM-YYYY")</f>
        <v>12-2019</v>
      </c>
    </row>
    <row r="1751" spans="1:15" x14ac:dyDescent="0.3">
      <c r="A1751" s="1">
        <v>34086</v>
      </c>
      <c r="B1751" s="2">
        <v>43584</v>
      </c>
      <c r="C1751" s="1" t="s">
        <v>9</v>
      </c>
      <c r="D1751" s="1">
        <v>41</v>
      </c>
      <c r="E1751" t="s">
        <v>23</v>
      </c>
      <c r="F1751" t="s">
        <v>23</v>
      </c>
      <c r="G1751" s="1">
        <v>2409.5473999999999</v>
      </c>
      <c r="H1751">
        <v>0.01</v>
      </c>
      <c r="I1751">
        <f>Sales_Data[[#This Row],[Sales]]*Sales_Data[[#This Row],[Discount]]</f>
        <v>24.095473999999999</v>
      </c>
      <c r="J1751">
        <v>2385.4519259999997</v>
      </c>
      <c r="K1751" s="1">
        <v>2.7</v>
      </c>
      <c r="L1751" s="1">
        <v>2406.8474000000001</v>
      </c>
      <c r="M1751" s="1" t="s">
        <v>10</v>
      </c>
      <c r="N1751" s="1">
        <f>IF(Sales_Data[[#This Row],[Sales with Discount]]&lt;Sales_Data[[#This Row],[Sales with Free Shipping]],Sales_Data[[#This Row],[Sales with Discount]],Sales_Data[[#This Row],[Sales with Free Shipping]])</f>
        <v>2385.4519259999997</v>
      </c>
      <c r="O1751" s="1" t="str">
        <f>TEXT(Sales_Data[[#This Row],[Order Date]], "MM-YYYY")</f>
        <v>04-2019</v>
      </c>
    </row>
    <row r="1752" spans="1:15" x14ac:dyDescent="0.3">
      <c r="A1752" s="1">
        <v>52068</v>
      </c>
      <c r="B1752" s="2">
        <v>43477</v>
      </c>
      <c r="C1752" s="1" t="s">
        <v>11</v>
      </c>
      <c r="D1752" s="1">
        <v>21</v>
      </c>
      <c r="E1752" t="s">
        <v>14</v>
      </c>
      <c r="F1752" t="s">
        <v>14</v>
      </c>
      <c r="G1752" s="1">
        <v>1302.73</v>
      </c>
      <c r="H1752">
        <v>0</v>
      </c>
      <c r="I1752">
        <f>Sales_Data[[#This Row],[Sales]]*Sales_Data[[#This Row],[Discount]]</f>
        <v>0</v>
      </c>
      <c r="J1752">
        <v>1302.73</v>
      </c>
      <c r="K1752" s="1">
        <v>39.200000000000003</v>
      </c>
      <c r="L1752" s="1">
        <v>1302.73</v>
      </c>
      <c r="M1752" s="1" t="s">
        <v>13</v>
      </c>
      <c r="N1752" s="1">
        <f>IF(Sales_Data[[#This Row],[Sales with Discount]]&lt;Sales_Data[[#This Row],[Sales with Free Shipping]],Sales_Data[[#This Row],[Sales with Discount]],Sales_Data[[#This Row],[Sales with Free Shipping]])</f>
        <v>1302.73</v>
      </c>
      <c r="O1752" s="1" t="str">
        <f>TEXT(Sales_Data[[#This Row],[Order Date]], "MM-YYYY")</f>
        <v>01-2019</v>
      </c>
    </row>
    <row r="1753" spans="1:15" x14ac:dyDescent="0.3">
      <c r="A1753" s="1">
        <v>4578</v>
      </c>
      <c r="B1753" s="2">
        <v>43720</v>
      </c>
      <c r="C1753" s="1" t="s">
        <v>7</v>
      </c>
      <c r="D1753" s="1">
        <v>15</v>
      </c>
      <c r="E1753" t="s">
        <v>18</v>
      </c>
      <c r="F1753" t="s">
        <v>18</v>
      </c>
      <c r="G1753" s="1">
        <v>315.29000000000002</v>
      </c>
      <c r="H1753">
        <v>0</v>
      </c>
      <c r="I1753">
        <f>Sales_Data[[#This Row],[Sales]]*Sales_Data[[#This Row],[Discount]]</f>
        <v>0</v>
      </c>
      <c r="J1753">
        <v>315.29000000000002</v>
      </c>
      <c r="K1753" s="1">
        <v>7.1</v>
      </c>
      <c r="L1753" s="1">
        <v>315.29000000000002</v>
      </c>
      <c r="M1753" s="1" t="s">
        <v>10</v>
      </c>
      <c r="N1753" s="1">
        <f>IF(Sales_Data[[#This Row],[Sales with Discount]]&lt;Sales_Data[[#This Row],[Sales with Free Shipping]],Sales_Data[[#This Row],[Sales with Discount]],Sales_Data[[#This Row],[Sales with Free Shipping]])</f>
        <v>315.29000000000002</v>
      </c>
      <c r="O1753" s="1" t="str">
        <f>TEXT(Sales_Data[[#This Row],[Order Date]], "MM-YYYY")</f>
        <v>09-2019</v>
      </c>
    </row>
    <row r="1754" spans="1:15" x14ac:dyDescent="0.3">
      <c r="A1754" s="1">
        <v>8231</v>
      </c>
      <c r="B1754" s="2">
        <v>43756</v>
      </c>
      <c r="C1754" s="1" t="s">
        <v>12</v>
      </c>
      <c r="D1754" s="1">
        <v>5</v>
      </c>
      <c r="E1754" t="s">
        <v>16</v>
      </c>
      <c r="F1754" t="s">
        <v>16</v>
      </c>
      <c r="G1754" s="1">
        <v>117.73</v>
      </c>
      <c r="H1754">
        <v>0</v>
      </c>
      <c r="I1754">
        <f>Sales_Data[[#This Row],[Sales]]*Sales_Data[[#This Row],[Discount]]</f>
        <v>0</v>
      </c>
      <c r="J1754">
        <v>117.73</v>
      </c>
      <c r="K1754" s="1">
        <v>11.2</v>
      </c>
      <c r="L1754" s="1">
        <v>117.73</v>
      </c>
      <c r="M1754" s="1" t="s">
        <v>10</v>
      </c>
      <c r="N1754" s="1">
        <f>IF(Sales_Data[[#This Row],[Sales with Discount]]&lt;Sales_Data[[#This Row],[Sales with Free Shipping]],Sales_Data[[#This Row],[Sales with Discount]],Sales_Data[[#This Row],[Sales with Free Shipping]])</f>
        <v>117.73</v>
      </c>
      <c r="O1754" s="1" t="str">
        <f>TEXT(Sales_Data[[#This Row],[Order Date]], "MM-YYYY")</f>
        <v>10-2019</v>
      </c>
    </row>
    <row r="1755" spans="1:15" x14ac:dyDescent="0.3">
      <c r="A1755" s="1">
        <v>44992</v>
      </c>
      <c r="B1755" s="2">
        <v>43823</v>
      </c>
      <c r="C1755" s="1" t="s">
        <v>12</v>
      </c>
      <c r="D1755" s="1">
        <v>32</v>
      </c>
      <c r="E1755" t="s">
        <v>21</v>
      </c>
      <c r="F1755" t="s">
        <v>21</v>
      </c>
      <c r="G1755" s="1">
        <v>1790.68</v>
      </c>
      <c r="H1755">
        <v>0</v>
      </c>
      <c r="I1755">
        <f>Sales_Data[[#This Row],[Sales]]*Sales_Data[[#This Row],[Discount]]</f>
        <v>0</v>
      </c>
      <c r="J1755">
        <v>1790.68</v>
      </c>
      <c r="K1755" s="1">
        <v>10.9</v>
      </c>
      <c r="L1755" s="1">
        <v>1790.68</v>
      </c>
      <c r="M1755" s="1" t="s">
        <v>10</v>
      </c>
      <c r="N1755" s="1">
        <f>IF(Sales_Data[[#This Row],[Sales with Discount]]&lt;Sales_Data[[#This Row],[Sales with Free Shipping]],Sales_Data[[#This Row],[Sales with Discount]],Sales_Data[[#This Row],[Sales with Free Shipping]])</f>
        <v>1790.68</v>
      </c>
      <c r="O1755" s="1" t="str">
        <f>TEXT(Sales_Data[[#This Row],[Order Date]], "MM-YYYY")</f>
        <v>12-2019</v>
      </c>
    </row>
    <row r="1756" spans="1:15" x14ac:dyDescent="0.3">
      <c r="A1756" s="1">
        <v>44679</v>
      </c>
      <c r="B1756" s="2">
        <v>43619</v>
      </c>
      <c r="C1756" s="1" t="s">
        <v>14</v>
      </c>
      <c r="D1756" s="1">
        <v>22</v>
      </c>
      <c r="E1756" t="s">
        <v>14</v>
      </c>
      <c r="F1756" t="s">
        <v>14</v>
      </c>
      <c r="G1756" s="1">
        <v>136.4357</v>
      </c>
      <c r="H1756">
        <v>0</v>
      </c>
      <c r="I1756">
        <f>Sales_Data[[#This Row],[Sales]]*Sales_Data[[#This Row],[Discount]]</f>
        <v>0</v>
      </c>
      <c r="J1756">
        <v>136.4357</v>
      </c>
      <c r="K1756" s="1">
        <v>1.6</v>
      </c>
      <c r="L1756" s="1">
        <v>136.4357</v>
      </c>
      <c r="M1756" s="1" t="s">
        <v>10</v>
      </c>
      <c r="N1756" s="1">
        <f>IF(Sales_Data[[#This Row],[Sales with Discount]]&lt;Sales_Data[[#This Row],[Sales with Free Shipping]],Sales_Data[[#This Row],[Sales with Discount]],Sales_Data[[#This Row],[Sales with Free Shipping]])</f>
        <v>136.4357</v>
      </c>
      <c r="O1756" s="1" t="str">
        <f>TEXT(Sales_Data[[#This Row],[Order Date]], "MM-YYYY")</f>
        <v>06-2019</v>
      </c>
    </row>
    <row r="1757" spans="1:15" x14ac:dyDescent="0.3">
      <c r="A1757" s="1">
        <v>43494</v>
      </c>
      <c r="B1757" s="2">
        <v>43467</v>
      </c>
      <c r="C1757" s="1" t="s">
        <v>14</v>
      </c>
      <c r="D1757" s="1">
        <v>2</v>
      </c>
      <c r="E1757" t="s">
        <v>16</v>
      </c>
      <c r="F1757" t="s">
        <v>16</v>
      </c>
      <c r="G1757" s="1">
        <v>3925.06</v>
      </c>
      <c r="H1757">
        <v>0</v>
      </c>
      <c r="I1757">
        <f>Sales_Data[[#This Row],[Sales]]*Sales_Data[[#This Row],[Discount]]</f>
        <v>0</v>
      </c>
      <c r="J1757">
        <v>3925.06</v>
      </c>
      <c r="K1757" s="1">
        <v>15</v>
      </c>
      <c r="L1757" s="1">
        <v>3925.06</v>
      </c>
      <c r="M1757" s="1" t="s">
        <v>10</v>
      </c>
      <c r="N1757" s="1">
        <f>IF(Sales_Data[[#This Row],[Sales with Discount]]&lt;Sales_Data[[#This Row],[Sales with Free Shipping]],Sales_Data[[#This Row],[Sales with Discount]],Sales_Data[[#This Row],[Sales with Free Shipping]])</f>
        <v>3925.06</v>
      </c>
      <c r="O1757" s="1" t="str">
        <f>TEXT(Sales_Data[[#This Row],[Order Date]], "MM-YYYY")</f>
        <v>01-2019</v>
      </c>
    </row>
    <row r="1758" spans="1:15" x14ac:dyDescent="0.3">
      <c r="A1758" s="1">
        <v>26661</v>
      </c>
      <c r="B1758" s="2">
        <v>43818</v>
      </c>
      <c r="C1758" s="1" t="s">
        <v>14</v>
      </c>
      <c r="D1758" s="1">
        <v>31</v>
      </c>
      <c r="E1758" t="s">
        <v>21</v>
      </c>
      <c r="F1758" t="s">
        <v>21</v>
      </c>
      <c r="G1758" s="1">
        <v>1896.28</v>
      </c>
      <c r="H1758">
        <v>0</v>
      </c>
      <c r="I1758">
        <f>Sales_Data[[#This Row],[Sales]]*Sales_Data[[#This Row],[Discount]]</f>
        <v>0</v>
      </c>
      <c r="J1758">
        <v>1896.28</v>
      </c>
      <c r="K1758" s="1">
        <v>5.3</v>
      </c>
      <c r="L1758" s="1">
        <v>1896.28</v>
      </c>
      <c r="M1758" s="1" t="s">
        <v>10</v>
      </c>
      <c r="N1758" s="1">
        <f>IF(Sales_Data[[#This Row],[Sales with Discount]]&lt;Sales_Data[[#This Row],[Sales with Free Shipping]],Sales_Data[[#This Row],[Sales with Discount]],Sales_Data[[#This Row],[Sales with Free Shipping]])</f>
        <v>1896.28</v>
      </c>
      <c r="O1758" s="1" t="str">
        <f>TEXT(Sales_Data[[#This Row],[Order Date]], "MM-YYYY")</f>
        <v>12-2019</v>
      </c>
    </row>
    <row r="1759" spans="1:15" x14ac:dyDescent="0.3">
      <c r="A1759" s="1">
        <v>194</v>
      </c>
      <c r="B1759" s="2">
        <v>43559</v>
      </c>
      <c r="C1759" s="1" t="s">
        <v>14</v>
      </c>
      <c r="D1759" s="1">
        <v>49</v>
      </c>
      <c r="E1759" t="s">
        <v>24</v>
      </c>
      <c r="F1759" t="s">
        <v>24</v>
      </c>
      <c r="G1759" s="1">
        <v>352.06</v>
      </c>
      <c r="H1759">
        <v>0.01</v>
      </c>
      <c r="I1759">
        <f>Sales_Data[[#This Row],[Sales]]*Sales_Data[[#This Row],[Discount]]</f>
        <v>3.5206</v>
      </c>
      <c r="J1759">
        <v>348.5394</v>
      </c>
      <c r="K1759" s="1">
        <v>8.5</v>
      </c>
      <c r="L1759" s="1">
        <v>343.56</v>
      </c>
      <c r="M1759" s="1" t="s">
        <v>10</v>
      </c>
      <c r="N1759" s="1">
        <f>IF(Sales_Data[[#This Row],[Sales with Discount]]&lt;Sales_Data[[#This Row],[Sales with Free Shipping]],Sales_Data[[#This Row],[Sales with Discount]],Sales_Data[[#This Row],[Sales with Free Shipping]])</f>
        <v>343.56</v>
      </c>
      <c r="O1759" s="1" t="str">
        <f>TEXT(Sales_Data[[#This Row],[Order Date]], "MM-YYYY")</f>
        <v>04-2019</v>
      </c>
    </row>
    <row r="1760" spans="1:15" x14ac:dyDescent="0.3">
      <c r="A1760" s="1">
        <v>27201</v>
      </c>
      <c r="B1760" s="2">
        <v>43671</v>
      </c>
      <c r="C1760" s="1" t="s">
        <v>9</v>
      </c>
      <c r="D1760" s="1">
        <v>10</v>
      </c>
      <c r="E1760" t="s">
        <v>17</v>
      </c>
      <c r="F1760" t="s">
        <v>17</v>
      </c>
      <c r="G1760" s="1">
        <v>5410.87</v>
      </c>
      <c r="H1760">
        <v>0</v>
      </c>
      <c r="I1760">
        <f>Sales_Data[[#This Row],[Sales]]*Sales_Data[[#This Row],[Discount]]</f>
        <v>0</v>
      </c>
      <c r="J1760">
        <v>5410.87</v>
      </c>
      <c r="K1760" s="1">
        <v>27.8</v>
      </c>
      <c r="L1760" s="1">
        <v>5410.87</v>
      </c>
      <c r="M1760" s="1" t="s">
        <v>13</v>
      </c>
      <c r="N1760" s="1">
        <f>IF(Sales_Data[[#This Row],[Sales with Discount]]&lt;Sales_Data[[#This Row],[Sales with Free Shipping]],Sales_Data[[#This Row],[Sales with Discount]],Sales_Data[[#This Row],[Sales with Free Shipping]])</f>
        <v>5410.87</v>
      </c>
      <c r="O1760" s="1" t="str">
        <f>TEXT(Sales_Data[[#This Row],[Order Date]], "MM-YYYY")</f>
        <v>07-2019</v>
      </c>
    </row>
    <row r="1761" spans="1:15" x14ac:dyDescent="0.3">
      <c r="A1761" s="1">
        <v>5409</v>
      </c>
      <c r="B1761" s="2">
        <v>43472</v>
      </c>
      <c r="C1761" s="1" t="s">
        <v>7</v>
      </c>
      <c r="D1761" s="1">
        <v>11</v>
      </c>
      <c r="E1761" t="s">
        <v>18</v>
      </c>
      <c r="F1761" t="s">
        <v>18</v>
      </c>
      <c r="G1761" s="1">
        <v>52.33</v>
      </c>
      <c r="H1761">
        <v>0</v>
      </c>
      <c r="I1761">
        <f>Sales_Data[[#This Row],[Sales]]*Sales_Data[[#This Row],[Discount]]</f>
        <v>0</v>
      </c>
      <c r="J1761">
        <v>52.33</v>
      </c>
      <c r="K1761" s="1">
        <v>3.2</v>
      </c>
      <c r="L1761" s="1">
        <v>52.33</v>
      </c>
      <c r="M1761" s="1" t="s">
        <v>10</v>
      </c>
      <c r="N1761" s="1">
        <f>IF(Sales_Data[[#This Row],[Sales with Discount]]&lt;Sales_Data[[#This Row],[Sales with Free Shipping]],Sales_Data[[#This Row],[Sales with Discount]],Sales_Data[[#This Row],[Sales with Free Shipping]])</f>
        <v>52.33</v>
      </c>
      <c r="O1761" s="1" t="str">
        <f>TEXT(Sales_Data[[#This Row],[Order Date]], "MM-YYYY")</f>
        <v>01-2019</v>
      </c>
    </row>
    <row r="1762" spans="1:15" x14ac:dyDescent="0.3">
      <c r="A1762" s="1">
        <v>51556</v>
      </c>
      <c r="B1762" s="2">
        <v>43765</v>
      </c>
      <c r="C1762" s="1" t="s">
        <v>9</v>
      </c>
      <c r="D1762" s="1">
        <v>10</v>
      </c>
      <c r="E1762" t="s">
        <v>17</v>
      </c>
      <c r="F1762" t="s">
        <v>17</v>
      </c>
      <c r="G1762" s="1">
        <v>48.89</v>
      </c>
      <c r="H1762">
        <v>0</v>
      </c>
      <c r="I1762">
        <f>Sales_Data[[#This Row],[Sales]]*Sales_Data[[#This Row],[Discount]]</f>
        <v>0</v>
      </c>
      <c r="J1762">
        <v>48.89</v>
      </c>
      <c r="K1762" s="1">
        <v>4.5</v>
      </c>
      <c r="L1762" s="1">
        <v>48.89</v>
      </c>
      <c r="M1762" s="1" t="s">
        <v>8</v>
      </c>
      <c r="N1762" s="1">
        <f>IF(Sales_Data[[#This Row],[Sales with Discount]]&lt;Sales_Data[[#This Row],[Sales with Free Shipping]],Sales_Data[[#This Row],[Sales with Discount]],Sales_Data[[#This Row],[Sales with Free Shipping]])</f>
        <v>48.89</v>
      </c>
      <c r="O1762" s="1" t="str">
        <f>TEXT(Sales_Data[[#This Row],[Order Date]], "MM-YYYY")</f>
        <v>10-2019</v>
      </c>
    </row>
    <row r="1763" spans="1:15" x14ac:dyDescent="0.3">
      <c r="A1763" s="1">
        <v>8388</v>
      </c>
      <c r="B1763" s="2">
        <v>43518</v>
      </c>
      <c r="C1763" s="1" t="s">
        <v>7</v>
      </c>
      <c r="D1763" s="1">
        <v>42</v>
      </c>
      <c r="E1763" t="s">
        <v>23</v>
      </c>
      <c r="F1763" t="s">
        <v>23</v>
      </c>
      <c r="G1763" s="1">
        <v>309.12</v>
      </c>
      <c r="H1763">
        <v>0.01</v>
      </c>
      <c r="I1763">
        <f>Sales_Data[[#This Row],[Sales]]*Sales_Data[[#This Row],[Discount]]</f>
        <v>3.0912000000000002</v>
      </c>
      <c r="J1763">
        <v>306.02879999999999</v>
      </c>
      <c r="K1763" s="1">
        <v>1.7</v>
      </c>
      <c r="L1763" s="1">
        <v>307.42</v>
      </c>
      <c r="M1763" s="1" t="s">
        <v>10</v>
      </c>
      <c r="N1763" s="1">
        <f>IF(Sales_Data[[#This Row],[Sales with Discount]]&lt;Sales_Data[[#This Row],[Sales with Free Shipping]],Sales_Data[[#This Row],[Sales with Discount]],Sales_Data[[#This Row],[Sales with Free Shipping]])</f>
        <v>306.02879999999999</v>
      </c>
      <c r="O1763" s="1" t="str">
        <f>TEXT(Sales_Data[[#This Row],[Order Date]], "MM-YYYY")</f>
        <v>02-2019</v>
      </c>
    </row>
    <row r="1764" spans="1:15" x14ac:dyDescent="0.3">
      <c r="A1764" s="1">
        <v>44099</v>
      </c>
      <c r="B1764" s="2">
        <v>43536</v>
      </c>
      <c r="C1764" s="1" t="s">
        <v>14</v>
      </c>
      <c r="D1764" s="1">
        <v>19</v>
      </c>
      <c r="E1764" t="s">
        <v>19</v>
      </c>
      <c r="F1764" t="s">
        <v>19</v>
      </c>
      <c r="G1764" s="1">
        <v>86.47</v>
      </c>
      <c r="H1764">
        <v>0</v>
      </c>
      <c r="I1764">
        <f>Sales_Data[[#This Row],[Sales]]*Sales_Data[[#This Row],[Discount]]</f>
        <v>0</v>
      </c>
      <c r="J1764">
        <v>86.47</v>
      </c>
      <c r="K1764" s="1">
        <v>5.8</v>
      </c>
      <c r="L1764" s="1">
        <v>86.47</v>
      </c>
      <c r="M1764" s="1" t="s">
        <v>10</v>
      </c>
      <c r="N1764" s="1">
        <f>IF(Sales_Data[[#This Row],[Sales with Discount]]&lt;Sales_Data[[#This Row],[Sales with Free Shipping]],Sales_Data[[#This Row],[Sales with Discount]],Sales_Data[[#This Row],[Sales with Free Shipping]])</f>
        <v>86.47</v>
      </c>
      <c r="O1764" s="1" t="str">
        <f>TEXT(Sales_Data[[#This Row],[Order Date]], "MM-YYYY")</f>
        <v>03-2019</v>
      </c>
    </row>
    <row r="1765" spans="1:15" x14ac:dyDescent="0.3">
      <c r="A1765" s="1">
        <v>57152</v>
      </c>
      <c r="B1765" s="2">
        <v>43711</v>
      </c>
      <c r="C1765" s="1" t="s">
        <v>7</v>
      </c>
      <c r="D1765" s="1">
        <v>18</v>
      </c>
      <c r="E1765" t="s">
        <v>19</v>
      </c>
      <c r="F1765" t="s">
        <v>19</v>
      </c>
      <c r="G1765" s="1">
        <v>290.87950000000001</v>
      </c>
      <c r="H1765">
        <v>0</v>
      </c>
      <c r="I1765">
        <f>Sales_Data[[#This Row],[Sales]]*Sales_Data[[#This Row],[Discount]]</f>
        <v>0</v>
      </c>
      <c r="J1765">
        <v>290.87950000000001</v>
      </c>
      <c r="K1765" s="1">
        <v>1.5</v>
      </c>
      <c r="L1765" s="1">
        <v>290.87950000000001</v>
      </c>
      <c r="M1765" s="1" t="s">
        <v>10</v>
      </c>
      <c r="N1765" s="1">
        <f>IF(Sales_Data[[#This Row],[Sales with Discount]]&lt;Sales_Data[[#This Row],[Sales with Free Shipping]],Sales_Data[[#This Row],[Sales with Discount]],Sales_Data[[#This Row],[Sales with Free Shipping]])</f>
        <v>290.87950000000001</v>
      </c>
      <c r="O1765" s="1" t="str">
        <f>TEXT(Sales_Data[[#This Row],[Order Date]], "MM-YYYY")</f>
        <v>09-2019</v>
      </c>
    </row>
    <row r="1766" spans="1:15" x14ac:dyDescent="0.3">
      <c r="A1766" s="1">
        <v>25442</v>
      </c>
      <c r="B1766" s="2">
        <v>43469</v>
      </c>
      <c r="C1766" s="1" t="s">
        <v>9</v>
      </c>
      <c r="D1766" s="1">
        <v>40</v>
      </c>
      <c r="E1766" t="s">
        <v>22</v>
      </c>
      <c r="F1766" t="s">
        <v>22</v>
      </c>
      <c r="G1766" s="1">
        <v>485.76</v>
      </c>
      <c r="H1766">
        <v>0.01</v>
      </c>
      <c r="I1766">
        <f>Sales_Data[[#This Row],[Sales]]*Sales_Data[[#This Row],[Discount]]</f>
        <v>4.8575999999999997</v>
      </c>
      <c r="J1766">
        <v>480.9024</v>
      </c>
      <c r="K1766" s="1">
        <v>5.4</v>
      </c>
      <c r="L1766" s="1">
        <v>480.36</v>
      </c>
      <c r="M1766" s="1" t="s">
        <v>10</v>
      </c>
      <c r="N1766" s="1">
        <f>IF(Sales_Data[[#This Row],[Sales with Discount]]&lt;Sales_Data[[#This Row],[Sales with Free Shipping]],Sales_Data[[#This Row],[Sales with Discount]],Sales_Data[[#This Row],[Sales with Free Shipping]])</f>
        <v>480.36</v>
      </c>
      <c r="O1766" s="1" t="str">
        <f>TEXT(Sales_Data[[#This Row],[Order Date]], "MM-YYYY")</f>
        <v>01-2019</v>
      </c>
    </row>
    <row r="1767" spans="1:15" x14ac:dyDescent="0.3">
      <c r="A1767" s="1">
        <v>5699</v>
      </c>
      <c r="B1767" s="2">
        <v>43675</v>
      </c>
      <c r="C1767" s="1" t="s">
        <v>7</v>
      </c>
      <c r="D1767" s="1">
        <v>41</v>
      </c>
      <c r="E1767" t="s">
        <v>23</v>
      </c>
      <c r="F1767" t="s">
        <v>23</v>
      </c>
      <c r="G1767" s="1">
        <v>614.05999999999995</v>
      </c>
      <c r="H1767">
        <v>0.01</v>
      </c>
      <c r="I1767">
        <f>Sales_Data[[#This Row],[Sales]]*Sales_Data[[#This Row],[Discount]]</f>
        <v>6.1405999999999992</v>
      </c>
      <c r="J1767">
        <v>607.9194</v>
      </c>
      <c r="K1767" s="1">
        <v>8.1999999999999993</v>
      </c>
      <c r="L1767" s="1">
        <v>605.8599999999999</v>
      </c>
      <c r="M1767" s="1" t="s">
        <v>8</v>
      </c>
      <c r="N1767" s="1">
        <f>IF(Sales_Data[[#This Row],[Sales with Discount]]&lt;Sales_Data[[#This Row],[Sales with Free Shipping]],Sales_Data[[#This Row],[Sales with Discount]],Sales_Data[[#This Row],[Sales with Free Shipping]])</f>
        <v>605.8599999999999</v>
      </c>
      <c r="O1767" s="1" t="str">
        <f>TEXT(Sales_Data[[#This Row],[Order Date]], "MM-YYYY")</f>
        <v>07-2019</v>
      </c>
    </row>
    <row r="1768" spans="1:15" x14ac:dyDescent="0.3">
      <c r="A1768" s="1">
        <v>21478</v>
      </c>
      <c r="B1768" s="2">
        <v>43526</v>
      </c>
      <c r="C1768" s="1" t="s">
        <v>7</v>
      </c>
      <c r="D1768" s="1">
        <v>33</v>
      </c>
      <c r="E1768" t="s">
        <v>21</v>
      </c>
      <c r="F1768" t="s">
        <v>21</v>
      </c>
      <c r="G1768" s="1">
        <v>1714.36</v>
      </c>
      <c r="H1768">
        <v>0</v>
      </c>
      <c r="I1768">
        <f>Sales_Data[[#This Row],[Sales]]*Sales_Data[[#This Row],[Discount]]</f>
        <v>0</v>
      </c>
      <c r="J1768">
        <v>1714.36</v>
      </c>
      <c r="K1768" s="1">
        <v>6.2</v>
      </c>
      <c r="L1768" s="1">
        <v>1714.36</v>
      </c>
      <c r="M1768" s="1" t="s">
        <v>10</v>
      </c>
      <c r="N1768" s="1">
        <f>IF(Sales_Data[[#This Row],[Sales with Discount]]&lt;Sales_Data[[#This Row],[Sales with Free Shipping]],Sales_Data[[#This Row],[Sales with Discount]],Sales_Data[[#This Row],[Sales with Free Shipping]])</f>
        <v>1714.36</v>
      </c>
      <c r="O1768" s="1" t="str">
        <f>TEXT(Sales_Data[[#This Row],[Order Date]], "MM-YYYY")</f>
        <v>03-2019</v>
      </c>
    </row>
    <row r="1769" spans="1:15" x14ac:dyDescent="0.3">
      <c r="A1769" s="1">
        <v>15104</v>
      </c>
      <c r="B1769" s="2">
        <v>43553</v>
      </c>
      <c r="C1769" s="1" t="s">
        <v>14</v>
      </c>
      <c r="D1769" s="1">
        <v>23</v>
      </c>
      <c r="E1769" t="s">
        <v>14</v>
      </c>
      <c r="F1769" t="s">
        <v>14</v>
      </c>
      <c r="G1769" s="1">
        <v>117.09</v>
      </c>
      <c r="H1769">
        <v>0</v>
      </c>
      <c r="I1769">
        <f>Sales_Data[[#This Row],[Sales]]*Sales_Data[[#This Row],[Discount]]</f>
        <v>0</v>
      </c>
      <c r="J1769">
        <v>117.09</v>
      </c>
      <c r="K1769" s="1">
        <v>1.6</v>
      </c>
      <c r="L1769" s="1">
        <v>117.09</v>
      </c>
      <c r="M1769" s="1" t="s">
        <v>10</v>
      </c>
      <c r="N1769" s="1">
        <f>IF(Sales_Data[[#This Row],[Sales with Discount]]&lt;Sales_Data[[#This Row],[Sales with Free Shipping]],Sales_Data[[#This Row],[Sales with Discount]],Sales_Data[[#This Row],[Sales with Free Shipping]])</f>
        <v>117.09</v>
      </c>
      <c r="O1769" s="1" t="str">
        <f>TEXT(Sales_Data[[#This Row],[Order Date]], "MM-YYYY")</f>
        <v>03-2019</v>
      </c>
    </row>
    <row r="1770" spans="1:15" x14ac:dyDescent="0.3">
      <c r="A1770" s="1">
        <v>33479</v>
      </c>
      <c r="B1770" s="2">
        <v>43726</v>
      </c>
      <c r="C1770" s="1" t="s">
        <v>12</v>
      </c>
      <c r="D1770" s="1">
        <v>27</v>
      </c>
      <c r="E1770" t="s">
        <v>20</v>
      </c>
      <c r="F1770" t="s">
        <v>20</v>
      </c>
      <c r="G1770" s="1">
        <v>251.93</v>
      </c>
      <c r="H1770">
        <v>0</v>
      </c>
      <c r="I1770">
        <f>Sales_Data[[#This Row],[Sales]]*Sales_Data[[#This Row],[Discount]]</f>
        <v>0</v>
      </c>
      <c r="J1770">
        <v>251.93</v>
      </c>
      <c r="K1770" s="1">
        <v>5.5</v>
      </c>
      <c r="L1770" s="1">
        <v>251.93</v>
      </c>
      <c r="M1770" s="1" t="s">
        <v>10</v>
      </c>
      <c r="N1770" s="1">
        <f>IF(Sales_Data[[#This Row],[Sales with Discount]]&lt;Sales_Data[[#This Row],[Sales with Free Shipping]],Sales_Data[[#This Row],[Sales with Discount]],Sales_Data[[#This Row],[Sales with Free Shipping]])</f>
        <v>251.93</v>
      </c>
      <c r="O1770" s="1" t="str">
        <f>TEXT(Sales_Data[[#This Row],[Order Date]], "MM-YYYY")</f>
        <v>09-2019</v>
      </c>
    </row>
    <row r="1771" spans="1:15" x14ac:dyDescent="0.3">
      <c r="A1771" s="1">
        <v>20450</v>
      </c>
      <c r="B1771" s="2">
        <v>43806</v>
      </c>
      <c r="C1771" s="1" t="s">
        <v>12</v>
      </c>
      <c r="D1771" s="1">
        <v>26</v>
      </c>
      <c r="E1771" t="s">
        <v>20</v>
      </c>
      <c r="F1771" t="s">
        <v>20</v>
      </c>
      <c r="G1771" s="1">
        <v>7360.05</v>
      </c>
      <c r="H1771">
        <v>0</v>
      </c>
      <c r="I1771">
        <f>Sales_Data[[#This Row],[Sales]]*Sales_Data[[#This Row],[Discount]]</f>
        <v>0</v>
      </c>
      <c r="J1771">
        <v>7360.05</v>
      </c>
      <c r="K1771" s="1">
        <v>71.3</v>
      </c>
      <c r="L1771" s="1">
        <v>7360.05</v>
      </c>
      <c r="M1771" s="1" t="s">
        <v>13</v>
      </c>
      <c r="N1771" s="1">
        <f>IF(Sales_Data[[#This Row],[Sales with Discount]]&lt;Sales_Data[[#This Row],[Sales with Free Shipping]],Sales_Data[[#This Row],[Sales with Discount]],Sales_Data[[#This Row],[Sales with Free Shipping]])</f>
        <v>7360.05</v>
      </c>
      <c r="O1771" s="1" t="str">
        <f>TEXT(Sales_Data[[#This Row],[Order Date]], "MM-YYYY")</f>
        <v>12-2019</v>
      </c>
    </row>
    <row r="1772" spans="1:15" x14ac:dyDescent="0.3">
      <c r="A1772" s="1">
        <v>33793</v>
      </c>
      <c r="B1772" s="2">
        <v>43643</v>
      </c>
      <c r="C1772" s="1" t="s">
        <v>12</v>
      </c>
      <c r="D1772" s="1">
        <v>17</v>
      </c>
      <c r="E1772" t="s">
        <v>19</v>
      </c>
      <c r="F1772" t="s">
        <v>19</v>
      </c>
      <c r="G1772" s="1">
        <v>286.31</v>
      </c>
      <c r="H1772">
        <v>0</v>
      </c>
      <c r="I1772">
        <f>Sales_Data[[#This Row],[Sales]]*Sales_Data[[#This Row],[Discount]]</f>
        <v>0</v>
      </c>
      <c r="J1772">
        <v>286.31</v>
      </c>
      <c r="K1772" s="1">
        <v>16.100000000000001</v>
      </c>
      <c r="L1772" s="1">
        <v>286.31</v>
      </c>
      <c r="M1772" s="1" t="s">
        <v>10</v>
      </c>
      <c r="N1772" s="1">
        <f>IF(Sales_Data[[#This Row],[Sales with Discount]]&lt;Sales_Data[[#This Row],[Sales with Free Shipping]],Sales_Data[[#This Row],[Sales with Discount]],Sales_Data[[#This Row],[Sales with Free Shipping]])</f>
        <v>286.31</v>
      </c>
      <c r="O1772" s="1" t="str">
        <f>TEXT(Sales_Data[[#This Row],[Order Date]], "MM-YYYY")</f>
        <v>06-2019</v>
      </c>
    </row>
    <row r="1773" spans="1:15" x14ac:dyDescent="0.3">
      <c r="A1773" s="1">
        <v>4261</v>
      </c>
      <c r="B1773" s="2">
        <v>43740</v>
      </c>
      <c r="C1773" s="1" t="s">
        <v>12</v>
      </c>
      <c r="D1773" s="1">
        <v>32</v>
      </c>
      <c r="E1773" t="s">
        <v>21</v>
      </c>
      <c r="F1773" t="s">
        <v>21</v>
      </c>
      <c r="G1773" s="1">
        <v>9882.49</v>
      </c>
      <c r="H1773">
        <v>0</v>
      </c>
      <c r="I1773">
        <f>Sales_Data[[#This Row],[Sales]]*Sales_Data[[#This Row],[Discount]]</f>
        <v>0</v>
      </c>
      <c r="J1773">
        <v>9882.49</v>
      </c>
      <c r="K1773" s="1">
        <v>26.2</v>
      </c>
      <c r="L1773" s="1">
        <v>9882.49</v>
      </c>
      <c r="M1773" s="1" t="s">
        <v>10</v>
      </c>
      <c r="N1773" s="1">
        <f>IF(Sales_Data[[#This Row],[Sales with Discount]]&lt;Sales_Data[[#This Row],[Sales with Free Shipping]],Sales_Data[[#This Row],[Sales with Discount]],Sales_Data[[#This Row],[Sales with Free Shipping]])</f>
        <v>9882.49</v>
      </c>
      <c r="O1773" s="1" t="str">
        <f>TEXT(Sales_Data[[#This Row],[Order Date]], "MM-YYYY")</f>
        <v>10-2019</v>
      </c>
    </row>
    <row r="1774" spans="1:15" x14ac:dyDescent="0.3">
      <c r="A1774" s="1">
        <v>29223</v>
      </c>
      <c r="B1774" s="2">
        <v>43484</v>
      </c>
      <c r="C1774" s="1" t="s">
        <v>9</v>
      </c>
      <c r="D1774" s="1">
        <v>48</v>
      </c>
      <c r="E1774" t="s">
        <v>24</v>
      </c>
      <c r="F1774" t="s">
        <v>24</v>
      </c>
      <c r="G1774" s="1">
        <v>26430.2</v>
      </c>
      <c r="H1774">
        <v>0.01</v>
      </c>
      <c r="I1774">
        <f>Sales_Data[[#This Row],[Sales]]*Sales_Data[[#This Row],[Discount]]</f>
        <v>264.30200000000002</v>
      </c>
      <c r="J1774">
        <v>26165.898000000001</v>
      </c>
      <c r="K1774" s="1">
        <v>27.8</v>
      </c>
      <c r="L1774" s="1">
        <v>26402.400000000001</v>
      </c>
      <c r="M1774" s="1" t="s">
        <v>13</v>
      </c>
      <c r="N1774" s="1">
        <f>IF(Sales_Data[[#This Row],[Sales with Discount]]&lt;Sales_Data[[#This Row],[Sales with Free Shipping]],Sales_Data[[#This Row],[Sales with Discount]],Sales_Data[[#This Row],[Sales with Free Shipping]])</f>
        <v>26165.898000000001</v>
      </c>
      <c r="O1774" s="1" t="str">
        <f>TEXT(Sales_Data[[#This Row],[Order Date]], "MM-YYYY")</f>
        <v>01-2019</v>
      </c>
    </row>
    <row r="1775" spans="1:15" x14ac:dyDescent="0.3">
      <c r="A1775" s="1">
        <v>23268</v>
      </c>
      <c r="B1775" s="2">
        <v>43480</v>
      </c>
      <c r="C1775" s="1" t="s">
        <v>9</v>
      </c>
      <c r="D1775" s="1">
        <v>5</v>
      </c>
      <c r="E1775" t="s">
        <v>16</v>
      </c>
      <c r="F1775" t="s">
        <v>16</v>
      </c>
      <c r="G1775" s="1">
        <v>273.18</v>
      </c>
      <c r="H1775">
        <v>0</v>
      </c>
      <c r="I1775">
        <f>Sales_Data[[#This Row],[Sales]]*Sales_Data[[#This Row],[Discount]]</f>
        <v>0</v>
      </c>
      <c r="J1775">
        <v>273.18</v>
      </c>
      <c r="K1775" s="1">
        <v>6.2</v>
      </c>
      <c r="L1775" s="1">
        <v>273.18</v>
      </c>
      <c r="M1775" s="1" t="s">
        <v>10</v>
      </c>
      <c r="N1775" s="1">
        <f>IF(Sales_Data[[#This Row],[Sales with Discount]]&lt;Sales_Data[[#This Row],[Sales with Free Shipping]],Sales_Data[[#This Row],[Sales with Discount]],Sales_Data[[#This Row],[Sales with Free Shipping]])</f>
        <v>273.18</v>
      </c>
      <c r="O1775" s="1" t="str">
        <f>TEXT(Sales_Data[[#This Row],[Order Date]], "MM-YYYY")</f>
        <v>01-2019</v>
      </c>
    </row>
    <row r="1776" spans="1:15" x14ac:dyDescent="0.3">
      <c r="A1776" s="1">
        <v>10470</v>
      </c>
      <c r="B1776" s="2">
        <v>43589</v>
      </c>
      <c r="C1776" s="1" t="s">
        <v>7</v>
      </c>
      <c r="D1776" s="1">
        <v>8</v>
      </c>
      <c r="E1776" t="s">
        <v>17</v>
      </c>
      <c r="F1776" t="s">
        <v>17</v>
      </c>
      <c r="G1776" s="1">
        <v>146.87</v>
      </c>
      <c r="H1776">
        <v>0</v>
      </c>
      <c r="I1776">
        <f>Sales_Data[[#This Row],[Sales]]*Sales_Data[[#This Row],[Discount]]</f>
        <v>0</v>
      </c>
      <c r="J1776">
        <v>146.87</v>
      </c>
      <c r="K1776" s="1">
        <v>14.1</v>
      </c>
      <c r="L1776" s="1">
        <v>146.87</v>
      </c>
      <c r="M1776" s="1" t="s">
        <v>10</v>
      </c>
      <c r="N1776" s="1">
        <f>IF(Sales_Data[[#This Row],[Sales with Discount]]&lt;Sales_Data[[#This Row],[Sales with Free Shipping]],Sales_Data[[#This Row],[Sales with Discount]],Sales_Data[[#This Row],[Sales with Free Shipping]])</f>
        <v>146.87</v>
      </c>
      <c r="O1776" s="1" t="str">
        <f>TEXT(Sales_Data[[#This Row],[Order Date]], "MM-YYYY")</f>
        <v>05-2019</v>
      </c>
    </row>
    <row r="1777" spans="1:15" x14ac:dyDescent="0.3">
      <c r="A1777" s="1">
        <v>14212</v>
      </c>
      <c r="B1777" s="2">
        <v>43511</v>
      </c>
      <c r="C1777" s="1" t="s">
        <v>12</v>
      </c>
      <c r="D1777" s="1">
        <v>4</v>
      </c>
      <c r="E1777" t="s">
        <v>16</v>
      </c>
      <c r="F1777" t="s">
        <v>16</v>
      </c>
      <c r="G1777" s="1">
        <v>33.36</v>
      </c>
      <c r="H1777">
        <v>0</v>
      </c>
      <c r="I1777">
        <f>Sales_Data[[#This Row],[Sales]]*Sales_Data[[#This Row],[Discount]]</f>
        <v>0</v>
      </c>
      <c r="J1777">
        <v>33.36</v>
      </c>
      <c r="K1777" s="1">
        <v>5.6</v>
      </c>
      <c r="L1777" s="1">
        <v>33.36</v>
      </c>
      <c r="M1777" s="1" t="s">
        <v>10</v>
      </c>
      <c r="N1777" s="1">
        <f>IF(Sales_Data[[#This Row],[Sales with Discount]]&lt;Sales_Data[[#This Row],[Sales with Free Shipping]],Sales_Data[[#This Row],[Sales with Discount]],Sales_Data[[#This Row],[Sales with Free Shipping]])</f>
        <v>33.36</v>
      </c>
      <c r="O1777" s="1" t="str">
        <f>TEXT(Sales_Data[[#This Row],[Order Date]], "MM-YYYY")</f>
        <v>02-2019</v>
      </c>
    </row>
    <row r="1778" spans="1:15" x14ac:dyDescent="0.3">
      <c r="A1778" s="1">
        <v>11396</v>
      </c>
      <c r="B1778" s="2">
        <v>43667</v>
      </c>
      <c r="C1778" s="1" t="s">
        <v>12</v>
      </c>
      <c r="D1778" s="1">
        <v>42</v>
      </c>
      <c r="E1778" t="s">
        <v>23</v>
      </c>
      <c r="F1778" t="s">
        <v>23</v>
      </c>
      <c r="G1778" s="1">
        <v>13129.221</v>
      </c>
      <c r="H1778">
        <v>0.01</v>
      </c>
      <c r="I1778">
        <f>Sales_Data[[#This Row],[Sales]]*Sales_Data[[#This Row],[Discount]]</f>
        <v>131.29221000000001</v>
      </c>
      <c r="J1778">
        <v>12997.92879</v>
      </c>
      <c r="K1778" s="1">
        <v>21.4</v>
      </c>
      <c r="L1778" s="1">
        <v>13107.821</v>
      </c>
      <c r="M1778" s="1" t="s">
        <v>10</v>
      </c>
      <c r="N1778" s="1">
        <f>IF(Sales_Data[[#This Row],[Sales with Discount]]&lt;Sales_Data[[#This Row],[Sales with Free Shipping]],Sales_Data[[#This Row],[Sales with Discount]],Sales_Data[[#This Row],[Sales with Free Shipping]])</f>
        <v>12997.92879</v>
      </c>
      <c r="O1778" s="1" t="str">
        <f>TEXT(Sales_Data[[#This Row],[Order Date]], "MM-YYYY")</f>
        <v>07-2019</v>
      </c>
    </row>
    <row r="1779" spans="1:15" x14ac:dyDescent="0.3">
      <c r="A1779" s="1">
        <v>19972</v>
      </c>
      <c r="B1779" s="2">
        <v>43632</v>
      </c>
      <c r="C1779" s="1" t="s">
        <v>12</v>
      </c>
      <c r="D1779" s="1">
        <v>6</v>
      </c>
      <c r="E1779" t="s">
        <v>17</v>
      </c>
      <c r="F1779" t="s">
        <v>17</v>
      </c>
      <c r="G1779" s="1">
        <v>104.7102</v>
      </c>
      <c r="H1779">
        <v>0</v>
      </c>
      <c r="I1779">
        <f>Sales_Data[[#This Row],[Sales]]*Sales_Data[[#This Row],[Discount]]</f>
        <v>0</v>
      </c>
      <c r="J1779">
        <v>104.7102</v>
      </c>
      <c r="K1779" s="1">
        <v>9.6</v>
      </c>
      <c r="L1779" s="1">
        <v>104.7102</v>
      </c>
      <c r="M1779" s="1" t="s">
        <v>10</v>
      </c>
      <c r="N1779" s="1">
        <f>IF(Sales_Data[[#This Row],[Sales with Discount]]&lt;Sales_Data[[#This Row],[Sales with Free Shipping]],Sales_Data[[#This Row],[Sales with Discount]],Sales_Data[[#This Row],[Sales with Free Shipping]])</f>
        <v>104.7102</v>
      </c>
      <c r="O1779" s="1" t="str">
        <f>TEXT(Sales_Data[[#This Row],[Order Date]], "MM-YYYY")</f>
        <v>06-2019</v>
      </c>
    </row>
    <row r="1780" spans="1:15" x14ac:dyDescent="0.3">
      <c r="A1780" s="1">
        <v>43488</v>
      </c>
      <c r="B1780" s="2">
        <v>43634</v>
      </c>
      <c r="C1780" s="1" t="s">
        <v>12</v>
      </c>
      <c r="D1780" s="1">
        <v>46</v>
      </c>
      <c r="E1780" t="s">
        <v>24</v>
      </c>
      <c r="F1780" t="s">
        <v>24</v>
      </c>
      <c r="G1780" s="1">
        <v>2264.33</v>
      </c>
      <c r="H1780">
        <v>0.01</v>
      </c>
      <c r="I1780">
        <f>Sales_Data[[#This Row],[Sales]]*Sales_Data[[#This Row],[Discount]]</f>
        <v>22.6433</v>
      </c>
      <c r="J1780">
        <v>2241.6866999999997</v>
      </c>
      <c r="K1780" s="1">
        <v>4.8</v>
      </c>
      <c r="L1780" s="1">
        <v>2259.5299999999997</v>
      </c>
      <c r="M1780" s="1" t="s">
        <v>10</v>
      </c>
      <c r="N1780" s="1">
        <f>IF(Sales_Data[[#This Row],[Sales with Discount]]&lt;Sales_Data[[#This Row],[Sales with Free Shipping]],Sales_Data[[#This Row],[Sales with Discount]],Sales_Data[[#This Row],[Sales with Free Shipping]])</f>
        <v>2241.6866999999997</v>
      </c>
      <c r="O1780" s="1" t="str">
        <f>TEXT(Sales_Data[[#This Row],[Order Date]], "MM-YYYY")</f>
        <v>06-2019</v>
      </c>
    </row>
    <row r="1781" spans="1:15" x14ac:dyDescent="0.3">
      <c r="A1781" s="1">
        <v>18464</v>
      </c>
      <c r="B1781" s="2">
        <v>43552</v>
      </c>
      <c r="C1781" s="1" t="s">
        <v>9</v>
      </c>
      <c r="D1781" s="1">
        <v>27</v>
      </c>
      <c r="E1781" t="s">
        <v>20</v>
      </c>
      <c r="F1781" t="s">
        <v>20</v>
      </c>
      <c r="G1781" s="1">
        <v>5234.29</v>
      </c>
      <c r="H1781">
        <v>0</v>
      </c>
      <c r="I1781">
        <f>Sales_Data[[#This Row],[Sales]]*Sales_Data[[#This Row],[Discount]]</f>
        <v>0</v>
      </c>
      <c r="J1781">
        <v>5234.29</v>
      </c>
      <c r="K1781" s="1">
        <v>59.1</v>
      </c>
      <c r="L1781" s="1">
        <v>5234.29</v>
      </c>
      <c r="M1781" s="1" t="s">
        <v>13</v>
      </c>
      <c r="N1781" s="1">
        <f>IF(Sales_Data[[#This Row],[Sales with Discount]]&lt;Sales_Data[[#This Row],[Sales with Free Shipping]],Sales_Data[[#This Row],[Sales with Discount]],Sales_Data[[#This Row],[Sales with Free Shipping]])</f>
        <v>5234.29</v>
      </c>
      <c r="O1781" s="1" t="str">
        <f>TEXT(Sales_Data[[#This Row],[Order Date]], "MM-YYYY")</f>
        <v>03-2019</v>
      </c>
    </row>
    <row r="1782" spans="1:15" x14ac:dyDescent="0.3">
      <c r="A1782" s="1">
        <v>18661</v>
      </c>
      <c r="B1782" s="2">
        <v>43716</v>
      </c>
      <c r="C1782" s="1" t="s">
        <v>7</v>
      </c>
      <c r="D1782" s="1">
        <v>12</v>
      </c>
      <c r="E1782" t="s">
        <v>18</v>
      </c>
      <c r="F1782" t="s">
        <v>18</v>
      </c>
      <c r="G1782" s="1">
        <v>1291.58</v>
      </c>
      <c r="H1782">
        <v>0</v>
      </c>
      <c r="I1782">
        <f>Sales_Data[[#This Row],[Sales]]*Sales_Data[[#This Row],[Discount]]</f>
        <v>0</v>
      </c>
      <c r="J1782">
        <v>1291.58</v>
      </c>
      <c r="K1782" s="1">
        <v>62.3</v>
      </c>
      <c r="L1782" s="1">
        <v>1291.58</v>
      </c>
      <c r="M1782" s="1" t="s">
        <v>13</v>
      </c>
      <c r="N1782" s="1">
        <f>IF(Sales_Data[[#This Row],[Sales with Discount]]&lt;Sales_Data[[#This Row],[Sales with Free Shipping]],Sales_Data[[#This Row],[Sales with Discount]],Sales_Data[[#This Row],[Sales with Free Shipping]])</f>
        <v>1291.58</v>
      </c>
      <c r="O1782" s="1" t="str">
        <f>TEXT(Sales_Data[[#This Row],[Order Date]], "MM-YYYY")</f>
        <v>09-2019</v>
      </c>
    </row>
    <row r="1783" spans="1:15" x14ac:dyDescent="0.3">
      <c r="A1783" s="1">
        <v>36354</v>
      </c>
      <c r="B1783" s="2">
        <v>43621</v>
      </c>
      <c r="C1783" s="1" t="s">
        <v>14</v>
      </c>
      <c r="D1783" s="1">
        <v>13</v>
      </c>
      <c r="E1783" t="s">
        <v>18</v>
      </c>
      <c r="F1783" t="s">
        <v>18</v>
      </c>
      <c r="G1783" s="1">
        <v>4887.08</v>
      </c>
      <c r="H1783">
        <v>0</v>
      </c>
      <c r="I1783">
        <f>Sales_Data[[#This Row],[Sales]]*Sales_Data[[#This Row],[Discount]]</f>
        <v>0</v>
      </c>
      <c r="J1783">
        <v>4887.08</v>
      </c>
      <c r="K1783" s="1">
        <v>21.4</v>
      </c>
      <c r="L1783" s="1">
        <v>4887.08</v>
      </c>
      <c r="M1783" s="1" t="s">
        <v>10</v>
      </c>
      <c r="N1783" s="1">
        <f>IF(Sales_Data[[#This Row],[Sales with Discount]]&lt;Sales_Data[[#This Row],[Sales with Free Shipping]],Sales_Data[[#This Row],[Sales with Discount]],Sales_Data[[#This Row],[Sales with Free Shipping]])</f>
        <v>4887.08</v>
      </c>
      <c r="O1783" s="1" t="str">
        <f>TEXT(Sales_Data[[#This Row],[Order Date]], "MM-YYYY")</f>
        <v>06-2019</v>
      </c>
    </row>
    <row r="1784" spans="1:15" x14ac:dyDescent="0.3">
      <c r="A1784" s="1">
        <v>801</v>
      </c>
      <c r="B1784" s="2">
        <v>43512</v>
      </c>
      <c r="C1784" s="1" t="s">
        <v>12</v>
      </c>
      <c r="D1784" s="1">
        <v>20</v>
      </c>
      <c r="E1784" t="s">
        <v>19</v>
      </c>
      <c r="F1784" t="s">
        <v>19</v>
      </c>
      <c r="G1784" s="1">
        <v>64.040000000000006</v>
      </c>
      <c r="H1784">
        <v>0</v>
      </c>
      <c r="I1784">
        <f>Sales_Data[[#This Row],[Sales]]*Sales_Data[[#This Row],[Discount]]</f>
        <v>0</v>
      </c>
      <c r="J1784">
        <v>64.040000000000006</v>
      </c>
      <c r="K1784" s="1">
        <v>3.7</v>
      </c>
      <c r="L1784" s="1">
        <v>64.040000000000006</v>
      </c>
      <c r="M1784" s="1" t="s">
        <v>10</v>
      </c>
      <c r="N1784" s="1">
        <f>IF(Sales_Data[[#This Row],[Sales with Discount]]&lt;Sales_Data[[#This Row],[Sales with Free Shipping]],Sales_Data[[#This Row],[Sales with Discount]],Sales_Data[[#This Row],[Sales with Free Shipping]])</f>
        <v>64.040000000000006</v>
      </c>
      <c r="O1784" s="1" t="str">
        <f>TEXT(Sales_Data[[#This Row],[Order Date]], "MM-YYYY")</f>
        <v>02-2019</v>
      </c>
    </row>
    <row r="1785" spans="1:15" x14ac:dyDescent="0.3">
      <c r="A1785" s="1">
        <v>51813</v>
      </c>
      <c r="B1785" s="2">
        <v>43820</v>
      </c>
      <c r="C1785" s="1" t="s">
        <v>11</v>
      </c>
      <c r="D1785" s="1">
        <v>13</v>
      </c>
      <c r="E1785" t="s">
        <v>18</v>
      </c>
      <c r="F1785" t="s">
        <v>18</v>
      </c>
      <c r="G1785" s="1">
        <v>1487.48</v>
      </c>
      <c r="H1785">
        <v>0</v>
      </c>
      <c r="I1785">
        <f>Sales_Data[[#This Row],[Sales]]*Sales_Data[[#This Row],[Discount]]</f>
        <v>0</v>
      </c>
      <c r="J1785">
        <v>1487.48</v>
      </c>
      <c r="K1785" s="1">
        <v>37.5</v>
      </c>
      <c r="L1785" s="1">
        <v>1487.48</v>
      </c>
      <c r="M1785" s="1" t="s">
        <v>10</v>
      </c>
      <c r="N1785" s="1">
        <f>IF(Sales_Data[[#This Row],[Sales with Discount]]&lt;Sales_Data[[#This Row],[Sales with Free Shipping]],Sales_Data[[#This Row],[Sales with Discount]],Sales_Data[[#This Row],[Sales with Free Shipping]])</f>
        <v>1487.48</v>
      </c>
      <c r="O1785" s="1" t="str">
        <f>TEXT(Sales_Data[[#This Row],[Order Date]], "MM-YYYY")</f>
        <v>12-2019</v>
      </c>
    </row>
    <row r="1786" spans="1:15" x14ac:dyDescent="0.3">
      <c r="A1786" s="1">
        <v>32640</v>
      </c>
      <c r="B1786" s="2">
        <v>43723</v>
      </c>
      <c r="C1786" s="1" t="s">
        <v>9</v>
      </c>
      <c r="D1786" s="1">
        <v>12</v>
      </c>
      <c r="E1786" t="s">
        <v>18</v>
      </c>
      <c r="F1786" t="s">
        <v>18</v>
      </c>
      <c r="G1786" s="1">
        <v>173.46</v>
      </c>
      <c r="H1786">
        <v>0</v>
      </c>
      <c r="I1786">
        <f>Sales_Data[[#This Row],[Sales]]*Sales_Data[[#This Row],[Discount]]</f>
        <v>0</v>
      </c>
      <c r="J1786">
        <v>173.46</v>
      </c>
      <c r="K1786" s="1">
        <v>6.9</v>
      </c>
      <c r="L1786" s="1">
        <v>173.46</v>
      </c>
      <c r="M1786" s="1" t="s">
        <v>8</v>
      </c>
      <c r="N1786" s="1">
        <f>IF(Sales_Data[[#This Row],[Sales with Discount]]&lt;Sales_Data[[#This Row],[Sales with Free Shipping]],Sales_Data[[#This Row],[Sales with Discount]],Sales_Data[[#This Row],[Sales with Free Shipping]])</f>
        <v>173.46</v>
      </c>
      <c r="O1786" s="1" t="str">
        <f>TEXT(Sales_Data[[#This Row],[Order Date]], "MM-YYYY")</f>
        <v>09-2019</v>
      </c>
    </row>
    <row r="1787" spans="1:15" x14ac:dyDescent="0.3">
      <c r="A1787" s="1">
        <v>52130</v>
      </c>
      <c r="B1787" s="2">
        <v>43713</v>
      </c>
      <c r="C1787" s="1" t="s">
        <v>7</v>
      </c>
      <c r="D1787" s="1">
        <v>13</v>
      </c>
      <c r="E1787" t="s">
        <v>18</v>
      </c>
      <c r="F1787" t="s">
        <v>18</v>
      </c>
      <c r="G1787" s="1">
        <v>67.760000000000005</v>
      </c>
      <c r="H1787">
        <v>0</v>
      </c>
      <c r="I1787">
        <f>Sales_Data[[#This Row],[Sales]]*Sales_Data[[#This Row],[Discount]]</f>
        <v>0</v>
      </c>
      <c r="J1787">
        <v>67.760000000000005</v>
      </c>
      <c r="K1787" s="1">
        <v>5.7</v>
      </c>
      <c r="L1787" s="1">
        <v>67.760000000000005</v>
      </c>
      <c r="M1787" s="1" t="s">
        <v>10</v>
      </c>
      <c r="N1787" s="1">
        <f>IF(Sales_Data[[#This Row],[Sales with Discount]]&lt;Sales_Data[[#This Row],[Sales with Free Shipping]],Sales_Data[[#This Row],[Sales with Discount]],Sales_Data[[#This Row],[Sales with Free Shipping]])</f>
        <v>67.760000000000005</v>
      </c>
      <c r="O1787" s="1" t="str">
        <f>TEXT(Sales_Data[[#This Row],[Order Date]], "MM-YYYY")</f>
        <v>09-2019</v>
      </c>
    </row>
    <row r="1788" spans="1:15" x14ac:dyDescent="0.3">
      <c r="A1788" s="1">
        <v>52068</v>
      </c>
      <c r="B1788" s="2">
        <v>43477</v>
      </c>
      <c r="C1788" s="1" t="s">
        <v>11</v>
      </c>
      <c r="D1788" s="1">
        <v>47</v>
      </c>
      <c r="E1788" t="s">
        <v>24</v>
      </c>
      <c r="F1788" t="s">
        <v>24</v>
      </c>
      <c r="G1788" s="1">
        <v>26279.1</v>
      </c>
      <c r="H1788">
        <v>0.01</v>
      </c>
      <c r="I1788">
        <f>Sales_Data[[#This Row],[Sales]]*Sales_Data[[#This Row],[Discount]]</f>
        <v>262.791</v>
      </c>
      <c r="J1788">
        <v>26016.308999999997</v>
      </c>
      <c r="K1788" s="1">
        <v>17.8</v>
      </c>
      <c r="L1788" s="1">
        <v>26261.3</v>
      </c>
      <c r="M1788" s="1" t="s">
        <v>13</v>
      </c>
      <c r="N1788" s="1">
        <f>IF(Sales_Data[[#This Row],[Sales with Discount]]&lt;Sales_Data[[#This Row],[Sales with Free Shipping]],Sales_Data[[#This Row],[Sales with Discount]],Sales_Data[[#This Row],[Sales with Free Shipping]])</f>
        <v>26016.308999999997</v>
      </c>
      <c r="O1788" s="1" t="str">
        <f>TEXT(Sales_Data[[#This Row],[Order Date]], "MM-YYYY")</f>
        <v>01-2019</v>
      </c>
    </row>
    <row r="1789" spans="1:15" x14ac:dyDescent="0.3">
      <c r="A1789" s="1">
        <v>34852</v>
      </c>
      <c r="B1789" s="2">
        <v>43713</v>
      </c>
      <c r="C1789" s="1" t="s">
        <v>7</v>
      </c>
      <c r="D1789" s="1">
        <v>26</v>
      </c>
      <c r="E1789" t="s">
        <v>20</v>
      </c>
      <c r="F1789" t="s">
        <v>20</v>
      </c>
      <c r="G1789" s="1">
        <v>57.71</v>
      </c>
      <c r="H1789">
        <v>0</v>
      </c>
      <c r="I1789">
        <f>Sales_Data[[#This Row],[Sales]]*Sales_Data[[#This Row],[Discount]]</f>
        <v>0</v>
      </c>
      <c r="J1789">
        <v>57.71</v>
      </c>
      <c r="K1789" s="1">
        <v>1.6</v>
      </c>
      <c r="L1789" s="1">
        <v>57.71</v>
      </c>
      <c r="M1789" s="1" t="s">
        <v>10</v>
      </c>
      <c r="N1789" s="1">
        <f>IF(Sales_Data[[#This Row],[Sales with Discount]]&lt;Sales_Data[[#This Row],[Sales with Free Shipping]],Sales_Data[[#This Row],[Sales with Discount]],Sales_Data[[#This Row],[Sales with Free Shipping]])</f>
        <v>57.71</v>
      </c>
      <c r="O1789" s="1" t="str">
        <f>TEXT(Sales_Data[[#This Row],[Order Date]], "MM-YYYY")</f>
        <v>09-2019</v>
      </c>
    </row>
    <row r="1790" spans="1:15" x14ac:dyDescent="0.3">
      <c r="A1790" s="1">
        <v>33184</v>
      </c>
      <c r="B1790" s="2">
        <v>43508</v>
      </c>
      <c r="C1790" s="1" t="s">
        <v>11</v>
      </c>
      <c r="D1790" s="1">
        <v>1</v>
      </c>
      <c r="E1790" t="s">
        <v>16</v>
      </c>
      <c r="F1790" t="s">
        <v>16</v>
      </c>
      <c r="G1790" s="1">
        <v>1877.09</v>
      </c>
      <c r="H1790">
        <v>0</v>
      </c>
      <c r="I1790">
        <f>Sales_Data[[#This Row],[Sales]]*Sales_Data[[#This Row],[Discount]]</f>
        <v>0</v>
      </c>
      <c r="J1790">
        <v>1877.09</v>
      </c>
      <c r="K1790" s="1">
        <v>21.4</v>
      </c>
      <c r="L1790" s="1">
        <v>1877.09</v>
      </c>
      <c r="M1790" s="1" t="s">
        <v>10</v>
      </c>
      <c r="N1790" s="1">
        <f>IF(Sales_Data[[#This Row],[Sales with Discount]]&lt;Sales_Data[[#This Row],[Sales with Free Shipping]],Sales_Data[[#This Row],[Sales with Discount]],Sales_Data[[#This Row],[Sales with Free Shipping]])</f>
        <v>1877.09</v>
      </c>
      <c r="O1790" s="1" t="str">
        <f>TEXT(Sales_Data[[#This Row],[Order Date]], "MM-YYYY")</f>
        <v>02-2019</v>
      </c>
    </row>
    <row r="1791" spans="1:15" x14ac:dyDescent="0.3">
      <c r="A1791" s="1">
        <v>23297</v>
      </c>
      <c r="B1791" s="2">
        <v>43648</v>
      </c>
      <c r="C1791" s="1" t="s">
        <v>12</v>
      </c>
      <c r="D1791" s="1">
        <v>34</v>
      </c>
      <c r="E1791" t="s">
        <v>21</v>
      </c>
      <c r="F1791" t="s">
        <v>21</v>
      </c>
      <c r="G1791" s="1">
        <v>5573.39</v>
      </c>
      <c r="H1791">
        <v>0</v>
      </c>
      <c r="I1791">
        <f>Sales_Data[[#This Row],[Sales]]*Sales_Data[[#This Row],[Discount]]</f>
        <v>0</v>
      </c>
      <c r="J1791">
        <v>5573.39</v>
      </c>
      <c r="K1791" s="1">
        <v>7.6</v>
      </c>
      <c r="L1791" s="1">
        <v>5573.39</v>
      </c>
      <c r="M1791" s="1" t="s">
        <v>10</v>
      </c>
      <c r="N1791" s="1">
        <f>IF(Sales_Data[[#This Row],[Sales with Discount]]&lt;Sales_Data[[#This Row],[Sales with Free Shipping]],Sales_Data[[#This Row],[Sales with Discount]],Sales_Data[[#This Row],[Sales with Free Shipping]])</f>
        <v>5573.39</v>
      </c>
      <c r="O1791" s="1" t="str">
        <f>TEXT(Sales_Data[[#This Row],[Order Date]], "MM-YYYY")</f>
        <v>07-2019</v>
      </c>
    </row>
    <row r="1792" spans="1:15" x14ac:dyDescent="0.3">
      <c r="A1792" s="1">
        <v>19936</v>
      </c>
      <c r="B1792" s="2">
        <v>43782</v>
      </c>
      <c r="C1792" s="1" t="s">
        <v>12</v>
      </c>
      <c r="D1792" s="1">
        <v>19</v>
      </c>
      <c r="E1792" t="s">
        <v>19</v>
      </c>
      <c r="F1792" t="s">
        <v>19</v>
      </c>
      <c r="G1792" s="1">
        <v>39.32</v>
      </c>
      <c r="H1792">
        <v>0</v>
      </c>
      <c r="I1792">
        <f>Sales_Data[[#This Row],[Sales]]*Sales_Data[[#This Row],[Discount]]</f>
        <v>0</v>
      </c>
      <c r="J1792">
        <v>39.32</v>
      </c>
      <c r="K1792" s="1">
        <v>1.6</v>
      </c>
      <c r="L1792" s="1">
        <v>39.32</v>
      </c>
      <c r="M1792" s="1" t="s">
        <v>10</v>
      </c>
      <c r="N1792" s="1">
        <f>IF(Sales_Data[[#This Row],[Sales with Discount]]&lt;Sales_Data[[#This Row],[Sales with Free Shipping]],Sales_Data[[#This Row],[Sales with Discount]],Sales_Data[[#This Row],[Sales with Free Shipping]])</f>
        <v>39.32</v>
      </c>
      <c r="O1792" s="1" t="str">
        <f>TEXT(Sales_Data[[#This Row],[Order Date]], "MM-YYYY")</f>
        <v>11-2019</v>
      </c>
    </row>
    <row r="1793" spans="1:15" x14ac:dyDescent="0.3">
      <c r="A1793" s="1">
        <v>36160</v>
      </c>
      <c r="B1793" s="2">
        <v>43791</v>
      </c>
      <c r="C1793" s="1" t="s">
        <v>7</v>
      </c>
      <c r="D1793" s="1">
        <v>12</v>
      </c>
      <c r="E1793" t="s">
        <v>18</v>
      </c>
      <c r="F1793" t="s">
        <v>18</v>
      </c>
      <c r="G1793" s="1">
        <v>2374.21</v>
      </c>
      <c r="H1793">
        <v>0</v>
      </c>
      <c r="I1793">
        <f>Sales_Data[[#This Row],[Sales]]*Sales_Data[[#This Row],[Discount]]</f>
        <v>0</v>
      </c>
      <c r="J1793">
        <v>2374.21</v>
      </c>
      <c r="K1793" s="1">
        <v>9.6</v>
      </c>
      <c r="L1793" s="1">
        <v>2374.21</v>
      </c>
      <c r="M1793" s="1" t="s">
        <v>8</v>
      </c>
      <c r="N1793" s="1">
        <f>IF(Sales_Data[[#This Row],[Sales with Discount]]&lt;Sales_Data[[#This Row],[Sales with Free Shipping]],Sales_Data[[#This Row],[Sales with Discount]],Sales_Data[[#This Row],[Sales with Free Shipping]])</f>
        <v>2374.21</v>
      </c>
      <c r="O1793" s="1" t="str">
        <f>TEXT(Sales_Data[[#This Row],[Order Date]], "MM-YYYY")</f>
        <v>11-2019</v>
      </c>
    </row>
    <row r="1794" spans="1:15" x14ac:dyDescent="0.3">
      <c r="A1794" s="1">
        <v>4996</v>
      </c>
      <c r="B1794" s="2">
        <v>43721</v>
      </c>
      <c r="C1794" s="1" t="s">
        <v>14</v>
      </c>
      <c r="D1794" s="1">
        <v>30</v>
      </c>
      <c r="E1794" t="s">
        <v>20</v>
      </c>
      <c r="F1794" t="s">
        <v>20</v>
      </c>
      <c r="G1794" s="1">
        <v>4607.2</v>
      </c>
      <c r="H1794">
        <v>0</v>
      </c>
      <c r="I1794">
        <f>Sales_Data[[#This Row],[Sales]]*Sales_Data[[#This Row],[Discount]]</f>
        <v>0</v>
      </c>
      <c r="J1794">
        <v>4607.2</v>
      </c>
      <c r="K1794" s="1">
        <v>21.4</v>
      </c>
      <c r="L1794" s="1">
        <v>4607.2</v>
      </c>
      <c r="M1794" s="1" t="s">
        <v>10</v>
      </c>
      <c r="N1794" s="1">
        <f>IF(Sales_Data[[#This Row],[Sales with Discount]]&lt;Sales_Data[[#This Row],[Sales with Free Shipping]],Sales_Data[[#This Row],[Sales with Discount]],Sales_Data[[#This Row],[Sales with Free Shipping]])</f>
        <v>4607.2</v>
      </c>
      <c r="O1794" s="1" t="str">
        <f>TEXT(Sales_Data[[#This Row],[Order Date]], "MM-YYYY")</f>
        <v>09-2019</v>
      </c>
    </row>
    <row r="1795" spans="1:15" x14ac:dyDescent="0.3">
      <c r="A1795" s="1">
        <v>15044</v>
      </c>
      <c r="B1795" s="2">
        <v>43530</v>
      </c>
      <c r="C1795" s="1" t="s">
        <v>7</v>
      </c>
      <c r="D1795" s="1">
        <v>42</v>
      </c>
      <c r="E1795" t="s">
        <v>23</v>
      </c>
      <c r="F1795" t="s">
        <v>23</v>
      </c>
      <c r="G1795" s="1">
        <v>1799.31</v>
      </c>
      <c r="H1795">
        <v>0.01</v>
      </c>
      <c r="I1795">
        <f>Sales_Data[[#This Row],[Sales]]*Sales_Data[[#This Row],[Discount]]</f>
        <v>17.993099999999998</v>
      </c>
      <c r="J1795">
        <v>1781.3169</v>
      </c>
      <c r="K1795" s="1">
        <v>11</v>
      </c>
      <c r="L1795" s="1">
        <v>1788.31</v>
      </c>
      <c r="M1795" s="1" t="s">
        <v>10</v>
      </c>
      <c r="N1795" s="1">
        <f>IF(Sales_Data[[#This Row],[Sales with Discount]]&lt;Sales_Data[[#This Row],[Sales with Free Shipping]],Sales_Data[[#This Row],[Sales with Discount]],Sales_Data[[#This Row],[Sales with Free Shipping]])</f>
        <v>1781.3169</v>
      </c>
      <c r="O1795" s="1" t="str">
        <f>TEXT(Sales_Data[[#This Row],[Order Date]], "MM-YYYY")</f>
        <v>03-2019</v>
      </c>
    </row>
    <row r="1796" spans="1:15" x14ac:dyDescent="0.3">
      <c r="A1796" s="1">
        <v>16518</v>
      </c>
      <c r="B1796" s="2">
        <v>43737</v>
      </c>
      <c r="C1796" s="1" t="s">
        <v>12</v>
      </c>
      <c r="D1796" s="1">
        <v>4</v>
      </c>
      <c r="E1796" t="s">
        <v>16</v>
      </c>
      <c r="F1796" t="s">
        <v>16</v>
      </c>
      <c r="G1796" s="1">
        <v>85.91</v>
      </c>
      <c r="H1796">
        <v>0</v>
      </c>
      <c r="I1796">
        <f>Sales_Data[[#This Row],[Sales]]*Sales_Data[[#This Row],[Discount]]</f>
        <v>0</v>
      </c>
      <c r="J1796">
        <v>85.91</v>
      </c>
      <c r="K1796" s="1">
        <v>5.6</v>
      </c>
      <c r="L1796" s="1">
        <v>85.91</v>
      </c>
      <c r="M1796" s="1" t="s">
        <v>10</v>
      </c>
      <c r="N1796" s="1">
        <f>IF(Sales_Data[[#This Row],[Sales with Discount]]&lt;Sales_Data[[#This Row],[Sales with Free Shipping]],Sales_Data[[#This Row],[Sales with Discount]],Sales_Data[[#This Row],[Sales with Free Shipping]])</f>
        <v>85.91</v>
      </c>
      <c r="O1796" s="1" t="str">
        <f>TEXT(Sales_Data[[#This Row],[Order Date]], "MM-YYYY")</f>
        <v>09-2019</v>
      </c>
    </row>
    <row r="1797" spans="1:15" x14ac:dyDescent="0.3">
      <c r="A1797" s="1">
        <v>27300</v>
      </c>
      <c r="B1797" s="2">
        <v>43738</v>
      </c>
      <c r="C1797" s="1" t="s">
        <v>11</v>
      </c>
      <c r="D1797" s="1">
        <v>50</v>
      </c>
      <c r="E1797" t="s">
        <v>24</v>
      </c>
      <c r="F1797" t="s">
        <v>24</v>
      </c>
      <c r="G1797" s="1">
        <v>3566.42</v>
      </c>
      <c r="H1797">
        <v>0.01</v>
      </c>
      <c r="I1797">
        <f>Sales_Data[[#This Row],[Sales]]*Sales_Data[[#This Row],[Discount]]</f>
        <v>35.664200000000001</v>
      </c>
      <c r="J1797">
        <v>3530.7557999999999</v>
      </c>
      <c r="K1797" s="1">
        <v>4.3</v>
      </c>
      <c r="L1797" s="1">
        <v>3562.12</v>
      </c>
      <c r="M1797" s="1" t="s">
        <v>10</v>
      </c>
      <c r="N1797" s="1">
        <f>IF(Sales_Data[[#This Row],[Sales with Discount]]&lt;Sales_Data[[#This Row],[Sales with Free Shipping]],Sales_Data[[#This Row],[Sales with Discount]],Sales_Data[[#This Row],[Sales with Free Shipping]])</f>
        <v>3530.7557999999999</v>
      </c>
      <c r="O1797" s="1" t="str">
        <f>TEXT(Sales_Data[[#This Row],[Order Date]], "MM-YYYY")</f>
        <v>09-2019</v>
      </c>
    </row>
    <row r="1798" spans="1:15" x14ac:dyDescent="0.3">
      <c r="A1798" s="1">
        <v>30147</v>
      </c>
      <c r="B1798" s="2">
        <v>43633</v>
      </c>
      <c r="C1798" s="1" t="s">
        <v>11</v>
      </c>
      <c r="D1798" s="1">
        <v>37</v>
      </c>
      <c r="E1798" t="s">
        <v>22</v>
      </c>
      <c r="F1798" t="s">
        <v>22</v>
      </c>
      <c r="G1798" s="1">
        <v>791.95</v>
      </c>
      <c r="H1798">
        <v>0.01</v>
      </c>
      <c r="I1798">
        <f>Sales_Data[[#This Row],[Sales]]*Sales_Data[[#This Row],[Discount]]</f>
        <v>7.9195000000000002</v>
      </c>
      <c r="J1798">
        <v>784.03050000000007</v>
      </c>
      <c r="K1798" s="1">
        <v>11.2</v>
      </c>
      <c r="L1798" s="1">
        <v>780.75</v>
      </c>
      <c r="M1798" s="1" t="s">
        <v>10</v>
      </c>
      <c r="N1798" s="1">
        <f>IF(Sales_Data[[#This Row],[Sales with Discount]]&lt;Sales_Data[[#This Row],[Sales with Free Shipping]],Sales_Data[[#This Row],[Sales with Discount]],Sales_Data[[#This Row],[Sales with Free Shipping]])</f>
        <v>780.75</v>
      </c>
      <c r="O1798" s="1" t="str">
        <f>TEXT(Sales_Data[[#This Row],[Order Date]], "MM-YYYY")</f>
        <v>06-2019</v>
      </c>
    </row>
    <row r="1799" spans="1:15" x14ac:dyDescent="0.3">
      <c r="A1799" s="1">
        <v>55494</v>
      </c>
      <c r="B1799" s="2">
        <v>43641</v>
      </c>
      <c r="C1799" s="1" t="s">
        <v>11</v>
      </c>
      <c r="D1799" s="1">
        <v>49</v>
      </c>
      <c r="E1799" t="s">
        <v>24</v>
      </c>
      <c r="F1799" t="s">
        <v>24</v>
      </c>
      <c r="G1799" s="1">
        <v>583.03</v>
      </c>
      <c r="H1799">
        <v>0.01</v>
      </c>
      <c r="I1799">
        <f>Sales_Data[[#This Row],[Sales]]*Sales_Data[[#This Row],[Discount]]</f>
        <v>5.8303000000000003</v>
      </c>
      <c r="J1799">
        <v>577.19970000000001</v>
      </c>
      <c r="K1799" s="1">
        <v>6.2</v>
      </c>
      <c r="L1799" s="1">
        <v>576.82999999999993</v>
      </c>
      <c r="M1799" s="1" t="s">
        <v>10</v>
      </c>
      <c r="N1799" s="1">
        <f>IF(Sales_Data[[#This Row],[Sales with Discount]]&lt;Sales_Data[[#This Row],[Sales with Free Shipping]],Sales_Data[[#This Row],[Sales with Discount]],Sales_Data[[#This Row],[Sales with Free Shipping]])</f>
        <v>576.82999999999993</v>
      </c>
      <c r="O1799" s="1" t="str">
        <f>TEXT(Sales_Data[[#This Row],[Order Date]], "MM-YYYY")</f>
        <v>06-2019</v>
      </c>
    </row>
    <row r="1800" spans="1:15" x14ac:dyDescent="0.3">
      <c r="A1800" s="1">
        <v>35811</v>
      </c>
      <c r="B1800" s="2">
        <v>43467</v>
      </c>
      <c r="C1800" s="1" t="s">
        <v>12</v>
      </c>
      <c r="D1800" s="1">
        <v>6</v>
      </c>
      <c r="E1800" t="s">
        <v>17</v>
      </c>
      <c r="F1800" t="s">
        <v>17</v>
      </c>
      <c r="G1800" s="1">
        <v>11.12</v>
      </c>
      <c r="H1800">
        <v>0</v>
      </c>
      <c r="I1800">
        <f>Sales_Data[[#This Row],[Sales]]*Sales_Data[[#This Row],[Discount]]</f>
        <v>0</v>
      </c>
      <c r="J1800">
        <v>11.12</v>
      </c>
      <c r="K1800" s="1">
        <v>0.7</v>
      </c>
      <c r="L1800" s="1">
        <v>11.12</v>
      </c>
      <c r="M1800" s="1" t="s">
        <v>10</v>
      </c>
      <c r="N1800" s="1">
        <f>IF(Sales_Data[[#This Row],[Sales with Discount]]&lt;Sales_Data[[#This Row],[Sales with Free Shipping]],Sales_Data[[#This Row],[Sales with Discount]],Sales_Data[[#This Row],[Sales with Free Shipping]])</f>
        <v>11.12</v>
      </c>
      <c r="O1800" s="1" t="str">
        <f>TEXT(Sales_Data[[#This Row],[Order Date]], "MM-YYYY")</f>
        <v>01-2019</v>
      </c>
    </row>
    <row r="1801" spans="1:15" x14ac:dyDescent="0.3">
      <c r="A1801" s="1">
        <v>18466</v>
      </c>
      <c r="B1801" s="2">
        <v>43606</v>
      </c>
      <c r="C1801" s="1" t="s">
        <v>7</v>
      </c>
      <c r="D1801" s="1">
        <v>25</v>
      </c>
      <c r="E1801" t="s">
        <v>14</v>
      </c>
      <c r="F1801" t="s">
        <v>14</v>
      </c>
      <c r="G1801" s="1">
        <v>289.07119999999998</v>
      </c>
      <c r="H1801">
        <v>0</v>
      </c>
      <c r="I1801">
        <f>Sales_Data[[#This Row],[Sales]]*Sales_Data[[#This Row],[Discount]]</f>
        <v>0</v>
      </c>
      <c r="J1801">
        <v>289.07119999999998</v>
      </c>
      <c r="K1801" s="1">
        <v>5.6</v>
      </c>
      <c r="L1801" s="1">
        <v>289.07119999999998</v>
      </c>
      <c r="M1801" s="1" t="s">
        <v>10</v>
      </c>
      <c r="N1801" s="1">
        <f>IF(Sales_Data[[#This Row],[Sales with Discount]]&lt;Sales_Data[[#This Row],[Sales with Free Shipping]],Sales_Data[[#This Row],[Sales with Discount]],Sales_Data[[#This Row],[Sales with Free Shipping]])</f>
        <v>289.07119999999998</v>
      </c>
      <c r="O1801" s="1" t="str">
        <f>TEXT(Sales_Data[[#This Row],[Order Date]], "MM-YYYY")</f>
        <v>05-2019</v>
      </c>
    </row>
    <row r="1802" spans="1:15" x14ac:dyDescent="0.3">
      <c r="A1802" s="1">
        <v>2147</v>
      </c>
      <c r="B1802" s="2">
        <v>43713</v>
      </c>
      <c r="C1802" s="1" t="s">
        <v>11</v>
      </c>
      <c r="D1802" s="1">
        <v>15</v>
      </c>
      <c r="E1802" t="s">
        <v>18</v>
      </c>
      <c r="F1802" t="s">
        <v>18</v>
      </c>
      <c r="G1802" s="1">
        <v>647.46</v>
      </c>
      <c r="H1802">
        <v>0</v>
      </c>
      <c r="I1802">
        <f>Sales_Data[[#This Row],[Sales]]*Sales_Data[[#This Row],[Discount]]</f>
        <v>0</v>
      </c>
      <c r="J1802">
        <v>647.46</v>
      </c>
      <c r="K1802" s="1">
        <v>5.7</v>
      </c>
      <c r="L1802" s="1">
        <v>647.46</v>
      </c>
      <c r="M1802" s="1" t="s">
        <v>8</v>
      </c>
      <c r="N1802" s="1">
        <f>IF(Sales_Data[[#This Row],[Sales with Discount]]&lt;Sales_Data[[#This Row],[Sales with Free Shipping]],Sales_Data[[#This Row],[Sales with Discount]],Sales_Data[[#This Row],[Sales with Free Shipping]])</f>
        <v>647.46</v>
      </c>
      <c r="O1802" s="1" t="str">
        <f>TEXT(Sales_Data[[#This Row],[Order Date]], "MM-YYYY")</f>
        <v>09-2019</v>
      </c>
    </row>
    <row r="1803" spans="1:15" x14ac:dyDescent="0.3">
      <c r="A1803" s="1">
        <v>25825</v>
      </c>
      <c r="B1803" s="2">
        <v>43665</v>
      </c>
      <c r="C1803" s="1" t="s">
        <v>11</v>
      </c>
      <c r="D1803" s="1">
        <v>27</v>
      </c>
      <c r="E1803" t="s">
        <v>20</v>
      </c>
      <c r="F1803" t="s">
        <v>20</v>
      </c>
      <c r="G1803" s="1">
        <v>170.83</v>
      </c>
      <c r="H1803">
        <v>0</v>
      </c>
      <c r="I1803">
        <f>Sales_Data[[#This Row],[Sales]]*Sales_Data[[#This Row],[Discount]]</f>
        <v>0</v>
      </c>
      <c r="J1803">
        <v>170.83</v>
      </c>
      <c r="K1803" s="1">
        <v>2.4</v>
      </c>
      <c r="L1803" s="1">
        <v>170.83</v>
      </c>
      <c r="M1803" s="1" t="s">
        <v>10</v>
      </c>
      <c r="N1803" s="1">
        <f>IF(Sales_Data[[#This Row],[Sales with Discount]]&lt;Sales_Data[[#This Row],[Sales with Free Shipping]],Sales_Data[[#This Row],[Sales with Discount]],Sales_Data[[#This Row],[Sales with Free Shipping]])</f>
        <v>170.83</v>
      </c>
      <c r="O1803" s="1" t="str">
        <f>TEXT(Sales_Data[[#This Row],[Order Date]], "MM-YYYY")</f>
        <v>07-2019</v>
      </c>
    </row>
    <row r="1804" spans="1:15" x14ac:dyDescent="0.3">
      <c r="A1804" s="1">
        <v>54180</v>
      </c>
      <c r="B1804" s="2">
        <v>43760</v>
      </c>
      <c r="C1804" s="1" t="s">
        <v>12</v>
      </c>
      <c r="D1804" s="1">
        <v>43</v>
      </c>
      <c r="E1804" t="s">
        <v>23</v>
      </c>
      <c r="F1804" t="s">
        <v>23</v>
      </c>
      <c r="G1804" s="1">
        <v>977.96929999999998</v>
      </c>
      <c r="H1804">
        <v>0.01</v>
      </c>
      <c r="I1804">
        <f>Sales_Data[[#This Row],[Sales]]*Sales_Data[[#This Row],[Discount]]</f>
        <v>9.779693</v>
      </c>
      <c r="J1804">
        <v>968.18960700000002</v>
      </c>
      <c r="K1804" s="1">
        <v>9.6</v>
      </c>
      <c r="L1804" s="1">
        <v>968.36929999999995</v>
      </c>
      <c r="M1804" s="1" t="s">
        <v>10</v>
      </c>
      <c r="N1804" s="1">
        <f>IF(Sales_Data[[#This Row],[Sales with Discount]]&lt;Sales_Data[[#This Row],[Sales with Free Shipping]],Sales_Data[[#This Row],[Sales with Discount]],Sales_Data[[#This Row],[Sales with Free Shipping]])</f>
        <v>968.18960700000002</v>
      </c>
      <c r="O1804" s="1" t="str">
        <f>TEXT(Sales_Data[[#This Row],[Order Date]], "MM-YYYY")</f>
        <v>10-2019</v>
      </c>
    </row>
    <row r="1805" spans="1:15" x14ac:dyDescent="0.3">
      <c r="A1805" s="1">
        <v>58722</v>
      </c>
      <c r="B1805" s="2">
        <v>43749</v>
      </c>
      <c r="C1805" s="1" t="s">
        <v>12</v>
      </c>
      <c r="D1805" s="1">
        <v>45</v>
      </c>
      <c r="E1805" t="s">
        <v>23</v>
      </c>
      <c r="F1805" t="s">
        <v>23</v>
      </c>
      <c r="G1805" s="1">
        <v>4325.9672</v>
      </c>
      <c r="H1805">
        <v>0.01</v>
      </c>
      <c r="I1805">
        <f>Sales_Data[[#This Row],[Sales]]*Sales_Data[[#This Row],[Discount]]</f>
        <v>43.259672000000002</v>
      </c>
      <c r="J1805">
        <v>4282.7075279999999</v>
      </c>
      <c r="K1805" s="1">
        <v>44.9</v>
      </c>
      <c r="L1805" s="1">
        <v>4281.0672000000004</v>
      </c>
      <c r="M1805" s="1" t="s">
        <v>13</v>
      </c>
      <c r="N1805" s="1">
        <f>IF(Sales_Data[[#This Row],[Sales with Discount]]&lt;Sales_Data[[#This Row],[Sales with Free Shipping]],Sales_Data[[#This Row],[Sales with Discount]],Sales_Data[[#This Row],[Sales with Free Shipping]])</f>
        <v>4281.0672000000004</v>
      </c>
      <c r="O1805" s="1" t="str">
        <f>TEXT(Sales_Data[[#This Row],[Order Date]], "MM-YYYY")</f>
        <v>10-2019</v>
      </c>
    </row>
    <row r="1806" spans="1:15" x14ac:dyDescent="0.3">
      <c r="A1806" s="1">
        <v>55716</v>
      </c>
      <c r="B1806" s="2">
        <v>43760</v>
      </c>
      <c r="C1806" s="1" t="s">
        <v>9</v>
      </c>
      <c r="D1806" s="1">
        <v>9</v>
      </c>
      <c r="E1806" t="s">
        <v>17</v>
      </c>
      <c r="F1806" t="s">
        <v>17</v>
      </c>
      <c r="G1806" s="1">
        <v>15692.14</v>
      </c>
      <c r="H1806">
        <v>0</v>
      </c>
      <c r="I1806">
        <f>Sales_Data[[#This Row],[Sales]]*Sales_Data[[#This Row],[Discount]]</f>
        <v>0</v>
      </c>
      <c r="J1806">
        <v>15692.14</v>
      </c>
      <c r="K1806" s="1">
        <v>26.2</v>
      </c>
      <c r="L1806" s="1">
        <v>15692.14</v>
      </c>
      <c r="M1806" s="1" t="s">
        <v>10</v>
      </c>
      <c r="N1806" s="1">
        <f>IF(Sales_Data[[#This Row],[Sales with Discount]]&lt;Sales_Data[[#This Row],[Sales with Free Shipping]],Sales_Data[[#This Row],[Sales with Discount]],Sales_Data[[#This Row],[Sales with Free Shipping]])</f>
        <v>15692.14</v>
      </c>
      <c r="O1806" s="1" t="str">
        <f>TEXT(Sales_Data[[#This Row],[Order Date]], "MM-YYYY")</f>
        <v>10-2019</v>
      </c>
    </row>
    <row r="1807" spans="1:15" x14ac:dyDescent="0.3">
      <c r="A1807" s="1">
        <v>16098</v>
      </c>
      <c r="B1807" s="2">
        <v>43667</v>
      </c>
      <c r="C1807" s="1" t="s">
        <v>7</v>
      </c>
      <c r="D1807" s="1">
        <v>31</v>
      </c>
      <c r="E1807" t="s">
        <v>21</v>
      </c>
      <c r="F1807" t="s">
        <v>21</v>
      </c>
      <c r="G1807" s="1">
        <v>514.05999999999995</v>
      </c>
      <c r="H1807">
        <v>0</v>
      </c>
      <c r="I1807">
        <f>Sales_Data[[#This Row],[Sales]]*Sales_Data[[#This Row],[Discount]]</f>
        <v>0</v>
      </c>
      <c r="J1807">
        <v>514.05999999999995</v>
      </c>
      <c r="K1807" s="1">
        <v>9.6</v>
      </c>
      <c r="L1807" s="1">
        <v>514.05999999999995</v>
      </c>
      <c r="M1807" s="1" t="s">
        <v>10</v>
      </c>
      <c r="N1807" s="1">
        <f>IF(Sales_Data[[#This Row],[Sales with Discount]]&lt;Sales_Data[[#This Row],[Sales with Free Shipping]],Sales_Data[[#This Row],[Sales with Discount]],Sales_Data[[#This Row],[Sales with Free Shipping]])</f>
        <v>514.05999999999995</v>
      </c>
      <c r="O1807" s="1" t="str">
        <f>TEXT(Sales_Data[[#This Row],[Order Date]], "MM-YYYY")</f>
        <v>07-2019</v>
      </c>
    </row>
    <row r="1808" spans="1:15" x14ac:dyDescent="0.3">
      <c r="A1808" s="1">
        <v>23616</v>
      </c>
      <c r="B1808" s="2">
        <v>43705</v>
      </c>
      <c r="C1808" s="1" t="s">
        <v>11</v>
      </c>
      <c r="D1808" s="1">
        <v>47</v>
      </c>
      <c r="E1808" t="s">
        <v>24</v>
      </c>
      <c r="F1808" t="s">
        <v>24</v>
      </c>
      <c r="G1808" s="1">
        <v>9910.7099999999991</v>
      </c>
      <c r="H1808">
        <v>0.01</v>
      </c>
      <c r="I1808">
        <f>Sales_Data[[#This Row],[Sales]]*Sales_Data[[#This Row],[Discount]]</f>
        <v>99.107099999999988</v>
      </c>
      <c r="J1808">
        <v>9811.6028999999999</v>
      </c>
      <c r="K1808" s="1">
        <v>26.2</v>
      </c>
      <c r="L1808" s="1">
        <v>9884.5099999999984</v>
      </c>
      <c r="M1808" s="1" t="s">
        <v>10</v>
      </c>
      <c r="N1808" s="1">
        <f>IF(Sales_Data[[#This Row],[Sales with Discount]]&lt;Sales_Data[[#This Row],[Sales with Free Shipping]],Sales_Data[[#This Row],[Sales with Discount]],Sales_Data[[#This Row],[Sales with Free Shipping]])</f>
        <v>9811.6028999999999</v>
      </c>
      <c r="O1808" s="1" t="str">
        <f>TEXT(Sales_Data[[#This Row],[Order Date]], "MM-YYYY")</f>
        <v>08-2019</v>
      </c>
    </row>
    <row r="1809" spans="1:15" x14ac:dyDescent="0.3">
      <c r="A1809" s="1">
        <v>46726</v>
      </c>
      <c r="B1809" s="2">
        <v>43651</v>
      </c>
      <c r="C1809" s="1" t="s">
        <v>11</v>
      </c>
      <c r="D1809" s="1">
        <v>10</v>
      </c>
      <c r="E1809" t="s">
        <v>17</v>
      </c>
      <c r="F1809" t="s">
        <v>17</v>
      </c>
      <c r="G1809" s="1">
        <v>53.13</v>
      </c>
      <c r="H1809">
        <v>0</v>
      </c>
      <c r="I1809">
        <f>Sales_Data[[#This Row],[Sales]]*Sales_Data[[#This Row],[Discount]]</f>
        <v>0</v>
      </c>
      <c r="J1809">
        <v>53.13</v>
      </c>
      <c r="K1809" s="1">
        <v>1.6</v>
      </c>
      <c r="L1809" s="1">
        <v>53.13</v>
      </c>
      <c r="M1809" s="1" t="s">
        <v>10</v>
      </c>
      <c r="N1809" s="1">
        <f>IF(Sales_Data[[#This Row],[Sales with Discount]]&lt;Sales_Data[[#This Row],[Sales with Free Shipping]],Sales_Data[[#This Row],[Sales with Discount]],Sales_Data[[#This Row],[Sales with Free Shipping]])</f>
        <v>53.13</v>
      </c>
      <c r="O1809" s="1" t="str">
        <f>TEXT(Sales_Data[[#This Row],[Order Date]], "MM-YYYY")</f>
        <v>07-2019</v>
      </c>
    </row>
    <row r="1810" spans="1:15" x14ac:dyDescent="0.3">
      <c r="A1810" s="1">
        <v>2240</v>
      </c>
      <c r="B1810" s="2">
        <v>43529</v>
      </c>
      <c r="C1810" s="1" t="s">
        <v>11</v>
      </c>
      <c r="D1810" s="1">
        <v>17</v>
      </c>
      <c r="E1810" t="s">
        <v>19</v>
      </c>
      <c r="F1810" t="s">
        <v>19</v>
      </c>
      <c r="G1810" s="1">
        <v>199.04</v>
      </c>
      <c r="H1810">
        <v>0</v>
      </c>
      <c r="I1810">
        <f>Sales_Data[[#This Row],[Sales]]*Sales_Data[[#This Row],[Discount]]</f>
        <v>0</v>
      </c>
      <c r="J1810">
        <v>199.04</v>
      </c>
      <c r="K1810" s="1">
        <v>5.5</v>
      </c>
      <c r="L1810" s="1">
        <v>199.04</v>
      </c>
      <c r="M1810" s="1" t="s">
        <v>10</v>
      </c>
      <c r="N1810" s="1">
        <f>IF(Sales_Data[[#This Row],[Sales with Discount]]&lt;Sales_Data[[#This Row],[Sales with Free Shipping]],Sales_Data[[#This Row],[Sales with Discount]],Sales_Data[[#This Row],[Sales with Free Shipping]])</f>
        <v>199.04</v>
      </c>
      <c r="O1810" s="1" t="str">
        <f>TEXT(Sales_Data[[#This Row],[Order Date]], "MM-YYYY")</f>
        <v>03-2019</v>
      </c>
    </row>
    <row r="1811" spans="1:15" x14ac:dyDescent="0.3">
      <c r="A1811" s="1">
        <v>11044</v>
      </c>
      <c r="B1811" s="2">
        <v>43640</v>
      </c>
      <c r="C1811" s="1" t="s">
        <v>14</v>
      </c>
      <c r="D1811" s="1">
        <v>3</v>
      </c>
      <c r="E1811" t="s">
        <v>16</v>
      </c>
      <c r="F1811" t="s">
        <v>16</v>
      </c>
      <c r="G1811" s="1">
        <v>15.5</v>
      </c>
      <c r="H1811">
        <v>0</v>
      </c>
      <c r="I1811">
        <f>Sales_Data[[#This Row],[Sales]]*Sales_Data[[#This Row],[Discount]]</f>
        <v>0</v>
      </c>
      <c r="J1811">
        <v>15.5</v>
      </c>
      <c r="K1811" s="1">
        <v>5.4</v>
      </c>
      <c r="L1811" s="1">
        <v>15.5</v>
      </c>
      <c r="M1811" s="1" t="s">
        <v>10</v>
      </c>
      <c r="N1811" s="1">
        <f>IF(Sales_Data[[#This Row],[Sales with Discount]]&lt;Sales_Data[[#This Row],[Sales with Free Shipping]],Sales_Data[[#This Row],[Sales with Discount]],Sales_Data[[#This Row],[Sales with Free Shipping]])</f>
        <v>15.5</v>
      </c>
      <c r="O1811" s="1" t="str">
        <f>TEXT(Sales_Data[[#This Row],[Order Date]], "MM-YYYY")</f>
        <v>06-2019</v>
      </c>
    </row>
    <row r="1812" spans="1:15" x14ac:dyDescent="0.3">
      <c r="A1812" s="1">
        <v>21410</v>
      </c>
      <c r="B1812" s="2">
        <v>43586</v>
      </c>
      <c r="C1812" s="1" t="s">
        <v>12</v>
      </c>
      <c r="D1812" s="1">
        <v>16</v>
      </c>
      <c r="E1812" t="s">
        <v>19</v>
      </c>
      <c r="F1812" t="s">
        <v>19</v>
      </c>
      <c r="G1812" s="1">
        <v>2248.6999999999998</v>
      </c>
      <c r="H1812">
        <v>0</v>
      </c>
      <c r="I1812">
        <f>Sales_Data[[#This Row],[Sales]]*Sales_Data[[#This Row],[Discount]]</f>
        <v>0</v>
      </c>
      <c r="J1812">
        <v>2248.6999999999998</v>
      </c>
      <c r="K1812" s="1">
        <v>26.2</v>
      </c>
      <c r="L1812" s="1">
        <v>2248.6999999999998</v>
      </c>
      <c r="M1812" s="1" t="s">
        <v>8</v>
      </c>
      <c r="N1812" s="1">
        <f>IF(Sales_Data[[#This Row],[Sales with Discount]]&lt;Sales_Data[[#This Row],[Sales with Free Shipping]],Sales_Data[[#This Row],[Sales with Discount]],Sales_Data[[#This Row],[Sales with Free Shipping]])</f>
        <v>2248.6999999999998</v>
      </c>
      <c r="O1812" s="1" t="str">
        <f>TEXT(Sales_Data[[#This Row],[Order Date]], "MM-YYYY")</f>
        <v>05-2019</v>
      </c>
    </row>
    <row r="1813" spans="1:15" x14ac:dyDescent="0.3">
      <c r="A1813" s="1">
        <v>5986</v>
      </c>
      <c r="B1813" s="2">
        <v>43576</v>
      </c>
      <c r="C1813" s="1" t="s">
        <v>9</v>
      </c>
      <c r="D1813" s="1">
        <v>20</v>
      </c>
      <c r="E1813" t="s">
        <v>19</v>
      </c>
      <c r="F1813" t="s">
        <v>19</v>
      </c>
      <c r="G1813" s="1">
        <v>1093.0585000000001</v>
      </c>
      <c r="H1813">
        <v>0</v>
      </c>
      <c r="I1813">
        <f>Sales_Data[[#This Row],[Sales]]*Sales_Data[[#This Row],[Discount]]</f>
        <v>0</v>
      </c>
      <c r="J1813">
        <v>1093.0585000000001</v>
      </c>
      <c r="K1813" s="1">
        <v>15.2</v>
      </c>
      <c r="L1813" s="1">
        <v>1093.0585000000001</v>
      </c>
      <c r="M1813" s="1" t="s">
        <v>13</v>
      </c>
      <c r="N1813" s="1">
        <f>IF(Sales_Data[[#This Row],[Sales with Discount]]&lt;Sales_Data[[#This Row],[Sales with Free Shipping]],Sales_Data[[#This Row],[Sales with Discount]],Sales_Data[[#This Row],[Sales with Free Shipping]])</f>
        <v>1093.0585000000001</v>
      </c>
      <c r="O1813" s="1" t="str">
        <f>TEXT(Sales_Data[[#This Row],[Order Date]], "MM-YYYY")</f>
        <v>04-2019</v>
      </c>
    </row>
    <row r="1814" spans="1:15" x14ac:dyDescent="0.3">
      <c r="A1814" s="1">
        <v>26407</v>
      </c>
      <c r="B1814" s="2">
        <v>43635</v>
      </c>
      <c r="C1814" s="1" t="s">
        <v>12</v>
      </c>
      <c r="D1814" s="1">
        <v>16</v>
      </c>
      <c r="E1814" t="s">
        <v>19</v>
      </c>
      <c r="F1814" t="s">
        <v>19</v>
      </c>
      <c r="G1814" s="1">
        <v>2124.69</v>
      </c>
      <c r="H1814">
        <v>0</v>
      </c>
      <c r="I1814">
        <f>Sales_Data[[#This Row],[Sales]]*Sales_Data[[#This Row],[Discount]]</f>
        <v>0</v>
      </c>
      <c r="J1814">
        <v>2124.69</v>
      </c>
      <c r="K1814" s="1">
        <v>9.6</v>
      </c>
      <c r="L1814" s="1">
        <v>2124.69</v>
      </c>
      <c r="M1814" s="1" t="s">
        <v>10</v>
      </c>
      <c r="N1814" s="1">
        <f>IF(Sales_Data[[#This Row],[Sales with Discount]]&lt;Sales_Data[[#This Row],[Sales with Free Shipping]],Sales_Data[[#This Row],[Sales with Discount]],Sales_Data[[#This Row],[Sales with Free Shipping]])</f>
        <v>2124.69</v>
      </c>
      <c r="O1814" s="1" t="str">
        <f>TEXT(Sales_Data[[#This Row],[Order Date]], "MM-YYYY")</f>
        <v>06-2019</v>
      </c>
    </row>
    <row r="1815" spans="1:15" x14ac:dyDescent="0.3">
      <c r="A1815" s="1">
        <v>25478</v>
      </c>
      <c r="B1815" s="2">
        <v>43579</v>
      </c>
      <c r="C1815" s="1" t="s">
        <v>12</v>
      </c>
      <c r="D1815" s="1">
        <v>50</v>
      </c>
      <c r="E1815" t="s">
        <v>24</v>
      </c>
      <c r="F1815" t="s">
        <v>24</v>
      </c>
      <c r="G1815" s="1">
        <v>306.83319999999998</v>
      </c>
      <c r="H1815">
        <v>0.01</v>
      </c>
      <c r="I1815">
        <f>Sales_Data[[#This Row],[Sales]]*Sales_Data[[#This Row],[Discount]]</f>
        <v>3.0683319999999998</v>
      </c>
      <c r="J1815">
        <v>303.76486799999998</v>
      </c>
      <c r="K1815" s="1">
        <v>1.9</v>
      </c>
      <c r="L1815" s="1">
        <v>304.9332</v>
      </c>
      <c r="M1815" s="1" t="s">
        <v>10</v>
      </c>
      <c r="N1815" s="1">
        <f>IF(Sales_Data[[#This Row],[Sales with Discount]]&lt;Sales_Data[[#This Row],[Sales with Free Shipping]],Sales_Data[[#This Row],[Sales with Discount]],Sales_Data[[#This Row],[Sales with Free Shipping]])</f>
        <v>303.76486799999998</v>
      </c>
      <c r="O1815" s="1" t="str">
        <f>TEXT(Sales_Data[[#This Row],[Order Date]], "MM-YYYY")</f>
        <v>04-2019</v>
      </c>
    </row>
    <row r="1816" spans="1:15" x14ac:dyDescent="0.3">
      <c r="A1816" s="1">
        <v>30720</v>
      </c>
      <c r="B1816" s="2">
        <v>43735</v>
      </c>
      <c r="C1816" s="1" t="s">
        <v>7</v>
      </c>
      <c r="D1816" s="1">
        <v>5</v>
      </c>
      <c r="E1816" t="s">
        <v>16</v>
      </c>
      <c r="F1816" t="s">
        <v>16</v>
      </c>
      <c r="G1816" s="1">
        <v>35.06</v>
      </c>
      <c r="H1816">
        <v>0</v>
      </c>
      <c r="I1816">
        <f>Sales_Data[[#This Row],[Sales]]*Sales_Data[[#This Row],[Discount]]</f>
        <v>0</v>
      </c>
      <c r="J1816">
        <v>35.06</v>
      </c>
      <c r="K1816" s="1">
        <v>5.4</v>
      </c>
      <c r="L1816" s="1">
        <v>35.06</v>
      </c>
      <c r="M1816" s="1" t="s">
        <v>10</v>
      </c>
      <c r="N1816" s="1">
        <f>IF(Sales_Data[[#This Row],[Sales with Discount]]&lt;Sales_Data[[#This Row],[Sales with Free Shipping]],Sales_Data[[#This Row],[Sales with Discount]],Sales_Data[[#This Row],[Sales with Free Shipping]])</f>
        <v>35.06</v>
      </c>
      <c r="O1816" s="1" t="str">
        <f>TEXT(Sales_Data[[#This Row],[Order Date]], "MM-YYYY")</f>
        <v>09-2019</v>
      </c>
    </row>
    <row r="1817" spans="1:15" x14ac:dyDescent="0.3">
      <c r="A1817" s="1">
        <v>33445</v>
      </c>
      <c r="B1817" s="2">
        <v>43679</v>
      </c>
      <c r="C1817" s="1" t="s">
        <v>7</v>
      </c>
      <c r="D1817" s="1">
        <v>18</v>
      </c>
      <c r="E1817" t="s">
        <v>19</v>
      </c>
      <c r="F1817" t="s">
        <v>19</v>
      </c>
      <c r="G1817" s="1">
        <v>1901.35</v>
      </c>
      <c r="H1817">
        <v>0</v>
      </c>
      <c r="I1817">
        <f>Sales_Data[[#This Row],[Sales]]*Sales_Data[[#This Row],[Discount]]</f>
        <v>0</v>
      </c>
      <c r="J1817">
        <v>1901.35</v>
      </c>
      <c r="K1817" s="1">
        <v>38.299999999999997</v>
      </c>
      <c r="L1817" s="1">
        <v>1901.35</v>
      </c>
      <c r="M1817" s="1" t="s">
        <v>13</v>
      </c>
      <c r="N1817" s="1">
        <f>IF(Sales_Data[[#This Row],[Sales with Discount]]&lt;Sales_Data[[#This Row],[Sales with Free Shipping]],Sales_Data[[#This Row],[Sales with Discount]],Sales_Data[[#This Row],[Sales with Free Shipping]])</f>
        <v>1901.35</v>
      </c>
      <c r="O1817" s="1" t="str">
        <f>TEXT(Sales_Data[[#This Row],[Order Date]], "MM-YYYY")</f>
        <v>08-2019</v>
      </c>
    </row>
    <row r="1818" spans="1:15" x14ac:dyDescent="0.3">
      <c r="A1818" s="1">
        <v>929</v>
      </c>
      <c r="B1818" s="2">
        <v>43739</v>
      </c>
      <c r="C1818" s="1" t="s">
        <v>9</v>
      </c>
      <c r="D1818" s="1">
        <v>21</v>
      </c>
      <c r="E1818" t="s">
        <v>14</v>
      </c>
      <c r="F1818" t="s">
        <v>14</v>
      </c>
      <c r="G1818" s="1">
        <v>243.6</v>
      </c>
      <c r="H1818">
        <v>0</v>
      </c>
      <c r="I1818">
        <f>Sales_Data[[#This Row],[Sales]]*Sales_Data[[#This Row],[Discount]]</f>
        <v>0</v>
      </c>
      <c r="J1818">
        <v>243.6</v>
      </c>
      <c r="K1818" s="1">
        <v>7</v>
      </c>
      <c r="L1818" s="1">
        <v>243.6</v>
      </c>
      <c r="M1818" s="1" t="s">
        <v>10</v>
      </c>
      <c r="N1818" s="1">
        <f>IF(Sales_Data[[#This Row],[Sales with Discount]]&lt;Sales_Data[[#This Row],[Sales with Free Shipping]],Sales_Data[[#This Row],[Sales with Discount]],Sales_Data[[#This Row],[Sales with Free Shipping]])</f>
        <v>243.6</v>
      </c>
      <c r="O1818" s="1" t="str">
        <f>TEXT(Sales_Data[[#This Row],[Order Date]], "MM-YYYY")</f>
        <v>10-2019</v>
      </c>
    </row>
    <row r="1819" spans="1:15" x14ac:dyDescent="0.3">
      <c r="A1819" s="1">
        <v>36512</v>
      </c>
      <c r="B1819" s="2">
        <v>43552</v>
      </c>
      <c r="C1819" s="1" t="s">
        <v>11</v>
      </c>
      <c r="D1819" s="1">
        <v>30</v>
      </c>
      <c r="E1819" t="s">
        <v>20</v>
      </c>
      <c r="F1819" t="s">
        <v>20</v>
      </c>
      <c r="G1819" s="1">
        <v>11142.63</v>
      </c>
      <c r="H1819">
        <v>0</v>
      </c>
      <c r="I1819">
        <f>Sales_Data[[#This Row],[Sales]]*Sales_Data[[#This Row],[Discount]]</f>
        <v>0</v>
      </c>
      <c r="J1819">
        <v>11142.63</v>
      </c>
      <c r="K1819" s="1">
        <v>63</v>
      </c>
      <c r="L1819" s="1">
        <v>11142.63</v>
      </c>
      <c r="M1819" s="1" t="s">
        <v>13</v>
      </c>
      <c r="N1819" s="1">
        <f>IF(Sales_Data[[#This Row],[Sales with Discount]]&lt;Sales_Data[[#This Row],[Sales with Free Shipping]],Sales_Data[[#This Row],[Sales with Discount]],Sales_Data[[#This Row],[Sales with Free Shipping]])</f>
        <v>11142.63</v>
      </c>
      <c r="O1819" s="1" t="str">
        <f>TEXT(Sales_Data[[#This Row],[Order Date]], "MM-YYYY")</f>
        <v>03-2019</v>
      </c>
    </row>
    <row r="1820" spans="1:15" x14ac:dyDescent="0.3">
      <c r="A1820" s="1">
        <v>42596</v>
      </c>
      <c r="B1820" s="2">
        <v>43691</v>
      </c>
      <c r="C1820" s="1" t="s">
        <v>14</v>
      </c>
      <c r="D1820" s="1">
        <v>9</v>
      </c>
      <c r="E1820" t="s">
        <v>17</v>
      </c>
      <c r="F1820" t="s">
        <v>17</v>
      </c>
      <c r="G1820" s="1">
        <v>55.37</v>
      </c>
      <c r="H1820">
        <v>0</v>
      </c>
      <c r="I1820">
        <f>Sales_Data[[#This Row],[Sales]]*Sales_Data[[#This Row],[Discount]]</f>
        <v>0</v>
      </c>
      <c r="J1820">
        <v>55.37</v>
      </c>
      <c r="K1820" s="1">
        <v>0.7</v>
      </c>
      <c r="L1820" s="1">
        <v>55.37</v>
      </c>
      <c r="M1820" s="1" t="s">
        <v>10</v>
      </c>
      <c r="N1820" s="1">
        <f>IF(Sales_Data[[#This Row],[Sales with Discount]]&lt;Sales_Data[[#This Row],[Sales with Free Shipping]],Sales_Data[[#This Row],[Sales with Discount]],Sales_Data[[#This Row],[Sales with Free Shipping]])</f>
        <v>55.37</v>
      </c>
      <c r="O1820" s="1" t="str">
        <f>TEXT(Sales_Data[[#This Row],[Order Date]], "MM-YYYY")</f>
        <v>08-2019</v>
      </c>
    </row>
    <row r="1821" spans="1:15" x14ac:dyDescent="0.3">
      <c r="A1821" s="1">
        <v>58051</v>
      </c>
      <c r="B1821" s="2">
        <v>43544</v>
      </c>
      <c r="C1821" s="1" t="s">
        <v>9</v>
      </c>
      <c r="D1821" s="1">
        <v>6</v>
      </c>
      <c r="E1821" t="s">
        <v>17</v>
      </c>
      <c r="F1821" t="s">
        <v>17</v>
      </c>
      <c r="G1821" s="1">
        <v>274.56200000000001</v>
      </c>
      <c r="H1821">
        <v>0</v>
      </c>
      <c r="I1821">
        <f>Sales_Data[[#This Row],[Sales]]*Sales_Data[[#This Row],[Discount]]</f>
        <v>0</v>
      </c>
      <c r="J1821">
        <v>274.56200000000001</v>
      </c>
      <c r="K1821" s="1">
        <v>7.6</v>
      </c>
      <c r="L1821" s="1">
        <v>274.56200000000001</v>
      </c>
      <c r="M1821" s="1" t="s">
        <v>10</v>
      </c>
      <c r="N1821" s="1">
        <f>IF(Sales_Data[[#This Row],[Sales with Discount]]&lt;Sales_Data[[#This Row],[Sales with Free Shipping]],Sales_Data[[#This Row],[Sales with Discount]],Sales_Data[[#This Row],[Sales with Free Shipping]])</f>
        <v>274.56200000000001</v>
      </c>
      <c r="O1821" s="1" t="str">
        <f>TEXT(Sales_Data[[#This Row],[Order Date]], "MM-YYYY")</f>
        <v>03-2019</v>
      </c>
    </row>
    <row r="1822" spans="1:15" x14ac:dyDescent="0.3">
      <c r="A1822" s="1">
        <v>43555</v>
      </c>
      <c r="B1822" s="2">
        <v>43649</v>
      </c>
      <c r="C1822" s="1" t="s">
        <v>14</v>
      </c>
      <c r="D1822" s="1">
        <v>34</v>
      </c>
      <c r="E1822" t="s">
        <v>21</v>
      </c>
      <c r="F1822" t="s">
        <v>21</v>
      </c>
      <c r="G1822" s="1">
        <v>46.59</v>
      </c>
      <c r="H1822">
        <v>0</v>
      </c>
      <c r="I1822">
        <f>Sales_Data[[#This Row],[Sales]]*Sales_Data[[#This Row],[Discount]]</f>
        <v>0</v>
      </c>
      <c r="J1822">
        <v>46.59</v>
      </c>
      <c r="K1822" s="1">
        <v>0.7</v>
      </c>
      <c r="L1822" s="1">
        <v>46.59</v>
      </c>
      <c r="M1822" s="1" t="s">
        <v>10</v>
      </c>
      <c r="N1822" s="1">
        <f>IF(Sales_Data[[#This Row],[Sales with Discount]]&lt;Sales_Data[[#This Row],[Sales with Free Shipping]],Sales_Data[[#This Row],[Sales with Discount]],Sales_Data[[#This Row],[Sales with Free Shipping]])</f>
        <v>46.59</v>
      </c>
      <c r="O1822" s="1" t="str">
        <f>TEXT(Sales_Data[[#This Row],[Order Date]], "MM-YYYY")</f>
        <v>07-2019</v>
      </c>
    </row>
    <row r="1823" spans="1:15" x14ac:dyDescent="0.3">
      <c r="A1823" s="1">
        <v>5890</v>
      </c>
      <c r="B1823" s="2">
        <v>43772</v>
      </c>
      <c r="C1823" s="1" t="s">
        <v>9</v>
      </c>
      <c r="D1823" s="1">
        <v>42</v>
      </c>
      <c r="E1823" t="s">
        <v>23</v>
      </c>
      <c r="F1823" t="s">
        <v>23</v>
      </c>
      <c r="G1823" s="1">
        <v>870.48</v>
      </c>
      <c r="H1823">
        <v>0.01</v>
      </c>
      <c r="I1823">
        <f>Sales_Data[[#This Row],[Sales]]*Sales_Data[[#This Row],[Discount]]</f>
        <v>8.7048000000000005</v>
      </c>
      <c r="J1823">
        <v>861.77520000000004</v>
      </c>
      <c r="K1823" s="1">
        <v>1.1000000000000001</v>
      </c>
      <c r="L1823" s="1">
        <v>869.38</v>
      </c>
      <c r="M1823" s="1" t="s">
        <v>8</v>
      </c>
      <c r="N1823" s="1">
        <f>IF(Sales_Data[[#This Row],[Sales with Discount]]&lt;Sales_Data[[#This Row],[Sales with Free Shipping]],Sales_Data[[#This Row],[Sales with Discount]],Sales_Data[[#This Row],[Sales with Free Shipping]])</f>
        <v>861.77520000000004</v>
      </c>
      <c r="O1823" s="1" t="str">
        <f>TEXT(Sales_Data[[#This Row],[Order Date]], "MM-YYYY")</f>
        <v>11-2019</v>
      </c>
    </row>
    <row r="1824" spans="1:15" x14ac:dyDescent="0.3">
      <c r="A1824" s="1">
        <v>13570</v>
      </c>
      <c r="B1824" s="2">
        <v>43801</v>
      </c>
      <c r="C1824" s="1" t="s">
        <v>11</v>
      </c>
      <c r="D1824" s="1">
        <v>42</v>
      </c>
      <c r="E1824" t="s">
        <v>23</v>
      </c>
      <c r="F1824" t="s">
        <v>23</v>
      </c>
      <c r="G1824" s="1">
        <v>4363.2</v>
      </c>
      <c r="H1824">
        <v>0.01</v>
      </c>
      <c r="I1824">
        <f>Sales_Data[[#This Row],[Sales]]*Sales_Data[[#This Row],[Discount]]</f>
        <v>43.631999999999998</v>
      </c>
      <c r="J1824">
        <v>4319.5680000000002</v>
      </c>
      <c r="K1824" s="1">
        <v>9.6</v>
      </c>
      <c r="L1824" s="1">
        <v>4353.5999999999995</v>
      </c>
      <c r="M1824" s="1" t="s">
        <v>10</v>
      </c>
      <c r="N1824" s="1">
        <f>IF(Sales_Data[[#This Row],[Sales with Discount]]&lt;Sales_Data[[#This Row],[Sales with Free Shipping]],Sales_Data[[#This Row],[Sales with Discount]],Sales_Data[[#This Row],[Sales with Free Shipping]])</f>
        <v>4319.5680000000002</v>
      </c>
      <c r="O1824" s="1" t="str">
        <f>TEXT(Sales_Data[[#This Row],[Order Date]], "MM-YYYY")</f>
        <v>12-2019</v>
      </c>
    </row>
    <row r="1825" spans="1:15" x14ac:dyDescent="0.3">
      <c r="A1825" s="1">
        <v>40065</v>
      </c>
      <c r="B1825" s="2">
        <v>43512</v>
      </c>
      <c r="C1825" s="1" t="s">
        <v>9</v>
      </c>
      <c r="D1825" s="1">
        <v>49</v>
      </c>
      <c r="E1825" t="s">
        <v>24</v>
      </c>
      <c r="F1825" t="s">
        <v>24</v>
      </c>
      <c r="G1825" s="1">
        <v>22620.94</v>
      </c>
      <c r="H1825">
        <v>0.01</v>
      </c>
      <c r="I1825">
        <f>Sales_Data[[#This Row],[Sales]]*Sales_Data[[#This Row],[Discount]]</f>
        <v>226.20939999999999</v>
      </c>
      <c r="J1825">
        <v>22394.730599999999</v>
      </c>
      <c r="K1825" s="1">
        <v>26.2</v>
      </c>
      <c r="L1825" s="1">
        <v>22594.739999999998</v>
      </c>
      <c r="M1825" s="1" t="s">
        <v>10</v>
      </c>
      <c r="N1825" s="1">
        <f>IF(Sales_Data[[#This Row],[Sales with Discount]]&lt;Sales_Data[[#This Row],[Sales with Free Shipping]],Sales_Data[[#This Row],[Sales with Discount]],Sales_Data[[#This Row],[Sales with Free Shipping]])</f>
        <v>22394.730599999999</v>
      </c>
      <c r="O1825" s="1" t="str">
        <f>TEXT(Sales_Data[[#This Row],[Order Date]], "MM-YYYY")</f>
        <v>02-2019</v>
      </c>
    </row>
    <row r="1826" spans="1:15" x14ac:dyDescent="0.3">
      <c r="A1826" s="1">
        <v>51489</v>
      </c>
      <c r="B1826" s="2">
        <v>43527</v>
      </c>
      <c r="C1826" s="1" t="s">
        <v>12</v>
      </c>
      <c r="D1826" s="1">
        <v>5</v>
      </c>
      <c r="E1826" t="s">
        <v>16</v>
      </c>
      <c r="F1826" t="s">
        <v>16</v>
      </c>
      <c r="G1826" s="1">
        <v>34.979999999999997</v>
      </c>
      <c r="H1826">
        <v>0</v>
      </c>
      <c r="I1826">
        <f>Sales_Data[[#This Row],[Sales]]*Sales_Data[[#This Row],[Discount]]</f>
        <v>0</v>
      </c>
      <c r="J1826">
        <v>34.979999999999997</v>
      </c>
      <c r="K1826" s="1">
        <v>8.1</v>
      </c>
      <c r="L1826" s="1">
        <v>34.979999999999997</v>
      </c>
      <c r="M1826" s="1" t="s">
        <v>10</v>
      </c>
      <c r="N1826" s="1">
        <f>IF(Sales_Data[[#This Row],[Sales with Discount]]&lt;Sales_Data[[#This Row],[Sales with Free Shipping]],Sales_Data[[#This Row],[Sales with Discount]],Sales_Data[[#This Row],[Sales with Free Shipping]])</f>
        <v>34.979999999999997</v>
      </c>
      <c r="O1826" s="1" t="str">
        <f>TEXT(Sales_Data[[#This Row],[Order Date]], "MM-YYYY")</f>
        <v>03-2019</v>
      </c>
    </row>
    <row r="1827" spans="1:15" x14ac:dyDescent="0.3">
      <c r="A1827" s="1">
        <v>45317</v>
      </c>
      <c r="B1827" s="2">
        <v>43525</v>
      </c>
      <c r="C1827" s="1" t="s">
        <v>7</v>
      </c>
      <c r="D1827" s="1">
        <v>36</v>
      </c>
      <c r="E1827" t="s">
        <v>22</v>
      </c>
      <c r="F1827" t="s">
        <v>22</v>
      </c>
      <c r="G1827" s="1">
        <v>1536.47</v>
      </c>
      <c r="H1827">
        <v>0.01</v>
      </c>
      <c r="I1827">
        <f>Sales_Data[[#This Row],[Sales]]*Sales_Data[[#This Row],[Discount]]</f>
        <v>15.364700000000001</v>
      </c>
      <c r="J1827">
        <v>1521.1052999999999</v>
      </c>
      <c r="K1827" s="1">
        <v>2.1</v>
      </c>
      <c r="L1827" s="1">
        <v>1534.3700000000001</v>
      </c>
      <c r="M1827" s="1" t="s">
        <v>10</v>
      </c>
      <c r="N1827" s="1">
        <f>IF(Sales_Data[[#This Row],[Sales with Discount]]&lt;Sales_Data[[#This Row],[Sales with Free Shipping]],Sales_Data[[#This Row],[Sales with Discount]],Sales_Data[[#This Row],[Sales with Free Shipping]])</f>
        <v>1521.1052999999999</v>
      </c>
      <c r="O1827" s="1" t="str">
        <f>TEXT(Sales_Data[[#This Row],[Order Date]], "MM-YYYY")</f>
        <v>03-2019</v>
      </c>
    </row>
    <row r="1828" spans="1:15" x14ac:dyDescent="0.3">
      <c r="A1828" s="1">
        <v>41120</v>
      </c>
      <c r="B1828" s="2">
        <v>43653</v>
      </c>
      <c r="C1828" s="1" t="s">
        <v>7</v>
      </c>
      <c r="D1828" s="1">
        <v>13</v>
      </c>
      <c r="E1828" t="s">
        <v>18</v>
      </c>
      <c r="F1828" t="s">
        <v>18</v>
      </c>
      <c r="G1828" s="1">
        <v>46.41</v>
      </c>
      <c r="H1828">
        <v>0</v>
      </c>
      <c r="I1828">
        <f>Sales_Data[[#This Row],[Sales]]*Sales_Data[[#This Row],[Discount]]</f>
        <v>0</v>
      </c>
      <c r="J1828">
        <v>46.41</v>
      </c>
      <c r="K1828" s="1">
        <v>1.1000000000000001</v>
      </c>
      <c r="L1828" s="1">
        <v>46.41</v>
      </c>
      <c r="M1828" s="1" t="s">
        <v>10</v>
      </c>
      <c r="N1828" s="1">
        <f>IF(Sales_Data[[#This Row],[Sales with Discount]]&lt;Sales_Data[[#This Row],[Sales with Free Shipping]],Sales_Data[[#This Row],[Sales with Discount]],Sales_Data[[#This Row],[Sales with Free Shipping]])</f>
        <v>46.41</v>
      </c>
      <c r="O1828" s="1" t="str">
        <f>TEXT(Sales_Data[[#This Row],[Order Date]], "MM-YYYY")</f>
        <v>07-2019</v>
      </c>
    </row>
    <row r="1829" spans="1:15" x14ac:dyDescent="0.3">
      <c r="A1829" s="1">
        <v>25473</v>
      </c>
      <c r="B1829" s="2">
        <v>43752</v>
      </c>
      <c r="C1829" s="1" t="s">
        <v>9</v>
      </c>
      <c r="D1829" s="1">
        <v>20</v>
      </c>
      <c r="E1829" t="s">
        <v>19</v>
      </c>
      <c r="F1829" t="s">
        <v>19</v>
      </c>
      <c r="G1829" s="1">
        <v>849.92</v>
      </c>
      <c r="H1829">
        <v>0</v>
      </c>
      <c r="I1829">
        <f>Sales_Data[[#This Row],[Sales]]*Sales_Data[[#This Row],[Discount]]</f>
        <v>0</v>
      </c>
      <c r="J1829">
        <v>849.92</v>
      </c>
      <c r="K1829" s="1">
        <v>18.7</v>
      </c>
      <c r="L1829" s="1">
        <v>849.92</v>
      </c>
      <c r="M1829" s="1" t="s">
        <v>10</v>
      </c>
      <c r="N1829" s="1">
        <f>IF(Sales_Data[[#This Row],[Sales with Discount]]&lt;Sales_Data[[#This Row],[Sales with Free Shipping]],Sales_Data[[#This Row],[Sales with Discount]],Sales_Data[[#This Row],[Sales with Free Shipping]])</f>
        <v>849.92</v>
      </c>
      <c r="O1829" s="1" t="str">
        <f>TEXT(Sales_Data[[#This Row],[Order Date]], "MM-YYYY")</f>
        <v>10-2019</v>
      </c>
    </row>
    <row r="1830" spans="1:15" x14ac:dyDescent="0.3">
      <c r="A1830" s="1">
        <v>31552</v>
      </c>
      <c r="B1830" s="2">
        <v>43780</v>
      </c>
      <c r="C1830" s="1" t="s">
        <v>9</v>
      </c>
      <c r="D1830" s="1">
        <v>24</v>
      </c>
      <c r="E1830" t="s">
        <v>14</v>
      </c>
      <c r="F1830" t="s">
        <v>14</v>
      </c>
      <c r="G1830" s="1">
        <v>782.93</v>
      </c>
      <c r="H1830">
        <v>0</v>
      </c>
      <c r="I1830">
        <f>Sales_Data[[#This Row],[Sales]]*Sales_Data[[#This Row],[Discount]]</f>
        <v>0</v>
      </c>
      <c r="J1830">
        <v>782.93</v>
      </c>
      <c r="K1830" s="1">
        <v>2.1</v>
      </c>
      <c r="L1830" s="1">
        <v>782.93</v>
      </c>
      <c r="M1830" s="1" t="s">
        <v>10</v>
      </c>
      <c r="N1830" s="1">
        <f>IF(Sales_Data[[#This Row],[Sales with Discount]]&lt;Sales_Data[[#This Row],[Sales with Free Shipping]],Sales_Data[[#This Row],[Sales with Discount]],Sales_Data[[#This Row],[Sales with Free Shipping]])</f>
        <v>782.93</v>
      </c>
      <c r="O1830" s="1" t="str">
        <f>TEXT(Sales_Data[[#This Row],[Order Date]], "MM-YYYY")</f>
        <v>11-2019</v>
      </c>
    </row>
    <row r="1831" spans="1:15" x14ac:dyDescent="0.3">
      <c r="A1831" s="1">
        <v>16807</v>
      </c>
      <c r="B1831" s="2">
        <v>43479</v>
      </c>
      <c r="C1831" s="1" t="s">
        <v>14</v>
      </c>
      <c r="D1831" s="1">
        <v>30</v>
      </c>
      <c r="E1831" t="s">
        <v>20</v>
      </c>
      <c r="F1831" t="s">
        <v>20</v>
      </c>
      <c r="G1831" s="1">
        <v>230.96</v>
      </c>
      <c r="H1831">
        <v>0</v>
      </c>
      <c r="I1831">
        <f>Sales_Data[[#This Row],[Sales]]*Sales_Data[[#This Row],[Discount]]</f>
        <v>0</v>
      </c>
      <c r="J1831">
        <v>230.96</v>
      </c>
      <c r="K1831" s="1">
        <v>1.8</v>
      </c>
      <c r="L1831" s="1">
        <v>230.96</v>
      </c>
      <c r="M1831" s="1" t="s">
        <v>10</v>
      </c>
      <c r="N1831" s="1">
        <f>IF(Sales_Data[[#This Row],[Sales with Discount]]&lt;Sales_Data[[#This Row],[Sales with Free Shipping]],Sales_Data[[#This Row],[Sales with Discount]],Sales_Data[[#This Row],[Sales with Free Shipping]])</f>
        <v>230.96</v>
      </c>
      <c r="O1831" s="1" t="str">
        <f>TEXT(Sales_Data[[#This Row],[Order Date]], "MM-YYYY")</f>
        <v>01-2019</v>
      </c>
    </row>
    <row r="1832" spans="1:15" x14ac:dyDescent="0.3">
      <c r="A1832" s="1">
        <v>40098</v>
      </c>
      <c r="B1832" s="2">
        <v>43500</v>
      </c>
      <c r="C1832" s="1" t="s">
        <v>7</v>
      </c>
      <c r="D1832" s="1">
        <v>46</v>
      </c>
      <c r="E1832" t="s">
        <v>24</v>
      </c>
      <c r="F1832" t="s">
        <v>24</v>
      </c>
      <c r="G1832" s="1">
        <v>596.36</v>
      </c>
      <c r="H1832">
        <v>0.01</v>
      </c>
      <c r="I1832">
        <f>Sales_Data[[#This Row],[Sales]]*Sales_Data[[#This Row],[Discount]]</f>
        <v>5.9636000000000005</v>
      </c>
      <c r="J1832">
        <v>590.39639999999997</v>
      </c>
      <c r="K1832" s="1">
        <v>7.7</v>
      </c>
      <c r="L1832" s="1">
        <v>588.66</v>
      </c>
      <c r="M1832" s="1" t="s">
        <v>10</v>
      </c>
      <c r="N1832" s="1">
        <f>IF(Sales_Data[[#This Row],[Sales with Discount]]&lt;Sales_Data[[#This Row],[Sales with Free Shipping]],Sales_Data[[#This Row],[Sales with Discount]],Sales_Data[[#This Row],[Sales with Free Shipping]])</f>
        <v>588.66</v>
      </c>
      <c r="O1832" s="1" t="str">
        <f>TEXT(Sales_Data[[#This Row],[Order Date]], "MM-YYYY")</f>
        <v>02-2019</v>
      </c>
    </row>
    <row r="1833" spans="1:15" x14ac:dyDescent="0.3">
      <c r="A1833" s="1">
        <v>26982</v>
      </c>
      <c r="B1833" s="2">
        <v>43583</v>
      </c>
      <c r="C1833" s="1" t="s">
        <v>11</v>
      </c>
      <c r="D1833" s="1">
        <v>37</v>
      </c>
      <c r="E1833" t="s">
        <v>22</v>
      </c>
      <c r="F1833" t="s">
        <v>22</v>
      </c>
      <c r="G1833" s="1">
        <v>2123.5300000000002</v>
      </c>
      <c r="H1833">
        <v>0.01</v>
      </c>
      <c r="I1833">
        <f>Sales_Data[[#This Row],[Sales]]*Sales_Data[[#This Row],[Discount]]</f>
        <v>21.235300000000002</v>
      </c>
      <c r="J1833">
        <v>2102.2947000000004</v>
      </c>
      <c r="K1833" s="1">
        <v>15.3</v>
      </c>
      <c r="L1833" s="1">
        <v>2108.23</v>
      </c>
      <c r="M1833" s="1" t="s">
        <v>8</v>
      </c>
      <c r="N1833" s="1">
        <f>IF(Sales_Data[[#This Row],[Sales with Discount]]&lt;Sales_Data[[#This Row],[Sales with Free Shipping]],Sales_Data[[#This Row],[Sales with Discount]],Sales_Data[[#This Row],[Sales with Free Shipping]])</f>
        <v>2102.2947000000004</v>
      </c>
      <c r="O1833" s="1" t="str">
        <f>TEXT(Sales_Data[[#This Row],[Order Date]], "MM-YYYY")</f>
        <v>04-2019</v>
      </c>
    </row>
    <row r="1834" spans="1:15" x14ac:dyDescent="0.3">
      <c r="A1834" s="1">
        <v>21191</v>
      </c>
      <c r="B1834" s="2">
        <v>43783</v>
      </c>
      <c r="C1834" s="1" t="s">
        <v>9</v>
      </c>
      <c r="D1834" s="1">
        <v>48</v>
      </c>
      <c r="E1834" t="s">
        <v>24</v>
      </c>
      <c r="F1834" t="s">
        <v>24</v>
      </c>
      <c r="G1834" s="1">
        <v>7742.34</v>
      </c>
      <c r="H1834">
        <v>0.01</v>
      </c>
      <c r="I1834">
        <f>Sales_Data[[#This Row],[Sales]]*Sales_Data[[#This Row],[Discount]]</f>
        <v>77.423400000000001</v>
      </c>
      <c r="J1834">
        <v>7664.9166000000005</v>
      </c>
      <c r="K1834" s="1">
        <v>15</v>
      </c>
      <c r="L1834" s="1">
        <v>7727.34</v>
      </c>
      <c r="M1834" s="1" t="s">
        <v>10</v>
      </c>
      <c r="N1834" s="1">
        <f>IF(Sales_Data[[#This Row],[Sales with Discount]]&lt;Sales_Data[[#This Row],[Sales with Free Shipping]],Sales_Data[[#This Row],[Sales with Discount]],Sales_Data[[#This Row],[Sales with Free Shipping]])</f>
        <v>7664.9166000000005</v>
      </c>
      <c r="O1834" s="1" t="str">
        <f>TEXT(Sales_Data[[#This Row],[Order Date]], "MM-YYYY")</f>
        <v>11-2019</v>
      </c>
    </row>
    <row r="1835" spans="1:15" x14ac:dyDescent="0.3">
      <c r="A1835" s="1">
        <v>2688</v>
      </c>
      <c r="B1835" s="2">
        <v>43487</v>
      </c>
      <c r="C1835" s="1" t="s">
        <v>9</v>
      </c>
      <c r="D1835" s="1">
        <v>11</v>
      </c>
      <c r="E1835" t="s">
        <v>18</v>
      </c>
      <c r="F1835" t="s">
        <v>18</v>
      </c>
      <c r="G1835" s="1">
        <v>1668.596</v>
      </c>
      <c r="H1835">
        <v>0</v>
      </c>
      <c r="I1835">
        <f>Sales_Data[[#This Row],[Sales]]*Sales_Data[[#This Row],[Discount]]</f>
        <v>0</v>
      </c>
      <c r="J1835">
        <v>1668.596</v>
      </c>
      <c r="K1835" s="1">
        <v>4.2</v>
      </c>
      <c r="L1835" s="1">
        <v>1668.596</v>
      </c>
      <c r="M1835" s="1" t="s">
        <v>10</v>
      </c>
      <c r="N1835" s="1">
        <f>IF(Sales_Data[[#This Row],[Sales with Discount]]&lt;Sales_Data[[#This Row],[Sales with Free Shipping]],Sales_Data[[#This Row],[Sales with Discount]],Sales_Data[[#This Row],[Sales with Free Shipping]])</f>
        <v>1668.596</v>
      </c>
      <c r="O1835" s="1" t="str">
        <f>TEXT(Sales_Data[[#This Row],[Order Date]], "MM-YYYY")</f>
        <v>01-2019</v>
      </c>
    </row>
    <row r="1836" spans="1:15" x14ac:dyDescent="0.3">
      <c r="A1836" s="1">
        <v>10688</v>
      </c>
      <c r="B1836" s="2">
        <v>43597</v>
      </c>
      <c r="C1836" s="1" t="s">
        <v>14</v>
      </c>
      <c r="D1836" s="1">
        <v>14</v>
      </c>
      <c r="E1836" t="s">
        <v>18</v>
      </c>
      <c r="F1836" t="s">
        <v>18</v>
      </c>
      <c r="G1836" s="1">
        <v>662.15880000000004</v>
      </c>
      <c r="H1836">
        <v>0</v>
      </c>
      <c r="I1836">
        <f>Sales_Data[[#This Row],[Sales]]*Sales_Data[[#This Row],[Discount]]</f>
        <v>0</v>
      </c>
      <c r="J1836">
        <v>662.15880000000004</v>
      </c>
      <c r="K1836" s="1">
        <v>36.6</v>
      </c>
      <c r="L1836" s="1">
        <v>662.15880000000004</v>
      </c>
      <c r="M1836" s="1" t="s">
        <v>10</v>
      </c>
      <c r="N1836" s="1">
        <f>IF(Sales_Data[[#This Row],[Sales with Discount]]&lt;Sales_Data[[#This Row],[Sales with Free Shipping]],Sales_Data[[#This Row],[Sales with Discount]],Sales_Data[[#This Row],[Sales with Free Shipping]])</f>
        <v>662.15880000000004</v>
      </c>
      <c r="O1836" s="1" t="str">
        <f>TEXT(Sales_Data[[#This Row],[Order Date]], "MM-YYYY")</f>
        <v>05-2019</v>
      </c>
    </row>
    <row r="1837" spans="1:15" x14ac:dyDescent="0.3">
      <c r="A1837" s="1">
        <v>5697</v>
      </c>
      <c r="B1837" s="2">
        <v>43742</v>
      </c>
      <c r="C1837" s="1" t="s">
        <v>12</v>
      </c>
      <c r="D1837" s="1">
        <v>31</v>
      </c>
      <c r="E1837" t="s">
        <v>21</v>
      </c>
      <c r="F1837" t="s">
        <v>21</v>
      </c>
      <c r="G1837" s="1">
        <v>397.7</v>
      </c>
      <c r="H1837">
        <v>0</v>
      </c>
      <c r="I1837">
        <f>Sales_Data[[#This Row],[Sales]]*Sales_Data[[#This Row],[Discount]]</f>
        <v>0</v>
      </c>
      <c r="J1837">
        <v>397.7</v>
      </c>
      <c r="K1837" s="1">
        <v>5.4</v>
      </c>
      <c r="L1837" s="1">
        <v>397.7</v>
      </c>
      <c r="M1837" s="1" t="s">
        <v>10</v>
      </c>
      <c r="N1837" s="1">
        <f>IF(Sales_Data[[#This Row],[Sales with Discount]]&lt;Sales_Data[[#This Row],[Sales with Free Shipping]],Sales_Data[[#This Row],[Sales with Discount]],Sales_Data[[#This Row],[Sales with Free Shipping]])</f>
        <v>397.7</v>
      </c>
      <c r="O1837" s="1" t="str">
        <f>TEXT(Sales_Data[[#This Row],[Order Date]], "MM-YYYY")</f>
        <v>10-2019</v>
      </c>
    </row>
    <row r="1838" spans="1:15" x14ac:dyDescent="0.3">
      <c r="A1838" s="1">
        <v>59204</v>
      </c>
      <c r="B1838" s="2">
        <v>43524</v>
      </c>
      <c r="C1838" s="1" t="s">
        <v>14</v>
      </c>
      <c r="D1838" s="1">
        <v>25</v>
      </c>
      <c r="E1838" t="s">
        <v>14</v>
      </c>
      <c r="F1838" t="s">
        <v>14</v>
      </c>
      <c r="G1838" s="1">
        <v>162.37</v>
      </c>
      <c r="H1838">
        <v>0</v>
      </c>
      <c r="I1838">
        <f>Sales_Data[[#This Row],[Sales]]*Sales_Data[[#This Row],[Discount]]</f>
        <v>0</v>
      </c>
      <c r="J1838">
        <v>162.37</v>
      </c>
      <c r="K1838" s="1">
        <v>6</v>
      </c>
      <c r="L1838" s="1">
        <v>162.37</v>
      </c>
      <c r="M1838" s="1" t="s">
        <v>10</v>
      </c>
      <c r="N1838" s="1">
        <f>IF(Sales_Data[[#This Row],[Sales with Discount]]&lt;Sales_Data[[#This Row],[Sales with Free Shipping]],Sales_Data[[#This Row],[Sales with Discount]],Sales_Data[[#This Row],[Sales with Free Shipping]])</f>
        <v>162.37</v>
      </c>
      <c r="O1838" s="1" t="str">
        <f>TEXT(Sales_Data[[#This Row],[Order Date]], "MM-YYYY")</f>
        <v>02-2019</v>
      </c>
    </row>
    <row r="1839" spans="1:15" x14ac:dyDescent="0.3">
      <c r="A1839" s="1">
        <v>55651</v>
      </c>
      <c r="B1839" s="2">
        <v>43531</v>
      </c>
      <c r="C1839" s="1" t="s">
        <v>14</v>
      </c>
      <c r="D1839" s="1">
        <v>2</v>
      </c>
      <c r="E1839" t="s">
        <v>16</v>
      </c>
      <c r="F1839" t="s">
        <v>16</v>
      </c>
      <c r="G1839" s="1">
        <v>85.53</v>
      </c>
      <c r="H1839">
        <v>0</v>
      </c>
      <c r="I1839">
        <f>Sales_Data[[#This Row],[Sales]]*Sales_Data[[#This Row],[Discount]]</f>
        <v>0</v>
      </c>
      <c r="J1839">
        <v>85.53</v>
      </c>
      <c r="K1839" s="1">
        <v>21.4</v>
      </c>
      <c r="L1839" s="1">
        <v>85.53</v>
      </c>
      <c r="M1839" s="1" t="s">
        <v>10</v>
      </c>
      <c r="N1839" s="1">
        <f>IF(Sales_Data[[#This Row],[Sales with Discount]]&lt;Sales_Data[[#This Row],[Sales with Free Shipping]],Sales_Data[[#This Row],[Sales with Discount]],Sales_Data[[#This Row],[Sales with Free Shipping]])</f>
        <v>85.53</v>
      </c>
      <c r="O1839" s="1" t="str">
        <f>TEXT(Sales_Data[[#This Row],[Order Date]], "MM-YYYY")</f>
        <v>03-2019</v>
      </c>
    </row>
    <row r="1840" spans="1:15" x14ac:dyDescent="0.3">
      <c r="A1840" s="1">
        <v>23649</v>
      </c>
      <c r="B1840" s="2">
        <v>43713</v>
      </c>
      <c r="C1840" s="1" t="s">
        <v>11</v>
      </c>
      <c r="D1840" s="1">
        <v>42</v>
      </c>
      <c r="E1840" t="s">
        <v>23</v>
      </c>
      <c r="F1840" t="s">
        <v>23</v>
      </c>
      <c r="G1840" s="1">
        <v>4859.8599999999997</v>
      </c>
      <c r="H1840">
        <v>0.01</v>
      </c>
      <c r="I1840">
        <f>Sales_Data[[#This Row],[Sales]]*Sales_Data[[#This Row],[Discount]]</f>
        <v>48.598599999999998</v>
      </c>
      <c r="J1840">
        <v>4811.2613999999994</v>
      </c>
      <c r="K1840" s="1">
        <v>8.6</v>
      </c>
      <c r="L1840" s="1">
        <v>4851.2599999999993</v>
      </c>
      <c r="M1840" s="1" t="s">
        <v>10</v>
      </c>
      <c r="N1840" s="1">
        <f>IF(Sales_Data[[#This Row],[Sales with Discount]]&lt;Sales_Data[[#This Row],[Sales with Free Shipping]],Sales_Data[[#This Row],[Sales with Discount]],Sales_Data[[#This Row],[Sales with Free Shipping]])</f>
        <v>4811.2613999999994</v>
      </c>
      <c r="O1840" s="1" t="str">
        <f>TEXT(Sales_Data[[#This Row],[Order Date]], "MM-YYYY")</f>
        <v>09-2019</v>
      </c>
    </row>
    <row r="1841" spans="1:15" x14ac:dyDescent="0.3">
      <c r="A1841" s="1">
        <v>32903</v>
      </c>
      <c r="B1841" s="2">
        <v>43672</v>
      </c>
      <c r="C1841" s="1" t="s">
        <v>7</v>
      </c>
      <c r="D1841" s="1">
        <v>31</v>
      </c>
      <c r="E1841" t="s">
        <v>21</v>
      </c>
      <c r="F1841" t="s">
        <v>21</v>
      </c>
      <c r="G1841" s="1">
        <v>486.4</v>
      </c>
      <c r="H1841">
        <v>0</v>
      </c>
      <c r="I1841">
        <f>Sales_Data[[#This Row],[Sales]]*Sales_Data[[#This Row],[Discount]]</f>
        <v>0</v>
      </c>
      <c r="J1841">
        <v>486.4</v>
      </c>
      <c r="K1841" s="1">
        <v>9.4</v>
      </c>
      <c r="L1841" s="1">
        <v>486.4</v>
      </c>
      <c r="M1841" s="1" t="s">
        <v>10</v>
      </c>
      <c r="N1841" s="1">
        <f>IF(Sales_Data[[#This Row],[Sales with Discount]]&lt;Sales_Data[[#This Row],[Sales with Free Shipping]],Sales_Data[[#This Row],[Sales with Discount]],Sales_Data[[#This Row],[Sales with Free Shipping]])</f>
        <v>486.4</v>
      </c>
      <c r="O1841" s="1" t="str">
        <f>TEXT(Sales_Data[[#This Row],[Order Date]], "MM-YYYY")</f>
        <v>07-2019</v>
      </c>
    </row>
    <row r="1842" spans="1:15" x14ac:dyDescent="0.3">
      <c r="A1842" s="1">
        <v>53990</v>
      </c>
      <c r="B1842" s="2">
        <v>43770</v>
      </c>
      <c r="C1842" s="1" t="s">
        <v>11</v>
      </c>
      <c r="D1842" s="1">
        <v>44</v>
      </c>
      <c r="E1842" t="s">
        <v>23</v>
      </c>
      <c r="F1842" t="s">
        <v>23</v>
      </c>
      <c r="G1842" s="1">
        <v>4562.4066999999995</v>
      </c>
      <c r="H1842">
        <v>0.01</v>
      </c>
      <c r="I1842">
        <f>Sales_Data[[#This Row],[Sales]]*Sales_Data[[#This Row],[Discount]]</f>
        <v>45.624066999999997</v>
      </c>
      <c r="J1842">
        <v>4516.7826329999998</v>
      </c>
      <c r="K1842" s="1">
        <v>2.7</v>
      </c>
      <c r="L1842" s="1">
        <v>4559.7066999999997</v>
      </c>
      <c r="M1842" s="1" t="s">
        <v>10</v>
      </c>
      <c r="N1842" s="1">
        <f>IF(Sales_Data[[#This Row],[Sales with Discount]]&lt;Sales_Data[[#This Row],[Sales with Free Shipping]],Sales_Data[[#This Row],[Sales with Discount]],Sales_Data[[#This Row],[Sales with Free Shipping]])</f>
        <v>4516.7826329999998</v>
      </c>
      <c r="O1842" s="1" t="str">
        <f>TEXT(Sales_Data[[#This Row],[Order Date]], "MM-YYYY")</f>
        <v>11-2019</v>
      </c>
    </row>
    <row r="1843" spans="1:15" x14ac:dyDescent="0.3">
      <c r="A1843" s="1">
        <v>52518</v>
      </c>
      <c r="B1843" s="2">
        <v>43558</v>
      </c>
      <c r="C1843" s="1" t="s">
        <v>12</v>
      </c>
      <c r="D1843" s="1">
        <v>8</v>
      </c>
      <c r="E1843" t="s">
        <v>17</v>
      </c>
      <c r="F1843" t="s">
        <v>17</v>
      </c>
      <c r="G1843" s="1">
        <v>180.82</v>
      </c>
      <c r="H1843">
        <v>0</v>
      </c>
      <c r="I1843">
        <f>Sales_Data[[#This Row],[Sales]]*Sales_Data[[#This Row],[Discount]]</f>
        <v>0</v>
      </c>
      <c r="J1843">
        <v>180.82</v>
      </c>
      <c r="K1843" s="1">
        <v>4.3</v>
      </c>
      <c r="L1843" s="1">
        <v>180.82</v>
      </c>
      <c r="M1843" s="1" t="s">
        <v>10</v>
      </c>
      <c r="N1843" s="1">
        <f>IF(Sales_Data[[#This Row],[Sales with Discount]]&lt;Sales_Data[[#This Row],[Sales with Free Shipping]],Sales_Data[[#This Row],[Sales with Discount]],Sales_Data[[#This Row],[Sales with Free Shipping]])</f>
        <v>180.82</v>
      </c>
      <c r="O1843" s="1" t="str">
        <f>TEXT(Sales_Data[[#This Row],[Order Date]], "MM-YYYY")</f>
        <v>04-2019</v>
      </c>
    </row>
    <row r="1844" spans="1:15" x14ac:dyDescent="0.3">
      <c r="A1844" s="1">
        <v>53536</v>
      </c>
      <c r="B1844" s="2">
        <v>43768</v>
      </c>
      <c r="C1844" s="1" t="s">
        <v>9</v>
      </c>
      <c r="D1844" s="1">
        <v>35</v>
      </c>
      <c r="E1844" t="s">
        <v>21</v>
      </c>
      <c r="F1844" t="s">
        <v>21</v>
      </c>
      <c r="G1844" s="1">
        <v>790.4</v>
      </c>
      <c r="H1844">
        <v>0</v>
      </c>
      <c r="I1844">
        <f>Sales_Data[[#This Row],[Sales]]*Sales_Data[[#This Row],[Discount]]</f>
        <v>0</v>
      </c>
      <c r="J1844">
        <v>790.4</v>
      </c>
      <c r="K1844" s="1">
        <v>8.1</v>
      </c>
      <c r="L1844" s="1">
        <v>790.4</v>
      </c>
      <c r="M1844" s="1" t="s">
        <v>10</v>
      </c>
      <c r="N1844" s="1">
        <f>IF(Sales_Data[[#This Row],[Sales with Discount]]&lt;Sales_Data[[#This Row],[Sales with Free Shipping]],Sales_Data[[#This Row],[Sales with Discount]],Sales_Data[[#This Row],[Sales with Free Shipping]])</f>
        <v>790.4</v>
      </c>
      <c r="O1844" s="1" t="str">
        <f>TEXT(Sales_Data[[#This Row],[Order Date]], "MM-YYYY")</f>
        <v>10-2019</v>
      </c>
    </row>
    <row r="1845" spans="1:15" x14ac:dyDescent="0.3">
      <c r="A1845" s="1">
        <v>55526</v>
      </c>
      <c r="B1845" s="2">
        <v>43648</v>
      </c>
      <c r="C1845" s="1" t="s">
        <v>9</v>
      </c>
      <c r="D1845" s="1">
        <v>23</v>
      </c>
      <c r="E1845" t="s">
        <v>14</v>
      </c>
      <c r="F1845" t="s">
        <v>14</v>
      </c>
      <c r="G1845" s="1">
        <v>476.33</v>
      </c>
      <c r="H1845">
        <v>0</v>
      </c>
      <c r="I1845">
        <f>Sales_Data[[#This Row],[Sales]]*Sales_Data[[#This Row],[Discount]]</f>
        <v>0</v>
      </c>
      <c r="J1845">
        <v>476.33</v>
      </c>
      <c r="K1845" s="1">
        <v>9.6999999999999993</v>
      </c>
      <c r="L1845" s="1">
        <v>476.33</v>
      </c>
      <c r="M1845" s="1" t="s">
        <v>10</v>
      </c>
      <c r="N1845" s="1">
        <f>IF(Sales_Data[[#This Row],[Sales with Discount]]&lt;Sales_Data[[#This Row],[Sales with Free Shipping]],Sales_Data[[#This Row],[Sales with Discount]],Sales_Data[[#This Row],[Sales with Free Shipping]])</f>
        <v>476.33</v>
      </c>
      <c r="O1845" s="1" t="str">
        <f>TEXT(Sales_Data[[#This Row],[Order Date]], "MM-YYYY")</f>
        <v>07-2019</v>
      </c>
    </row>
    <row r="1846" spans="1:15" x14ac:dyDescent="0.3">
      <c r="A1846" s="1">
        <v>3845</v>
      </c>
      <c r="B1846" s="2">
        <v>43580</v>
      </c>
      <c r="C1846" s="1" t="s">
        <v>12</v>
      </c>
      <c r="D1846" s="1">
        <v>9</v>
      </c>
      <c r="E1846" t="s">
        <v>17</v>
      </c>
      <c r="F1846" t="s">
        <v>17</v>
      </c>
      <c r="G1846" s="1">
        <v>3278.7689</v>
      </c>
      <c r="H1846">
        <v>0</v>
      </c>
      <c r="I1846">
        <f>Sales_Data[[#This Row],[Sales]]*Sales_Data[[#This Row],[Discount]]</f>
        <v>0</v>
      </c>
      <c r="J1846">
        <v>3278.7689</v>
      </c>
      <c r="K1846" s="1">
        <v>21.4</v>
      </c>
      <c r="L1846" s="1">
        <v>3278.7689</v>
      </c>
      <c r="M1846" s="1" t="s">
        <v>10</v>
      </c>
      <c r="N1846" s="1">
        <f>IF(Sales_Data[[#This Row],[Sales with Discount]]&lt;Sales_Data[[#This Row],[Sales with Free Shipping]],Sales_Data[[#This Row],[Sales with Discount]],Sales_Data[[#This Row],[Sales with Free Shipping]])</f>
        <v>3278.7689</v>
      </c>
      <c r="O1846" s="1" t="str">
        <f>TEXT(Sales_Data[[#This Row],[Order Date]], "MM-YYYY")</f>
        <v>04-2019</v>
      </c>
    </row>
    <row r="1847" spans="1:15" x14ac:dyDescent="0.3">
      <c r="A1847" s="1">
        <v>3650</v>
      </c>
      <c r="B1847" s="2">
        <v>43612</v>
      </c>
      <c r="C1847" s="1" t="s">
        <v>11</v>
      </c>
      <c r="D1847" s="1">
        <v>36</v>
      </c>
      <c r="E1847" t="s">
        <v>22</v>
      </c>
      <c r="F1847" t="s">
        <v>22</v>
      </c>
      <c r="G1847" s="1">
        <v>149.75</v>
      </c>
      <c r="H1847">
        <v>0.01</v>
      </c>
      <c r="I1847">
        <f>Sales_Data[[#This Row],[Sales]]*Sales_Data[[#This Row],[Discount]]</f>
        <v>1.4975000000000001</v>
      </c>
      <c r="J1847">
        <v>148.2525</v>
      </c>
      <c r="K1847" s="1">
        <v>5.9</v>
      </c>
      <c r="L1847" s="1">
        <v>143.85</v>
      </c>
      <c r="M1847" s="1" t="s">
        <v>8</v>
      </c>
      <c r="N1847" s="1">
        <f>IF(Sales_Data[[#This Row],[Sales with Discount]]&lt;Sales_Data[[#This Row],[Sales with Free Shipping]],Sales_Data[[#This Row],[Sales with Discount]],Sales_Data[[#This Row],[Sales with Free Shipping]])</f>
        <v>143.85</v>
      </c>
      <c r="O1847" s="1" t="str">
        <f>TEXT(Sales_Data[[#This Row],[Order Date]], "MM-YYYY")</f>
        <v>05-2019</v>
      </c>
    </row>
    <row r="1848" spans="1:15" x14ac:dyDescent="0.3">
      <c r="A1848" s="1">
        <v>17414</v>
      </c>
      <c r="B1848" s="2">
        <v>43645</v>
      </c>
      <c r="C1848" s="1" t="s">
        <v>9</v>
      </c>
      <c r="D1848" s="1">
        <v>39</v>
      </c>
      <c r="E1848" t="s">
        <v>22</v>
      </c>
      <c r="F1848" t="s">
        <v>22</v>
      </c>
      <c r="G1848" s="1">
        <v>4018.31</v>
      </c>
      <c r="H1848">
        <v>0.01</v>
      </c>
      <c r="I1848">
        <f>Sales_Data[[#This Row],[Sales]]*Sales_Data[[#This Row],[Discount]]</f>
        <v>40.183100000000003</v>
      </c>
      <c r="J1848">
        <v>3978.1268999999998</v>
      </c>
      <c r="K1848" s="1">
        <v>21.4</v>
      </c>
      <c r="L1848" s="1">
        <v>3996.91</v>
      </c>
      <c r="M1848" s="1" t="s">
        <v>10</v>
      </c>
      <c r="N1848" s="1">
        <f>IF(Sales_Data[[#This Row],[Sales with Discount]]&lt;Sales_Data[[#This Row],[Sales with Free Shipping]],Sales_Data[[#This Row],[Sales with Discount]],Sales_Data[[#This Row],[Sales with Free Shipping]])</f>
        <v>3978.1268999999998</v>
      </c>
      <c r="O1848" s="1" t="str">
        <f>TEXT(Sales_Data[[#This Row],[Order Date]], "MM-YYYY")</f>
        <v>06-2019</v>
      </c>
    </row>
    <row r="1849" spans="1:15" x14ac:dyDescent="0.3">
      <c r="A1849" s="1">
        <v>42758</v>
      </c>
      <c r="B1849" s="2">
        <v>43779</v>
      </c>
      <c r="C1849" s="1" t="s">
        <v>12</v>
      </c>
      <c r="D1849" s="1">
        <v>12</v>
      </c>
      <c r="E1849" t="s">
        <v>18</v>
      </c>
      <c r="F1849" t="s">
        <v>18</v>
      </c>
      <c r="G1849" s="1">
        <v>1893.62</v>
      </c>
      <c r="H1849">
        <v>0</v>
      </c>
      <c r="I1849">
        <f>Sales_Data[[#This Row],[Sales]]*Sales_Data[[#This Row],[Discount]]</f>
        <v>0</v>
      </c>
      <c r="J1849">
        <v>1893.62</v>
      </c>
      <c r="K1849" s="1">
        <v>4.3</v>
      </c>
      <c r="L1849" s="1">
        <v>1893.62</v>
      </c>
      <c r="M1849" s="1" t="s">
        <v>10</v>
      </c>
      <c r="N1849" s="1">
        <f>IF(Sales_Data[[#This Row],[Sales with Discount]]&lt;Sales_Data[[#This Row],[Sales with Free Shipping]],Sales_Data[[#This Row],[Sales with Discount]],Sales_Data[[#This Row],[Sales with Free Shipping]])</f>
        <v>1893.62</v>
      </c>
      <c r="O1849" s="1" t="str">
        <f>TEXT(Sales_Data[[#This Row],[Order Date]], "MM-YYYY")</f>
        <v>11-2019</v>
      </c>
    </row>
    <row r="1850" spans="1:15" x14ac:dyDescent="0.3">
      <c r="A1850" s="1">
        <v>23268</v>
      </c>
      <c r="B1850" s="2">
        <v>43480</v>
      </c>
      <c r="C1850" s="1" t="s">
        <v>9</v>
      </c>
      <c r="D1850" s="1">
        <v>14</v>
      </c>
      <c r="E1850" t="s">
        <v>18</v>
      </c>
      <c r="F1850" t="s">
        <v>18</v>
      </c>
      <c r="G1850" s="1">
        <v>54.41</v>
      </c>
      <c r="H1850">
        <v>0</v>
      </c>
      <c r="I1850">
        <f>Sales_Data[[#This Row],[Sales]]*Sales_Data[[#This Row],[Discount]]</f>
        <v>0</v>
      </c>
      <c r="J1850">
        <v>54.41</v>
      </c>
      <c r="K1850" s="1">
        <v>2.4</v>
      </c>
      <c r="L1850" s="1">
        <v>54.41</v>
      </c>
      <c r="M1850" s="1" t="s">
        <v>8</v>
      </c>
      <c r="N1850" s="1">
        <f>IF(Sales_Data[[#This Row],[Sales with Discount]]&lt;Sales_Data[[#This Row],[Sales with Free Shipping]],Sales_Data[[#This Row],[Sales with Discount]],Sales_Data[[#This Row],[Sales with Free Shipping]])</f>
        <v>54.41</v>
      </c>
      <c r="O1850" s="1" t="str">
        <f>TEXT(Sales_Data[[#This Row],[Order Date]], "MM-YYYY")</f>
        <v>01-2019</v>
      </c>
    </row>
    <row r="1851" spans="1:15" x14ac:dyDescent="0.3">
      <c r="A1851" s="1">
        <v>56802</v>
      </c>
      <c r="B1851" s="2">
        <v>43614</v>
      </c>
      <c r="C1851" s="1" t="s">
        <v>9</v>
      </c>
      <c r="D1851" s="1">
        <v>50</v>
      </c>
      <c r="E1851" t="s">
        <v>24</v>
      </c>
      <c r="F1851" t="s">
        <v>24</v>
      </c>
      <c r="G1851" s="1">
        <v>83.67</v>
      </c>
      <c r="H1851">
        <v>0.01</v>
      </c>
      <c r="I1851">
        <f>Sales_Data[[#This Row],[Sales]]*Sales_Data[[#This Row],[Discount]]</f>
        <v>0.8367</v>
      </c>
      <c r="J1851">
        <v>82.833299999999994</v>
      </c>
      <c r="K1851" s="1">
        <v>1.1000000000000001</v>
      </c>
      <c r="L1851" s="1">
        <v>82.570000000000007</v>
      </c>
      <c r="M1851" s="1" t="s">
        <v>10</v>
      </c>
      <c r="N1851" s="1">
        <f>IF(Sales_Data[[#This Row],[Sales with Discount]]&lt;Sales_Data[[#This Row],[Sales with Free Shipping]],Sales_Data[[#This Row],[Sales with Discount]],Sales_Data[[#This Row],[Sales with Free Shipping]])</f>
        <v>82.570000000000007</v>
      </c>
      <c r="O1851" s="1" t="str">
        <f>TEXT(Sales_Data[[#This Row],[Order Date]], "MM-YYYY")</f>
        <v>05-2019</v>
      </c>
    </row>
    <row r="1852" spans="1:15" x14ac:dyDescent="0.3">
      <c r="A1852" s="1">
        <v>41378</v>
      </c>
      <c r="B1852" s="2">
        <v>43767</v>
      </c>
      <c r="C1852" s="1" t="s">
        <v>11</v>
      </c>
      <c r="D1852" s="1">
        <v>42</v>
      </c>
      <c r="E1852" t="s">
        <v>23</v>
      </c>
      <c r="F1852" t="s">
        <v>23</v>
      </c>
      <c r="G1852" s="1">
        <v>1352.66</v>
      </c>
      <c r="H1852">
        <v>0.01</v>
      </c>
      <c r="I1852">
        <f>Sales_Data[[#This Row],[Sales]]*Sales_Data[[#This Row],[Discount]]</f>
        <v>13.526600000000002</v>
      </c>
      <c r="J1852">
        <v>1339.1334000000002</v>
      </c>
      <c r="K1852" s="1">
        <v>2.1</v>
      </c>
      <c r="L1852" s="1">
        <v>1350.5600000000002</v>
      </c>
      <c r="M1852" s="1" t="s">
        <v>10</v>
      </c>
      <c r="N1852" s="1">
        <f>IF(Sales_Data[[#This Row],[Sales with Discount]]&lt;Sales_Data[[#This Row],[Sales with Free Shipping]],Sales_Data[[#This Row],[Sales with Discount]],Sales_Data[[#This Row],[Sales with Free Shipping]])</f>
        <v>1339.1334000000002</v>
      </c>
      <c r="O1852" s="1" t="str">
        <f>TEXT(Sales_Data[[#This Row],[Order Date]], "MM-YYYY")</f>
        <v>10-2019</v>
      </c>
    </row>
    <row r="1853" spans="1:15" x14ac:dyDescent="0.3">
      <c r="A1853" s="1">
        <v>47042</v>
      </c>
      <c r="B1853" s="2">
        <v>43526</v>
      </c>
      <c r="C1853" s="1" t="s">
        <v>12</v>
      </c>
      <c r="D1853" s="1">
        <v>45</v>
      </c>
      <c r="E1853" t="s">
        <v>23</v>
      </c>
      <c r="F1853" t="s">
        <v>23</v>
      </c>
      <c r="G1853" s="1">
        <v>1471.65</v>
      </c>
      <c r="H1853">
        <v>0.01</v>
      </c>
      <c r="I1853">
        <f>Sales_Data[[#This Row],[Sales]]*Sales_Data[[#This Row],[Discount]]</f>
        <v>14.716500000000002</v>
      </c>
      <c r="J1853">
        <v>1456.9335000000001</v>
      </c>
      <c r="K1853" s="1">
        <v>3.5</v>
      </c>
      <c r="L1853" s="1">
        <v>1468.15</v>
      </c>
      <c r="M1853" s="1" t="s">
        <v>10</v>
      </c>
      <c r="N1853" s="1">
        <f>IF(Sales_Data[[#This Row],[Sales with Discount]]&lt;Sales_Data[[#This Row],[Sales with Free Shipping]],Sales_Data[[#This Row],[Sales with Discount]],Sales_Data[[#This Row],[Sales with Free Shipping]])</f>
        <v>1456.9335000000001</v>
      </c>
      <c r="O1853" s="1" t="str">
        <f>TEXT(Sales_Data[[#This Row],[Order Date]], "MM-YYYY")</f>
        <v>03-2019</v>
      </c>
    </row>
    <row r="1854" spans="1:15" x14ac:dyDescent="0.3">
      <c r="A1854" s="1">
        <v>48801</v>
      </c>
      <c r="B1854" s="2">
        <v>43751</v>
      </c>
      <c r="C1854" s="1" t="s">
        <v>9</v>
      </c>
      <c r="D1854" s="1">
        <v>43</v>
      </c>
      <c r="E1854" t="s">
        <v>23</v>
      </c>
      <c r="F1854" t="s">
        <v>23</v>
      </c>
      <c r="G1854" s="1">
        <v>2554.7399999999998</v>
      </c>
      <c r="H1854">
        <v>0.01</v>
      </c>
      <c r="I1854">
        <f>Sales_Data[[#This Row],[Sales]]*Sales_Data[[#This Row],[Discount]]</f>
        <v>25.5474</v>
      </c>
      <c r="J1854">
        <v>2529.1925999999999</v>
      </c>
      <c r="K1854" s="1">
        <v>11.9</v>
      </c>
      <c r="L1854" s="1">
        <v>2542.8399999999997</v>
      </c>
      <c r="M1854" s="1" t="s">
        <v>10</v>
      </c>
      <c r="N1854" s="1">
        <f>IF(Sales_Data[[#This Row],[Sales with Discount]]&lt;Sales_Data[[#This Row],[Sales with Free Shipping]],Sales_Data[[#This Row],[Sales with Discount]],Sales_Data[[#This Row],[Sales with Free Shipping]])</f>
        <v>2529.1925999999999</v>
      </c>
      <c r="O1854" s="1" t="str">
        <f>TEXT(Sales_Data[[#This Row],[Order Date]], "MM-YYYY")</f>
        <v>10-2019</v>
      </c>
    </row>
    <row r="1855" spans="1:15" x14ac:dyDescent="0.3">
      <c r="A1855" s="1">
        <v>38723</v>
      </c>
      <c r="B1855" s="2">
        <v>43728</v>
      </c>
      <c r="C1855" s="1" t="s">
        <v>12</v>
      </c>
      <c r="D1855" s="1">
        <v>9</v>
      </c>
      <c r="E1855" t="s">
        <v>17</v>
      </c>
      <c r="F1855" t="s">
        <v>17</v>
      </c>
      <c r="G1855" s="1">
        <v>181.12</v>
      </c>
      <c r="H1855">
        <v>0</v>
      </c>
      <c r="I1855">
        <f>Sales_Data[[#This Row],[Sales]]*Sales_Data[[#This Row],[Discount]]</f>
        <v>0</v>
      </c>
      <c r="J1855">
        <v>181.12</v>
      </c>
      <c r="K1855" s="1">
        <v>4.3</v>
      </c>
      <c r="L1855" s="1">
        <v>181.12</v>
      </c>
      <c r="M1855" s="1" t="s">
        <v>10</v>
      </c>
      <c r="N1855" s="1">
        <f>IF(Sales_Data[[#This Row],[Sales with Discount]]&lt;Sales_Data[[#This Row],[Sales with Free Shipping]],Sales_Data[[#This Row],[Sales with Discount]],Sales_Data[[#This Row],[Sales with Free Shipping]])</f>
        <v>181.12</v>
      </c>
      <c r="O1855" s="1" t="str">
        <f>TEXT(Sales_Data[[#This Row],[Order Date]], "MM-YYYY")</f>
        <v>09-2019</v>
      </c>
    </row>
    <row r="1856" spans="1:15" x14ac:dyDescent="0.3">
      <c r="A1856" s="1">
        <v>29280</v>
      </c>
      <c r="B1856" s="2">
        <v>43552</v>
      </c>
      <c r="C1856" s="1" t="s">
        <v>14</v>
      </c>
      <c r="D1856" s="1">
        <v>19</v>
      </c>
      <c r="E1856" t="s">
        <v>19</v>
      </c>
      <c r="F1856" t="s">
        <v>19</v>
      </c>
      <c r="G1856" s="1">
        <v>255.03</v>
      </c>
      <c r="H1856">
        <v>0</v>
      </c>
      <c r="I1856">
        <f>Sales_Data[[#This Row],[Sales]]*Sales_Data[[#This Row],[Discount]]</f>
        <v>0</v>
      </c>
      <c r="J1856">
        <v>255.03</v>
      </c>
      <c r="K1856" s="1">
        <v>8.5</v>
      </c>
      <c r="L1856" s="1">
        <v>255.03</v>
      </c>
      <c r="M1856" s="1" t="s">
        <v>10</v>
      </c>
      <c r="N1856" s="1">
        <f>IF(Sales_Data[[#This Row],[Sales with Discount]]&lt;Sales_Data[[#This Row],[Sales with Free Shipping]],Sales_Data[[#This Row],[Sales with Discount]],Sales_Data[[#This Row],[Sales with Free Shipping]])</f>
        <v>255.03</v>
      </c>
      <c r="O1856" s="1" t="str">
        <f>TEXT(Sales_Data[[#This Row],[Order Date]], "MM-YYYY")</f>
        <v>03-2019</v>
      </c>
    </row>
    <row r="1857" spans="1:15" x14ac:dyDescent="0.3">
      <c r="A1857" s="1">
        <v>11684</v>
      </c>
      <c r="B1857" s="2">
        <v>43673</v>
      </c>
      <c r="C1857" s="1" t="s">
        <v>9</v>
      </c>
      <c r="D1857" s="1">
        <v>8</v>
      </c>
      <c r="E1857" t="s">
        <v>17</v>
      </c>
      <c r="F1857" t="s">
        <v>17</v>
      </c>
      <c r="G1857" s="1">
        <v>1255.6500000000001</v>
      </c>
      <c r="H1857">
        <v>0</v>
      </c>
      <c r="I1857">
        <f>Sales_Data[[#This Row],[Sales]]*Sales_Data[[#This Row],[Discount]]</f>
        <v>0</v>
      </c>
      <c r="J1857">
        <v>1255.6500000000001</v>
      </c>
      <c r="K1857" s="1">
        <v>26.2</v>
      </c>
      <c r="L1857" s="1">
        <v>1255.6500000000001</v>
      </c>
      <c r="M1857" s="1" t="s">
        <v>10</v>
      </c>
      <c r="N1857" s="1">
        <f>IF(Sales_Data[[#This Row],[Sales with Discount]]&lt;Sales_Data[[#This Row],[Sales with Free Shipping]],Sales_Data[[#This Row],[Sales with Discount]],Sales_Data[[#This Row],[Sales with Free Shipping]])</f>
        <v>1255.6500000000001</v>
      </c>
      <c r="O1857" s="1" t="str">
        <f>TEXT(Sales_Data[[#This Row],[Order Date]], "MM-YYYY")</f>
        <v>07-2019</v>
      </c>
    </row>
    <row r="1858" spans="1:15" x14ac:dyDescent="0.3">
      <c r="A1858" s="1">
        <v>42374</v>
      </c>
      <c r="B1858" s="2">
        <v>43663</v>
      </c>
      <c r="C1858" s="1" t="s">
        <v>12</v>
      </c>
      <c r="D1858" s="1">
        <v>21</v>
      </c>
      <c r="E1858" t="s">
        <v>14</v>
      </c>
      <c r="F1858" t="s">
        <v>14</v>
      </c>
      <c r="G1858" s="1">
        <v>219.69</v>
      </c>
      <c r="H1858">
        <v>0</v>
      </c>
      <c r="I1858">
        <f>Sales_Data[[#This Row],[Sales]]*Sales_Data[[#This Row],[Discount]]</f>
        <v>0</v>
      </c>
      <c r="J1858">
        <v>219.69</v>
      </c>
      <c r="K1858" s="1">
        <v>2.1</v>
      </c>
      <c r="L1858" s="1">
        <v>219.69</v>
      </c>
      <c r="M1858" s="1" t="s">
        <v>8</v>
      </c>
      <c r="N1858" s="1">
        <f>IF(Sales_Data[[#This Row],[Sales with Discount]]&lt;Sales_Data[[#This Row],[Sales with Free Shipping]],Sales_Data[[#This Row],[Sales with Discount]],Sales_Data[[#This Row],[Sales with Free Shipping]])</f>
        <v>219.69</v>
      </c>
      <c r="O1858" s="1" t="str">
        <f>TEXT(Sales_Data[[#This Row],[Order Date]], "MM-YYYY")</f>
        <v>07-2019</v>
      </c>
    </row>
    <row r="1859" spans="1:15" x14ac:dyDescent="0.3">
      <c r="A1859" s="1">
        <v>19782</v>
      </c>
      <c r="B1859" s="2">
        <v>43756</v>
      </c>
      <c r="C1859" s="1" t="s">
        <v>7</v>
      </c>
      <c r="D1859" s="1">
        <v>18</v>
      </c>
      <c r="E1859" t="s">
        <v>19</v>
      </c>
      <c r="F1859" t="s">
        <v>19</v>
      </c>
      <c r="G1859" s="1">
        <v>35.53</v>
      </c>
      <c r="H1859">
        <v>0</v>
      </c>
      <c r="I1859">
        <f>Sales_Data[[#This Row],[Sales]]*Sales_Data[[#This Row],[Discount]]</f>
        <v>0</v>
      </c>
      <c r="J1859">
        <v>35.53</v>
      </c>
      <c r="K1859" s="1">
        <v>0.8</v>
      </c>
      <c r="L1859" s="1">
        <v>35.53</v>
      </c>
      <c r="M1859" s="1" t="s">
        <v>10</v>
      </c>
      <c r="N1859" s="1">
        <f>IF(Sales_Data[[#This Row],[Sales with Discount]]&lt;Sales_Data[[#This Row],[Sales with Free Shipping]],Sales_Data[[#This Row],[Sales with Discount]],Sales_Data[[#This Row],[Sales with Free Shipping]])</f>
        <v>35.53</v>
      </c>
      <c r="O1859" s="1" t="str">
        <f>TEXT(Sales_Data[[#This Row],[Order Date]], "MM-YYYY")</f>
        <v>10-2019</v>
      </c>
    </row>
    <row r="1860" spans="1:15" x14ac:dyDescent="0.3">
      <c r="A1860" s="1">
        <v>19745</v>
      </c>
      <c r="B1860" s="2">
        <v>43817</v>
      </c>
      <c r="C1860" s="1" t="s">
        <v>9</v>
      </c>
      <c r="D1860" s="1">
        <v>50</v>
      </c>
      <c r="E1860" t="s">
        <v>24</v>
      </c>
      <c r="F1860" t="s">
        <v>24</v>
      </c>
      <c r="G1860" s="1">
        <v>891.31</v>
      </c>
      <c r="H1860">
        <v>0.01</v>
      </c>
      <c r="I1860">
        <f>Sales_Data[[#This Row],[Sales]]*Sales_Data[[#This Row],[Discount]]</f>
        <v>8.9131</v>
      </c>
      <c r="J1860">
        <v>882.39689999999996</v>
      </c>
      <c r="K1860" s="1">
        <v>1.5</v>
      </c>
      <c r="L1860" s="1">
        <v>889.81</v>
      </c>
      <c r="M1860" s="1" t="s">
        <v>10</v>
      </c>
      <c r="N1860" s="1">
        <f>IF(Sales_Data[[#This Row],[Sales with Discount]]&lt;Sales_Data[[#This Row],[Sales with Free Shipping]],Sales_Data[[#This Row],[Sales with Discount]],Sales_Data[[#This Row],[Sales with Free Shipping]])</f>
        <v>882.39689999999996</v>
      </c>
      <c r="O1860" s="1" t="str">
        <f>TEXT(Sales_Data[[#This Row],[Order Date]], "MM-YYYY")</f>
        <v>12-2019</v>
      </c>
    </row>
    <row r="1861" spans="1:15" x14ac:dyDescent="0.3">
      <c r="A1861" s="1">
        <v>23363</v>
      </c>
      <c r="B1861" s="2">
        <v>43614</v>
      </c>
      <c r="C1861" s="1" t="s">
        <v>7</v>
      </c>
      <c r="D1861" s="1">
        <v>46</v>
      </c>
      <c r="E1861" t="s">
        <v>24</v>
      </c>
      <c r="F1861" t="s">
        <v>24</v>
      </c>
      <c r="G1861" s="1">
        <v>258.73669999999998</v>
      </c>
      <c r="H1861">
        <v>0.01</v>
      </c>
      <c r="I1861">
        <f>Sales_Data[[#This Row],[Sales]]*Sales_Data[[#This Row],[Discount]]</f>
        <v>2.587367</v>
      </c>
      <c r="J1861">
        <v>256.14933299999996</v>
      </c>
      <c r="K1861" s="1">
        <v>5.3</v>
      </c>
      <c r="L1861" s="1">
        <v>253.43669999999997</v>
      </c>
      <c r="M1861" s="1" t="s">
        <v>10</v>
      </c>
      <c r="N1861" s="1">
        <f>IF(Sales_Data[[#This Row],[Sales with Discount]]&lt;Sales_Data[[#This Row],[Sales with Free Shipping]],Sales_Data[[#This Row],[Sales with Discount]],Sales_Data[[#This Row],[Sales with Free Shipping]])</f>
        <v>253.43669999999997</v>
      </c>
      <c r="O1861" s="1" t="str">
        <f>TEXT(Sales_Data[[#This Row],[Order Date]], "MM-YYYY")</f>
        <v>05-2019</v>
      </c>
    </row>
    <row r="1862" spans="1:15" x14ac:dyDescent="0.3">
      <c r="A1862" s="1">
        <v>18661</v>
      </c>
      <c r="B1862" s="2">
        <v>43716</v>
      </c>
      <c r="C1862" s="1" t="s">
        <v>7</v>
      </c>
      <c r="D1862" s="1">
        <v>11</v>
      </c>
      <c r="E1862" t="s">
        <v>18</v>
      </c>
      <c r="F1862" t="s">
        <v>18</v>
      </c>
      <c r="G1862" s="1">
        <v>2801.38</v>
      </c>
      <c r="H1862">
        <v>0</v>
      </c>
      <c r="I1862">
        <f>Sales_Data[[#This Row],[Sales]]*Sales_Data[[#This Row],[Discount]]</f>
        <v>0</v>
      </c>
      <c r="J1862">
        <v>2801.38</v>
      </c>
      <c r="K1862" s="1">
        <v>66.099999999999994</v>
      </c>
      <c r="L1862" s="1">
        <v>2801.38</v>
      </c>
      <c r="M1862" s="1" t="s">
        <v>13</v>
      </c>
      <c r="N1862" s="1">
        <f>IF(Sales_Data[[#This Row],[Sales with Discount]]&lt;Sales_Data[[#This Row],[Sales with Free Shipping]],Sales_Data[[#This Row],[Sales with Discount]],Sales_Data[[#This Row],[Sales with Free Shipping]])</f>
        <v>2801.38</v>
      </c>
      <c r="O1862" s="1" t="str">
        <f>TEXT(Sales_Data[[#This Row],[Order Date]], "MM-YYYY")</f>
        <v>09-2019</v>
      </c>
    </row>
    <row r="1863" spans="1:15" x14ac:dyDescent="0.3">
      <c r="A1863" s="1">
        <v>30499</v>
      </c>
      <c r="B1863" s="2">
        <v>43768</v>
      </c>
      <c r="C1863" s="1" t="s">
        <v>9</v>
      </c>
      <c r="D1863" s="1">
        <v>33</v>
      </c>
      <c r="E1863" t="s">
        <v>21</v>
      </c>
      <c r="F1863" t="s">
        <v>21</v>
      </c>
      <c r="G1863" s="1">
        <v>213.59</v>
      </c>
      <c r="H1863">
        <v>0</v>
      </c>
      <c r="I1863">
        <f>Sales_Data[[#This Row],[Sales]]*Sales_Data[[#This Row],[Discount]]</f>
        <v>0</v>
      </c>
      <c r="J1863">
        <v>213.59</v>
      </c>
      <c r="K1863" s="1">
        <v>1.3</v>
      </c>
      <c r="L1863" s="1">
        <v>213.59</v>
      </c>
      <c r="M1863" s="1" t="s">
        <v>10</v>
      </c>
      <c r="N1863" s="1">
        <f>IF(Sales_Data[[#This Row],[Sales with Discount]]&lt;Sales_Data[[#This Row],[Sales with Free Shipping]],Sales_Data[[#This Row],[Sales with Discount]],Sales_Data[[#This Row],[Sales with Free Shipping]])</f>
        <v>213.59</v>
      </c>
      <c r="O1863" s="1" t="str">
        <f>TEXT(Sales_Data[[#This Row],[Order Date]], "MM-YYYY")</f>
        <v>10-2019</v>
      </c>
    </row>
    <row r="1864" spans="1:15" x14ac:dyDescent="0.3">
      <c r="A1864" s="1">
        <v>28390</v>
      </c>
      <c r="B1864" s="2">
        <v>43502</v>
      </c>
      <c r="C1864" s="1" t="s">
        <v>9</v>
      </c>
      <c r="D1864" s="1">
        <v>44</v>
      </c>
      <c r="E1864" t="s">
        <v>23</v>
      </c>
      <c r="F1864" t="s">
        <v>23</v>
      </c>
      <c r="G1864" s="1">
        <v>866.45</v>
      </c>
      <c r="H1864">
        <v>0.01</v>
      </c>
      <c r="I1864">
        <f>Sales_Data[[#This Row],[Sales]]*Sales_Data[[#This Row],[Discount]]</f>
        <v>8.6645000000000003</v>
      </c>
      <c r="J1864">
        <v>857.78550000000007</v>
      </c>
      <c r="K1864" s="1">
        <v>7.1</v>
      </c>
      <c r="L1864" s="1">
        <v>859.35</v>
      </c>
      <c r="M1864" s="1" t="s">
        <v>10</v>
      </c>
      <c r="N1864" s="1">
        <f>IF(Sales_Data[[#This Row],[Sales with Discount]]&lt;Sales_Data[[#This Row],[Sales with Free Shipping]],Sales_Data[[#This Row],[Sales with Discount]],Sales_Data[[#This Row],[Sales with Free Shipping]])</f>
        <v>857.78550000000007</v>
      </c>
      <c r="O1864" s="1" t="str">
        <f>TEXT(Sales_Data[[#This Row],[Order Date]], "MM-YYYY")</f>
        <v>02-2019</v>
      </c>
    </row>
    <row r="1865" spans="1:15" x14ac:dyDescent="0.3">
      <c r="A1865" s="1">
        <v>53536</v>
      </c>
      <c r="B1865" s="2">
        <v>43768</v>
      </c>
      <c r="C1865" s="1" t="s">
        <v>9</v>
      </c>
      <c r="D1865" s="1">
        <v>5</v>
      </c>
      <c r="E1865" t="s">
        <v>16</v>
      </c>
      <c r="F1865" t="s">
        <v>16</v>
      </c>
      <c r="G1865" s="1">
        <v>1086.48</v>
      </c>
      <c r="H1865">
        <v>0</v>
      </c>
      <c r="I1865">
        <f>Sales_Data[[#This Row],[Sales]]*Sales_Data[[#This Row],[Discount]]</f>
        <v>0</v>
      </c>
      <c r="J1865">
        <v>1086.48</v>
      </c>
      <c r="K1865" s="1">
        <v>60.1</v>
      </c>
      <c r="L1865" s="1">
        <v>1086.48</v>
      </c>
      <c r="M1865" s="1" t="s">
        <v>13</v>
      </c>
      <c r="N1865" s="1">
        <f>IF(Sales_Data[[#This Row],[Sales with Discount]]&lt;Sales_Data[[#This Row],[Sales with Free Shipping]],Sales_Data[[#This Row],[Sales with Discount]],Sales_Data[[#This Row],[Sales with Free Shipping]])</f>
        <v>1086.48</v>
      </c>
      <c r="O1865" s="1" t="str">
        <f>TEXT(Sales_Data[[#This Row],[Order Date]], "MM-YYYY")</f>
        <v>10-2019</v>
      </c>
    </row>
    <row r="1866" spans="1:15" x14ac:dyDescent="0.3">
      <c r="A1866" s="1">
        <v>21382</v>
      </c>
      <c r="B1866" s="2">
        <v>43476</v>
      </c>
      <c r="C1866" s="1" t="s">
        <v>12</v>
      </c>
      <c r="D1866" s="1">
        <v>11</v>
      </c>
      <c r="E1866" t="s">
        <v>18</v>
      </c>
      <c r="F1866" t="s">
        <v>18</v>
      </c>
      <c r="G1866" s="1">
        <v>333.87</v>
      </c>
      <c r="H1866">
        <v>0</v>
      </c>
      <c r="I1866">
        <f>Sales_Data[[#This Row],[Sales]]*Sales_Data[[#This Row],[Discount]]</f>
        <v>0</v>
      </c>
      <c r="J1866">
        <v>333.87</v>
      </c>
      <c r="K1866" s="1">
        <v>5.9</v>
      </c>
      <c r="L1866" s="1">
        <v>333.87</v>
      </c>
      <c r="M1866" s="1" t="s">
        <v>10</v>
      </c>
      <c r="N1866" s="1">
        <f>IF(Sales_Data[[#This Row],[Sales with Discount]]&lt;Sales_Data[[#This Row],[Sales with Free Shipping]],Sales_Data[[#This Row],[Sales with Discount]],Sales_Data[[#This Row],[Sales with Free Shipping]])</f>
        <v>333.87</v>
      </c>
      <c r="O1866" s="1" t="str">
        <f>TEXT(Sales_Data[[#This Row],[Order Date]], "MM-YYYY")</f>
        <v>01-2019</v>
      </c>
    </row>
    <row r="1867" spans="1:15" x14ac:dyDescent="0.3">
      <c r="A1867" s="1">
        <v>3559</v>
      </c>
      <c r="B1867" s="2">
        <v>43761</v>
      </c>
      <c r="C1867" s="1" t="s">
        <v>14</v>
      </c>
      <c r="D1867" s="1">
        <v>34</v>
      </c>
      <c r="E1867" t="s">
        <v>21</v>
      </c>
      <c r="F1867" t="s">
        <v>21</v>
      </c>
      <c r="G1867" s="1">
        <v>146.23689999999999</v>
      </c>
      <c r="H1867">
        <v>0</v>
      </c>
      <c r="I1867">
        <f>Sales_Data[[#This Row],[Sales]]*Sales_Data[[#This Row],[Discount]]</f>
        <v>0</v>
      </c>
      <c r="J1867">
        <v>146.23689999999999</v>
      </c>
      <c r="K1867" s="1">
        <v>5.8</v>
      </c>
      <c r="L1867" s="1">
        <v>146.23689999999999</v>
      </c>
      <c r="M1867" s="1" t="s">
        <v>8</v>
      </c>
      <c r="N1867" s="1">
        <f>IF(Sales_Data[[#This Row],[Sales with Discount]]&lt;Sales_Data[[#This Row],[Sales with Free Shipping]],Sales_Data[[#This Row],[Sales with Discount]],Sales_Data[[#This Row],[Sales with Free Shipping]])</f>
        <v>146.23689999999999</v>
      </c>
      <c r="O1867" s="1" t="str">
        <f>TEXT(Sales_Data[[#This Row],[Order Date]], "MM-YYYY")</f>
        <v>10-2019</v>
      </c>
    </row>
    <row r="1868" spans="1:15" x14ac:dyDescent="0.3">
      <c r="A1868" s="1">
        <v>34022</v>
      </c>
      <c r="B1868" s="2">
        <v>43772</v>
      </c>
      <c r="C1868" s="1" t="s">
        <v>11</v>
      </c>
      <c r="D1868" s="1">
        <v>50</v>
      </c>
      <c r="E1868" t="s">
        <v>24</v>
      </c>
      <c r="F1868" t="s">
        <v>24</v>
      </c>
      <c r="G1868" s="1">
        <v>252.82</v>
      </c>
      <c r="H1868">
        <v>0.01</v>
      </c>
      <c r="I1868">
        <f>Sales_Data[[#This Row],[Sales]]*Sales_Data[[#This Row],[Discount]]</f>
        <v>2.5282</v>
      </c>
      <c r="J1868">
        <v>250.29179999999999</v>
      </c>
      <c r="K1868" s="1">
        <v>3.3</v>
      </c>
      <c r="L1868" s="1">
        <v>249.51999999999998</v>
      </c>
      <c r="M1868" s="1" t="s">
        <v>10</v>
      </c>
      <c r="N1868" s="1">
        <f>IF(Sales_Data[[#This Row],[Sales with Discount]]&lt;Sales_Data[[#This Row],[Sales with Free Shipping]],Sales_Data[[#This Row],[Sales with Discount]],Sales_Data[[#This Row],[Sales with Free Shipping]])</f>
        <v>249.51999999999998</v>
      </c>
      <c r="O1868" s="1" t="str">
        <f>TEXT(Sales_Data[[#This Row],[Order Date]], "MM-YYYY")</f>
        <v>11-2019</v>
      </c>
    </row>
    <row r="1869" spans="1:15" x14ac:dyDescent="0.3">
      <c r="A1869" s="1">
        <v>48615</v>
      </c>
      <c r="B1869" s="2">
        <v>43802</v>
      </c>
      <c r="C1869" s="1" t="s">
        <v>7</v>
      </c>
      <c r="D1869" s="1">
        <v>8</v>
      </c>
      <c r="E1869" t="s">
        <v>17</v>
      </c>
      <c r="F1869" t="s">
        <v>17</v>
      </c>
      <c r="G1869" s="1">
        <v>497.19</v>
      </c>
      <c r="H1869">
        <v>0</v>
      </c>
      <c r="I1869">
        <f>Sales_Data[[#This Row],[Sales]]*Sales_Data[[#This Row],[Discount]]</f>
        <v>0</v>
      </c>
      <c r="J1869">
        <v>497.19</v>
      </c>
      <c r="K1869" s="1">
        <v>15.9</v>
      </c>
      <c r="L1869" s="1">
        <v>497.19</v>
      </c>
      <c r="M1869" s="1" t="s">
        <v>10</v>
      </c>
      <c r="N1869" s="1">
        <f>IF(Sales_Data[[#This Row],[Sales with Discount]]&lt;Sales_Data[[#This Row],[Sales with Free Shipping]],Sales_Data[[#This Row],[Sales with Discount]],Sales_Data[[#This Row],[Sales with Free Shipping]])</f>
        <v>497.19</v>
      </c>
      <c r="O1869" s="1" t="str">
        <f>TEXT(Sales_Data[[#This Row],[Order Date]], "MM-YYYY")</f>
        <v>12-2019</v>
      </c>
    </row>
    <row r="1870" spans="1:15" x14ac:dyDescent="0.3">
      <c r="A1870" s="1">
        <v>1221</v>
      </c>
      <c r="B1870" s="2">
        <v>43573</v>
      </c>
      <c r="C1870" s="1" t="s">
        <v>11</v>
      </c>
      <c r="D1870" s="1">
        <v>1</v>
      </c>
      <c r="E1870" t="s">
        <v>16</v>
      </c>
      <c r="F1870" t="s">
        <v>16</v>
      </c>
      <c r="G1870" s="1">
        <v>15.71</v>
      </c>
      <c r="H1870">
        <v>0</v>
      </c>
      <c r="I1870">
        <f>Sales_Data[[#This Row],[Sales]]*Sales_Data[[#This Row],[Discount]]</f>
        <v>0</v>
      </c>
      <c r="J1870">
        <v>15.71</v>
      </c>
      <c r="K1870" s="1">
        <v>6.6</v>
      </c>
      <c r="L1870" s="1">
        <v>15.71</v>
      </c>
      <c r="M1870" s="1" t="s">
        <v>10</v>
      </c>
      <c r="N1870" s="1">
        <f>IF(Sales_Data[[#This Row],[Sales with Discount]]&lt;Sales_Data[[#This Row],[Sales with Free Shipping]],Sales_Data[[#This Row],[Sales with Discount]],Sales_Data[[#This Row],[Sales with Free Shipping]])</f>
        <v>15.71</v>
      </c>
      <c r="O1870" s="1" t="str">
        <f>TEXT(Sales_Data[[#This Row],[Order Date]], "MM-YYYY")</f>
        <v>04-2019</v>
      </c>
    </row>
    <row r="1871" spans="1:15" x14ac:dyDescent="0.3">
      <c r="A1871" s="1">
        <v>47399</v>
      </c>
      <c r="B1871" s="2">
        <v>43678</v>
      </c>
      <c r="C1871" s="1" t="s">
        <v>7</v>
      </c>
      <c r="D1871" s="1">
        <v>26</v>
      </c>
      <c r="E1871" t="s">
        <v>20</v>
      </c>
      <c r="F1871" t="s">
        <v>20</v>
      </c>
      <c r="G1871" s="1">
        <v>155.96</v>
      </c>
      <c r="H1871">
        <v>0</v>
      </c>
      <c r="I1871">
        <f>Sales_Data[[#This Row],[Sales]]*Sales_Data[[#This Row],[Discount]]</f>
        <v>0</v>
      </c>
      <c r="J1871">
        <v>155.96</v>
      </c>
      <c r="K1871" s="1">
        <v>3.2</v>
      </c>
      <c r="L1871" s="1">
        <v>155.96</v>
      </c>
      <c r="M1871" s="1" t="s">
        <v>10</v>
      </c>
      <c r="N1871" s="1">
        <f>IF(Sales_Data[[#This Row],[Sales with Discount]]&lt;Sales_Data[[#This Row],[Sales with Free Shipping]],Sales_Data[[#This Row],[Sales with Discount]],Sales_Data[[#This Row],[Sales with Free Shipping]])</f>
        <v>155.96</v>
      </c>
      <c r="O1871" s="1" t="str">
        <f>TEXT(Sales_Data[[#This Row],[Order Date]], "MM-YYYY")</f>
        <v>08-2019</v>
      </c>
    </row>
    <row r="1872" spans="1:15" x14ac:dyDescent="0.3">
      <c r="A1872" s="1">
        <v>58883</v>
      </c>
      <c r="B1872" s="2">
        <v>43689</v>
      </c>
      <c r="C1872" s="1" t="s">
        <v>7</v>
      </c>
      <c r="D1872" s="1">
        <v>36</v>
      </c>
      <c r="E1872" t="s">
        <v>22</v>
      </c>
      <c r="F1872" t="s">
        <v>22</v>
      </c>
      <c r="G1872" s="1">
        <v>172.87</v>
      </c>
      <c r="H1872">
        <v>0.01</v>
      </c>
      <c r="I1872">
        <f>Sales_Data[[#This Row],[Sales]]*Sales_Data[[#This Row],[Discount]]</f>
        <v>1.7287000000000001</v>
      </c>
      <c r="J1872">
        <v>171.1413</v>
      </c>
      <c r="K1872" s="1">
        <v>1.1000000000000001</v>
      </c>
      <c r="L1872" s="1">
        <v>171.77</v>
      </c>
      <c r="M1872" s="1" t="s">
        <v>10</v>
      </c>
      <c r="N1872" s="1">
        <f>IF(Sales_Data[[#This Row],[Sales with Discount]]&lt;Sales_Data[[#This Row],[Sales with Free Shipping]],Sales_Data[[#This Row],[Sales with Discount]],Sales_Data[[#This Row],[Sales with Free Shipping]])</f>
        <v>171.1413</v>
      </c>
      <c r="O1872" s="1" t="str">
        <f>TEXT(Sales_Data[[#This Row],[Order Date]], "MM-YYYY")</f>
        <v>08-2019</v>
      </c>
    </row>
    <row r="1873" spans="1:15" x14ac:dyDescent="0.3">
      <c r="A1873" s="1">
        <v>3655</v>
      </c>
      <c r="B1873" s="2">
        <v>43743</v>
      </c>
      <c r="C1873" s="1" t="s">
        <v>12</v>
      </c>
      <c r="D1873" s="1">
        <v>24</v>
      </c>
      <c r="E1873" t="s">
        <v>14</v>
      </c>
      <c r="F1873" t="s">
        <v>14</v>
      </c>
      <c r="G1873" s="1">
        <v>2942.61</v>
      </c>
      <c r="H1873">
        <v>0</v>
      </c>
      <c r="I1873">
        <f>Sales_Data[[#This Row],[Sales]]*Sales_Data[[#This Row],[Discount]]</f>
        <v>0</v>
      </c>
      <c r="J1873">
        <v>2942.61</v>
      </c>
      <c r="K1873" s="1">
        <v>8.1999999999999993</v>
      </c>
      <c r="L1873" s="1">
        <v>2942.61</v>
      </c>
      <c r="M1873" s="1" t="s">
        <v>10</v>
      </c>
      <c r="N1873" s="1">
        <f>IF(Sales_Data[[#This Row],[Sales with Discount]]&lt;Sales_Data[[#This Row],[Sales with Free Shipping]],Sales_Data[[#This Row],[Sales with Discount]],Sales_Data[[#This Row],[Sales with Free Shipping]])</f>
        <v>2942.61</v>
      </c>
      <c r="O1873" s="1" t="str">
        <f>TEXT(Sales_Data[[#This Row],[Order Date]], "MM-YYYY")</f>
        <v>10-2019</v>
      </c>
    </row>
    <row r="1874" spans="1:15" x14ac:dyDescent="0.3">
      <c r="A1874" s="1">
        <v>52325</v>
      </c>
      <c r="B1874" s="2">
        <v>43660</v>
      </c>
      <c r="C1874" s="1" t="s">
        <v>11</v>
      </c>
      <c r="D1874" s="1">
        <v>23</v>
      </c>
      <c r="E1874" t="s">
        <v>14</v>
      </c>
      <c r="F1874" t="s">
        <v>14</v>
      </c>
      <c r="G1874" s="1">
        <v>5485.14</v>
      </c>
      <c r="H1874">
        <v>0</v>
      </c>
      <c r="I1874">
        <f>Sales_Data[[#This Row],[Sales]]*Sales_Data[[#This Row],[Discount]]</f>
        <v>0</v>
      </c>
      <c r="J1874">
        <v>5485.14</v>
      </c>
      <c r="K1874" s="1">
        <v>16.100000000000001</v>
      </c>
      <c r="L1874" s="1">
        <v>5485.14</v>
      </c>
      <c r="M1874" s="1" t="s">
        <v>10</v>
      </c>
      <c r="N1874" s="1">
        <f>IF(Sales_Data[[#This Row],[Sales with Discount]]&lt;Sales_Data[[#This Row],[Sales with Free Shipping]],Sales_Data[[#This Row],[Sales with Discount]],Sales_Data[[#This Row],[Sales with Free Shipping]])</f>
        <v>5485.14</v>
      </c>
      <c r="O1874" s="1" t="str">
        <f>TEXT(Sales_Data[[#This Row],[Order Date]], "MM-YYYY")</f>
        <v>07-2019</v>
      </c>
    </row>
    <row r="1875" spans="1:15" x14ac:dyDescent="0.3">
      <c r="A1875" s="1">
        <v>19207</v>
      </c>
      <c r="B1875" s="2">
        <v>43539</v>
      </c>
      <c r="C1875" s="1" t="s">
        <v>11</v>
      </c>
      <c r="D1875" s="1">
        <v>23</v>
      </c>
      <c r="E1875" t="s">
        <v>14</v>
      </c>
      <c r="F1875" t="s">
        <v>14</v>
      </c>
      <c r="G1875" s="1">
        <v>70.641400000000004</v>
      </c>
      <c r="H1875">
        <v>0</v>
      </c>
      <c r="I1875">
        <f>Sales_Data[[#This Row],[Sales]]*Sales_Data[[#This Row],[Discount]]</f>
        <v>0</v>
      </c>
      <c r="J1875">
        <v>70.641400000000004</v>
      </c>
      <c r="K1875" s="1">
        <v>1.1000000000000001</v>
      </c>
      <c r="L1875" s="1">
        <v>70.641400000000004</v>
      </c>
      <c r="M1875" s="1" t="s">
        <v>10</v>
      </c>
      <c r="N1875" s="1">
        <f>IF(Sales_Data[[#This Row],[Sales with Discount]]&lt;Sales_Data[[#This Row],[Sales with Free Shipping]],Sales_Data[[#This Row],[Sales with Discount]],Sales_Data[[#This Row],[Sales with Free Shipping]])</f>
        <v>70.641400000000004</v>
      </c>
      <c r="O1875" s="1" t="str">
        <f>TEXT(Sales_Data[[#This Row],[Order Date]], "MM-YYYY")</f>
        <v>03-2019</v>
      </c>
    </row>
    <row r="1876" spans="1:15" x14ac:dyDescent="0.3">
      <c r="A1876" s="1">
        <v>54630</v>
      </c>
      <c r="B1876" s="2">
        <v>43687</v>
      </c>
      <c r="C1876" s="1" t="s">
        <v>7</v>
      </c>
      <c r="D1876" s="1">
        <v>11</v>
      </c>
      <c r="E1876" t="s">
        <v>18</v>
      </c>
      <c r="F1876" t="s">
        <v>18</v>
      </c>
      <c r="G1876" s="1">
        <v>78.345399999999998</v>
      </c>
      <c r="H1876">
        <v>0</v>
      </c>
      <c r="I1876">
        <f>Sales_Data[[#This Row],[Sales]]*Sales_Data[[#This Row],[Discount]]</f>
        <v>0</v>
      </c>
      <c r="J1876">
        <v>78.345399999999998</v>
      </c>
      <c r="K1876" s="1">
        <v>6.7</v>
      </c>
      <c r="L1876" s="1">
        <v>78.345399999999998</v>
      </c>
      <c r="M1876" s="1" t="s">
        <v>10</v>
      </c>
      <c r="N1876" s="1">
        <f>IF(Sales_Data[[#This Row],[Sales with Discount]]&lt;Sales_Data[[#This Row],[Sales with Free Shipping]],Sales_Data[[#This Row],[Sales with Discount]],Sales_Data[[#This Row],[Sales with Free Shipping]])</f>
        <v>78.345399999999998</v>
      </c>
      <c r="O1876" s="1" t="str">
        <f>TEXT(Sales_Data[[#This Row],[Order Date]], "MM-YYYY")</f>
        <v>08-2019</v>
      </c>
    </row>
    <row r="1877" spans="1:15" x14ac:dyDescent="0.3">
      <c r="A1877" s="1">
        <v>9473</v>
      </c>
      <c r="B1877" s="2">
        <v>43749</v>
      </c>
      <c r="C1877" s="1" t="s">
        <v>11</v>
      </c>
      <c r="D1877" s="1">
        <v>31</v>
      </c>
      <c r="E1877" t="s">
        <v>21</v>
      </c>
      <c r="F1877" t="s">
        <v>21</v>
      </c>
      <c r="G1877" s="1">
        <v>537.61</v>
      </c>
      <c r="H1877">
        <v>0</v>
      </c>
      <c r="I1877">
        <f>Sales_Data[[#This Row],[Sales]]*Sales_Data[[#This Row],[Discount]]</f>
        <v>0</v>
      </c>
      <c r="J1877">
        <v>537.61</v>
      </c>
      <c r="K1877" s="1">
        <v>19</v>
      </c>
      <c r="L1877" s="1">
        <v>537.61</v>
      </c>
      <c r="M1877" s="1" t="s">
        <v>10</v>
      </c>
      <c r="N1877" s="1">
        <f>IF(Sales_Data[[#This Row],[Sales with Discount]]&lt;Sales_Data[[#This Row],[Sales with Free Shipping]],Sales_Data[[#This Row],[Sales with Discount]],Sales_Data[[#This Row],[Sales with Free Shipping]])</f>
        <v>537.61</v>
      </c>
      <c r="O1877" s="1" t="str">
        <f>TEXT(Sales_Data[[#This Row],[Order Date]], "MM-YYYY")</f>
        <v>10-2019</v>
      </c>
    </row>
    <row r="1878" spans="1:15" x14ac:dyDescent="0.3">
      <c r="A1878" s="1">
        <v>2885</v>
      </c>
      <c r="B1878" s="2">
        <v>43726</v>
      </c>
      <c r="C1878" s="1" t="s">
        <v>11</v>
      </c>
      <c r="D1878" s="1">
        <v>46</v>
      </c>
      <c r="E1878" t="s">
        <v>24</v>
      </c>
      <c r="F1878" t="s">
        <v>24</v>
      </c>
      <c r="G1878" s="1">
        <v>762.0326</v>
      </c>
      <c r="H1878">
        <v>0.01</v>
      </c>
      <c r="I1878">
        <f>Sales_Data[[#This Row],[Sales]]*Sales_Data[[#This Row],[Discount]]</f>
        <v>7.6203260000000004</v>
      </c>
      <c r="J1878">
        <v>754.41227400000002</v>
      </c>
      <c r="K1878" s="1">
        <v>5.8</v>
      </c>
      <c r="L1878" s="1">
        <v>756.23260000000005</v>
      </c>
      <c r="M1878" s="1" t="s">
        <v>10</v>
      </c>
      <c r="N1878" s="1">
        <f>IF(Sales_Data[[#This Row],[Sales with Discount]]&lt;Sales_Data[[#This Row],[Sales with Free Shipping]],Sales_Data[[#This Row],[Sales with Discount]],Sales_Data[[#This Row],[Sales with Free Shipping]])</f>
        <v>754.41227400000002</v>
      </c>
      <c r="O1878" s="1" t="str">
        <f>TEXT(Sales_Data[[#This Row],[Order Date]], "MM-YYYY")</f>
        <v>09-2019</v>
      </c>
    </row>
    <row r="1879" spans="1:15" x14ac:dyDescent="0.3">
      <c r="A1879" s="1">
        <v>5699</v>
      </c>
      <c r="B1879" s="2">
        <v>43675</v>
      </c>
      <c r="C1879" s="1" t="s">
        <v>7</v>
      </c>
      <c r="D1879" s="1">
        <v>2</v>
      </c>
      <c r="E1879" t="s">
        <v>16</v>
      </c>
      <c r="F1879" t="s">
        <v>16</v>
      </c>
      <c r="G1879" s="1">
        <v>9.9</v>
      </c>
      <c r="H1879">
        <v>0</v>
      </c>
      <c r="I1879">
        <f>Sales_Data[[#This Row],[Sales]]*Sales_Data[[#This Row],[Discount]]</f>
        <v>0</v>
      </c>
      <c r="J1879">
        <v>9.9</v>
      </c>
      <c r="K1879" s="1">
        <v>1.1000000000000001</v>
      </c>
      <c r="L1879" s="1">
        <v>9.9</v>
      </c>
      <c r="M1879" s="1" t="s">
        <v>10</v>
      </c>
      <c r="N1879" s="1">
        <f>IF(Sales_Data[[#This Row],[Sales with Discount]]&lt;Sales_Data[[#This Row],[Sales with Free Shipping]],Sales_Data[[#This Row],[Sales with Discount]],Sales_Data[[#This Row],[Sales with Free Shipping]])</f>
        <v>9.9</v>
      </c>
      <c r="O1879" s="1" t="str">
        <f>TEXT(Sales_Data[[#This Row],[Order Date]], "MM-YYYY")</f>
        <v>07-2019</v>
      </c>
    </row>
    <row r="1880" spans="1:15" x14ac:dyDescent="0.3">
      <c r="A1880" s="1">
        <v>4099</v>
      </c>
      <c r="B1880" s="2">
        <v>43697</v>
      </c>
      <c r="C1880" s="1" t="s">
        <v>12</v>
      </c>
      <c r="D1880" s="1">
        <v>12</v>
      </c>
      <c r="E1880" t="s">
        <v>18</v>
      </c>
      <c r="F1880" t="s">
        <v>18</v>
      </c>
      <c r="G1880" s="1">
        <v>131.54</v>
      </c>
      <c r="H1880">
        <v>0</v>
      </c>
      <c r="I1880">
        <f>Sales_Data[[#This Row],[Sales]]*Sales_Data[[#This Row],[Discount]]</f>
        <v>0</v>
      </c>
      <c r="J1880">
        <v>131.54</v>
      </c>
      <c r="K1880" s="1">
        <v>6.2</v>
      </c>
      <c r="L1880" s="1">
        <v>131.54</v>
      </c>
      <c r="M1880" s="1" t="s">
        <v>10</v>
      </c>
      <c r="N1880" s="1">
        <f>IF(Sales_Data[[#This Row],[Sales with Discount]]&lt;Sales_Data[[#This Row],[Sales with Free Shipping]],Sales_Data[[#This Row],[Sales with Discount]],Sales_Data[[#This Row],[Sales with Free Shipping]])</f>
        <v>131.54</v>
      </c>
      <c r="O1880" s="1" t="str">
        <f>TEXT(Sales_Data[[#This Row],[Order Date]], "MM-YYYY")</f>
        <v>08-2019</v>
      </c>
    </row>
    <row r="1881" spans="1:15" x14ac:dyDescent="0.3">
      <c r="A1881" s="1">
        <v>35712</v>
      </c>
      <c r="B1881" s="2">
        <v>43761</v>
      </c>
      <c r="C1881" s="1" t="s">
        <v>9</v>
      </c>
      <c r="D1881" s="1">
        <v>24</v>
      </c>
      <c r="E1881" t="s">
        <v>14</v>
      </c>
      <c r="F1881" t="s">
        <v>14</v>
      </c>
      <c r="G1881" s="1">
        <v>144.32</v>
      </c>
      <c r="H1881">
        <v>0</v>
      </c>
      <c r="I1881">
        <f>Sales_Data[[#This Row],[Sales]]*Sales_Data[[#This Row],[Discount]]</f>
        <v>0</v>
      </c>
      <c r="J1881">
        <v>144.32</v>
      </c>
      <c r="K1881" s="1">
        <v>8.6999999999999993</v>
      </c>
      <c r="L1881" s="1">
        <v>144.32</v>
      </c>
      <c r="M1881" s="1" t="s">
        <v>10</v>
      </c>
      <c r="N1881" s="1">
        <f>IF(Sales_Data[[#This Row],[Sales with Discount]]&lt;Sales_Data[[#This Row],[Sales with Free Shipping]],Sales_Data[[#This Row],[Sales with Discount]],Sales_Data[[#This Row],[Sales with Free Shipping]])</f>
        <v>144.32</v>
      </c>
      <c r="O1881" s="1" t="str">
        <f>TEXT(Sales_Data[[#This Row],[Order Date]], "MM-YYYY")</f>
        <v>10-2019</v>
      </c>
    </row>
    <row r="1882" spans="1:15" x14ac:dyDescent="0.3">
      <c r="A1882" s="1">
        <v>56805</v>
      </c>
      <c r="B1882" s="2">
        <v>43621</v>
      </c>
      <c r="C1882" s="1" t="s">
        <v>9</v>
      </c>
      <c r="D1882" s="1">
        <v>38</v>
      </c>
      <c r="E1882" t="s">
        <v>22</v>
      </c>
      <c r="F1882" t="s">
        <v>22</v>
      </c>
      <c r="G1882" s="1">
        <v>15785.8</v>
      </c>
      <c r="H1882">
        <v>0.01</v>
      </c>
      <c r="I1882">
        <f>Sales_Data[[#This Row],[Sales]]*Sales_Data[[#This Row],[Discount]]</f>
        <v>157.858</v>
      </c>
      <c r="J1882">
        <v>15627.941999999999</v>
      </c>
      <c r="K1882" s="1">
        <v>105.9</v>
      </c>
      <c r="L1882" s="1">
        <v>15679.9</v>
      </c>
      <c r="M1882" s="1" t="s">
        <v>13</v>
      </c>
      <c r="N1882" s="1">
        <f>IF(Sales_Data[[#This Row],[Sales with Discount]]&lt;Sales_Data[[#This Row],[Sales with Free Shipping]],Sales_Data[[#This Row],[Sales with Discount]],Sales_Data[[#This Row],[Sales with Free Shipping]])</f>
        <v>15627.941999999999</v>
      </c>
      <c r="O1882" s="1" t="str">
        <f>TEXT(Sales_Data[[#This Row],[Order Date]], "MM-YYYY")</f>
        <v>06-2019</v>
      </c>
    </row>
    <row r="1883" spans="1:15" x14ac:dyDescent="0.3">
      <c r="A1883" s="1">
        <v>23619</v>
      </c>
      <c r="B1883" s="2">
        <v>43820</v>
      </c>
      <c r="C1883" s="1" t="s">
        <v>14</v>
      </c>
      <c r="D1883" s="1">
        <v>7</v>
      </c>
      <c r="E1883" t="s">
        <v>17</v>
      </c>
      <c r="F1883" t="s">
        <v>17</v>
      </c>
      <c r="G1883" s="1">
        <v>1116.1400000000001</v>
      </c>
      <c r="H1883">
        <v>0</v>
      </c>
      <c r="I1883">
        <f>Sales_Data[[#This Row],[Sales]]*Sales_Data[[#This Row],[Discount]]</f>
        <v>0</v>
      </c>
      <c r="J1883">
        <v>1116.1400000000001</v>
      </c>
      <c r="K1883" s="1">
        <v>15</v>
      </c>
      <c r="L1883" s="1">
        <v>1116.1400000000001</v>
      </c>
      <c r="M1883" s="1" t="s">
        <v>10</v>
      </c>
      <c r="N1883" s="1">
        <f>IF(Sales_Data[[#This Row],[Sales with Discount]]&lt;Sales_Data[[#This Row],[Sales with Free Shipping]],Sales_Data[[#This Row],[Sales with Discount]],Sales_Data[[#This Row],[Sales with Free Shipping]])</f>
        <v>1116.1400000000001</v>
      </c>
      <c r="O1883" s="1" t="str">
        <f>TEXT(Sales_Data[[#This Row],[Order Date]], "MM-YYYY")</f>
        <v>12-2019</v>
      </c>
    </row>
    <row r="1884" spans="1:15" x14ac:dyDescent="0.3">
      <c r="A1884" s="1">
        <v>27909</v>
      </c>
      <c r="B1884" s="2">
        <v>43502</v>
      </c>
      <c r="C1884" s="1" t="s">
        <v>12</v>
      </c>
      <c r="D1884" s="1">
        <v>47</v>
      </c>
      <c r="E1884" t="s">
        <v>24</v>
      </c>
      <c r="F1884" t="s">
        <v>24</v>
      </c>
      <c r="G1884" s="1">
        <v>62.63</v>
      </c>
      <c r="H1884">
        <v>0.01</v>
      </c>
      <c r="I1884">
        <f>Sales_Data[[#This Row],[Sales]]*Sales_Data[[#This Row],[Discount]]</f>
        <v>0.62630000000000008</v>
      </c>
      <c r="J1884">
        <v>62.003700000000002</v>
      </c>
      <c r="K1884" s="1">
        <v>0.7</v>
      </c>
      <c r="L1884" s="1">
        <v>61.93</v>
      </c>
      <c r="M1884" s="1" t="s">
        <v>10</v>
      </c>
      <c r="N1884" s="1">
        <f>IF(Sales_Data[[#This Row],[Sales with Discount]]&lt;Sales_Data[[#This Row],[Sales with Free Shipping]],Sales_Data[[#This Row],[Sales with Discount]],Sales_Data[[#This Row],[Sales with Free Shipping]])</f>
        <v>61.93</v>
      </c>
      <c r="O1884" s="1" t="str">
        <f>TEXT(Sales_Data[[#This Row],[Order Date]], "MM-YYYY")</f>
        <v>02-2019</v>
      </c>
    </row>
    <row r="1885" spans="1:15" x14ac:dyDescent="0.3">
      <c r="A1885" s="1">
        <v>48643</v>
      </c>
      <c r="B1885" s="2">
        <v>43756</v>
      </c>
      <c r="C1885" s="1" t="s">
        <v>14</v>
      </c>
      <c r="D1885" s="1">
        <v>50</v>
      </c>
      <c r="E1885" t="s">
        <v>24</v>
      </c>
      <c r="F1885" t="s">
        <v>24</v>
      </c>
      <c r="G1885" s="1">
        <v>3099.1</v>
      </c>
      <c r="H1885">
        <v>0.01</v>
      </c>
      <c r="I1885">
        <f>Sales_Data[[#This Row],[Sales]]*Sales_Data[[#This Row],[Discount]]</f>
        <v>30.991</v>
      </c>
      <c r="J1885">
        <v>3068.1089999999999</v>
      </c>
      <c r="K1885" s="1">
        <v>9.6</v>
      </c>
      <c r="L1885" s="1">
        <v>3089.5</v>
      </c>
      <c r="M1885" s="1" t="s">
        <v>10</v>
      </c>
      <c r="N1885" s="1">
        <f>IF(Sales_Data[[#This Row],[Sales with Discount]]&lt;Sales_Data[[#This Row],[Sales with Free Shipping]],Sales_Data[[#This Row],[Sales with Discount]],Sales_Data[[#This Row],[Sales with Free Shipping]])</f>
        <v>3068.1089999999999</v>
      </c>
      <c r="O1885" s="1" t="str">
        <f>TEXT(Sales_Data[[#This Row],[Order Date]], "MM-YYYY")</f>
        <v>10-2019</v>
      </c>
    </row>
    <row r="1886" spans="1:15" x14ac:dyDescent="0.3">
      <c r="A1886" s="1">
        <v>22817</v>
      </c>
      <c r="B1886" s="2">
        <v>43790</v>
      </c>
      <c r="C1886" s="1" t="s">
        <v>12</v>
      </c>
      <c r="D1886" s="1">
        <v>27</v>
      </c>
      <c r="E1886" t="s">
        <v>20</v>
      </c>
      <c r="F1886" t="s">
        <v>20</v>
      </c>
      <c r="G1886" s="1">
        <v>7260.8702000000003</v>
      </c>
      <c r="H1886">
        <v>0</v>
      </c>
      <c r="I1886">
        <f>Sales_Data[[#This Row],[Sales]]*Sales_Data[[#This Row],[Discount]]</f>
        <v>0</v>
      </c>
      <c r="J1886">
        <v>7260.8702000000003</v>
      </c>
      <c r="K1886" s="1">
        <v>67.099999999999994</v>
      </c>
      <c r="L1886" s="1">
        <v>7260.8702000000003</v>
      </c>
      <c r="M1886" s="1" t="s">
        <v>13</v>
      </c>
      <c r="N1886" s="1">
        <f>IF(Sales_Data[[#This Row],[Sales with Discount]]&lt;Sales_Data[[#This Row],[Sales with Free Shipping]],Sales_Data[[#This Row],[Sales with Discount]],Sales_Data[[#This Row],[Sales with Free Shipping]])</f>
        <v>7260.8702000000003</v>
      </c>
      <c r="O1886" s="1" t="str">
        <f>TEXT(Sales_Data[[#This Row],[Order Date]], "MM-YYYY")</f>
        <v>11-2019</v>
      </c>
    </row>
    <row r="1887" spans="1:15" x14ac:dyDescent="0.3">
      <c r="A1887" s="1">
        <v>16548</v>
      </c>
      <c r="B1887" s="2">
        <v>43500</v>
      </c>
      <c r="C1887" s="1" t="s">
        <v>11</v>
      </c>
      <c r="D1887" s="1">
        <v>22</v>
      </c>
      <c r="E1887" t="s">
        <v>14</v>
      </c>
      <c r="F1887" t="s">
        <v>14</v>
      </c>
      <c r="G1887" s="1">
        <v>80.45</v>
      </c>
      <c r="H1887">
        <v>0</v>
      </c>
      <c r="I1887">
        <f>Sales_Data[[#This Row],[Sales]]*Sales_Data[[#This Row],[Discount]]</f>
        <v>0</v>
      </c>
      <c r="J1887">
        <v>80.45</v>
      </c>
      <c r="K1887" s="1">
        <v>4.2</v>
      </c>
      <c r="L1887" s="1">
        <v>80.45</v>
      </c>
      <c r="M1887" s="1" t="s">
        <v>10</v>
      </c>
      <c r="N1887" s="1">
        <f>IF(Sales_Data[[#This Row],[Sales with Discount]]&lt;Sales_Data[[#This Row],[Sales with Free Shipping]],Sales_Data[[#This Row],[Sales with Discount]],Sales_Data[[#This Row],[Sales with Free Shipping]])</f>
        <v>80.45</v>
      </c>
      <c r="O1887" s="1" t="str">
        <f>TEXT(Sales_Data[[#This Row],[Order Date]], "MM-YYYY")</f>
        <v>02-2019</v>
      </c>
    </row>
    <row r="1888" spans="1:15" x14ac:dyDescent="0.3">
      <c r="A1888" s="1">
        <v>9155</v>
      </c>
      <c r="B1888" s="2">
        <v>43707</v>
      </c>
      <c r="C1888" s="1" t="s">
        <v>12</v>
      </c>
      <c r="D1888" s="1">
        <v>17</v>
      </c>
      <c r="E1888" t="s">
        <v>19</v>
      </c>
      <c r="F1888" t="s">
        <v>19</v>
      </c>
      <c r="G1888" s="1">
        <v>555.12</v>
      </c>
      <c r="H1888">
        <v>0</v>
      </c>
      <c r="I1888">
        <f>Sales_Data[[#This Row],[Sales]]*Sales_Data[[#This Row],[Discount]]</f>
        <v>0</v>
      </c>
      <c r="J1888">
        <v>555.12</v>
      </c>
      <c r="K1888" s="1">
        <v>12.4</v>
      </c>
      <c r="L1888" s="1">
        <v>555.12</v>
      </c>
      <c r="M1888" s="1" t="s">
        <v>10</v>
      </c>
      <c r="N1888" s="1">
        <f>IF(Sales_Data[[#This Row],[Sales with Discount]]&lt;Sales_Data[[#This Row],[Sales with Free Shipping]],Sales_Data[[#This Row],[Sales with Discount]],Sales_Data[[#This Row],[Sales with Free Shipping]])</f>
        <v>555.12</v>
      </c>
      <c r="O1888" s="1" t="str">
        <f>TEXT(Sales_Data[[#This Row],[Order Date]], "MM-YYYY")</f>
        <v>08-2019</v>
      </c>
    </row>
    <row r="1889" spans="1:15" x14ac:dyDescent="0.3">
      <c r="A1889" s="1">
        <v>26336</v>
      </c>
      <c r="B1889" s="2">
        <v>43611</v>
      </c>
      <c r="C1889" s="1" t="s">
        <v>9</v>
      </c>
      <c r="D1889" s="1">
        <v>45</v>
      </c>
      <c r="E1889" t="s">
        <v>23</v>
      </c>
      <c r="F1889" t="s">
        <v>23</v>
      </c>
      <c r="G1889" s="1">
        <v>2945.37</v>
      </c>
      <c r="H1889">
        <v>0.01</v>
      </c>
      <c r="I1889">
        <f>Sales_Data[[#This Row],[Sales]]*Sales_Data[[#This Row],[Discount]]</f>
        <v>29.453699999999998</v>
      </c>
      <c r="J1889">
        <v>2915.9162999999999</v>
      </c>
      <c r="K1889" s="1">
        <v>13.7</v>
      </c>
      <c r="L1889" s="1">
        <v>2931.67</v>
      </c>
      <c r="M1889" s="1" t="s">
        <v>10</v>
      </c>
      <c r="N1889" s="1">
        <f>IF(Sales_Data[[#This Row],[Sales with Discount]]&lt;Sales_Data[[#This Row],[Sales with Free Shipping]],Sales_Data[[#This Row],[Sales with Discount]],Sales_Data[[#This Row],[Sales with Free Shipping]])</f>
        <v>2915.9162999999999</v>
      </c>
      <c r="O1889" s="1" t="str">
        <f>TEXT(Sales_Data[[#This Row],[Order Date]], "MM-YYYY")</f>
        <v>05-2019</v>
      </c>
    </row>
    <row r="1890" spans="1:15" x14ac:dyDescent="0.3">
      <c r="A1890" s="1">
        <v>36998</v>
      </c>
      <c r="B1890" s="2">
        <v>43737</v>
      </c>
      <c r="C1890" s="1" t="s">
        <v>7</v>
      </c>
      <c r="D1890" s="1">
        <v>41</v>
      </c>
      <c r="E1890" t="s">
        <v>23</v>
      </c>
      <c r="F1890" t="s">
        <v>23</v>
      </c>
      <c r="G1890" s="1">
        <v>283.97000000000003</v>
      </c>
      <c r="H1890">
        <v>0.01</v>
      </c>
      <c r="I1890">
        <f>Sales_Data[[#This Row],[Sales]]*Sales_Data[[#This Row],[Discount]]</f>
        <v>2.8397000000000001</v>
      </c>
      <c r="J1890">
        <v>281.13030000000003</v>
      </c>
      <c r="K1890" s="1">
        <v>10.199999999999999</v>
      </c>
      <c r="L1890" s="1">
        <v>273.77000000000004</v>
      </c>
      <c r="M1890" s="1" t="s">
        <v>10</v>
      </c>
      <c r="N1890" s="1">
        <f>IF(Sales_Data[[#This Row],[Sales with Discount]]&lt;Sales_Data[[#This Row],[Sales with Free Shipping]],Sales_Data[[#This Row],[Sales with Discount]],Sales_Data[[#This Row],[Sales with Free Shipping]])</f>
        <v>273.77000000000004</v>
      </c>
      <c r="O1890" s="1" t="str">
        <f>TEXT(Sales_Data[[#This Row],[Order Date]], "MM-YYYY")</f>
        <v>09-2019</v>
      </c>
    </row>
    <row r="1891" spans="1:15" x14ac:dyDescent="0.3">
      <c r="A1891" s="1">
        <v>1344</v>
      </c>
      <c r="B1891" s="2">
        <v>43570</v>
      </c>
      <c r="C1891" s="1" t="s">
        <v>7</v>
      </c>
      <c r="D1891" s="1">
        <v>18</v>
      </c>
      <c r="E1891" t="s">
        <v>19</v>
      </c>
      <c r="F1891" t="s">
        <v>19</v>
      </c>
      <c r="G1891" s="1">
        <v>2654.58</v>
      </c>
      <c r="H1891">
        <v>0</v>
      </c>
      <c r="I1891">
        <f>Sales_Data[[#This Row],[Sales]]*Sales_Data[[#This Row],[Discount]]</f>
        <v>0</v>
      </c>
      <c r="J1891">
        <v>2654.58</v>
      </c>
      <c r="K1891" s="1">
        <v>9.6</v>
      </c>
      <c r="L1891" s="1">
        <v>2654.58</v>
      </c>
      <c r="M1891" s="1" t="s">
        <v>10</v>
      </c>
      <c r="N1891" s="1">
        <f>IF(Sales_Data[[#This Row],[Sales with Discount]]&lt;Sales_Data[[#This Row],[Sales with Free Shipping]],Sales_Data[[#This Row],[Sales with Discount]],Sales_Data[[#This Row],[Sales with Free Shipping]])</f>
        <v>2654.58</v>
      </c>
      <c r="O1891" s="1" t="str">
        <f>TEXT(Sales_Data[[#This Row],[Order Date]], "MM-YYYY")</f>
        <v>04-2019</v>
      </c>
    </row>
    <row r="1892" spans="1:15" x14ac:dyDescent="0.3">
      <c r="A1892" s="1">
        <v>34083</v>
      </c>
      <c r="B1892" s="2">
        <v>43500</v>
      </c>
      <c r="C1892" s="1" t="s">
        <v>11</v>
      </c>
      <c r="D1892" s="1">
        <v>29</v>
      </c>
      <c r="E1892" t="s">
        <v>20</v>
      </c>
      <c r="F1892" t="s">
        <v>20</v>
      </c>
      <c r="G1892" s="1">
        <v>1514.21</v>
      </c>
      <c r="H1892">
        <v>0</v>
      </c>
      <c r="I1892">
        <f>Sales_Data[[#This Row],[Sales]]*Sales_Data[[#This Row],[Discount]]</f>
        <v>0</v>
      </c>
      <c r="J1892">
        <v>1514.21</v>
      </c>
      <c r="K1892" s="1">
        <v>5.4</v>
      </c>
      <c r="L1892" s="1">
        <v>1514.21</v>
      </c>
      <c r="M1892" s="1" t="s">
        <v>8</v>
      </c>
      <c r="N1892" s="1">
        <f>IF(Sales_Data[[#This Row],[Sales with Discount]]&lt;Sales_Data[[#This Row],[Sales with Free Shipping]],Sales_Data[[#This Row],[Sales with Discount]],Sales_Data[[#This Row],[Sales with Free Shipping]])</f>
        <v>1514.21</v>
      </c>
      <c r="O1892" s="1" t="str">
        <f>TEXT(Sales_Data[[#This Row],[Order Date]], "MM-YYYY")</f>
        <v>02-2019</v>
      </c>
    </row>
    <row r="1893" spans="1:15" x14ac:dyDescent="0.3">
      <c r="A1893" s="1">
        <v>16103</v>
      </c>
      <c r="B1893" s="2">
        <v>43661</v>
      </c>
      <c r="C1893" s="1" t="s">
        <v>11</v>
      </c>
      <c r="D1893" s="1">
        <v>22</v>
      </c>
      <c r="E1893" t="s">
        <v>14</v>
      </c>
      <c r="F1893" t="s">
        <v>14</v>
      </c>
      <c r="G1893" s="1">
        <v>456.57</v>
      </c>
      <c r="H1893">
        <v>0</v>
      </c>
      <c r="I1893">
        <f>Sales_Data[[#This Row],[Sales]]*Sales_Data[[#This Row],[Discount]]</f>
        <v>0</v>
      </c>
      <c r="J1893">
        <v>456.57</v>
      </c>
      <c r="K1893" s="1">
        <v>4.4000000000000004</v>
      </c>
      <c r="L1893" s="1">
        <v>456.57</v>
      </c>
      <c r="M1893" s="1" t="s">
        <v>10</v>
      </c>
      <c r="N1893" s="1">
        <f>IF(Sales_Data[[#This Row],[Sales with Discount]]&lt;Sales_Data[[#This Row],[Sales with Free Shipping]],Sales_Data[[#This Row],[Sales with Discount]],Sales_Data[[#This Row],[Sales with Free Shipping]])</f>
        <v>456.57</v>
      </c>
      <c r="O1893" s="1" t="str">
        <f>TEXT(Sales_Data[[#This Row],[Order Date]], "MM-YYYY")</f>
        <v>07-2019</v>
      </c>
    </row>
    <row r="1894" spans="1:15" x14ac:dyDescent="0.3">
      <c r="A1894" s="1">
        <v>41120</v>
      </c>
      <c r="B1894" s="2">
        <v>43653</v>
      </c>
      <c r="C1894" s="1" t="s">
        <v>7</v>
      </c>
      <c r="D1894" s="1">
        <v>35</v>
      </c>
      <c r="E1894" t="s">
        <v>21</v>
      </c>
      <c r="F1894" t="s">
        <v>21</v>
      </c>
      <c r="G1894" s="1">
        <v>931.7</v>
      </c>
      <c r="H1894">
        <v>0</v>
      </c>
      <c r="I1894">
        <f>Sales_Data[[#This Row],[Sales]]*Sales_Data[[#This Row],[Discount]]</f>
        <v>0</v>
      </c>
      <c r="J1894">
        <v>931.7</v>
      </c>
      <c r="K1894" s="1">
        <v>5.7</v>
      </c>
      <c r="L1894" s="1">
        <v>931.7</v>
      </c>
      <c r="M1894" s="1" t="s">
        <v>10</v>
      </c>
      <c r="N1894" s="1">
        <f>IF(Sales_Data[[#This Row],[Sales with Discount]]&lt;Sales_Data[[#This Row],[Sales with Free Shipping]],Sales_Data[[#This Row],[Sales with Discount]],Sales_Data[[#This Row],[Sales with Free Shipping]])</f>
        <v>931.7</v>
      </c>
      <c r="O1894" s="1" t="str">
        <f>TEXT(Sales_Data[[#This Row],[Order Date]], "MM-YYYY")</f>
        <v>07-2019</v>
      </c>
    </row>
    <row r="1895" spans="1:15" x14ac:dyDescent="0.3">
      <c r="A1895" s="1">
        <v>44037</v>
      </c>
      <c r="B1895" s="2">
        <v>43644</v>
      </c>
      <c r="C1895" s="1" t="s">
        <v>9</v>
      </c>
      <c r="D1895" s="1">
        <v>38</v>
      </c>
      <c r="E1895" t="s">
        <v>22</v>
      </c>
      <c r="F1895" t="s">
        <v>22</v>
      </c>
      <c r="G1895" s="1">
        <v>1925.58</v>
      </c>
      <c r="H1895">
        <v>0.01</v>
      </c>
      <c r="I1895">
        <f>Sales_Data[[#This Row],[Sales]]*Sales_Data[[#This Row],[Discount]]</f>
        <v>19.255800000000001</v>
      </c>
      <c r="J1895">
        <v>1906.3242</v>
      </c>
      <c r="K1895" s="1">
        <v>1.3</v>
      </c>
      <c r="L1895" s="1">
        <v>1924.28</v>
      </c>
      <c r="M1895" s="1" t="s">
        <v>10</v>
      </c>
      <c r="N1895" s="1">
        <f>IF(Sales_Data[[#This Row],[Sales with Discount]]&lt;Sales_Data[[#This Row],[Sales with Free Shipping]],Sales_Data[[#This Row],[Sales with Discount]],Sales_Data[[#This Row],[Sales with Free Shipping]])</f>
        <v>1906.3242</v>
      </c>
      <c r="O1895" s="1" t="str">
        <f>TEXT(Sales_Data[[#This Row],[Order Date]], "MM-YYYY")</f>
        <v>06-2019</v>
      </c>
    </row>
    <row r="1896" spans="1:15" x14ac:dyDescent="0.3">
      <c r="A1896" s="1">
        <v>29411</v>
      </c>
      <c r="B1896" s="2">
        <v>43561</v>
      </c>
      <c r="C1896" s="1" t="s">
        <v>9</v>
      </c>
      <c r="D1896" s="1">
        <v>29</v>
      </c>
      <c r="E1896" t="s">
        <v>20</v>
      </c>
      <c r="F1896" t="s">
        <v>20</v>
      </c>
      <c r="G1896" s="1">
        <v>72.62</v>
      </c>
      <c r="H1896">
        <v>0</v>
      </c>
      <c r="I1896">
        <f>Sales_Data[[#This Row],[Sales]]*Sales_Data[[#This Row],[Discount]]</f>
        <v>0</v>
      </c>
      <c r="J1896">
        <v>72.62</v>
      </c>
      <c r="K1896" s="1">
        <v>5.4</v>
      </c>
      <c r="L1896" s="1">
        <v>72.62</v>
      </c>
      <c r="M1896" s="1" t="s">
        <v>10</v>
      </c>
      <c r="N1896" s="1">
        <f>IF(Sales_Data[[#This Row],[Sales with Discount]]&lt;Sales_Data[[#This Row],[Sales with Free Shipping]],Sales_Data[[#This Row],[Sales with Discount]],Sales_Data[[#This Row],[Sales with Free Shipping]])</f>
        <v>72.62</v>
      </c>
      <c r="O1896" s="1" t="str">
        <f>TEXT(Sales_Data[[#This Row],[Order Date]], "MM-YYYY")</f>
        <v>04-2019</v>
      </c>
    </row>
    <row r="1897" spans="1:15" x14ac:dyDescent="0.3">
      <c r="A1897" s="1">
        <v>4578</v>
      </c>
      <c r="B1897" s="2">
        <v>43720</v>
      </c>
      <c r="C1897" s="1" t="s">
        <v>7</v>
      </c>
      <c r="D1897" s="1">
        <v>45</v>
      </c>
      <c r="E1897" t="s">
        <v>23</v>
      </c>
      <c r="F1897" t="s">
        <v>23</v>
      </c>
      <c r="G1897" s="1">
        <v>302.5</v>
      </c>
      <c r="H1897">
        <v>0.01</v>
      </c>
      <c r="I1897">
        <f>Sales_Data[[#This Row],[Sales]]*Sales_Data[[#This Row],[Discount]]</f>
        <v>3.0249999999999999</v>
      </c>
      <c r="J1897">
        <v>299.47500000000002</v>
      </c>
      <c r="K1897" s="1">
        <v>7.2</v>
      </c>
      <c r="L1897" s="1">
        <v>295.3</v>
      </c>
      <c r="M1897" s="1" t="s">
        <v>10</v>
      </c>
      <c r="N1897" s="1">
        <f>IF(Sales_Data[[#This Row],[Sales with Discount]]&lt;Sales_Data[[#This Row],[Sales with Free Shipping]],Sales_Data[[#This Row],[Sales with Discount]],Sales_Data[[#This Row],[Sales with Free Shipping]])</f>
        <v>295.3</v>
      </c>
      <c r="O1897" s="1" t="str">
        <f>TEXT(Sales_Data[[#This Row],[Order Date]], "MM-YYYY")</f>
        <v>09-2019</v>
      </c>
    </row>
    <row r="1898" spans="1:15" x14ac:dyDescent="0.3">
      <c r="A1898" s="1">
        <v>36294</v>
      </c>
      <c r="B1898" s="2">
        <v>43697</v>
      </c>
      <c r="C1898" s="1" t="s">
        <v>14</v>
      </c>
      <c r="D1898" s="1">
        <v>46</v>
      </c>
      <c r="E1898" t="s">
        <v>24</v>
      </c>
      <c r="F1898" t="s">
        <v>24</v>
      </c>
      <c r="G1898" s="1">
        <v>653.94119999999998</v>
      </c>
      <c r="H1898">
        <v>0.01</v>
      </c>
      <c r="I1898">
        <f>Sales_Data[[#This Row],[Sales]]*Sales_Data[[#This Row],[Discount]]</f>
        <v>6.5394119999999996</v>
      </c>
      <c r="J1898">
        <v>647.40178800000001</v>
      </c>
      <c r="K1898" s="1">
        <v>5.3</v>
      </c>
      <c r="L1898" s="1">
        <v>648.64120000000003</v>
      </c>
      <c r="M1898" s="1" t="s">
        <v>10</v>
      </c>
      <c r="N1898" s="1">
        <f>IF(Sales_Data[[#This Row],[Sales with Discount]]&lt;Sales_Data[[#This Row],[Sales with Free Shipping]],Sales_Data[[#This Row],[Sales with Discount]],Sales_Data[[#This Row],[Sales with Free Shipping]])</f>
        <v>647.40178800000001</v>
      </c>
      <c r="O1898" s="1" t="str">
        <f>TEXT(Sales_Data[[#This Row],[Order Date]], "MM-YYYY")</f>
        <v>08-2019</v>
      </c>
    </row>
    <row r="1899" spans="1:15" x14ac:dyDescent="0.3">
      <c r="A1899" s="1">
        <v>49798</v>
      </c>
      <c r="B1899" s="2">
        <v>43807</v>
      </c>
      <c r="C1899" s="1" t="s">
        <v>12</v>
      </c>
      <c r="D1899" s="1">
        <v>29</v>
      </c>
      <c r="E1899" t="s">
        <v>20</v>
      </c>
      <c r="F1899" t="s">
        <v>20</v>
      </c>
      <c r="G1899" s="1">
        <v>344.01</v>
      </c>
      <c r="H1899">
        <v>0</v>
      </c>
      <c r="I1899">
        <f>Sales_Data[[#This Row],[Sales]]*Sales_Data[[#This Row],[Discount]]</f>
        <v>0</v>
      </c>
      <c r="J1899">
        <v>344.01</v>
      </c>
      <c r="K1899" s="1">
        <v>3.6</v>
      </c>
      <c r="L1899" s="1">
        <v>344.01</v>
      </c>
      <c r="M1899" s="1" t="s">
        <v>10</v>
      </c>
      <c r="N1899" s="1">
        <f>IF(Sales_Data[[#This Row],[Sales with Discount]]&lt;Sales_Data[[#This Row],[Sales with Free Shipping]],Sales_Data[[#This Row],[Sales with Discount]],Sales_Data[[#This Row],[Sales with Free Shipping]])</f>
        <v>344.01</v>
      </c>
      <c r="O1899" s="1" t="str">
        <f>TEXT(Sales_Data[[#This Row],[Order Date]], "MM-YYYY")</f>
        <v>12-2019</v>
      </c>
    </row>
    <row r="1900" spans="1:15" x14ac:dyDescent="0.3">
      <c r="A1900" s="1">
        <v>194</v>
      </c>
      <c r="B1900" s="2">
        <v>43559</v>
      </c>
      <c r="C1900" s="1" t="s">
        <v>14</v>
      </c>
      <c r="D1900" s="1">
        <v>6</v>
      </c>
      <c r="E1900" t="s">
        <v>17</v>
      </c>
      <c r="F1900" t="s">
        <v>17</v>
      </c>
      <c r="G1900" s="1">
        <v>21.6</v>
      </c>
      <c r="H1900">
        <v>0</v>
      </c>
      <c r="I1900">
        <f>Sales_Data[[#This Row],[Sales]]*Sales_Data[[#This Row],[Discount]]</f>
        <v>0</v>
      </c>
      <c r="J1900">
        <v>21.6</v>
      </c>
      <c r="K1900" s="1">
        <v>2.1</v>
      </c>
      <c r="L1900" s="1">
        <v>21.6</v>
      </c>
      <c r="M1900" s="1" t="s">
        <v>10</v>
      </c>
      <c r="N1900" s="1">
        <f>IF(Sales_Data[[#This Row],[Sales with Discount]]&lt;Sales_Data[[#This Row],[Sales with Free Shipping]],Sales_Data[[#This Row],[Sales with Discount]],Sales_Data[[#This Row],[Sales with Free Shipping]])</f>
        <v>21.6</v>
      </c>
      <c r="O1900" s="1" t="str">
        <f>TEXT(Sales_Data[[#This Row],[Order Date]], "MM-YYYY")</f>
        <v>04-2019</v>
      </c>
    </row>
    <row r="1901" spans="1:15" x14ac:dyDescent="0.3">
      <c r="A1901" s="1">
        <v>41634</v>
      </c>
      <c r="B1901" s="2">
        <v>43807</v>
      </c>
      <c r="C1901" s="1" t="s">
        <v>11</v>
      </c>
      <c r="D1901" s="1">
        <v>10</v>
      </c>
      <c r="E1901" t="s">
        <v>17</v>
      </c>
      <c r="F1901" t="s">
        <v>17</v>
      </c>
      <c r="G1901" s="1">
        <v>397.45</v>
      </c>
      <c r="H1901">
        <v>0</v>
      </c>
      <c r="I1901">
        <f>Sales_Data[[#This Row],[Sales]]*Sales_Data[[#This Row],[Discount]]</f>
        <v>0</v>
      </c>
      <c r="J1901">
        <v>397.45</v>
      </c>
      <c r="K1901" s="1">
        <v>8.3000000000000007</v>
      </c>
      <c r="L1901" s="1">
        <v>397.45</v>
      </c>
      <c r="M1901" s="1" t="s">
        <v>10</v>
      </c>
      <c r="N1901" s="1">
        <f>IF(Sales_Data[[#This Row],[Sales with Discount]]&lt;Sales_Data[[#This Row],[Sales with Free Shipping]],Sales_Data[[#This Row],[Sales with Discount]],Sales_Data[[#This Row],[Sales with Free Shipping]])</f>
        <v>397.45</v>
      </c>
      <c r="O1901" s="1" t="str">
        <f>TEXT(Sales_Data[[#This Row],[Order Date]], "MM-YYYY")</f>
        <v>12-2019</v>
      </c>
    </row>
    <row r="1902" spans="1:15" x14ac:dyDescent="0.3">
      <c r="A1902" s="1">
        <v>11362</v>
      </c>
      <c r="B1902" s="2">
        <v>43718</v>
      </c>
      <c r="C1902" s="1" t="s">
        <v>7</v>
      </c>
      <c r="D1902" s="1">
        <v>27</v>
      </c>
      <c r="E1902" t="s">
        <v>20</v>
      </c>
      <c r="F1902" t="s">
        <v>20</v>
      </c>
      <c r="G1902" s="1">
        <v>67.430000000000007</v>
      </c>
      <c r="H1902">
        <v>0</v>
      </c>
      <c r="I1902">
        <f>Sales_Data[[#This Row],[Sales]]*Sales_Data[[#This Row],[Discount]]</f>
        <v>0</v>
      </c>
      <c r="J1902">
        <v>67.430000000000007</v>
      </c>
      <c r="K1902" s="1">
        <v>5.4</v>
      </c>
      <c r="L1902" s="1">
        <v>67.430000000000007</v>
      </c>
      <c r="M1902" s="1" t="s">
        <v>10</v>
      </c>
      <c r="N1902" s="1">
        <f>IF(Sales_Data[[#This Row],[Sales with Discount]]&lt;Sales_Data[[#This Row],[Sales with Free Shipping]],Sales_Data[[#This Row],[Sales with Discount]],Sales_Data[[#This Row],[Sales with Free Shipping]])</f>
        <v>67.430000000000007</v>
      </c>
      <c r="O1902" s="1" t="str">
        <f>TEXT(Sales_Data[[#This Row],[Order Date]], "MM-YYYY")</f>
        <v>09-2019</v>
      </c>
    </row>
    <row r="1903" spans="1:15" x14ac:dyDescent="0.3">
      <c r="A1903" s="1">
        <v>43815</v>
      </c>
      <c r="B1903" s="2">
        <v>43629</v>
      </c>
      <c r="C1903" s="1" t="s">
        <v>11</v>
      </c>
      <c r="D1903" s="1">
        <v>22</v>
      </c>
      <c r="E1903" t="s">
        <v>14</v>
      </c>
      <c r="F1903" t="s">
        <v>14</v>
      </c>
      <c r="G1903" s="1">
        <v>1338.998</v>
      </c>
      <c r="H1903">
        <v>0</v>
      </c>
      <c r="I1903">
        <f>Sales_Data[[#This Row],[Sales]]*Sales_Data[[#This Row],[Discount]]</f>
        <v>0</v>
      </c>
      <c r="J1903">
        <v>1338.998</v>
      </c>
      <c r="K1903" s="1">
        <v>7.3</v>
      </c>
      <c r="L1903" s="1">
        <v>1338.998</v>
      </c>
      <c r="M1903" s="1" t="s">
        <v>10</v>
      </c>
      <c r="N1903" s="1">
        <f>IF(Sales_Data[[#This Row],[Sales with Discount]]&lt;Sales_Data[[#This Row],[Sales with Free Shipping]],Sales_Data[[#This Row],[Sales with Discount]],Sales_Data[[#This Row],[Sales with Free Shipping]])</f>
        <v>1338.998</v>
      </c>
      <c r="O1903" s="1" t="str">
        <f>TEXT(Sales_Data[[#This Row],[Order Date]], "MM-YYYY")</f>
        <v>06-2019</v>
      </c>
    </row>
    <row r="1904" spans="1:15" x14ac:dyDescent="0.3">
      <c r="A1904" s="1">
        <v>49094</v>
      </c>
      <c r="B1904" s="2">
        <v>43711</v>
      </c>
      <c r="C1904" s="1" t="s">
        <v>12</v>
      </c>
      <c r="D1904" s="1">
        <v>31</v>
      </c>
      <c r="E1904" t="s">
        <v>21</v>
      </c>
      <c r="F1904" t="s">
        <v>21</v>
      </c>
      <c r="G1904" s="1">
        <v>906.13</v>
      </c>
      <c r="H1904">
        <v>0</v>
      </c>
      <c r="I1904">
        <f>Sales_Data[[#This Row],[Sales]]*Sales_Data[[#This Row],[Discount]]</f>
        <v>0</v>
      </c>
      <c r="J1904">
        <v>906.13</v>
      </c>
      <c r="K1904" s="1">
        <v>4.3</v>
      </c>
      <c r="L1904" s="1">
        <v>906.13</v>
      </c>
      <c r="M1904" s="1" t="s">
        <v>10</v>
      </c>
      <c r="N1904" s="1">
        <f>IF(Sales_Data[[#This Row],[Sales with Discount]]&lt;Sales_Data[[#This Row],[Sales with Free Shipping]],Sales_Data[[#This Row],[Sales with Discount]],Sales_Data[[#This Row],[Sales with Free Shipping]])</f>
        <v>906.13</v>
      </c>
      <c r="O1904" s="1" t="str">
        <f>TEXT(Sales_Data[[#This Row],[Order Date]], "MM-YYYY")</f>
        <v>09-2019</v>
      </c>
    </row>
    <row r="1905" spans="1:15" x14ac:dyDescent="0.3">
      <c r="A1905" s="1">
        <v>23555</v>
      </c>
      <c r="B1905" s="2">
        <v>43810</v>
      </c>
      <c r="C1905" s="1" t="s">
        <v>9</v>
      </c>
      <c r="D1905" s="1">
        <v>29</v>
      </c>
      <c r="E1905" t="s">
        <v>20</v>
      </c>
      <c r="F1905" t="s">
        <v>20</v>
      </c>
      <c r="G1905" s="1">
        <v>112.03</v>
      </c>
      <c r="H1905">
        <v>0</v>
      </c>
      <c r="I1905">
        <f>Sales_Data[[#This Row],[Sales]]*Sales_Data[[#This Row],[Discount]]</f>
        <v>0</v>
      </c>
      <c r="J1905">
        <v>112.03</v>
      </c>
      <c r="K1905" s="1">
        <v>0.5</v>
      </c>
      <c r="L1905" s="1">
        <v>112.03</v>
      </c>
      <c r="M1905" s="1" t="s">
        <v>10</v>
      </c>
      <c r="N1905" s="1">
        <f>IF(Sales_Data[[#This Row],[Sales with Discount]]&lt;Sales_Data[[#This Row],[Sales with Free Shipping]],Sales_Data[[#This Row],[Sales with Discount]],Sales_Data[[#This Row],[Sales with Free Shipping]])</f>
        <v>112.03</v>
      </c>
      <c r="O1905" s="1" t="str">
        <f>TEXT(Sales_Data[[#This Row],[Order Date]], "MM-YYYY")</f>
        <v>12-2019</v>
      </c>
    </row>
    <row r="1906" spans="1:15" x14ac:dyDescent="0.3">
      <c r="A1906" s="1">
        <v>51202</v>
      </c>
      <c r="B1906" s="2">
        <v>43568</v>
      </c>
      <c r="C1906" s="1" t="s">
        <v>9</v>
      </c>
      <c r="D1906" s="1">
        <v>4</v>
      </c>
      <c r="E1906" t="s">
        <v>16</v>
      </c>
      <c r="F1906" t="s">
        <v>16</v>
      </c>
      <c r="G1906" s="1">
        <v>33.049999999999997</v>
      </c>
      <c r="H1906">
        <v>0</v>
      </c>
      <c r="I1906">
        <f>Sales_Data[[#This Row],[Sales]]*Sales_Data[[#This Row],[Discount]]</f>
        <v>0</v>
      </c>
      <c r="J1906">
        <v>33.049999999999997</v>
      </c>
      <c r="K1906" s="1">
        <v>8.1999999999999993</v>
      </c>
      <c r="L1906" s="1">
        <v>33.049999999999997</v>
      </c>
      <c r="M1906" s="1" t="s">
        <v>10</v>
      </c>
      <c r="N1906" s="1">
        <f>IF(Sales_Data[[#This Row],[Sales with Discount]]&lt;Sales_Data[[#This Row],[Sales with Free Shipping]],Sales_Data[[#This Row],[Sales with Discount]],Sales_Data[[#This Row],[Sales with Free Shipping]])</f>
        <v>33.049999999999997</v>
      </c>
      <c r="O1906" s="1" t="str">
        <f>TEXT(Sales_Data[[#This Row],[Order Date]], "MM-YYYY")</f>
        <v>04-2019</v>
      </c>
    </row>
    <row r="1907" spans="1:15" x14ac:dyDescent="0.3">
      <c r="A1907" s="1">
        <v>22466</v>
      </c>
      <c r="B1907" s="2">
        <v>43552</v>
      </c>
      <c r="C1907" s="1" t="s">
        <v>7</v>
      </c>
      <c r="D1907" s="1">
        <v>40</v>
      </c>
      <c r="E1907" t="s">
        <v>22</v>
      </c>
      <c r="F1907" t="s">
        <v>22</v>
      </c>
      <c r="G1907" s="1">
        <v>460.3</v>
      </c>
      <c r="H1907">
        <v>0.01</v>
      </c>
      <c r="I1907">
        <f>Sales_Data[[#This Row],[Sales]]*Sales_Data[[#This Row],[Discount]]</f>
        <v>4.6030000000000006</v>
      </c>
      <c r="J1907">
        <v>455.697</v>
      </c>
      <c r="K1907" s="1">
        <v>1.9</v>
      </c>
      <c r="L1907" s="1">
        <v>458.40000000000003</v>
      </c>
      <c r="M1907" s="1" t="s">
        <v>10</v>
      </c>
      <c r="N1907" s="1">
        <f>IF(Sales_Data[[#This Row],[Sales with Discount]]&lt;Sales_Data[[#This Row],[Sales with Free Shipping]],Sales_Data[[#This Row],[Sales with Discount]],Sales_Data[[#This Row],[Sales with Free Shipping]])</f>
        <v>455.697</v>
      </c>
      <c r="O1907" s="1" t="str">
        <f>TEXT(Sales_Data[[#This Row],[Order Date]], "MM-YYYY")</f>
        <v>03-2019</v>
      </c>
    </row>
    <row r="1908" spans="1:15" x14ac:dyDescent="0.3">
      <c r="A1908" s="1">
        <v>9794</v>
      </c>
      <c r="B1908" s="2">
        <v>43548</v>
      </c>
      <c r="C1908" s="1" t="s">
        <v>11</v>
      </c>
      <c r="D1908" s="1">
        <v>25</v>
      </c>
      <c r="E1908" t="s">
        <v>14</v>
      </c>
      <c r="F1908" t="s">
        <v>14</v>
      </c>
      <c r="G1908" s="1">
        <v>144.69999999999999</v>
      </c>
      <c r="H1908">
        <v>0</v>
      </c>
      <c r="I1908">
        <f>Sales_Data[[#This Row],[Sales]]*Sales_Data[[#This Row],[Discount]]</f>
        <v>0</v>
      </c>
      <c r="J1908">
        <v>144.69999999999999</v>
      </c>
      <c r="K1908" s="1">
        <v>3.9</v>
      </c>
      <c r="L1908" s="1">
        <v>144.69999999999999</v>
      </c>
      <c r="M1908" s="1" t="s">
        <v>10</v>
      </c>
      <c r="N1908" s="1">
        <f>IF(Sales_Data[[#This Row],[Sales with Discount]]&lt;Sales_Data[[#This Row],[Sales with Free Shipping]],Sales_Data[[#This Row],[Sales with Discount]],Sales_Data[[#This Row],[Sales with Free Shipping]])</f>
        <v>144.69999999999999</v>
      </c>
      <c r="O1908" s="1" t="str">
        <f>TEXT(Sales_Data[[#This Row],[Order Date]], "MM-YYYY")</f>
        <v>03-2019</v>
      </c>
    </row>
    <row r="1909" spans="1:15" x14ac:dyDescent="0.3">
      <c r="A1909" s="1">
        <v>45698</v>
      </c>
      <c r="B1909" s="2">
        <v>43578</v>
      </c>
      <c r="C1909" s="1" t="s">
        <v>9</v>
      </c>
      <c r="D1909" s="1">
        <v>36</v>
      </c>
      <c r="E1909" t="s">
        <v>22</v>
      </c>
      <c r="F1909" t="s">
        <v>22</v>
      </c>
      <c r="G1909" s="1">
        <v>281.81</v>
      </c>
      <c r="H1909">
        <v>0.01</v>
      </c>
      <c r="I1909">
        <f>Sales_Data[[#This Row],[Sales]]*Sales_Data[[#This Row],[Discount]]</f>
        <v>2.8181000000000003</v>
      </c>
      <c r="J1909">
        <v>278.99189999999999</v>
      </c>
      <c r="K1909" s="1">
        <v>4.5</v>
      </c>
      <c r="L1909" s="1">
        <v>277.31</v>
      </c>
      <c r="M1909" s="1" t="s">
        <v>10</v>
      </c>
      <c r="N1909" s="1">
        <f>IF(Sales_Data[[#This Row],[Sales with Discount]]&lt;Sales_Data[[#This Row],[Sales with Free Shipping]],Sales_Data[[#This Row],[Sales with Discount]],Sales_Data[[#This Row],[Sales with Free Shipping]])</f>
        <v>277.31</v>
      </c>
      <c r="O1909" s="1" t="str">
        <f>TEXT(Sales_Data[[#This Row],[Order Date]], "MM-YYYY")</f>
        <v>04-2019</v>
      </c>
    </row>
    <row r="1910" spans="1:15" x14ac:dyDescent="0.3">
      <c r="A1910" s="1">
        <v>6950</v>
      </c>
      <c r="B1910" s="2">
        <v>43550</v>
      </c>
      <c r="C1910" s="1" t="s">
        <v>7</v>
      </c>
      <c r="D1910" s="1">
        <v>4</v>
      </c>
      <c r="E1910" t="s">
        <v>16</v>
      </c>
      <c r="F1910" t="s">
        <v>16</v>
      </c>
      <c r="G1910" s="1">
        <v>200.52</v>
      </c>
      <c r="H1910">
        <v>0</v>
      </c>
      <c r="I1910">
        <f>Sales_Data[[#This Row],[Sales]]*Sales_Data[[#This Row],[Discount]]</f>
        <v>0</v>
      </c>
      <c r="J1910">
        <v>200.52</v>
      </c>
      <c r="K1910" s="1">
        <v>3.5</v>
      </c>
      <c r="L1910" s="1">
        <v>200.52</v>
      </c>
      <c r="M1910" s="1" t="s">
        <v>10</v>
      </c>
      <c r="N1910" s="1">
        <f>IF(Sales_Data[[#This Row],[Sales with Discount]]&lt;Sales_Data[[#This Row],[Sales with Free Shipping]],Sales_Data[[#This Row],[Sales with Discount]],Sales_Data[[#This Row],[Sales with Free Shipping]])</f>
        <v>200.52</v>
      </c>
      <c r="O1910" s="1" t="str">
        <f>TEXT(Sales_Data[[#This Row],[Order Date]], "MM-YYYY")</f>
        <v>03-2019</v>
      </c>
    </row>
    <row r="1911" spans="1:15" x14ac:dyDescent="0.3">
      <c r="A1911" s="1">
        <v>42374</v>
      </c>
      <c r="B1911" s="2">
        <v>43663</v>
      </c>
      <c r="C1911" s="1" t="s">
        <v>12</v>
      </c>
      <c r="D1911" s="1">
        <v>47</v>
      </c>
      <c r="E1911" t="s">
        <v>24</v>
      </c>
      <c r="F1911" t="s">
        <v>24</v>
      </c>
      <c r="G1911" s="1">
        <v>864.13</v>
      </c>
      <c r="H1911">
        <v>0.01</v>
      </c>
      <c r="I1911">
        <f>Sales_Data[[#This Row],[Sales]]*Sales_Data[[#This Row],[Discount]]</f>
        <v>8.6412999999999993</v>
      </c>
      <c r="J1911">
        <v>855.48869999999999</v>
      </c>
      <c r="K1911" s="1">
        <v>5.4</v>
      </c>
      <c r="L1911" s="1">
        <v>858.73</v>
      </c>
      <c r="M1911" s="1" t="s">
        <v>10</v>
      </c>
      <c r="N1911" s="1">
        <f>IF(Sales_Data[[#This Row],[Sales with Discount]]&lt;Sales_Data[[#This Row],[Sales with Free Shipping]],Sales_Data[[#This Row],[Sales with Discount]],Sales_Data[[#This Row],[Sales with Free Shipping]])</f>
        <v>855.48869999999999</v>
      </c>
      <c r="O1911" s="1" t="str">
        <f>TEXT(Sales_Data[[#This Row],[Order Date]], "MM-YYYY")</f>
        <v>07-2019</v>
      </c>
    </row>
    <row r="1912" spans="1:15" x14ac:dyDescent="0.3">
      <c r="A1912" s="1">
        <v>29090</v>
      </c>
      <c r="B1912" s="2">
        <v>43480</v>
      </c>
      <c r="C1912" s="1" t="s">
        <v>14</v>
      </c>
      <c r="D1912" s="1">
        <v>24</v>
      </c>
      <c r="E1912" t="s">
        <v>14</v>
      </c>
      <c r="F1912" t="s">
        <v>14</v>
      </c>
      <c r="G1912" s="1">
        <v>106.04</v>
      </c>
      <c r="H1912">
        <v>0</v>
      </c>
      <c r="I1912">
        <f>Sales_Data[[#This Row],[Sales]]*Sales_Data[[#This Row],[Discount]]</f>
        <v>0</v>
      </c>
      <c r="J1912">
        <v>106.04</v>
      </c>
      <c r="K1912" s="1">
        <v>1.1000000000000001</v>
      </c>
      <c r="L1912" s="1">
        <v>106.04</v>
      </c>
      <c r="M1912" s="1" t="s">
        <v>10</v>
      </c>
      <c r="N1912" s="1">
        <f>IF(Sales_Data[[#This Row],[Sales with Discount]]&lt;Sales_Data[[#This Row],[Sales with Free Shipping]],Sales_Data[[#This Row],[Sales with Discount]],Sales_Data[[#This Row],[Sales with Free Shipping]])</f>
        <v>106.04</v>
      </c>
      <c r="O1912" s="1" t="str">
        <f>TEXT(Sales_Data[[#This Row],[Order Date]], "MM-YYYY")</f>
        <v>01-2019</v>
      </c>
    </row>
    <row r="1913" spans="1:15" x14ac:dyDescent="0.3">
      <c r="A1913" s="1">
        <v>55777</v>
      </c>
      <c r="B1913" s="2">
        <v>43779</v>
      </c>
      <c r="C1913" s="1" t="s">
        <v>11</v>
      </c>
      <c r="D1913" s="1">
        <v>6</v>
      </c>
      <c r="E1913" t="s">
        <v>17</v>
      </c>
      <c r="F1913" t="s">
        <v>17</v>
      </c>
      <c r="G1913" s="1">
        <v>346.1771</v>
      </c>
      <c r="H1913">
        <v>0</v>
      </c>
      <c r="I1913">
        <f>Sales_Data[[#This Row],[Sales]]*Sales_Data[[#This Row],[Discount]]</f>
        <v>0</v>
      </c>
      <c r="J1913">
        <v>346.1771</v>
      </c>
      <c r="K1913" s="1">
        <v>21.4</v>
      </c>
      <c r="L1913" s="1">
        <v>346.1771</v>
      </c>
      <c r="M1913" s="1" t="s">
        <v>10</v>
      </c>
      <c r="N1913" s="1">
        <f>IF(Sales_Data[[#This Row],[Sales with Discount]]&lt;Sales_Data[[#This Row],[Sales with Free Shipping]],Sales_Data[[#This Row],[Sales with Discount]],Sales_Data[[#This Row],[Sales with Free Shipping]])</f>
        <v>346.1771</v>
      </c>
      <c r="O1913" s="1" t="str">
        <f>TEXT(Sales_Data[[#This Row],[Order Date]], "MM-YYYY")</f>
        <v>11-2019</v>
      </c>
    </row>
    <row r="1914" spans="1:15" x14ac:dyDescent="0.3">
      <c r="A1914" s="1">
        <v>31456</v>
      </c>
      <c r="B1914" s="2">
        <v>43784</v>
      </c>
      <c r="C1914" s="1" t="s">
        <v>9</v>
      </c>
      <c r="D1914" s="1">
        <v>10</v>
      </c>
      <c r="E1914" t="s">
        <v>17</v>
      </c>
      <c r="F1914" t="s">
        <v>17</v>
      </c>
      <c r="G1914" s="1">
        <v>240.85</v>
      </c>
      <c r="H1914">
        <v>0</v>
      </c>
      <c r="I1914">
        <f>Sales_Data[[#This Row],[Sales]]*Sales_Data[[#This Row],[Discount]]</f>
        <v>0</v>
      </c>
      <c r="J1914">
        <v>240.85</v>
      </c>
      <c r="K1914" s="1">
        <v>3.2</v>
      </c>
      <c r="L1914" s="1">
        <v>240.85</v>
      </c>
      <c r="M1914" s="1" t="s">
        <v>10</v>
      </c>
      <c r="N1914" s="1">
        <f>IF(Sales_Data[[#This Row],[Sales with Discount]]&lt;Sales_Data[[#This Row],[Sales with Free Shipping]],Sales_Data[[#This Row],[Sales with Discount]],Sales_Data[[#This Row],[Sales with Free Shipping]])</f>
        <v>240.85</v>
      </c>
      <c r="O1914" s="1" t="str">
        <f>TEXT(Sales_Data[[#This Row],[Order Date]], "MM-YYYY")</f>
        <v>11-2019</v>
      </c>
    </row>
    <row r="1915" spans="1:15" x14ac:dyDescent="0.3">
      <c r="A1915" s="1">
        <v>59589</v>
      </c>
      <c r="B1915" s="2">
        <v>43566</v>
      </c>
      <c r="C1915" s="1" t="s">
        <v>14</v>
      </c>
      <c r="D1915" s="1">
        <v>25</v>
      </c>
      <c r="E1915" t="s">
        <v>14</v>
      </c>
      <c r="F1915" t="s">
        <v>14</v>
      </c>
      <c r="G1915" s="1">
        <v>1722.98</v>
      </c>
      <c r="H1915">
        <v>0</v>
      </c>
      <c r="I1915">
        <f>Sales_Data[[#This Row],[Sales]]*Sales_Data[[#This Row],[Discount]]</f>
        <v>0</v>
      </c>
      <c r="J1915">
        <v>1722.98</v>
      </c>
      <c r="K1915" s="1">
        <v>7.4</v>
      </c>
      <c r="L1915" s="1">
        <v>1722.98</v>
      </c>
      <c r="M1915" s="1" t="s">
        <v>10</v>
      </c>
      <c r="N1915" s="1">
        <f>IF(Sales_Data[[#This Row],[Sales with Discount]]&lt;Sales_Data[[#This Row],[Sales with Free Shipping]],Sales_Data[[#This Row],[Sales with Discount]],Sales_Data[[#This Row],[Sales with Free Shipping]])</f>
        <v>1722.98</v>
      </c>
      <c r="O1915" s="1" t="str">
        <f>TEXT(Sales_Data[[#This Row],[Order Date]], "MM-YYYY")</f>
        <v>04-2019</v>
      </c>
    </row>
    <row r="1916" spans="1:15" x14ac:dyDescent="0.3">
      <c r="A1916" s="1">
        <v>52580</v>
      </c>
      <c r="B1916" s="2">
        <v>43705</v>
      </c>
      <c r="C1916" s="1" t="s">
        <v>9</v>
      </c>
      <c r="D1916" s="1">
        <v>16</v>
      </c>
      <c r="E1916" t="s">
        <v>19</v>
      </c>
      <c r="F1916" t="s">
        <v>19</v>
      </c>
      <c r="G1916" s="1">
        <v>392.79</v>
      </c>
      <c r="H1916">
        <v>0</v>
      </c>
      <c r="I1916">
        <f>Sales_Data[[#This Row],[Sales]]*Sales_Data[[#This Row],[Discount]]</f>
        <v>0</v>
      </c>
      <c r="J1916">
        <v>392.79</v>
      </c>
      <c r="K1916" s="1">
        <v>2.1</v>
      </c>
      <c r="L1916" s="1">
        <v>392.79</v>
      </c>
      <c r="M1916" s="1" t="s">
        <v>10</v>
      </c>
      <c r="N1916" s="1">
        <f>IF(Sales_Data[[#This Row],[Sales with Discount]]&lt;Sales_Data[[#This Row],[Sales with Free Shipping]],Sales_Data[[#This Row],[Sales with Discount]],Sales_Data[[#This Row],[Sales with Free Shipping]])</f>
        <v>392.79</v>
      </c>
      <c r="O1916" s="1" t="str">
        <f>TEXT(Sales_Data[[#This Row],[Order Date]], "MM-YYYY")</f>
        <v>08-2019</v>
      </c>
    </row>
    <row r="1917" spans="1:15" x14ac:dyDescent="0.3">
      <c r="A1917" s="1">
        <v>44323</v>
      </c>
      <c r="B1917" s="2">
        <v>43684</v>
      </c>
      <c r="C1917" s="1" t="s">
        <v>14</v>
      </c>
      <c r="D1917" s="1">
        <v>27</v>
      </c>
      <c r="E1917" t="s">
        <v>20</v>
      </c>
      <c r="F1917" t="s">
        <v>20</v>
      </c>
      <c r="G1917" s="1">
        <v>22813.02</v>
      </c>
      <c r="H1917">
        <v>0</v>
      </c>
      <c r="I1917">
        <f>Sales_Data[[#This Row],[Sales]]*Sales_Data[[#This Row],[Discount]]</f>
        <v>0</v>
      </c>
      <c r="J1917">
        <v>22813.02</v>
      </c>
      <c r="K1917" s="1">
        <v>17.2</v>
      </c>
      <c r="L1917" s="1">
        <v>22813.02</v>
      </c>
      <c r="M1917" s="1" t="s">
        <v>13</v>
      </c>
      <c r="N1917" s="1">
        <f>IF(Sales_Data[[#This Row],[Sales with Discount]]&lt;Sales_Data[[#This Row],[Sales with Free Shipping]],Sales_Data[[#This Row],[Sales with Discount]],Sales_Data[[#This Row],[Sales with Free Shipping]])</f>
        <v>22813.02</v>
      </c>
      <c r="O1917" s="1" t="str">
        <f>TEXT(Sales_Data[[#This Row],[Order Date]], "MM-YYYY")</f>
        <v>08-2019</v>
      </c>
    </row>
    <row r="1918" spans="1:15" x14ac:dyDescent="0.3">
      <c r="A1918" s="1">
        <v>44000</v>
      </c>
      <c r="B1918" s="2">
        <v>43742</v>
      </c>
      <c r="C1918" s="1" t="s">
        <v>11</v>
      </c>
      <c r="D1918" s="1">
        <v>18</v>
      </c>
      <c r="E1918" t="s">
        <v>19</v>
      </c>
      <c r="F1918" t="s">
        <v>19</v>
      </c>
      <c r="G1918" s="1">
        <v>90.98</v>
      </c>
      <c r="H1918">
        <v>0</v>
      </c>
      <c r="I1918">
        <f>Sales_Data[[#This Row],[Sales]]*Sales_Data[[#This Row],[Discount]]</f>
        <v>0</v>
      </c>
      <c r="J1918">
        <v>90.98</v>
      </c>
      <c r="K1918" s="1">
        <v>7.2</v>
      </c>
      <c r="L1918" s="1">
        <v>90.98</v>
      </c>
      <c r="M1918" s="1" t="s">
        <v>10</v>
      </c>
      <c r="N1918" s="1">
        <f>IF(Sales_Data[[#This Row],[Sales with Discount]]&lt;Sales_Data[[#This Row],[Sales with Free Shipping]],Sales_Data[[#This Row],[Sales with Discount]],Sales_Data[[#This Row],[Sales with Free Shipping]])</f>
        <v>90.98</v>
      </c>
      <c r="O1918" s="1" t="str">
        <f>TEXT(Sales_Data[[#This Row],[Order Date]], "MM-YYYY")</f>
        <v>10-2019</v>
      </c>
    </row>
    <row r="1919" spans="1:15" x14ac:dyDescent="0.3">
      <c r="A1919" s="1">
        <v>56708</v>
      </c>
      <c r="B1919" s="2">
        <v>43801</v>
      </c>
      <c r="C1919" s="1" t="s">
        <v>11</v>
      </c>
      <c r="D1919" s="1">
        <v>36</v>
      </c>
      <c r="E1919" t="s">
        <v>22</v>
      </c>
      <c r="F1919" t="s">
        <v>22</v>
      </c>
      <c r="G1919" s="1">
        <v>10706.72</v>
      </c>
      <c r="H1919">
        <v>0.01</v>
      </c>
      <c r="I1919">
        <f>Sales_Data[[#This Row],[Sales]]*Sales_Data[[#This Row],[Discount]]</f>
        <v>107.0672</v>
      </c>
      <c r="J1919">
        <v>10599.6528</v>
      </c>
      <c r="K1919" s="1">
        <v>66.099999999999994</v>
      </c>
      <c r="L1919" s="1">
        <v>10640.619999999999</v>
      </c>
      <c r="M1919" s="1" t="s">
        <v>13</v>
      </c>
      <c r="N1919" s="1">
        <f>IF(Sales_Data[[#This Row],[Sales with Discount]]&lt;Sales_Data[[#This Row],[Sales with Free Shipping]],Sales_Data[[#This Row],[Sales with Discount]],Sales_Data[[#This Row],[Sales with Free Shipping]])</f>
        <v>10599.6528</v>
      </c>
      <c r="O1919" s="1" t="str">
        <f>TEXT(Sales_Data[[#This Row],[Order Date]], "MM-YYYY")</f>
        <v>12-2019</v>
      </c>
    </row>
    <row r="1920" spans="1:15" x14ac:dyDescent="0.3">
      <c r="A1920" s="1">
        <v>29411</v>
      </c>
      <c r="B1920" s="2">
        <v>43561</v>
      </c>
      <c r="C1920" s="1" t="s">
        <v>9</v>
      </c>
      <c r="D1920" s="1">
        <v>45</v>
      </c>
      <c r="E1920" t="s">
        <v>23</v>
      </c>
      <c r="F1920" t="s">
        <v>23</v>
      </c>
      <c r="G1920" s="1">
        <v>1160.01</v>
      </c>
      <c r="H1920">
        <v>0.01</v>
      </c>
      <c r="I1920">
        <f>Sales_Data[[#This Row],[Sales]]*Sales_Data[[#This Row],[Discount]]</f>
        <v>11.600099999999999</v>
      </c>
      <c r="J1920">
        <v>1148.4098999999999</v>
      </c>
      <c r="K1920" s="1">
        <v>6.7</v>
      </c>
      <c r="L1920" s="1">
        <v>1153.31</v>
      </c>
      <c r="M1920" s="1" t="s">
        <v>10</v>
      </c>
      <c r="N1920" s="1">
        <f>IF(Sales_Data[[#This Row],[Sales with Discount]]&lt;Sales_Data[[#This Row],[Sales with Free Shipping]],Sales_Data[[#This Row],[Sales with Discount]],Sales_Data[[#This Row],[Sales with Free Shipping]])</f>
        <v>1148.4098999999999</v>
      </c>
      <c r="O1920" s="1" t="str">
        <f>TEXT(Sales_Data[[#This Row],[Order Date]], "MM-YYYY")</f>
        <v>04-2019</v>
      </c>
    </row>
    <row r="1921" spans="1:15" x14ac:dyDescent="0.3">
      <c r="A1921" s="1">
        <v>16423</v>
      </c>
      <c r="B1921" s="2">
        <v>43682</v>
      </c>
      <c r="C1921" s="1" t="s">
        <v>14</v>
      </c>
      <c r="D1921" s="1">
        <v>19</v>
      </c>
      <c r="E1921" t="s">
        <v>19</v>
      </c>
      <c r="F1921" t="s">
        <v>19</v>
      </c>
      <c r="G1921" s="1">
        <v>137.18</v>
      </c>
      <c r="H1921">
        <v>0</v>
      </c>
      <c r="I1921">
        <f>Sales_Data[[#This Row],[Sales]]*Sales_Data[[#This Row],[Discount]]</f>
        <v>0</v>
      </c>
      <c r="J1921">
        <v>137.18</v>
      </c>
      <c r="K1921" s="1">
        <v>7</v>
      </c>
      <c r="L1921" s="1">
        <v>137.18</v>
      </c>
      <c r="M1921" s="1" t="s">
        <v>10</v>
      </c>
      <c r="N1921" s="1">
        <f>IF(Sales_Data[[#This Row],[Sales with Discount]]&lt;Sales_Data[[#This Row],[Sales with Free Shipping]],Sales_Data[[#This Row],[Sales with Discount]],Sales_Data[[#This Row],[Sales with Free Shipping]])</f>
        <v>137.18</v>
      </c>
      <c r="O1921" s="1" t="str">
        <f>TEXT(Sales_Data[[#This Row],[Order Date]], "MM-YYYY")</f>
        <v>08-2019</v>
      </c>
    </row>
    <row r="1922" spans="1:15" x14ac:dyDescent="0.3">
      <c r="A1922" s="1">
        <v>35104</v>
      </c>
      <c r="B1922" s="2">
        <v>43577</v>
      </c>
      <c r="C1922" s="1" t="s">
        <v>9</v>
      </c>
      <c r="D1922" s="1">
        <v>1</v>
      </c>
      <c r="E1922" t="s">
        <v>16</v>
      </c>
      <c r="F1922" t="s">
        <v>16</v>
      </c>
      <c r="G1922" s="1">
        <v>38.85</v>
      </c>
      <c r="H1922">
        <v>0</v>
      </c>
      <c r="I1922">
        <f>Sales_Data[[#This Row],[Sales]]*Sales_Data[[#This Row],[Discount]]</f>
        <v>0</v>
      </c>
      <c r="J1922">
        <v>38.85</v>
      </c>
      <c r="K1922" s="1">
        <v>5.9</v>
      </c>
      <c r="L1922" s="1">
        <v>38.85</v>
      </c>
      <c r="M1922" s="1" t="s">
        <v>10</v>
      </c>
      <c r="N1922" s="1">
        <f>IF(Sales_Data[[#This Row],[Sales with Discount]]&lt;Sales_Data[[#This Row],[Sales with Free Shipping]],Sales_Data[[#This Row],[Sales with Discount]],Sales_Data[[#This Row],[Sales with Free Shipping]])</f>
        <v>38.85</v>
      </c>
      <c r="O1922" s="1" t="str">
        <f>TEXT(Sales_Data[[#This Row],[Order Date]], "MM-YYYY")</f>
        <v>04-2019</v>
      </c>
    </row>
    <row r="1923" spans="1:15" x14ac:dyDescent="0.3">
      <c r="A1923" s="1">
        <v>12096</v>
      </c>
      <c r="B1923" s="2">
        <v>43727</v>
      </c>
      <c r="C1923" s="1" t="s">
        <v>14</v>
      </c>
      <c r="D1923" s="1">
        <v>23</v>
      </c>
      <c r="E1923" t="s">
        <v>14</v>
      </c>
      <c r="F1923" t="s">
        <v>14</v>
      </c>
      <c r="G1923" s="1">
        <v>5017.9399999999996</v>
      </c>
      <c r="H1923">
        <v>0</v>
      </c>
      <c r="I1923">
        <f>Sales_Data[[#This Row],[Sales]]*Sales_Data[[#This Row],[Discount]]</f>
        <v>0</v>
      </c>
      <c r="J1923">
        <v>5017.9399999999996</v>
      </c>
      <c r="K1923" s="1">
        <v>12.3</v>
      </c>
      <c r="L1923" s="1">
        <v>5017.9399999999996</v>
      </c>
      <c r="M1923" s="1" t="s">
        <v>10</v>
      </c>
      <c r="N1923" s="1">
        <f>IF(Sales_Data[[#This Row],[Sales with Discount]]&lt;Sales_Data[[#This Row],[Sales with Free Shipping]],Sales_Data[[#This Row],[Sales with Discount]],Sales_Data[[#This Row],[Sales with Free Shipping]])</f>
        <v>5017.9399999999996</v>
      </c>
      <c r="O1923" s="1" t="str">
        <f>TEXT(Sales_Data[[#This Row],[Order Date]], "MM-YYYY")</f>
        <v>09-2019</v>
      </c>
    </row>
    <row r="1924" spans="1:15" x14ac:dyDescent="0.3">
      <c r="A1924" s="1">
        <v>55171</v>
      </c>
      <c r="B1924" s="2">
        <v>43764</v>
      </c>
      <c r="C1924" s="1" t="s">
        <v>9</v>
      </c>
      <c r="D1924" s="1">
        <v>29</v>
      </c>
      <c r="E1924" t="s">
        <v>20</v>
      </c>
      <c r="F1924" t="s">
        <v>20</v>
      </c>
      <c r="G1924" s="1">
        <v>616.20000000000005</v>
      </c>
      <c r="H1924">
        <v>0</v>
      </c>
      <c r="I1924">
        <f>Sales_Data[[#This Row],[Sales]]*Sales_Data[[#This Row],[Discount]]</f>
        <v>0</v>
      </c>
      <c r="J1924">
        <v>616.20000000000005</v>
      </c>
      <c r="K1924" s="1">
        <v>4.3</v>
      </c>
      <c r="L1924" s="1">
        <v>616.20000000000005</v>
      </c>
      <c r="M1924" s="1" t="s">
        <v>10</v>
      </c>
      <c r="N1924" s="1">
        <f>IF(Sales_Data[[#This Row],[Sales with Discount]]&lt;Sales_Data[[#This Row],[Sales with Free Shipping]],Sales_Data[[#This Row],[Sales with Discount]],Sales_Data[[#This Row],[Sales with Free Shipping]])</f>
        <v>616.20000000000005</v>
      </c>
      <c r="O1924" s="1" t="str">
        <f>TEXT(Sales_Data[[#This Row],[Order Date]], "MM-YYYY")</f>
        <v>10-2019</v>
      </c>
    </row>
    <row r="1925" spans="1:15" x14ac:dyDescent="0.3">
      <c r="A1925" s="1">
        <v>24865</v>
      </c>
      <c r="B1925" s="2">
        <v>43543</v>
      </c>
      <c r="C1925" s="1" t="s">
        <v>9</v>
      </c>
      <c r="D1925" s="1">
        <v>46</v>
      </c>
      <c r="E1925" t="s">
        <v>24</v>
      </c>
      <c r="F1925" t="s">
        <v>24</v>
      </c>
      <c r="G1925" s="1">
        <v>187.5</v>
      </c>
      <c r="H1925">
        <v>0.01</v>
      </c>
      <c r="I1925">
        <f>Sales_Data[[#This Row],[Sales]]*Sales_Data[[#This Row],[Discount]]</f>
        <v>1.875</v>
      </c>
      <c r="J1925">
        <v>185.625</v>
      </c>
      <c r="K1925" s="1">
        <v>2.7</v>
      </c>
      <c r="L1925" s="1">
        <v>184.8</v>
      </c>
      <c r="M1925" s="1" t="s">
        <v>10</v>
      </c>
      <c r="N1925" s="1">
        <f>IF(Sales_Data[[#This Row],[Sales with Discount]]&lt;Sales_Data[[#This Row],[Sales with Free Shipping]],Sales_Data[[#This Row],[Sales with Discount]],Sales_Data[[#This Row],[Sales with Free Shipping]])</f>
        <v>184.8</v>
      </c>
      <c r="O1925" s="1" t="str">
        <f>TEXT(Sales_Data[[#This Row],[Order Date]], "MM-YYYY")</f>
        <v>03-2019</v>
      </c>
    </row>
    <row r="1926" spans="1:15" x14ac:dyDescent="0.3">
      <c r="A1926" s="1">
        <v>52580</v>
      </c>
      <c r="B1926" s="2">
        <v>43705</v>
      </c>
      <c r="C1926" s="1" t="s">
        <v>9</v>
      </c>
      <c r="D1926" s="1">
        <v>23</v>
      </c>
      <c r="E1926" t="s">
        <v>14</v>
      </c>
      <c r="F1926" t="s">
        <v>14</v>
      </c>
      <c r="G1926" s="1">
        <v>149.44</v>
      </c>
      <c r="H1926">
        <v>0</v>
      </c>
      <c r="I1926">
        <f>Sales_Data[[#This Row],[Sales]]*Sales_Data[[#This Row],[Discount]]</f>
        <v>0</v>
      </c>
      <c r="J1926">
        <v>149.44</v>
      </c>
      <c r="K1926" s="1">
        <v>1.5</v>
      </c>
      <c r="L1926" s="1">
        <v>149.44</v>
      </c>
      <c r="M1926" s="1" t="s">
        <v>10</v>
      </c>
      <c r="N1926" s="1">
        <f>IF(Sales_Data[[#This Row],[Sales with Discount]]&lt;Sales_Data[[#This Row],[Sales with Free Shipping]],Sales_Data[[#This Row],[Sales with Discount]],Sales_Data[[#This Row],[Sales with Free Shipping]])</f>
        <v>149.44</v>
      </c>
      <c r="O1926" s="1" t="str">
        <f>TEXT(Sales_Data[[#This Row],[Order Date]], "MM-YYYY")</f>
        <v>08-2019</v>
      </c>
    </row>
    <row r="1927" spans="1:15" x14ac:dyDescent="0.3">
      <c r="A1927" s="1">
        <v>39399</v>
      </c>
      <c r="B1927" s="2">
        <v>43816</v>
      </c>
      <c r="C1927" s="1" t="s">
        <v>14</v>
      </c>
      <c r="D1927" s="1">
        <v>28</v>
      </c>
      <c r="E1927" t="s">
        <v>20</v>
      </c>
      <c r="F1927" t="s">
        <v>20</v>
      </c>
      <c r="G1927" s="1">
        <v>325.25</v>
      </c>
      <c r="H1927">
        <v>0</v>
      </c>
      <c r="I1927">
        <f>Sales_Data[[#This Row],[Sales]]*Sales_Data[[#This Row],[Discount]]</f>
        <v>0</v>
      </c>
      <c r="J1927">
        <v>325.25</v>
      </c>
      <c r="K1927" s="1">
        <v>5.5</v>
      </c>
      <c r="L1927" s="1">
        <v>325.25</v>
      </c>
      <c r="M1927" s="1" t="s">
        <v>10</v>
      </c>
      <c r="N1927" s="1">
        <f>IF(Sales_Data[[#This Row],[Sales with Discount]]&lt;Sales_Data[[#This Row],[Sales with Free Shipping]],Sales_Data[[#This Row],[Sales with Discount]],Sales_Data[[#This Row],[Sales with Free Shipping]])</f>
        <v>325.25</v>
      </c>
      <c r="O1927" s="1" t="str">
        <f>TEXT(Sales_Data[[#This Row],[Order Date]], "MM-YYYY")</f>
        <v>12-2019</v>
      </c>
    </row>
    <row r="1928" spans="1:15" x14ac:dyDescent="0.3">
      <c r="A1928" s="1">
        <v>49510</v>
      </c>
      <c r="B1928" s="2">
        <v>43544</v>
      </c>
      <c r="C1928" s="1" t="s">
        <v>12</v>
      </c>
      <c r="D1928" s="1">
        <v>16</v>
      </c>
      <c r="E1928" t="s">
        <v>19</v>
      </c>
      <c r="F1928" t="s">
        <v>19</v>
      </c>
      <c r="G1928" s="1">
        <v>47.19</v>
      </c>
      <c r="H1928">
        <v>0</v>
      </c>
      <c r="I1928">
        <f>Sales_Data[[#This Row],[Sales]]*Sales_Data[[#This Row],[Discount]]</f>
        <v>0</v>
      </c>
      <c r="J1928">
        <v>47.19</v>
      </c>
      <c r="K1928" s="1">
        <v>1.4</v>
      </c>
      <c r="L1928" s="1">
        <v>47.19</v>
      </c>
      <c r="M1928" s="1" t="s">
        <v>10</v>
      </c>
      <c r="N1928" s="1">
        <f>IF(Sales_Data[[#This Row],[Sales with Discount]]&lt;Sales_Data[[#This Row],[Sales with Free Shipping]],Sales_Data[[#This Row],[Sales with Discount]],Sales_Data[[#This Row],[Sales with Free Shipping]])</f>
        <v>47.19</v>
      </c>
      <c r="O1928" s="1" t="str">
        <f>TEXT(Sales_Data[[#This Row],[Order Date]], "MM-YYYY")</f>
        <v>03-2019</v>
      </c>
    </row>
    <row r="1929" spans="1:15" x14ac:dyDescent="0.3">
      <c r="A1929" s="1">
        <v>58853</v>
      </c>
      <c r="B1929" s="2">
        <v>43598</v>
      </c>
      <c r="C1929" s="1" t="s">
        <v>12</v>
      </c>
      <c r="D1929" s="1">
        <v>27</v>
      </c>
      <c r="E1929" t="s">
        <v>20</v>
      </c>
      <c r="F1929" t="s">
        <v>20</v>
      </c>
      <c r="G1929" s="1">
        <v>5679.03</v>
      </c>
      <c r="H1929">
        <v>0</v>
      </c>
      <c r="I1929">
        <f>Sales_Data[[#This Row],[Sales]]*Sales_Data[[#This Row],[Discount]]</f>
        <v>0</v>
      </c>
      <c r="J1929">
        <v>5679.03</v>
      </c>
      <c r="K1929" s="1">
        <v>25.4</v>
      </c>
      <c r="L1929" s="1">
        <v>5679.03</v>
      </c>
      <c r="M1929" s="1" t="s">
        <v>13</v>
      </c>
      <c r="N1929" s="1">
        <f>IF(Sales_Data[[#This Row],[Sales with Discount]]&lt;Sales_Data[[#This Row],[Sales with Free Shipping]],Sales_Data[[#This Row],[Sales with Discount]],Sales_Data[[#This Row],[Sales with Free Shipping]])</f>
        <v>5679.03</v>
      </c>
      <c r="O1929" s="1" t="str">
        <f>TEXT(Sales_Data[[#This Row],[Order Date]], "MM-YYYY")</f>
        <v>05-2019</v>
      </c>
    </row>
    <row r="1930" spans="1:15" x14ac:dyDescent="0.3">
      <c r="A1930" s="1">
        <v>34309</v>
      </c>
      <c r="B1930" s="2">
        <v>43714</v>
      </c>
      <c r="C1930" s="1" t="s">
        <v>9</v>
      </c>
      <c r="D1930" s="1">
        <v>16</v>
      </c>
      <c r="E1930" t="s">
        <v>19</v>
      </c>
      <c r="F1930" t="s">
        <v>19</v>
      </c>
      <c r="G1930" s="1">
        <v>81.073899999999995</v>
      </c>
      <c r="H1930">
        <v>0</v>
      </c>
      <c r="I1930">
        <f>Sales_Data[[#This Row],[Sales]]*Sales_Data[[#This Row],[Discount]]</f>
        <v>0</v>
      </c>
      <c r="J1930">
        <v>81.073899999999995</v>
      </c>
      <c r="K1930" s="1">
        <v>5.5</v>
      </c>
      <c r="L1930" s="1">
        <v>81.073899999999995</v>
      </c>
      <c r="M1930" s="1" t="s">
        <v>10</v>
      </c>
      <c r="N1930" s="1">
        <f>IF(Sales_Data[[#This Row],[Sales with Discount]]&lt;Sales_Data[[#This Row],[Sales with Free Shipping]],Sales_Data[[#This Row],[Sales with Discount]],Sales_Data[[#This Row],[Sales with Free Shipping]])</f>
        <v>81.073899999999995</v>
      </c>
      <c r="O1930" s="1" t="str">
        <f>TEXT(Sales_Data[[#This Row],[Order Date]], "MM-YYYY")</f>
        <v>09-2019</v>
      </c>
    </row>
    <row r="1931" spans="1:15" x14ac:dyDescent="0.3">
      <c r="A1931" s="1">
        <v>15591</v>
      </c>
      <c r="B1931" s="2">
        <v>43622</v>
      </c>
      <c r="C1931" s="1" t="s">
        <v>12</v>
      </c>
      <c r="D1931" s="1">
        <v>31</v>
      </c>
      <c r="E1931" t="s">
        <v>21</v>
      </c>
      <c r="F1931" t="s">
        <v>21</v>
      </c>
      <c r="G1931" s="1">
        <v>456.18</v>
      </c>
      <c r="H1931">
        <v>0</v>
      </c>
      <c r="I1931">
        <f>Sales_Data[[#This Row],[Sales]]*Sales_Data[[#This Row],[Discount]]</f>
        <v>0</v>
      </c>
      <c r="J1931">
        <v>456.18</v>
      </c>
      <c r="K1931" s="1">
        <v>5.5</v>
      </c>
      <c r="L1931" s="1">
        <v>456.18</v>
      </c>
      <c r="M1931" s="1" t="s">
        <v>10</v>
      </c>
      <c r="N1931" s="1">
        <f>IF(Sales_Data[[#This Row],[Sales with Discount]]&lt;Sales_Data[[#This Row],[Sales with Free Shipping]],Sales_Data[[#This Row],[Sales with Discount]],Sales_Data[[#This Row],[Sales with Free Shipping]])</f>
        <v>456.18</v>
      </c>
      <c r="O1931" s="1" t="str">
        <f>TEXT(Sales_Data[[#This Row],[Order Date]], "MM-YYYY")</f>
        <v>06-2019</v>
      </c>
    </row>
    <row r="1932" spans="1:15" x14ac:dyDescent="0.3">
      <c r="A1932" s="1">
        <v>23685</v>
      </c>
      <c r="B1932" s="2">
        <v>43645</v>
      </c>
      <c r="C1932" s="1" t="s">
        <v>11</v>
      </c>
      <c r="D1932" s="1">
        <v>46</v>
      </c>
      <c r="E1932" t="s">
        <v>24</v>
      </c>
      <c r="F1932" t="s">
        <v>24</v>
      </c>
      <c r="G1932" s="1">
        <v>8483.56</v>
      </c>
      <c r="H1932">
        <v>0.01</v>
      </c>
      <c r="I1932">
        <f>Sales_Data[[#This Row],[Sales]]*Sales_Data[[#This Row],[Discount]]</f>
        <v>84.835599999999999</v>
      </c>
      <c r="J1932">
        <v>8398.7243999999992</v>
      </c>
      <c r="K1932" s="1">
        <v>5.4</v>
      </c>
      <c r="L1932" s="1">
        <v>8478.16</v>
      </c>
      <c r="M1932" s="1" t="s">
        <v>10</v>
      </c>
      <c r="N1932" s="1">
        <f>IF(Sales_Data[[#This Row],[Sales with Discount]]&lt;Sales_Data[[#This Row],[Sales with Free Shipping]],Sales_Data[[#This Row],[Sales with Discount]],Sales_Data[[#This Row],[Sales with Free Shipping]])</f>
        <v>8398.7243999999992</v>
      </c>
      <c r="O1932" s="1" t="str">
        <f>TEXT(Sales_Data[[#This Row],[Order Date]], "MM-YYYY")</f>
        <v>06-2019</v>
      </c>
    </row>
    <row r="1933" spans="1:15" x14ac:dyDescent="0.3">
      <c r="A1933" s="1">
        <v>41666</v>
      </c>
      <c r="B1933" s="2">
        <v>43527</v>
      </c>
      <c r="C1933" s="1" t="s">
        <v>14</v>
      </c>
      <c r="D1933" s="1">
        <v>26</v>
      </c>
      <c r="E1933" t="s">
        <v>20</v>
      </c>
      <c r="F1933" t="s">
        <v>20</v>
      </c>
      <c r="G1933" s="1">
        <v>637.89</v>
      </c>
      <c r="H1933">
        <v>0</v>
      </c>
      <c r="I1933">
        <f>Sales_Data[[#This Row],[Sales]]*Sales_Data[[#This Row],[Discount]]</f>
        <v>0</v>
      </c>
      <c r="J1933">
        <v>637.89</v>
      </c>
      <c r="K1933" s="1">
        <v>9.1999999999999993</v>
      </c>
      <c r="L1933" s="1">
        <v>637.89</v>
      </c>
      <c r="M1933" s="1" t="s">
        <v>8</v>
      </c>
      <c r="N1933" s="1">
        <f>IF(Sales_Data[[#This Row],[Sales with Discount]]&lt;Sales_Data[[#This Row],[Sales with Free Shipping]],Sales_Data[[#This Row],[Sales with Discount]],Sales_Data[[#This Row],[Sales with Free Shipping]])</f>
        <v>637.89</v>
      </c>
      <c r="O1933" s="1" t="str">
        <f>TEXT(Sales_Data[[#This Row],[Order Date]], "MM-YYYY")</f>
        <v>03-2019</v>
      </c>
    </row>
    <row r="1934" spans="1:15" x14ac:dyDescent="0.3">
      <c r="A1934" s="1">
        <v>46466</v>
      </c>
      <c r="B1934" s="2">
        <v>43516</v>
      </c>
      <c r="C1934" s="1" t="s">
        <v>14</v>
      </c>
      <c r="D1934" s="1">
        <v>7</v>
      </c>
      <c r="E1934" t="s">
        <v>17</v>
      </c>
      <c r="F1934" t="s">
        <v>17</v>
      </c>
      <c r="G1934" s="1">
        <v>290.26</v>
      </c>
      <c r="H1934">
        <v>0</v>
      </c>
      <c r="I1934">
        <f>Sales_Data[[#This Row],[Sales]]*Sales_Data[[#This Row],[Discount]]</f>
        <v>0</v>
      </c>
      <c r="J1934">
        <v>290.26</v>
      </c>
      <c r="K1934" s="1">
        <v>15</v>
      </c>
      <c r="L1934" s="1">
        <v>290.26</v>
      </c>
      <c r="M1934" s="1" t="s">
        <v>10</v>
      </c>
      <c r="N1934" s="1">
        <f>IF(Sales_Data[[#This Row],[Sales with Discount]]&lt;Sales_Data[[#This Row],[Sales with Free Shipping]],Sales_Data[[#This Row],[Sales with Discount]],Sales_Data[[#This Row],[Sales with Free Shipping]])</f>
        <v>290.26</v>
      </c>
      <c r="O1934" s="1" t="str">
        <f>TEXT(Sales_Data[[#This Row],[Order Date]], "MM-YYYY")</f>
        <v>02-2019</v>
      </c>
    </row>
    <row r="1935" spans="1:15" x14ac:dyDescent="0.3">
      <c r="A1935" s="1">
        <v>40838</v>
      </c>
      <c r="B1935" s="2">
        <v>43795</v>
      </c>
      <c r="C1935" s="1" t="s">
        <v>11</v>
      </c>
      <c r="D1935" s="1">
        <v>10</v>
      </c>
      <c r="E1935" t="s">
        <v>17</v>
      </c>
      <c r="F1935" t="s">
        <v>17</v>
      </c>
      <c r="G1935" s="1">
        <v>188.17</v>
      </c>
      <c r="H1935">
        <v>0</v>
      </c>
      <c r="I1935">
        <f>Sales_Data[[#This Row],[Sales]]*Sales_Data[[#This Row],[Discount]]</f>
        <v>0</v>
      </c>
      <c r="J1935">
        <v>188.17</v>
      </c>
      <c r="K1935" s="1">
        <v>1.3</v>
      </c>
      <c r="L1935" s="1">
        <v>188.17</v>
      </c>
      <c r="M1935" s="1" t="s">
        <v>10</v>
      </c>
      <c r="N1935" s="1">
        <f>IF(Sales_Data[[#This Row],[Sales with Discount]]&lt;Sales_Data[[#This Row],[Sales with Free Shipping]],Sales_Data[[#This Row],[Sales with Discount]],Sales_Data[[#This Row],[Sales with Free Shipping]])</f>
        <v>188.17</v>
      </c>
      <c r="O1935" s="1" t="str">
        <f>TEXT(Sales_Data[[#This Row],[Order Date]], "MM-YYYY")</f>
        <v>11-2019</v>
      </c>
    </row>
    <row r="1936" spans="1:15" x14ac:dyDescent="0.3">
      <c r="A1936" s="1">
        <v>50822</v>
      </c>
      <c r="B1936" s="2">
        <v>43502</v>
      </c>
      <c r="C1936" s="1" t="s">
        <v>14</v>
      </c>
      <c r="D1936" s="1">
        <v>37</v>
      </c>
      <c r="E1936" t="s">
        <v>22</v>
      </c>
      <c r="F1936" t="s">
        <v>22</v>
      </c>
      <c r="G1936" s="1">
        <v>338.49</v>
      </c>
      <c r="H1936">
        <v>0.01</v>
      </c>
      <c r="I1936">
        <f>Sales_Data[[#This Row],[Sales]]*Sales_Data[[#This Row],[Discount]]</f>
        <v>3.3849</v>
      </c>
      <c r="J1936">
        <v>335.10509999999999</v>
      </c>
      <c r="K1936" s="1">
        <v>3</v>
      </c>
      <c r="L1936" s="1">
        <v>335.49</v>
      </c>
      <c r="M1936" s="1" t="s">
        <v>8</v>
      </c>
      <c r="N1936" s="1">
        <f>IF(Sales_Data[[#This Row],[Sales with Discount]]&lt;Sales_Data[[#This Row],[Sales with Free Shipping]],Sales_Data[[#This Row],[Sales with Discount]],Sales_Data[[#This Row],[Sales with Free Shipping]])</f>
        <v>335.10509999999999</v>
      </c>
      <c r="O1936" s="1" t="str">
        <f>TEXT(Sales_Data[[#This Row],[Order Date]], "MM-YYYY")</f>
        <v>02-2019</v>
      </c>
    </row>
    <row r="1937" spans="1:15" x14ac:dyDescent="0.3">
      <c r="A1937" s="1">
        <v>23395</v>
      </c>
      <c r="B1937" s="2">
        <v>43765</v>
      </c>
      <c r="C1937" s="1" t="s">
        <v>14</v>
      </c>
      <c r="D1937" s="1">
        <v>31</v>
      </c>
      <c r="E1937" t="s">
        <v>21</v>
      </c>
      <c r="F1937" t="s">
        <v>21</v>
      </c>
      <c r="G1937" s="1">
        <v>1387.21</v>
      </c>
      <c r="H1937">
        <v>0</v>
      </c>
      <c r="I1937">
        <f>Sales_Data[[#This Row],[Sales]]*Sales_Data[[#This Row],[Discount]]</f>
        <v>0</v>
      </c>
      <c r="J1937">
        <v>1387.21</v>
      </c>
      <c r="K1937" s="1">
        <v>2.1</v>
      </c>
      <c r="L1937" s="1">
        <v>1387.21</v>
      </c>
      <c r="M1937" s="1" t="s">
        <v>10</v>
      </c>
      <c r="N1937" s="1">
        <f>IF(Sales_Data[[#This Row],[Sales with Discount]]&lt;Sales_Data[[#This Row],[Sales with Free Shipping]],Sales_Data[[#This Row],[Sales with Discount]],Sales_Data[[#This Row],[Sales with Free Shipping]])</f>
        <v>1387.21</v>
      </c>
      <c r="O1937" s="1" t="str">
        <f>TEXT(Sales_Data[[#This Row],[Order Date]], "MM-YYYY")</f>
        <v>10-2019</v>
      </c>
    </row>
    <row r="1938" spans="1:15" x14ac:dyDescent="0.3">
      <c r="A1938" s="1">
        <v>29280</v>
      </c>
      <c r="B1938" s="2">
        <v>43552</v>
      </c>
      <c r="C1938" s="1" t="s">
        <v>14</v>
      </c>
      <c r="D1938" s="1">
        <v>30</v>
      </c>
      <c r="E1938" t="s">
        <v>20</v>
      </c>
      <c r="F1938" t="s">
        <v>20</v>
      </c>
      <c r="G1938" s="1">
        <v>916.28</v>
      </c>
      <c r="H1938">
        <v>0</v>
      </c>
      <c r="I1938">
        <f>Sales_Data[[#This Row],[Sales]]*Sales_Data[[#This Row],[Discount]]</f>
        <v>0</v>
      </c>
      <c r="J1938">
        <v>916.28</v>
      </c>
      <c r="K1938" s="1">
        <v>2.1</v>
      </c>
      <c r="L1938" s="1">
        <v>916.28</v>
      </c>
      <c r="M1938" s="1" t="s">
        <v>10</v>
      </c>
      <c r="N1938" s="1">
        <f>IF(Sales_Data[[#This Row],[Sales with Discount]]&lt;Sales_Data[[#This Row],[Sales with Free Shipping]],Sales_Data[[#This Row],[Sales with Discount]],Sales_Data[[#This Row],[Sales with Free Shipping]])</f>
        <v>916.28</v>
      </c>
      <c r="O1938" s="1" t="str">
        <f>TEXT(Sales_Data[[#This Row],[Order Date]], "MM-YYYY")</f>
        <v>03-2019</v>
      </c>
    </row>
    <row r="1939" spans="1:15" x14ac:dyDescent="0.3">
      <c r="A1939" s="1">
        <v>14851</v>
      </c>
      <c r="B1939" s="2">
        <v>43596</v>
      </c>
      <c r="C1939" s="1" t="s">
        <v>11</v>
      </c>
      <c r="D1939" s="1">
        <v>26</v>
      </c>
      <c r="E1939" t="s">
        <v>20</v>
      </c>
      <c r="F1939" t="s">
        <v>20</v>
      </c>
      <c r="G1939" s="1">
        <v>1544.29</v>
      </c>
      <c r="H1939">
        <v>0</v>
      </c>
      <c r="I1939">
        <f>Sales_Data[[#This Row],[Sales]]*Sales_Data[[#This Row],[Discount]]</f>
        <v>0</v>
      </c>
      <c r="J1939">
        <v>1544.29</v>
      </c>
      <c r="K1939" s="1">
        <v>9.6</v>
      </c>
      <c r="L1939" s="1">
        <v>1544.29</v>
      </c>
      <c r="M1939" s="1" t="s">
        <v>10</v>
      </c>
      <c r="N1939" s="1">
        <f>IF(Sales_Data[[#This Row],[Sales with Discount]]&lt;Sales_Data[[#This Row],[Sales with Free Shipping]],Sales_Data[[#This Row],[Sales with Discount]],Sales_Data[[#This Row],[Sales with Free Shipping]])</f>
        <v>1544.29</v>
      </c>
      <c r="O1939" s="1" t="str">
        <f>TEXT(Sales_Data[[#This Row],[Order Date]], "MM-YYYY")</f>
        <v>05-2019</v>
      </c>
    </row>
    <row r="1940" spans="1:15" x14ac:dyDescent="0.3">
      <c r="A1940" s="1">
        <v>35905</v>
      </c>
      <c r="B1940" s="2">
        <v>43514</v>
      </c>
      <c r="C1940" s="1" t="s">
        <v>7</v>
      </c>
      <c r="D1940" s="1">
        <v>20</v>
      </c>
      <c r="E1940" t="s">
        <v>19</v>
      </c>
      <c r="F1940" t="s">
        <v>19</v>
      </c>
      <c r="G1940" s="1">
        <v>40.020000000000003</v>
      </c>
      <c r="H1940">
        <v>0</v>
      </c>
      <c r="I1940">
        <f>Sales_Data[[#This Row],[Sales]]*Sales_Data[[#This Row],[Discount]]</f>
        <v>0</v>
      </c>
      <c r="J1940">
        <v>40.020000000000003</v>
      </c>
      <c r="K1940" s="1">
        <v>1.7</v>
      </c>
      <c r="L1940" s="1">
        <v>40.020000000000003</v>
      </c>
      <c r="M1940" s="1" t="s">
        <v>8</v>
      </c>
      <c r="N1940" s="1">
        <f>IF(Sales_Data[[#This Row],[Sales with Discount]]&lt;Sales_Data[[#This Row],[Sales with Free Shipping]],Sales_Data[[#This Row],[Sales with Discount]],Sales_Data[[#This Row],[Sales with Free Shipping]])</f>
        <v>40.020000000000003</v>
      </c>
      <c r="O1940" s="1" t="str">
        <f>TEXT(Sales_Data[[#This Row],[Order Date]], "MM-YYYY")</f>
        <v>02-2019</v>
      </c>
    </row>
    <row r="1941" spans="1:15" x14ac:dyDescent="0.3">
      <c r="A1941" s="1">
        <v>29473</v>
      </c>
      <c r="B1941" s="2">
        <v>43510</v>
      </c>
      <c r="C1941" s="1" t="s">
        <v>14</v>
      </c>
      <c r="D1941" s="1">
        <v>40</v>
      </c>
      <c r="E1941" t="s">
        <v>22</v>
      </c>
      <c r="F1941" t="s">
        <v>22</v>
      </c>
      <c r="G1941" s="1">
        <v>14303.57</v>
      </c>
      <c r="H1941">
        <v>0.01</v>
      </c>
      <c r="I1941">
        <f>Sales_Data[[#This Row],[Sales]]*Sales_Data[[#This Row],[Discount]]</f>
        <v>143.03569999999999</v>
      </c>
      <c r="J1941">
        <v>14160.534299999999</v>
      </c>
      <c r="K1941" s="1">
        <v>31.2</v>
      </c>
      <c r="L1941" s="1">
        <v>14272.369999999999</v>
      </c>
      <c r="M1941" s="1" t="s">
        <v>13</v>
      </c>
      <c r="N1941" s="1">
        <f>IF(Sales_Data[[#This Row],[Sales with Discount]]&lt;Sales_Data[[#This Row],[Sales with Free Shipping]],Sales_Data[[#This Row],[Sales with Discount]],Sales_Data[[#This Row],[Sales with Free Shipping]])</f>
        <v>14160.534299999999</v>
      </c>
      <c r="O1941" s="1" t="str">
        <f>TEXT(Sales_Data[[#This Row],[Order Date]], "MM-YYYY")</f>
        <v>02-2019</v>
      </c>
    </row>
    <row r="1942" spans="1:15" x14ac:dyDescent="0.3">
      <c r="A1942" s="1">
        <v>45125</v>
      </c>
      <c r="B1942" s="2">
        <v>43613</v>
      </c>
      <c r="C1942" s="1" t="s">
        <v>12</v>
      </c>
      <c r="D1942" s="1">
        <v>6</v>
      </c>
      <c r="E1942" t="s">
        <v>17</v>
      </c>
      <c r="F1942" t="s">
        <v>17</v>
      </c>
      <c r="G1942" s="1">
        <v>1043.79</v>
      </c>
      <c r="H1942">
        <v>0</v>
      </c>
      <c r="I1942">
        <f>Sales_Data[[#This Row],[Sales]]*Sales_Data[[#This Row],[Discount]]</f>
        <v>0</v>
      </c>
      <c r="J1942">
        <v>1043.79</v>
      </c>
      <c r="K1942" s="1">
        <v>37.5</v>
      </c>
      <c r="L1942" s="1">
        <v>1043.79</v>
      </c>
      <c r="M1942" s="1" t="s">
        <v>13</v>
      </c>
      <c r="N1942" s="1">
        <f>IF(Sales_Data[[#This Row],[Sales with Discount]]&lt;Sales_Data[[#This Row],[Sales with Free Shipping]],Sales_Data[[#This Row],[Sales with Discount]],Sales_Data[[#This Row],[Sales with Free Shipping]])</f>
        <v>1043.79</v>
      </c>
      <c r="O1942" s="1" t="str">
        <f>TEXT(Sales_Data[[#This Row],[Order Date]], "MM-YYYY")</f>
        <v>05-2019</v>
      </c>
    </row>
    <row r="1943" spans="1:15" x14ac:dyDescent="0.3">
      <c r="A1943" s="1">
        <v>7072</v>
      </c>
      <c r="B1943" s="2">
        <v>43499</v>
      </c>
      <c r="C1943" s="1" t="s">
        <v>12</v>
      </c>
      <c r="D1943" s="1">
        <v>29</v>
      </c>
      <c r="E1943" t="s">
        <v>20</v>
      </c>
      <c r="F1943" t="s">
        <v>20</v>
      </c>
      <c r="G1943" s="1">
        <v>276.70999999999998</v>
      </c>
      <c r="H1943">
        <v>0</v>
      </c>
      <c r="I1943">
        <f>Sales_Data[[#This Row],[Sales]]*Sales_Data[[#This Row],[Discount]]</f>
        <v>0</v>
      </c>
      <c r="J1943">
        <v>276.70999999999998</v>
      </c>
      <c r="K1943" s="1">
        <v>6</v>
      </c>
      <c r="L1943" s="1">
        <v>276.70999999999998</v>
      </c>
      <c r="M1943" s="1" t="s">
        <v>10</v>
      </c>
      <c r="N1943" s="1">
        <f>IF(Sales_Data[[#This Row],[Sales with Discount]]&lt;Sales_Data[[#This Row],[Sales with Free Shipping]],Sales_Data[[#This Row],[Sales with Discount]],Sales_Data[[#This Row],[Sales with Free Shipping]])</f>
        <v>276.70999999999998</v>
      </c>
      <c r="O1943" s="1" t="str">
        <f>TEXT(Sales_Data[[#This Row],[Order Date]], "MM-YYYY")</f>
        <v>02-2019</v>
      </c>
    </row>
    <row r="1944" spans="1:15" x14ac:dyDescent="0.3">
      <c r="A1944" s="1">
        <v>40132</v>
      </c>
      <c r="B1944" s="2">
        <v>43518</v>
      </c>
      <c r="C1944" s="1" t="s">
        <v>7</v>
      </c>
      <c r="D1944" s="1">
        <v>36</v>
      </c>
      <c r="E1944" t="s">
        <v>22</v>
      </c>
      <c r="F1944" t="s">
        <v>22</v>
      </c>
      <c r="G1944" s="1">
        <v>5027.3999999999996</v>
      </c>
      <c r="H1944">
        <v>0.01</v>
      </c>
      <c r="I1944">
        <f>Sales_Data[[#This Row],[Sales]]*Sales_Data[[#This Row],[Discount]]</f>
        <v>50.274000000000001</v>
      </c>
      <c r="J1944">
        <v>4977.1259999999993</v>
      </c>
      <c r="K1944" s="1">
        <v>55.6</v>
      </c>
      <c r="L1944" s="1">
        <v>4971.7999999999993</v>
      </c>
      <c r="M1944" s="1" t="s">
        <v>13</v>
      </c>
      <c r="N1944" s="1">
        <f>IF(Sales_Data[[#This Row],[Sales with Discount]]&lt;Sales_Data[[#This Row],[Sales with Free Shipping]],Sales_Data[[#This Row],[Sales with Discount]],Sales_Data[[#This Row],[Sales with Free Shipping]])</f>
        <v>4971.7999999999993</v>
      </c>
      <c r="O1944" s="1" t="str">
        <f>TEXT(Sales_Data[[#This Row],[Order Date]], "MM-YYYY")</f>
        <v>02-2019</v>
      </c>
    </row>
    <row r="1945" spans="1:15" x14ac:dyDescent="0.3">
      <c r="A1945" s="1">
        <v>7841</v>
      </c>
      <c r="B1945" s="2">
        <v>43605</v>
      </c>
      <c r="C1945" s="1" t="s">
        <v>11</v>
      </c>
      <c r="D1945" s="1">
        <v>21</v>
      </c>
      <c r="E1945" t="s">
        <v>14</v>
      </c>
      <c r="F1945" t="s">
        <v>14</v>
      </c>
      <c r="G1945" s="1">
        <v>1072.96</v>
      </c>
      <c r="H1945">
        <v>0</v>
      </c>
      <c r="I1945">
        <f>Sales_Data[[#This Row],[Sales]]*Sales_Data[[#This Row],[Discount]]</f>
        <v>0</v>
      </c>
      <c r="J1945">
        <v>1072.96</v>
      </c>
      <c r="K1945" s="1">
        <v>11</v>
      </c>
      <c r="L1945" s="1">
        <v>1072.96</v>
      </c>
      <c r="M1945" s="1" t="s">
        <v>10</v>
      </c>
      <c r="N1945" s="1">
        <f>IF(Sales_Data[[#This Row],[Sales with Discount]]&lt;Sales_Data[[#This Row],[Sales with Free Shipping]],Sales_Data[[#This Row],[Sales with Discount]],Sales_Data[[#This Row],[Sales with Free Shipping]])</f>
        <v>1072.96</v>
      </c>
      <c r="O1945" s="1" t="str">
        <f>TEXT(Sales_Data[[#This Row],[Order Date]], "MM-YYYY")</f>
        <v>05-2019</v>
      </c>
    </row>
    <row r="1946" spans="1:15" x14ac:dyDescent="0.3">
      <c r="A1946" s="1">
        <v>8065</v>
      </c>
      <c r="B1946" s="2">
        <v>43759</v>
      </c>
      <c r="C1946" s="1" t="s">
        <v>14</v>
      </c>
      <c r="D1946" s="1">
        <v>17</v>
      </c>
      <c r="E1946" t="s">
        <v>19</v>
      </c>
      <c r="F1946" t="s">
        <v>19</v>
      </c>
      <c r="G1946" s="1">
        <v>1204.56</v>
      </c>
      <c r="H1946">
        <v>0</v>
      </c>
      <c r="I1946">
        <f>Sales_Data[[#This Row],[Sales]]*Sales_Data[[#This Row],[Discount]]</f>
        <v>0</v>
      </c>
      <c r="J1946">
        <v>1204.56</v>
      </c>
      <c r="K1946" s="1">
        <v>13.1</v>
      </c>
      <c r="L1946" s="1">
        <v>1204.56</v>
      </c>
      <c r="M1946" s="1" t="s">
        <v>10</v>
      </c>
      <c r="N1946" s="1">
        <f>IF(Sales_Data[[#This Row],[Sales with Discount]]&lt;Sales_Data[[#This Row],[Sales with Free Shipping]],Sales_Data[[#This Row],[Sales with Discount]],Sales_Data[[#This Row],[Sales with Free Shipping]])</f>
        <v>1204.56</v>
      </c>
      <c r="O1946" s="1" t="str">
        <f>TEXT(Sales_Data[[#This Row],[Order Date]], "MM-YYYY")</f>
        <v>10-2019</v>
      </c>
    </row>
    <row r="1947" spans="1:15" x14ac:dyDescent="0.3">
      <c r="A1947" s="1">
        <v>25249</v>
      </c>
      <c r="B1947" s="2">
        <v>43775</v>
      </c>
      <c r="C1947" s="1" t="s">
        <v>14</v>
      </c>
      <c r="D1947" s="1">
        <v>34</v>
      </c>
      <c r="E1947" t="s">
        <v>21</v>
      </c>
      <c r="F1947" t="s">
        <v>21</v>
      </c>
      <c r="G1947" s="1">
        <v>991.73</v>
      </c>
      <c r="H1947">
        <v>0</v>
      </c>
      <c r="I1947">
        <f>Sales_Data[[#This Row],[Sales]]*Sales_Data[[#This Row],[Discount]]</f>
        <v>0</v>
      </c>
      <c r="J1947">
        <v>991.73</v>
      </c>
      <c r="K1947" s="1">
        <v>1.6</v>
      </c>
      <c r="L1947" s="1">
        <v>991.73</v>
      </c>
      <c r="M1947" s="1" t="s">
        <v>10</v>
      </c>
      <c r="N1947" s="1">
        <f>IF(Sales_Data[[#This Row],[Sales with Discount]]&lt;Sales_Data[[#This Row],[Sales with Free Shipping]],Sales_Data[[#This Row],[Sales with Discount]],Sales_Data[[#This Row],[Sales with Free Shipping]])</f>
        <v>991.73</v>
      </c>
      <c r="O1947" s="1" t="str">
        <f>TEXT(Sales_Data[[#This Row],[Order Date]], "MM-YYYY")</f>
        <v>11-2019</v>
      </c>
    </row>
    <row r="1948" spans="1:15" x14ac:dyDescent="0.3">
      <c r="A1948" s="1">
        <v>31555</v>
      </c>
      <c r="B1948" s="2">
        <v>43468</v>
      </c>
      <c r="C1948" s="1" t="s">
        <v>12</v>
      </c>
      <c r="D1948" s="1">
        <v>5</v>
      </c>
      <c r="E1948" t="s">
        <v>16</v>
      </c>
      <c r="F1948" t="s">
        <v>16</v>
      </c>
      <c r="G1948" s="1">
        <v>535.54</v>
      </c>
      <c r="H1948">
        <v>0</v>
      </c>
      <c r="I1948">
        <f>Sales_Data[[#This Row],[Sales]]*Sales_Data[[#This Row],[Discount]]</f>
        <v>0</v>
      </c>
      <c r="J1948">
        <v>535.54</v>
      </c>
      <c r="K1948" s="1">
        <v>30</v>
      </c>
      <c r="L1948" s="1">
        <v>535.54</v>
      </c>
      <c r="M1948" s="1" t="s">
        <v>13</v>
      </c>
      <c r="N1948" s="1">
        <f>IF(Sales_Data[[#This Row],[Sales with Discount]]&lt;Sales_Data[[#This Row],[Sales with Free Shipping]],Sales_Data[[#This Row],[Sales with Discount]],Sales_Data[[#This Row],[Sales with Free Shipping]])</f>
        <v>535.54</v>
      </c>
      <c r="O1948" s="1" t="str">
        <f>TEXT(Sales_Data[[#This Row],[Order Date]], "MM-YYYY")</f>
        <v>01-2019</v>
      </c>
    </row>
    <row r="1949" spans="1:15" x14ac:dyDescent="0.3">
      <c r="A1949" s="1">
        <v>25571</v>
      </c>
      <c r="B1949" s="2">
        <v>43695</v>
      </c>
      <c r="C1949" s="1" t="s">
        <v>12</v>
      </c>
      <c r="D1949" s="1">
        <v>42</v>
      </c>
      <c r="E1949" t="s">
        <v>23</v>
      </c>
      <c r="F1949" t="s">
        <v>23</v>
      </c>
      <c r="G1949" s="1">
        <v>4011.43</v>
      </c>
      <c r="H1949">
        <v>0.01</v>
      </c>
      <c r="I1949">
        <f>Sales_Data[[#This Row],[Sales]]*Sales_Data[[#This Row],[Discount]]</f>
        <v>40.1143</v>
      </c>
      <c r="J1949">
        <v>3971.3156999999997</v>
      </c>
      <c r="K1949" s="1">
        <v>37.5</v>
      </c>
      <c r="L1949" s="1">
        <v>3973.93</v>
      </c>
      <c r="M1949" s="1" t="s">
        <v>10</v>
      </c>
      <c r="N1949" s="1">
        <f>IF(Sales_Data[[#This Row],[Sales with Discount]]&lt;Sales_Data[[#This Row],[Sales with Free Shipping]],Sales_Data[[#This Row],[Sales with Discount]],Sales_Data[[#This Row],[Sales with Free Shipping]])</f>
        <v>3971.3156999999997</v>
      </c>
      <c r="O1949" s="1" t="str">
        <f>TEXT(Sales_Data[[#This Row],[Order Date]], "MM-YYYY")</f>
        <v>08-2019</v>
      </c>
    </row>
    <row r="1950" spans="1:15" x14ac:dyDescent="0.3">
      <c r="A1950" s="1">
        <v>39269</v>
      </c>
      <c r="B1950" s="2">
        <v>43764</v>
      </c>
      <c r="C1950" s="1" t="s">
        <v>7</v>
      </c>
      <c r="D1950" s="1">
        <v>16</v>
      </c>
      <c r="E1950" t="s">
        <v>19</v>
      </c>
      <c r="F1950" t="s">
        <v>19</v>
      </c>
      <c r="G1950" s="1">
        <v>497.22</v>
      </c>
      <c r="H1950">
        <v>0</v>
      </c>
      <c r="I1950">
        <f>Sales_Data[[#This Row],[Sales]]*Sales_Data[[#This Row],[Discount]]</f>
        <v>0</v>
      </c>
      <c r="J1950">
        <v>497.22</v>
      </c>
      <c r="K1950" s="1">
        <v>2.7</v>
      </c>
      <c r="L1950" s="1">
        <v>497.22</v>
      </c>
      <c r="M1950" s="1" t="s">
        <v>10</v>
      </c>
      <c r="N1950" s="1">
        <f>IF(Sales_Data[[#This Row],[Sales with Discount]]&lt;Sales_Data[[#This Row],[Sales with Free Shipping]],Sales_Data[[#This Row],[Sales with Discount]],Sales_Data[[#This Row],[Sales with Free Shipping]])</f>
        <v>497.22</v>
      </c>
      <c r="O1950" s="1" t="str">
        <f>TEXT(Sales_Data[[#This Row],[Order Date]], "MM-YYYY")</f>
        <v>10-2019</v>
      </c>
    </row>
    <row r="1951" spans="1:15" x14ac:dyDescent="0.3">
      <c r="A1951" s="1">
        <v>42722</v>
      </c>
      <c r="B1951" s="2">
        <v>43745</v>
      </c>
      <c r="C1951" s="1" t="s">
        <v>11</v>
      </c>
      <c r="D1951" s="1">
        <v>2</v>
      </c>
      <c r="E1951" t="s">
        <v>16</v>
      </c>
      <c r="F1951" t="s">
        <v>16</v>
      </c>
      <c r="G1951" s="1">
        <v>21.29</v>
      </c>
      <c r="H1951">
        <v>0</v>
      </c>
      <c r="I1951">
        <f>Sales_Data[[#This Row],[Sales]]*Sales_Data[[#This Row],[Discount]]</f>
        <v>0</v>
      </c>
      <c r="J1951">
        <v>21.29</v>
      </c>
      <c r="K1951" s="1">
        <v>5.6</v>
      </c>
      <c r="L1951" s="1">
        <v>21.29</v>
      </c>
      <c r="M1951" s="1" t="s">
        <v>10</v>
      </c>
      <c r="N1951" s="1">
        <f>IF(Sales_Data[[#This Row],[Sales with Discount]]&lt;Sales_Data[[#This Row],[Sales with Free Shipping]],Sales_Data[[#This Row],[Sales with Discount]],Sales_Data[[#This Row],[Sales with Free Shipping]])</f>
        <v>21.29</v>
      </c>
      <c r="O1951" s="1" t="str">
        <f>TEXT(Sales_Data[[#This Row],[Order Date]], "MM-YYYY")</f>
        <v>10-2019</v>
      </c>
    </row>
    <row r="1952" spans="1:15" x14ac:dyDescent="0.3">
      <c r="A1952" s="1">
        <v>21925</v>
      </c>
      <c r="B1952" s="2">
        <v>43658</v>
      </c>
      <c r="C1952" s="1" t="s">
        <v>11</v>
      </c>
      <c r="D1952" s="1">
        <v>3</v>
      </c>
      <c r="E1952" t="s">
        <v>16</v>
      </c>
      <c r="F1952" t="s">
        <v>16</v>
      </c>
      <c r="G1952" s="1">
        <v>252.86</v>
      </c>
      <c r="H1952">
        <v>0</v>
      </c>
      <c r="I1952">
        <f>Sales_Data[[#This Row],[Sales]]*Sales_Data[[#This Row],[Discount]]</f>
        <v>0</v>
      </c>
      <c r="J1952">
        <v>252.86</v>
      </c>
      <c r="K1952" s="1">
        <v>4.3</v>
      </c>
      <c r="L1952" s="1">
        <v>252.86</v>
      </c>
      <c r="M1952" s="1" t="s">
        <v>10</v>
      </c>
      <c r="N1952" s="1">
        <f>IF(Sales_Data[[#This Row],[Sales with Discount]]&lt;Sales_Data[[#This Row],[Sales with Free Shipping]],Sales_Data[[#This Row],[Sales with Discount]],Sales_Data[[#This Row],[Sales with Free Shipping]])</f>
        <v>252.86</v>
      </c>
      <c r="O1952" s="1" t="str">
        <f>TEXT(Sales_Data[[#This Row],[Order Date]], "MM-YYYY")</f>
        <v>07-2019</v>
      </c>
    </row>
    <row r="1953" spans="1:15" x14ac:dyDescent="0.3">
      <c r="A1953" s="1">
        <v>31270</v>
      </c>
      <c r="B1953" s="2">
        <v>43792</v>
      </c>
      <c r="C1953" s="1" t="s">
        <v>14</v>
      </c>
      <c r="D1953" s="1">
        <v>21</v>
      </c>
      <c r="E1953" t="s">
        <v>14</v>
      </c>
      <c r="F1953" t="s">
        <v>14</v>
      </c>
      <c r="G1953" s="1">
        <v>7283.1261999999997</v>
      </c>
      <c r="H1953">
        <v>0</v>
      </c>
      <c r="I1953">
        <f>Sales_Data[[#This Row],[Sales]]*Sales_Data[[#This Row],[Discount]]</f>
        <v>0</v>
      </c>
      <c r="J1953">
        <v>7283.1261999999997</v>
      </c>
      <c r="K1953" s="1">
        <v>93.1</v>
      </c>
      <c r="L1953" s="1">
        <v>7283.1261999999997</v>
      </c>
      <c r="M1953" s="1" t="s">
        <v>13</v>
      </c>
      <c r="N1953" s="1">
        <f>IF(Sales_Data[[#This Row],[Sales with Discount]]&lt;Sales_Data[[#This Row],[Sales with Free Shipping]],Sales_Data[[#This Row],[Sales with Discount]],Sales_Data[[#This Row],[Sales with Free Shipping]])</f>
        <v>7283.1261999999997</v>
      </c>
      <c r="O1953" s="1" t="str">
        <f>TEXT(Sales_Data[[#This Row],[Order Date]], "MM-YYYY")</f>
        <v>11-2019</v>
      </c>
    </row>
    <row r="1954" spans="1:15" x14ac:dyDescent="0.3">
      <c r="A1954" s="1">
        <v>50914</v>
      </c>
      <c r="B1954" s="2">
        <v>43649</v>
      </c>
      <c r="C1954" s="1" t="s">
        <v>12</v>
      </c>
      <c r="D1954" s="1">
        <v>49</v>
      </c>
      <c r="E1954" t="s">
        <v>24</v>
      </c>
      <c r="F1954" t="s">
        <v>24</v>
      </c>
      <c r="G1954" s="1">
        <v>9150.15</v>
      </c>
      <c r="H1954">
        <v>0.01</v>
      </c>
      <c r="I1954">
        <f>Sales_Data[[#This Row],[Sales]]*Sales_Data[[#This Row],[Discount]]</f>
        <v>91.501499999999993</v>
      </c>
      <c r="J1954">
        <v>9058.6484999999993</v>
      </c>
      <c r="K1954" s="1">
        <v>9.6</v>
      </c>
      <c r="L1954" s="1">
        <v>9140.5499999999993</v>
      </c>
      <c r="M1954" s="1" t="s">
        <v>10</v>
      </c>
      <c r="N1954" s="1">
        <f>IF(Sales_Data[[#This Row],[Sales with Discount]]&lt;Sales_Data[[#This Row],[Sales with Free Shipping]],Sales_Data[[#This Row],[Sales with Discount]],Sales_Data[[#This Row],[Sales with Free Shipping]])</f>
        <v>9058.6484999999993</v>
      </c>
      <c r="O1954" s="1" t="str">
        <f>TEXT(Sales_Data[[#This Row],[Order Date]], "MM-YYYY")</f>
        <v>07-2019</v>
      </c>
    </row>
    <row r="1955" spans="1:15" x14ac:dyDescent="0.3">
      <c r="A1955" s="1">
        <v>33479</v>
      </c>
      <c r="B1955" s="2">
        <v>43726</v>
      </c>
      <c r="C1955" s="1" t="s">
        <v>12</v>
      </c>
      <c r="D1955" s="1">
        <v>50</v>
      </c>
      <c r="E1955" t="s">
        <v>24</v>
      </c>
      <c r="F1955" t="s">
        <v>24</v>
      </c>
      <c r="G1955" s="1">
        <v>815.55</v>
      </c>
      <c r="H1955">
        <v>0.01</v>
      </c>
      <c r="I1955">
        <f>Sales_Data[[#This Row],[Sales]]*Sales_Data[[#This Row],[Discount]]</f>
        <v>8.1555</v>
      </c>
      <c r="J1955">
        <v>807.39449999999999</v>
      </c>
      <c r="K1955" s="1">
        <v>9</v>
      </c>
      <c r="L1955" s="1">
        <v>806.55</v>
      </c>
      <c r="M1955" s="1" t="s">
        <v>10</v>
      </c>
      <c r="N1955" s="1">
        <f>IF(Sales_Data[[#This Row],[Sales with Discount]]&lt;Sales_Data[[#This Row],[Sales with Free Shipping]],Sales_Data[[#This Row],[Sales with Discount]],Sales_Data[[#This Row],[Sales with Free Shipping]])</f>
        <v>806.55</v>
      </c>
      <c r="O1955" s="1" t="str">
        <f>TEXT(Sales_Data[[#This Row],[Order Date]], "MM-YYYY")</f>
        <v>09-2019</v>
      </c>
    </row>
    <row r="1956" spans="1:15" x14ac:dyDescent="0.3">
      <c r="A1956" s="1">
        <v>27302</v>
      </c>
      <c r="B1956" s="2">
        <v>43720</v>
      </c>
      <c r="C1956" s="1" t="s">
        <v>7</v>
      </c>
      <c r="D1956" s="1">
        <v>3</v>
      </c>
      <c r="E1956" t="s">
        <v>16</v>
      </c>
      <c r="F1956" t="s">
        <v>16</v>
      </c>
      <c r="G1956" s="1">
        <v>153.55000000000001</v>
      </c>
      <c r="H1956">
        <v>0</v>
      </c>
      <c r="I1956">
        <f>Sales_Data[[#This Row],[Sales]]*Sales_Data[[#This Row],[Discount]]</f>
        <v>0</v>
      </c>
      <c r="J1956">
        <v>153.55000000000001</v>
      </c>
      <c r="K1956" s="1">
        <v>6.2</v>
      </c>
      <c r="L1956" s="1">
        <v>153.55000000000001</v>
      </c>
      <c r="M1956" s="1" t="s">
        <v>10</v>
      </c>
      <c r="N1956" s="1">
        <f>IF(Sales_Data[[#This Row],[Sales with Discount]]&lt;Sales_Data[[#This Row],[Sales with Free Shipping]],Sales_Data[[#This Row],[Sales with Discount]],Sales_Data[[#This Row],[Sales with Free Shipping]])</f>
        <v>153.55000000000001</v>
      </c>
      <c r="O1956" s="1" t="str">
        <f>TEXT(Sales_Data[[#This Row],[Order Date]], "MM-YYYY")</f>
        <v>09-2019</v>
      </c>
    </row>
    <row r="1957" spans="1:15" x14ac:dyDescent="0.3">
      <c r="A1957" s="1">
        <v>16036</v>
      </c>
      <c r="B1957" s="2">
        <v>43469</v>
      </c>
      <c r="C1957" s="1" t="s">
        <v>14</v>
      </c>
      <c r="D1957" s="1">
        <v>33</v>
      </c>
      <c r="E1957" t="s">
        <v>21</v>
      </c>
      <c r="F1957" t="s">
        <v>21</v>
      </c>
      <c r="G1957" s="1">
        <v>589.5</v>
      </c>
      <c r="H1957">
        <v>0</v>
      </c>
      <c r="I1957">
        <f>Sales_Data[[#This Row],[Sales]]*Sales_Data[[#This Row],[Discount]]</f>
        <v>0</v>
      </c>
      <c r="J1957">
        <v>589.5</v>
      </c>
      <c r="K1957" s="1">
        <v>10.1</v>
      </c>
      <c r="L1957" s="1">
        <v>589.5</v>
      </c>
      <c r="M1957" s="1" t="s">
        <v>10</v>
      </c>
      <c r="N1957" s="1">
        <f>IF(Sales_Data[[#This Row],[Sales with Discount]]&lt;Sales_Data[[#This Row],[Sales with Free Shipping]],Sales_Data[[#This Row],[Sales with Discount]],Sales_Data[[#This Row],[Sales with Free Shipping]])</f>
        <v>589.5</v>
      </c>
      <c r="O1957" s="1" t="str">
        <f>TEXT(Sales_Data[[#This Row],[Order Date]], "MM-YYYY")</f>
        <v>01-2019</v>
      </c>
    </row>
    <row r="1958" spans="1:15" x14ac:dyDescent="0.3">
      <c r="A1958" s="1">
        <v>53378</v>
      </c>
      <c r="B1958" s="2">
        <v>43659</v>
      </c>
      <c r="C1958" s="1" t="s">
        <v>14</v>
      </c>
      <c r="D1958" s="1">
        <v>50</v>
      </c>
      <c r="E1958" t="s">
        <v>24</v>
      </c>
      <c r="F1958" t="s">
        <v>24</v>
      </c>
      <c r="G1958" s="1">
        <v>14909.947099999999</v>
      </c>
      <c r="H1958">
        <v>0.01</v>
      </c>
      <c r="I1958">
        <f>Sales_Data[[#This Row],[Sales]]*Sales_Data[[#This Row],[Discount]]</f>
        <v>149.09947099999999</v>
      </c>
      <c r="J1958">
        <v>14760.847629</v>
      </c>
      <c r="K1958" s="1">
        <v>12.5</v>
      </c>
      <c r="L1958" s="1">
        <v>14897.447099999999</v>
      </c>
      <c r="M1958" s="1" t="s">
        <v>8</v>
      </c>
      <c r="N1958" s="1">
        <f>IF(Sales_Data[[#This Row],[Sales with Discount]]&lt;Sales_Data[[#This Row],[Sales with Free Shipping]],Sales_Data[[#This Row],[Sales with Discount]],Sales_Data[[#This Row],[Sales with Free Shipping]])</f>
        <v>14760.847629</v>
      </c>
      <c r="O1958" s="1" t="str">
        <f>TEXT(Sales_Data[[#This Row],[Order Date]], "MM-YYYY")</f>
        <v>07-2019</v>
      </c>
    </row>
    <row r="1959" spans="1:15" x14ac:dyDescent="0.3">
      <c r="A1959" s="1">
        <v>26759</v>
      </c>
      <c r="B1959" s="2">
        <v>43489</v>
      </c>
      <c r="C1959" s="1" t="s">
        <v>11</v>
      </c>
      <c r="D1959" s="1">
        <v>30</v>
      </c>
      <c r="E1959" t="s">
        <v>20</v>
      </c>
      <c r="F1959" t="s">
        <v>20</v>
      </c>
      <c r="G1959" s="1">
        <v>268.68770000000001</v>
      </c>
      <c r="H1959">
        <v>0</v>
      </c>
      <c r="I1959">
        <f>Sales_Data[[#This Row],[Sales]]*Sales_Data[[#This Row],[Discount]]</f>
        <v>0</v>
      </c>
      <c r="J1959">
        <v>268.68770000000001</v>
      </c>
      <c r="K1959" s="1">
        <v>5</v>
      </c>
      <c r="L1959" s="1">
        <v>268.68770000000001</v>
      </c>
      <c r="M1959" s="1" t="s">
        <v>10</v>
      </c>
      <c r="N1959" s="1">
        <f>IF(Sales_Data[[#This Row],[Sales with Discount]]&lt;Sales_Data[[#This Row],[Sales with Free Shipping]],Sales_Data[[#This Row],[Sales with Discount]],Sales_Data[[#This Row],[Sales with Free Shipping]])</f>
        <v>268.68770000000001</v>
      </c>
      <c r="O1959" s="1" t="str">
        <f>TEXT(Sales_Data[[#This Row],[Order Date]], "MM-YYYY")</f>
        <v>01-2019</v>
      </c>
    </row>
    <row r="1960" spans="1:15" x14ac:dyDescent="0.3">
      <c r="A1960" s="1">
        <v>55460</v>
      </c>
      <c r="B1960" s="2">
        <v>43611</v>
      </c>
      <c r="C1960" s="1" t="s">
        <v>9</v>
      </c>
      <c r="D1960" s="1">
        <v>12</v>
      </c>
      <c r="E1960" t="s">
        <v>18</v>
      </c>
      <c r="F1960" t="s">
        <v>18</v>
      </c>
      <c r="G1960" s="1">
        <v>66.150000000000006</v>
      </c>
      <c r="H1960">
        <v>0</v>
      </c>
      <c r="I1960">
        <f>Sales_Data[[#This Row],[Sales]]*Sales_Data[[#This Row],[Discount]]</f>
        <v>0</v>
      </c>
      <c r="J1960">
        <v>66.150000000000006</v>
      </c>
      <c r="K1960" s="1">
        <v>3.2</v>
      </c>
      <c r="L1960" s="1">
        <v>66.150000000000006</v>
      </c>
      <c r="M1960" s="1" t="s">
        <v>10</v>
      </c>
      <c r="N1960" s="1">
        <f>IF(Sales_Data[[#This Row],[Sales with Discount]]&lt;Sales_Data[[#This Row],[Sales with Free Shipping]],Sales_Data[[#This Row],[Sales with Discount]],Sales_Data[[#This Row],[Sales with Free Shipping]])</f>
        <v>66.150000000000006</v>
      </c>
      <c r="O1960" s="1" t="str">
        <f>TEXT(Sales_Data[[#This Row],[Order Date]], "MM-YYYY")</f>
        <v>05-2019</v>
      </c>
    </row>
    <row r="1961" spans="1:15" x14ac:dyDescent="0.3">
      <c r="A1961" s="1">
        <v>17862</v>
      </c>
      <c r="B1961" s="2">
        <v>43592</v>
      </c>
      <c r="C1961" s="1" t="s">
        <v>11</v>
      </c>
      <c r="D1961" s="1">
        <v>1</v>
      </c>
      <c r="E1961" t="s">
        <v>16</v>
      </c>
      <c r="F1961" t="s">
        <v>16</v>
      </c>
      <c r="G1961" s="1">
        <v>30.74</v>
      </c>
      <c r="H1961">
        <v>0</v>
      </c>
      <c r="I1961">
        <f>Sales_Data[[#This Row],[Sales]]*Sales_Data[[#This Row],[Discount]]</f>
        <v>0</v>
      </c>
      <c r="J1961">
        <v>30.74</v>
      </c>
      <c r="K1961" s="1">
        <v>7</v>
      </c>
      <c r="L1961" s="1">
        <v>30.74</v>
      </c>
      <c r="M1961" s="1" t="s">
        <v>10</v>
      </c>
      <c r="N1961" s="1">
        <f>IF(Sales_Data[[#This Row],[Sales with Discount]]&lt;Sales_Data[[#This Row],[Sales with Free Shipping]],Sales_Data[[#This Row],[Sales with Discount]],Sales_Data[[#This Row],[Sales with Free Shipping]])</f>
        <v>30.74</v>
      </c>
      <c r="O1961" s="1" t="str">
        <f>TEXT(Sales_Data[[#This Row],[Order Date]], "MM-YYYY")</f>
        <v>05-2019</v>
      </c>
    </row>
    <row r="1962" spans="1:15" x14ac:dyDescent="0.3">
      <c r="A1962" s="1">
        <v>48000</v>
      </c>
      <c r="B1962" s="2">
        <v>43690</v>
      </c>
      <c r="C1962" s="1" t="s">
        <v>9</v>
      </c>
      <c r="D1962" s="1">
        <v>12</v>
      </c>
      <c r="E1962" t="s">
        <v>18</v>
      </c>
      <c r="F1962" t="s">
        <v>18</v>
      </c>
      <c r="G1962" s="1">
        <v>229.98580000000001</v>
      </c>
      <c r="H1962">
        <v>0</v>
      </c>
      <c r="I1962">
        <f>Sales_Data[[#This Row],[Sales]]*Sales_Data[[#This Row],[Discount]]</f>
        <v>0</v>
      </c>
      <c r="J1962">
        <v>229.98580000000001</v>
      </c>
      <c r="K1962" s="1">
        <v>2.1</v>
      </c>
      <c r="L1962" s="1">
        <v>229.98580000000001</v>
      </c>
      <c r="M1962" s="1" t="s">
        <v>10</v>
      </c>
      <c r="N1962" s="1">
        <f>IF(Sales_Data[[#This Row],[Sales with Discount]]&lt;Sales_Data[[#This Row],[Sales with Free Shipping]],Sales_Data[[#This Row],[Sales with Discount]],Sales_Data[[#This Row],[Sales with Free Shipping]])</f>
        <v>229.98580000000001</v>
      </c>
      <c r="O1962" s="1" t="str">
        <f>TEXT(Sales_Data[[#This Row],[Order Date]], "MM-YYYY")</f>
        <v>08-2019</v>
      </c>
    </row>
    <row r="1963" spans="1:15" x14ac:dyDescent="0.3">
      <c r="A1963" s="1">
        <v>17093</v>
      </c>
      <c r="B1963" s="2">
        <v>43506</v>
      </c>
      <c r="C1963" s="1" t="s">
        <v>11</v>
      </c>
      <c r="D1963" s="1">
        <v>50</v>
      </c>
      <c r="E1963" t="s">
        <v>24</v>
      </c>
      <c r="F1963" t="s">
        <v>24</v>
      </c>
      <c r="G1963" s="1">
        <v>4868.5600000000004</v>
      </c>
      <c r="H1963">
        <v>0.01</v>
      </c>
      <c r="I1963">
        <f>Sales_Data[[#This Row],[Sales]]*Sales_Data[[#This Row],[Discount]]</f>
        <v>48.685600000000008</v>
      </c>
      <c r="J1963">
        <v>4819.8744000000006</v>
      </c>
      <c r="K1963" s="1">
        <v>62.3</v>
      </c>
      <c r="L1963" s="1">
        <v>4806.26</v>
      </c>
      <c r="M1963" s="1" t="s">
        <v>13</v>
      </c>
      <c r="N1963" s="1">
        <f>IF(Sales_Data[[#This Row],[Sales with Discount]]&lt;Sales_Data[[#This Row],[Sales with Free Shipping]],Sales_Data[[#This Row],[Sales with Discount]],Sales_Data[[#This Row],[Sales with Free Shipping]])</f>
        <v>4806.26</v>
      </c>
      <c r="O1963" s="1" t="str">
        <f>TEXT(Sales_Data[[#This Row],[Order Date]], "MM-YYYY")</f>
        <v>02-2019</v>
      </c>
    </row>
    <row r="1964" spans="1:15" x14ac:dyDescent="0.3">
      <c r="A1964" s="1">
        <v>46276</v>
      </c>
      <c r="B1964" s="2">
        <v>43808</v>
      </c>
      <c r="C1964" s="1" t="s">
        <v>12</v>
      </c>
      <c r="D1964" s="1">
        <v>23</v>
      </c>
      <c r="E1964" t="s">
        <v>14</v>
      </c>
      <c r="F1964" t="s">
        <v>14</v>
      </c>
      <c r="G1964" s="1">
        <v>17915.82</v>
      </c>
      <c r="H1964">
        <v>0</v>
      </c>
      <c r="I1964">
        <f>Sales_Data[[#This Row],[Sales]]*Sales_Data[[#This Row],[Discount]]</f>
        <v>0</v>
      </c>
      <c r="J1964">
        <v>17915.82</v>
      </c>
      <c r="K1964" s="1">
        <v>26.2</v>
      </c>
      <c r="L1964" s="1">
        <v>17915.82</v>
      </c>
      <c r="M1964" s="1" t="s">
        <v>10</v>
      </c>
      <c r="N1964" s="1">
        <f>IF(Sales_Data[[#This Row],[Sales with Discount]]&lt;Sales_Data[[#This Row],[Sales with Free Shipping]],Sales_Data[[#This Row],[Sales with Discount]],Sales_Data[[#This Row],[Sales with Free Shipping]])</f>
        <v>17915.82</v>
      </c>
      <c r="O1964" s="1" t="str">
        <f>TEXT(Sales_Data[[#This Row],[Order Date]], "MM-YYYY")</f>
        <v>12-2019</v>
      </c>
    </row>
    <row r="1965" spans="1:15" x14ac:dyDescent="0.3">
      <c r="A1965" s="1">
        <v>21856</v>
      </c>
      <c r="B1965" s="2">
        <v>43560</v>
      </c>
      <c r="C1965" s="1" t="s">
        <v>11</v>
      </c>
      <c r="D1965" s="1">
        <v>47</v>
      </c>
      <c r="E1965" t="s">
        <v>24</v>
      </c>
      <c r="F1965" t="s">
        <v>24</v>
      </c>
      <c r="G1965" s="1">
        <v>180.35</v>
      </c>
      <c r="H1965">
        <v>0.01</v>
      </c>
      <c r="I1965">
        <f>Sales_Data[[#This Row],[Sales]]*Sales_Data[[#This Row],[Discount]]</f>
        <v>1.8034999999999999</v>
      </c>
      <c r="J1965">
        <v>178.54649999999998</v>
      </c>
      <c r="K1965" s="1">
        <v>0.5</v>
      </c>
      <c r="L1965" s="1">
        <v>179.85</v>
      </c>
      <c r="M1965" s="1" t="s">
        <v>10</v>
      </c>
      <c r="N1965" s="1">
        <f>IF(Sales_Data[[#This Row],[Sales with Discount]]&lt;Sales_Data[[#This Row],[Sales with Free Shipping]],Sales_Data[[#This Row],[Sales with Discount]],Sales_Data[[#This Row],[Sales with Free Shipping]])</f>
        <v>178.54649999999998</v>
      </c>
      <c r="O1965" s="1" t="str">
        <f>TEXT(Sales_Data[[#This Row],[Order Date]], "MM-YYYY")</f>
        <v>04-2019</v>
      </c>
    </row>
    <row r="1966" spans="1:15" x14ac:dyDescent="0.3">
      <c r="A1966" s="1">
        <v>48353</v>
      </c>
      <c r="B1966" s="2">
        <v>43814</v>
      </c>
      <c r="C1966" s="1" t="s">
        <v>11</v>
      </c>
      <c r="D1966" s="1">
        <v>18</v>
      </c>
      <c r="E1966" t="s">
        <v>19</v>
      </c>
      <c r="F1966" t="s">
        <v>19</v>
      </c>
      <c r="G1966" s="1">
        <v>76.209999999999994</v>
      </c>
      <c r="H1966">
        <v>0</v>
      </c>
      <c r="I1966">
        <f>Sales_Data[[#This Row],[Sales]]*Sales_Data[[#This Row],[Discount]]</f>
        <v>0</v>
      </c>
      <c r="J1966">
        <v>76.209999999999994</v>
      </c>
      <c r="K1966" s="1">
        <v>0.7</v>
      </c>
      <c r="L1966" s="1">
        <v>76.209999999999994</v>
      </c>
      <c r="M1966" s="1" t="s">
        <v>10</v>
      </c>
      <c r="N1966" s="1">
        <f>IF(Sales_Data[[#This Row],[Sales with Discount]]&lt;Sales_Data[[#This Row],[Sales with Free Shipping]],Sales_Data[[#This Row],[Sales with Discount]],Sales_Data[[#This Row],[Sales with Free Shipping]])</f>
        <v>76.209999999999994</v>
      </c>
      <c r="O1966" s="1" t="str">
        <f>TEXT(Sales_Data[[#This Row],[Order Date]], "MM-YYYY")</f>
        <v>12-2019</v>
      </c>
    </row>
    <row r="1967" spans="1:15" x14ac:dyDescent="0.3">
      <c r="A1967" s="1">
        <v>42115</v>
      </c>
      <c r="B1967" s="2">
        <v>43513</v>
      </c>
      <c r="C1967" s="1" t="s">
        <v>12</v>
      </c>
      <c r="D1967" s="1">
        <v>19</v>
      </c>
      <c r="E1967" t="s">
        <v>19</v>
      </c>
      <c r="F1967" t="s">
        <v>19</v>
      </c>
      <c r="G1967" s="1">
        <v>578.4</v>
      </c>
      <c r="H1967">
        <v>0</v>
      </c>
      <c r="I1967">
        <f>Sales_Data[[#This Row],[Sales]]*Sales_Data[[#This Row],[Discount]]</f>
        <v>0</v>
      </c>
      <c r="J1967">
        <v>578.4</v>
      </c>
      <c r="K1967" s="1">
        <v>15</v>
      </c>
      <c r="L1967" s="1">
        <v>578.4</v>
      </c>
      <c r="M1967" s="1" t="s">
        <v>10</v>
      </c>
      <c r="N1967" s="1">
        <f>IF(Sales_Data[[#This Row],[Sales with Discount]]&lt;Sales_Data[[#This Row],[Sales with Free Shipping]],Sales_Data[[#This Row],[Sales with Discount]],Sales_Data[[#This Row],[Sales with Free Shipping]])</f>
        <v>578.4</v>
      </c>
      <c r="O1967" s="1" t="str">
        <f>TEXT(Sales_Data[[#This Row],[Order Date]], "MM-YYYY")</f>
        <v>02-2019</v>
      </c>
    </row>
    <row r="1968" spans="1:15" x14ac:dyDescent="0.3">
      <c r="A1968" s="1">
        <v>3907</v>
      </c>
      <c r="B1968" s="2">
        <v>43695</v>
      </c>
      <c r="C1968" s="1" t="s">
        <v>14</v>
      </c>
      <c r="D1968" s="1">
        <v>36</v>
      </c>
      <c r="E1968" t="s">
        <v>22</v>
      </c>
      <c r="F1968" t="s">
        <v>22</v>
      </c>
      <c r="G1968" s="1">
        <v>233.39</v>
      </c>
      <c r="H1968">
        <v>0.01</v>
      </c>
      <c r="I1968">
        <f>Sales_Data[[#This Row],[Sales]]*Sales_Data[[#This Row],[Discount]]</f>
        <v>2.3338999999999999</v>
      </c>
      <c r="J1968">
        <v>231.05609999999999</v>
      </c>
      <c r="K1968" s="1">
        <v>52.4</v>
      </c>
      <c r="L1968" s="1">
        <v>180.98999999999998</v>
      </c>
      <c r="M1968" s="1" t="s">
        <v>10</v>
      </c>
      <c r="N1968" s="1">
        <f>IF(Sales_Data[[#This Row],[Sales with Discount]]&lt;Sales_Data[[#This Row],[Sales with Free Shipping]],Sales_Data[[#This Row],[Sales with Discount]],Sales_Data[[#This Row],[Sales with Free Shipping]])</f>
        <v>180.98999999999998</v>
      </c>
      <c r="O1968" s="1" t="str">
        <f>TEXT(Sales_Data[[#This Row],[Order Date]], "MM-YYYY")</f>
        <v>08-2019</v>
      </c>
    </row>
    <row r="1969" spans="1:15" x14ac:dyDescent="0.3">
      <c r="A1969" s="1">
        <v>33222</v>
      </c>
      <c r="B1969" s="2">
        <v>43635</v>
      </c>
      <c r="C1969" s="1" t="s">
        <v>14</v>
      </c>
      <c r="D1969" s="1">
        <v>18</v>
      </c>
      <c r="E1969" t="s">
        <v>19</v>
      </c>
      <c r="F1969" t="s">
        <v>19</v>
      </c>
      <c r="G1969" s="1">
        <v>450.21319999999997</v>
      </c>
      <c r="H1969">
        <v>0</v>
      </c>
      <c r="I1969">
        <f>Sales_Data[[#This Row],[Sales]]*Sales_Data[[#This Row],[Discount]]</f>
        <v>0</v>
      </c>
      <c r="J1969">
        <v>450.21319999999997</v>
      </c>
      <c r="K1969" s="1">
        <v>16.2</v>
      </c>
      <c r="L1969" s="1">
        <v>450.21319999999997</v>
      </c>
      <c r="M1969" s="1" t="s">
        <v>10</v>
      </c>
      <c r="N1969" s="1">
        <f>IF(Sales_Data[[#This Row],[Sales with Discount]]&lt;Sales_Data[[#This Row],[Sales with Free Shipping]],Sales_Data[[#This Row],[Sales with Discount]],Sales_Data[[#This Row],[Sales with Free Shipping]])</f>
        <v>450.21319999999997</v>
      </c>
      <c r="O1969" s="1" t="str">
        <f>TEXT(Sales_Data[[#This Row],[Order Date]], "MM-YYYY")</f>
        <v>06-2019</v>
      </c>
    </row>
    <row r="1970" spans="1:15" x14ac:dyDescent="0.3">
      <c r="A1970" s="1">
        <v>13633</v>
      </c>
      <c r="B1970" s="2">
        <v>43558</v>
      </c>
      <c r="C1970" s="1" t="s">
        <v>11</v>
      </c>
      <c r="D1970" s="1">
        <v>39</v>
      </c>
      <c r="E1970" t="s">
        <v>22</v>
      </c>
      <c r="F1970" t="s">
        <v>22</v>
      </c>
      <c r="G1970" s="1">
        <v>1645.84</v>
      </c>
      <c r="H1970">
        <v>0.01</v>
      </c>
      <c r="I1970">
        <f>Sales_Data[[#This Row],[Sales]]*Sales_Data[[#This Row],[Discount]]</f>
        <v>16.458400000000001</v>
      </c>
      <c r="J1970">
        <v>1629.3815999999999</v>
      </c>
      <c r="K1970" s="1">
        <v>37.5</v>
      </c>
      <c r="L1970" s="1">
        <v>1608.34</v>
      </c>
      <c r="M1970" s="1" t="s">
        <v>10</v>
      </c>
      <c r="N1970" s="1">
        <f>IF(Sales_Data[[#This Row],[Sales with Discount]]&lt;Sales_Data[[#This Row],[Sales with Free Shipping]],Sales_Data[[#This Row],[Sales with Discount]],Sales_Data[[#This Row],[Sales with Free Shipping]])</f>
        <v>1608.34</v>
      </c>
      <c r="O1970" s="1" t="str">
        <f>TEXT(Sales_Data[[#This Row],[Order Date]], "MM-YYYY")</f>
        <v>04-2019</v>
      </c>
    </row>
    <row r="1971" spans="1:15" x14ac:dyDescent="0.3">
      <c r="A1971" s="1">
        <v>46497</v>
      </c>
      <c r="B1971" s="2">
        <v>43635</v>
      </c>
      <c r="C1971" s="1" t="s">
        <v>9</v>
      </c>
      <c r="D1971" s="1">
        <v>30</v>
      </c>
      <c r="E1971" t="s">
        <v>20</v>
      </c>
      <c r="F1971" t="s">
        <v>20</v>
      </c>
      <c r="G1971" s="1">
        <v>674.68</v>
      </c>
      <c r="H1971">
        <v>0</v>
      </c>
      <c r="I1971">
        <f>Sales_Data[[#This Row],[Sales]]*Sales_Data[[#This Row],[Discount]]</f>
        <v>0</v>
      </c>
      <c r="J1971">
        <v>674.68</v>
      </c>
      <c r="K1971" s="1">
        <v>9.6</v>
      </c>
      <c r="L1971" s="1">
        <v>674.68</v>
      </c>
      <c r="M1971" s="1" t="s">
        <v>10</v>
      </c>
      <c r="N1971" s="1">
        <f>IF(Sales_Data[[#This Row],[Sales with Discount]]&lt;Sales_Data[[#This Row],[Sales with Free Shipping]],Sales_Data[[#This Row],[Sales with Discount]],Sales_Data[[#This Row],[Sales with Free Shipping]])</f>
        <v>674.68</v>
      </c>
      <c r="O1971" s="1" t="str">
        <f>TEXT(Sales_Data[[#This Row],[Order Date]], "MM-YYYY")</f>
        <v>06-2019</v>
      </c>
    </row>
    <row r="1972" spans="1:15" x14ac:dyDescent="0.3">
      <c r="A1972" s="1">
        <v>26979</v>
      </c>
      <c r="B1972" s="2">
        <v>43552</v>
      </c>
      <c r="C1972" s="1" t="s">
        <v>14</v>
      </c>
      <c r="D1972" s="1">
        <v>50</v>
      </c>
      <c r="E1972" t="s">
        <v>24</v>
      </c>
      <c r="F1972" t="s">
        <v>24</v>
      </c>
      <c r="G1972" s="1">
        <v>6519.77</v>
      </c>
      <c r="H1972">
        <v>0.01</v>
      </c>
      <c r="I1972">
        <f>Sales_Data[[#This Row],[Sales]]*Sales_Data[[#This Row],[Discount]]</f>
        <v>65.197700000000012</v>
      </c>
      <c r="J1972">
        <v>6454.5723000000007</v>
      </c>
      <c r="K1972" s="1">
        <v>8.6</v>
      </c>
      <c r="L1972" s="1">
        <v>6511.17</v>
      </c>
      <c r="M1972" s="1" t="s">
        <v>10</v>
      </c>
      <c r="N1972" s="1">
        <f>IF(Sales_Data[[#This Row],[Sales with Discount]]&lt;Sales_Data[[#This Row],[Sales with Free Shipping]],Sales_Data[[#This Row],[Sales with Discount]],Sales_Data[[#This Row],[Sales with Free Shipping]])</f>
        <v>6454.5723000000007</v>
      </c>
      <c r="O1972" s="1" t="str">
        <f>TEXT(Sales_Data[[#This Row],[Order Date]], "MM-YYYY")</f>
        <v>03-2019</v>
      </c>
    </row>
    <row r="1973" spans="1:15" x14ac:dyDescent="0.3">
      <c r="A1973" s="1">
        <v>13282</v>
      </c>
      <c r="B1973" s="2">
        <v>43594</v>
      </c>
      <c r="C1973" s="1" t="s">
        <v>7</v>
      </c>
      <c r="D1973" s="1">
        <v>2</v>
      </c>
      <c r="E1973" t="s">
        <v>16</v>
      </c>
      <c r="F1973" t="s">
        <v>16</v>
      </c>
      <c r="G1973" s="1">
        <v>13.47</v>
      </c>
      <c r="H1973">
        <v>0</v>
      </c>
      <c r="I1973">
        <f>Sales_Data[[#This Row],[Sales]]*Sales_Data[[#This Row],[Discount]]</f>
        <v>0</v>
      </c>
      <c r="J1973">
        <v>13.47</v>
      </c>
      <c r="K1973" s="1">
        <v>0.5</v>
      </c>
      <c r="L1973" s="1">
        <v>13.47</v>
      </c>
      <c r="M1973" s="1" t="s">
        <v>10</v>
      </c>
      <c r="N1973" s="1">
        <f>IF(Sales_Data[[#This Row],[Sales with Discount]]&lt;Sales_Data[[#This Row],[Sales with Free Shipping]],Sales_Data[[#This Row],[Sales with Discount]],Sales_Data[[#This Row],[Sales with Free Shipping]])</f>
        <v>13.47</v>
      </c>
      <c r="O1973" s="1" t="str">
        <f>TEXT(Sales_Data[[#This Row],[Order Date]], "MM-YYYY")</f>
        <v>05-2019</v>
      </c>
    </row>
    <row r="1974" spans="1:15" x14ac:dyDescent="0.3">
      <c r="A1974" s="1">
        <v>59329</v>
      </c>
      <c r="B1974" s="2">
        <v>43803</v>
      </c>
      <c r="C1974" s="1" t="s">
        <v>12</v>
      </c>
      <c r="D1974" s="1">
        <v>41</v>
      </c>
      <c r="E1974" t="s">
        <v>23</v>
      </c>
      <c r="F1974" t="s">
        <v>23</v>
      </c>
      <c r="G1974" s="1">
        <v>229.18</v>
      </c>
      <c r="H1974">
        <v>0.01</v>
      </c>
      <c r="I1974">
        <f>Sales_Data[[#This Row],[Sales]]*Sales_Data[[#This Row],[Discount]]</f>
        <v>2.2918000000000003</v>
      </c>
      <c r="J1974">
        <v>226.88820000000001</v>
      </c>
      <c r="K1974" s="1">
        <v>5</v>
      </c>
      <c r="L1974" s="1">
        <v>224.18</v>
      </c>
      <c r="M1974" s="1" t="s">
        <v>10</v>
      </c>
      <c r="N1974" s="1">
        <f>IF(Sales_Data[[#This Row],[Sales with Discount]]&lt;Sales_Data[[#This Row],[Sales with Free Shipping]],Sales_Data[[#This Row],[Sales with Discount]],Sales_Data[[#This Row],[Sales with Free Shipping]])</f>
        <v>224.18</v>
      </c>
      <c r="O1974" s="1" t="str">
        <f>TEXT(Sales_Data[[#This Row],[Order Date]], "MM-YYYY")</f>
        <v>12-2019</v>
      </c>
    </row>
    <row r="1975" spans="1:15" x14ac:dyDescent="0.3">
      <c r="A1975" s="1">
        <v>31393</v>
      </c>
      <c r="B1975" s="2">
        <v>43596</v>
      </c>
      <c r="C1975" s="1" t="s">
        <v>12</v>
      </c>
      <c r="D1975" s="1">
        <v>4</v>
      </c>
      <c r="E1975" t="s">
        <v>16</v>
      </c>
      <c r="F1975" t="s">
        <v>16</v>
      </c>
      <c r="G1975" s="1">
        <v>104.4</v>
      </c>
      <c r="H1975">
        <v>0</v>
      </c>
      <c r="I1975">
        <f>Sales_Data[[#This Row],[Sales]]*Sales_Data[[#This Row],[Discount]]</f>
        <v>0</v>
      </c>
      <c r="J1975">
        <v>104.4</v>
      </c>
      <c r="K1975" s="1">
        <v>15.9</v>
      </c>
      <c r="L1975" s="1">
        <v>104.4</v>
      </c>
      <c r="M1975" s="1" t="s">
        <v>10</v>
      </c>
      <c r="N1975" s="1">
        <f>IF(Sales_Data[[#This Row],[Sales with Discount]]&lt;Sales_Data[[#This Row],[Sales with Free Shipping]],Sales_Data[[#This Row],[Sales with Discount]],Sales_Data[[#This Row],[Sales with Free Shipping]])</f>
        <v>104.4</v>
      </c>
      <c r="O1975" s="1" t="str">
        <f>TEXT(Sales_Data[[#This Row],[Order Date]], "MM-YYYY")</f>
        <v>05-2019</v>
      </c>
    </row>
    <row r="1976" spans="1:15" x14ac:dyDescent="0.3">
      <c r="A1976" s="1">
        <v>38723</v>
      </c>
      <c r="B1976" s="2">
        <v>43728</v>
      </c>
      <c r="C1976" s="1" t="s">
        <v>12</v>
      </c>
      <c r="D1976" s="1">
        <v>39</v>
      </c>
      <c r="E1976" t="s">
        <v>22</v>
      </c>
      <c r="F1976" t="s">
        <v>22</v>
      </c>
      <c r="G1976" s="1">
        <v>2800.33</v>
      </c>
      <c r="H1976">
        <v>0.01</v>
      </c>
      <c r="I1976">
        <f>Sales_Data[[#This Row],[Sales]]*Sales_Data[[#This Row],[Discount]]</f>
        <v>28.003299999999999</v>
      </c>
      <c r="J1976">
        <v>2772.3267000000001</v>
      </c>
      <c r="K1976" s="1">
        <v>7.4</v>
      </c>
      <c r="L1976" s="1">
        <v>2792.93</v>
      </c>
      <c r="M1976" s="1" t="s">
        <v>10</v>
      </c>
      <c r="N1976" s="1">
        <f>IF(Sales_Data[[#This Row],[Sales with Discount]]&lt;Sales_Data[[#This Row],[Sales with Free Shipping]],Sales_Data[[#This Row],[Sales with Discount]],Sales_Data[[#This Row],[Sales with Free Shipping]])</f>
        <v>2772.3267000000001</v>
      </c>
      <c r="O1976" s="1" t="str">
        <f>TEXT(Sales_Data[[#This Row],[Order Date]], "MM-YYYY")</f>
        <v>09-2019</v>
      </c>
    </row>
    <row r="1977" spans="1:15" x14ac:dyDescent="0.3">
      <c r="A1977" s="1">
        <v>56291</v>
      </c>
      <c r="B1977" s="2">
        <v>43725</v>
      </c>
      <c r="C1977" s="1" t="s">
        <v>11</v>
      </c>
      <c r="D1977" s="1">
        <v>25</v>
      </c>
      <c r="E1977" t="s">
        <v>14</v>
      </c>
      <c r="F1977" t="s">
        <v>14</v>
      </c>
      <c r="G1977" s="1">
        <v>403.78590000000003</v>
      </c>
      <c r="H1977">
        <v>0</v>
      </c>
      <c r="I1977">
        <f>Sales_Data[[#This Row],[Sales]]*Sales_Data[[#This Row],[Discount]]</f>
        <v>0</v>
      </c>
      <c r="J1977">
        <v>403.78590000000003</v>
      </c>
      <c r="K1977" s="1">
        <v>2.1</v>
      </c>
      <c r="L1977" s="1">
        <v>403.78590000000003</v>
      </c>
      <c r="M1977" s="1" t="s">
        <v>10</v>
      </c>
      <c r="N1977" s="1">
        <f>IF(Sales_Data[[#This Row],[Sales with Discount]]&lt;Sales_Data[[#This Row],[Sales with Free Shipping]],Sales_Data[[#This Row],[Sales with Discount]],Sales_Data[[#This Row],[Sales with Free Shipping]])</f>
        <v>403.78590000000003</v>
      </c>
      <c r="O1977" s="1" t="str">
        <f>TEXT(Sales_Data[[#This Row],[Order Date]], "MM-YYYY")</f>
        <v>09-2019</v>
      </c>
    </row>
    <row r="1978" spans="1:15" x14ac:dyDescent="0.3">
      <c r="A1978" s="1">
        <v>50503</v>
      </c>
      <c r="B1978" s="2">
        <v>43790</v>
      </c>
      <c r="C1978" s="1" t="s">
        <v>14</v>
      </c>
      <c r="D1978" s="1">
        <v>28</v>
      </c>
      <c r="E1978" t="s">
        <v>20</v>
      </c>
      <c r="F1978" t="s">
        <v>20</v>
      </c>
      <c r="G1978" s="1">
        <v>1646.59</v>
      </c>
      <c r="H1978">
        <v>0</v>
      </c>
      <c r="I1978">
        <f>Sales_Data[[#This Row],[Sales]]*Sales_Data[[#This Row],[Discount]]</f>
        <v>0</v>
      </c>
      <c r="J1978">
        <v>1646.59</v>
      </c>
      <c r="K1978" s="1">
        <v>21.4</v>
      </c>
      <c r="L1978" s="1">
        <v>1646.59</v>
      </c>
      <c r="M1978" s="1" t="s">
        <v>10</v>
      </c>
      <c r="N1978" s="1">
        <f>IF(Sales_Data[[#This Row],[Sales with Discount]]&lt;Sales_Data[[#This Row],[Sales with Free Shipping]],Sales_Data[[#This Row],[Sales with Discount]],Sales_Data[[#This Row],[Sales with Free Shipping]])</f>
        <v>1646.59</v>
      </c>
      <c r="O1978" s="1" t="str">
        <f>TEXT(Sales_Data[[#This Row],[Order Date]], "MM-YYYY")</f>
        <v>11-2019</v>
      </c>
    </row>
    <row r="1979" spans="1:15" x14ac:dyDescent="0.3">
      <c r="A1979" s="1">
        <v>11137</v>
      </c>
      <c r="B1979" s="2">
        <v>43798</v>
      </c>
      <c r="C1979" s="1" t="s">
        <v>9</v>
      </c>
      <c r="D1979" s="1">
        <v>48</v>
      </c>
      <c r="E1979" t="s">
        <v>24</v>
      </c>
      <c r="F1979" t="s">
        <v>24</v>
      </c>
      <c r="G1979" s="1">
        <v>5552.08</v>
      </c>
      <c r="H1979">
        <v>0.01</v>
      </c>
      <c r="I1979">
        <f>Sales_Data[[#This Row],[Sales]]*Sales_Data[[#This Row],[Discount]]</f>
        <v>55.520800000000001</v>
      </c>
      <c r="J1979">
        <v>5496.5591999999997</v>
      </c>
      <c r="K1979" s="1">
        <v>9.1999999999999993</v>
      </c>
      <c r="L1979" s="1">
        <v>5542.88</v>
      </c>
      <c r="M1979" s="1" t="s">
        <v>10</v>
      </c>
      <c r="N1979" s="1">
        <f>IF(Sales_Data[[#This Row],[Sales with Discount]]&lt;Sales_Data[[#This Row],[Sales with Free Shipping]],Sales_Data[[#This Row],[Sales with Discount]],Sales_Data[[#This Row],[Sales with Free Shipping]])</f>
        <v>5496.5591999999997</v>
      </c>
      <c r="O1979" s="1" t="str">
        <f>TEXT(Sales_Data[[#This Row],[Order Date]], "MM-YYYY")</f>
        <v>11-2019</v>
      </c>
    </row>
    <row r="1980" spans="1:15" x14ac:dyDescent="0.3">
      <c r="A1980" s="1">
        <v>59491</v>
      </c>
      <c r="B1980" s="2">
        <v>43548</v>
      </c>
      <c r="C1980" s="1" t="s">
        <v>9</v>
      </c>
      <c r="D1980" s="1">
        <v>46</v>
      </c>
      <c r="E1980" t="s">
        <v>24</v>
      </c>
      <c r="F1980" t="s">
        <v>24</v>
      </c>
      <c r="G1980" s="1">
        <v>602.35649999999998</v>
      </c>
      <c r="H1980">
        <v>0.01</v>
      </c>
      <c r="I1980">
        <f>Sales_Data[[#This Row],[Sales]]*Sales_Data[[#This Row],[Discount]]</f>
        <v>6.0235649999999996</v>
      </c>
      <c r="J1980">
        <v>596.33293500000002</v>
      </c>
      <c r="K1980" s="1">
        <v>3</v>
      </c>
      <c r="L1980" s="1">
        <v>599.35649999999998</v>
      </c>
      <c r="M1980" s="1" t="s">
        <v>10</v>
      </c>
      <c r="N1980" s="1">
        <f>IF(Sales_Data[[#This Row],[Sales with Discount]]&lt;Sales_Data[[#This Row],[Sales with Free Shipping]],Sales_Data[[#This Row],[Sales with Discount]],Sales_Data[[#This Row],[Sales with Free Shipping]])</f>
        <v>596.33293500000002</v>
      </c>
      <c r="O1980" s="1" t="str">
        <f>TEXT(Sales_Data[[#This Row],[Order Date]], "MM-YYYY")</f>
        <v>03-2019</v>
      </c>
    </row>
    <row r="1981" spans="1:15" x14ac:dyDescent="0.3">
      <c r="A1981" s="1">
        <v>28901</v>
      </c>
      <c r="B1981" s="2">
        <v>43627</v>
      </c>
      <c r="C1981" s="1" t="s">
        <v>9</v>
      </c>
      <c r="D1981" s="1">
        <v>23</v>
      </c>
      <c r="E1981" t="s">
        <v>14</v>
      </c>
      <c r="F1981" t="s">
        <v>14</v>
      </c>
      <c r="G1981" s="1">
        <v>932.31</v>
      </c>
      <c r="H1981">
        <v>0</v>
      </c>
      <c r="I1981">
        <f>Sales_Data[[#This Row],[Sales]]*Sales_Data[[#This Row],[Discount]]</f>
        <v>0</v>
      </c>
      <c r="J1981">
        <v>932.31</v>
      </c>
      <c r="K1981" s="1">
        <v>6.3</v>
      </c>
      <c r="L1981" s="1">
        <v>932.31</v>
      </c>
      <c r="M1981" s="1" t="s">
        <v>10</v>
      </c>
      <c r="N1981" s="1">
        <f>IF(Sales_Data[[#This Row],[Sales with Discount]]&lt;Sales_Data[[#This Row],[Sales with Free Shipping]],Sales_Data[[#This Row],[Sales with Discount]],Sales_Data[[#This Row],[Sales with Free Shipping]])</f>
        <v>932.31</v>
      </c>
      <c r="O1981" s="1" t="str">
        <f>TEXT(Sales_Data[[#This Row],[Order Date]], "MM-YYYY")</f>
        <v>06-2019</v>
      </c>
    </row>
    <row r="1982" spans="1:15" x14ac:dyDescent="0.3">
      <c r="A1982" s="1">
        <v>31106</v>
      </c>
      <c r="B1982" s="2">
        <v>43511</v>
      </c>
      <c r="C1982" s="1" t="s">
        <v>7</v>
      </c>
      <c r="D1982" s="1">
        <v>43</v>
      </c>
      <c r="E1982" t="s">
        <v>23</v>
      </c>
      <c r="F1982" t="s">
        <v>23</v>
      </c>
      <c r="G1982" s="1">
        <v>5025.8242</v>
      </c>
      <c r="H1982">
        <v>0.01</v>
      </c>
      <c r="I1982">
        <f>Sales_Data[[#This Row],[Sales]]*Sales_Data[[#This Row],[Discount]]</f>
        <v>50.258242000000003</v>
      </c>
      <c r="J1982">
        <v>4975.5659580000001</v>
      </c>
      <c r="K1982" s="1">
        <v>6</v>
      </c>
      <c r="L1982" s="1">
        <v>5019.8242</v>
      </c>
      <c r="M1982" s="1" t="s">
        <v>10</v>
      </c>
      <c r="N1982" s="1">
        <f>IF(Sales_Data[[#This Row],[Sales with Discount]]&lt;Sales_Data[[#This Row],[Sales with Free Shipping]],Sales_Data[[#This Row],[Sales with Discount]],Sales_Data[[#This Row],[Sales with Free Shipping]])</f>
        <v>4975.5659580000001</v>
      </c>
      <c r="O1982" s="1" t="str">
        <f>TEXT(Sales_Data[[#This Row],[Order Date]], "MM-YYYY")</f>
        <v>02-2019</v>
      </c>
    </row>
    <row r="1983" spans="1:15" x14ac:dyDescent="0.3">
      <c r="A1983" s="1">
        <v>17571</v>
      </c>
      <c r="B1983" s="2">
        <v>43539</v>
      </c>
      <c r="C1983" s="1" t="s">
        <v>11</v>
      </c>
      <c r="D1983" s="1">
        <v>50</v>
      </c>
      <c r="E1983" t="s">
        <v>24</v>
      </c>
      <c r="F1983" t="s">
        <v>24</v>
      </c>
      <c r="G1983" s="1">
        <v>1814.35</v>
      </c>
      <c r="H1983">
        <v>0.01</v>
      </c>
      <c r="I1983">
        <f>Sales_Data[[#This Row],[Sales]]*Sales_Data[[#This Row],[Discount]]</f>
        <v>18.1435</v>
      </c>
      <c r="J1983">
        <v>1796.2065</v>
      </c>
      <c r="K1983" s="1">
        <v>5.9</v>
      </c>
      <c r="L1983" s="1">
        <v>1808.4499999999998</v>
      </c>
      <c r="M1983" s="1" t="s">
        <v>8</v>
      </c>
      <c r="N1983" s="1">
        <f>IF(Sales_Data[[#This Row],[Sales with Discount]]&lt;Sales_Data[[#This Row],[Sales with Free Shipping]],Sales_Data[[#This Row],[Sales with Discount]],Sales_Data[[#This Row],[Sales with Free Shipping]])</f>
        <v>1796.2065</v>
      </c>
      <c r="O1983" s="1" t="str">
        <f>TEXT(Sales_Data[[#This Row],[Order Date]], "MM-YYYY")</f>
        <v>03-2019</v>
      </c>
    </row>
    <row r="1984" spans="1:15" x14ac:dyDescent="0.3">
      <c r="A1984" s="1">
        <v>6150</v>
      </c>
      <c r="B1984" s="2">
        <v>43739</v>
      </c>
      <c r="C1984" s="1" t="s">
        <v>12</v>
      </c>
      <c r="D1984" s="1">
        <v>38</v>
      </c>
      <c r="E1984" t="s">
        <v>22</v>
      </c>
      <c r="F1984" t="s">
        <v>22</v>
      </c>
      <c r="G1984" s="1">
        <v>204.52</v>
      </c>
      <c r="H1984">
        <v>0.01</v>
      </c>
      <c r="I1984">
        <f>Sales_Data[[#This Row],[Sales]]*Sales_Data[[#This Row],[Discount]]</f>
        <v>2.0452000000000004</v>
      </c>
      <c r="J1984">
        <v>202.47480000000002</v>
      </c>
      <c r="K1984" s="1">
        <v>0.9</v>
      </c>
      <c r="L1984" s="1">
        <v>203.62</v>
      </c>
      <c r="M1984" s="1" t="s">
        <v>10</v>
      </c>
      <c r="N1984" s="1">
        <f>IF(Sales_Data[[#This Row],[Sales with Discount]]&lt;Sales_Data[[#This Row],[Sales with Free Shipping]],Sales_Data[[#This Row],[Sales with Discount]],Sales_Data[[#This Row],[Sales with Free Shipping]])</f>
        <v>202.47480000000002</v>
      </c>
      <c r="O1984" s="1" t="str">
        <f>TEXT(Sales_Data[[#This Row],[Order Date]], "MM-YYYY")</f>
        <v>10-2019</v>
      </c>
    </row>
    <row r="1985" spans="1:15" x14ac:dyDescent="0.3">
      <c r="A1985" s="1">
        <v>26055</v>
      </c>
      <c r="B1985" s="2">
        <v>43794</v>
      </c>
      <c r="C1985" s="1" t="s">
        <v>11</v>
      </c>
      <c r="D1985" s="1">
        <v>46</v>
      </c>
      <c r="E1985" t="s">
        <v>24</v>
      </c>
      <c r="F1985" t="s">
        <v>24</v>
      </c>
      <c r="G1985" s="1">
        <v>7204.87</v>
      </c>
      <c r="H1985">
        <v>0.01</v>
      </c>
      <c r="I1985">
        <f>Sales_Data[[#This Row],[Sales]]*Sales_Data[[#This Row],[Discount]]</f>
        <v>72.048699999999997</v>
      </c>
      <c r="J1985">
        <v>7132.8212999999996</v>
      </c>
      <c r="K1985" s="1">
        <v>4.3</v>
      </c>
      <c r="L1985" s="1">
        <v>7200.57</v>
      </c>
      <c r="M1985" s="1" t="s">
        <v>10</v>
      </c>
      <c r="N1985" s="1">
        <f>IF(Sales_Data[[#This Row],[Sales with Discount]]&lt;Sales_Data[[#This Row],[Sales with Free Shipping]],Sales_Data[[#This Row],[Sales with Discount]],Sales_Data[[#This Row],[Sales with Free Shipping]])</f>
        <v>7132.8212999999996</v>
      </c>
      <c r="O1985" s="1" t="str">
        <f>TEXT(Sales_Data[[#This Row],[Order Date]], "MM-YYYY")</f>
        <v>11-2019</v>
      </c>
    </row>
    <row r="1986" spans="1:15" x14ac:dyDescent="0.3">
      <c r="A1986" s="1">
        <v>44678</v>
      </c>
      <c r="B1986" s="2">
        <v>43751</v>
      </c>
      <c r="C1986" s="1" t="s">
        <v>7</v>
      </c>
      <c r="D1986" s="1">
        <v>36</v>
      </c>
      <c r="E1986" t="s">
        <v>22</v>
      </c>
      <c r="F1986" t="s">
        <v>22</v>
      </c>
      <c r="G1986" s="1">
        <v>1233.3141000000001</v>
      </c>
      <c r="H1986">
        <v>0.01</v>
      </c>
      <c r="I1986">
        <f>Sales_Data[[#This Row],[Sales]]*Sales_Data[[#This Row],[Discount]]</f>
        <v>12.333141000000001</v>
      </c>
      <c r="J1986">
        <v>1220.980959</v>
      </c>
      <c r="K1986" s="1">
        <v>7.6</v>
      </c>
      <c r="L1986" s="1">
        <v>1225.7141000000001</v>
      </c>
      <c r="M1986" s="1" t="s">
        <v>10</v>
      </c>
      <c r="N1986" s="1">
        <f>IF(Sales_Data[[#This Row],[Sales with Discount]]&lt;Sales_Data[[#This Row],[Sales with Free Shipping]],Sales_Data[[#This Row],[Sales with Discount]],Sales_Data[[#This Row],[Sales with Free Shipping]])</f>
        <v>1220.980959</v>
      </c>
      <c r="O1986" s="1" t="str">
        <f>TEXT(Sales_Data[[#This Row],[Order Date]], "MM-YYYY")</f>
        <v>10-2019</v>
      </c>
    </row>
    <row r="1987" spans="1:15" x14ac:dyDescent="0.3">
      <c r="A1987" s="1">
        <v>10341</v>
      </c>
      <c r="B1987" s="2">
        <v>43820</v>
      </c>
      <c r="C1987" s="1" t="s">
        <v>9</v>
      </c>
      <c r="D1987" s="1">
        <v>17</v>
      </c>
      <c r="E1987" t="s">
        <v>19</v>
      </c>
      <c r="F1987" t="s">
        <v>19</v>
      </c>
      <c r="G1987" s="1">
        <v>2474.8672000000001</v>
      </c>
      <c r="H1987">
        <v>0</v>
      </c>
      <c r="I1987">
        <f>Sales_Data[[#This Row],[Sales]]*Sales_Data[[#This Row],[Discount]]</f>
        <v>0</v>
      </c>
      <c r="J1987">
        <v>2474.8672000000001</v>
      </c>
      <c r="K1987" s="1">
        <v>19.100000000000001</v>
      </c>
      <c r="L1987" s="1">
        <v>2474.8672000000001</v>
      </c>
      <c r="M1987" s="1" t="s">
        <v>13</v>
      </c>
      <c r="N1987" s="1">
        <f>IF(Sales_Data[[#This Row],[Sales with Discount]]&lt;Sales_Data[[#This Row],[Sales with Free Shipping]],Sales_Data[[#This Row],[Sales with Discount]],Sales_Data[[#This Row],[Sales with Free Shipping]])</f>
        <v>2474.8672000000001</v>
      </c>
      <c r="O1987" s="1" t="str">
        <f>TEXT(Sales_Data[[#This Row],[Order Date]], "MM-YYYY")</f>
        <v>12-2019</v>
      </c>
    </row>
    <row r="1988" spans="1:15" x14ac:dyDescent="0.3">
      <c r="A1988" s="1">
        <v>28738</v>
      </c>
      <c r="B1988" s="2">
        <v>43687</v>
      </c>
      <c r="C1988" s="1" t="s">
        <v>14</v>
      </c>
      <c r="D1988" s="1">
        <v>10</v>
      </c>
      <c r="E1988" t="s">
        <v>17</v>
      </c>
      <c r="F1988" t="s">
        <v>17</v>
      </c>
      <c r="G1988" s="1">
        <v>1647.62</v>
      </c>
      <c r="H1988">
        <v>0</v>
      </c>
      <c r="I1988">
        <f>Sales_Data[[#This Row],[Sales]]*Sales_Data[[#This Row],[Discount]]</f>
        <v>0</v>
      </c>
      <c r="J1988">
        <v>1647.62</v>
      </c>
      <c r="K1988" s="1">
        <v>21.4</v>
      </c>
      <c r="L1988" s="1">
        <v>1647.62</v>
      </c>
      <c r="M1988" s="1" t="s">
        <v>10</v>
      </c>
      <c r="N1988" s="1">
        <f>IF(Sales_Data[[#This Row],[Sales with Discount]]&lt;Sales_Data[[#This Row],[Sales with Free Shipping]],Sales_Data[[#This Row],[Sales with Discount]],Sales_Data[[#This Row],[Sales with Free Shipping]])</f>
        <v>1647.62</v>
      </c>
      <c r="O1988" s="1" t="str">
        <f>TEXT(Sales_Data[[#This Row],[Order Date]], "MM-YYYY")</f>
        <v>08-2019</v>
      </c>
    </row>
    <row r="1989" spans="1:15" x14ac:dyDescent="0.3">
      <c r="A1989" s="1">
        <v>47846</v>
      </c>
      <c r="B1989" s="2">
        <v>43688</v>
      </c>
      <c r="C1989" s="1" t="s">
        <v>9</v>
      </c>
      <c r="D1989" s="1">
        <v>37</v>
      </c>
      <c r="E1989" t="s">
        <v>22</v>
      </c>
      <c r="F1989" t="s">
        <v>22</v>
      </c>
      <c r="G1989" s="1">
        <v>258.02</v>
      </c>
      <c r="H1989">
        <v>0.01</v>
      </c>
      <c r="I1989">
        <f>Sales_Data[[#This Row],[Sales]]*Sales_Data[[#This Row],[Discount]]</f>
        <v>2.5802</v>
      </c>
      <c r="J1989">
        <v>255.43979999999999</v>
      </c>
      <c r="K1989" s="1">
        <v>7.4</v>
      </c>
      <c r="L1989" s="1">
        <v>250.61999999999998</v>
      </c>
      <c r="M1989" s="1" t="s">
        <v>10</v>
      </c>
      <c r="N1989" s="1">
        <f>IF(Sales_Data[[#This Row],[Sales with Discount]]&lt;Sales_Data[[#This Row],[Sales with Free Shipping]],Sales_Data[[#This Row],[Sales with Discount]],Sales_Data[[#This Row],[Sales with Free Shipping]])</f>
        <v>250.61999999999998</v>
      </c>
      <c r="O1989" s="1" t="str">
        <f>TEXT(Sales_Data[[#This Row],[Order Date]], "MM-YYYY")</f>
        <v>08-2019</v>
      </c>
    </row>
    <row r="1990" spans="1:15" x14ac:dyDescent="0.3">
      <c r="A1990" s="1">
        <v>9925</v>
      </c>
      <c r="B1990" s="2">
        <v>43494</v>
      </c>
      <c r="C1990" s="1" t="s">
        <v>12</v>
      </c>
      <c r="D1990" s="1">
        <v>17</v>
      </c>
      <c r="E1990" t="s">
        <v>19</v>
      </c>
      <c r="F1990" t="s">
        <v>19</v>
      </c>
      <c r="G1990" s="1">
        <v>92.52</v>
      </c>
      <c r="H1990">
        <v>0</v>
      </c>
      <c r="I1990">
        <f>Sales_Data[[#This Row],[Sales]]*Sales_Data[[#This Row],[Discount]]</f>
        <v>0</v>
      </c>
      <c r="J1990">
        <v>92.52</v>
      </c>
      <c r="K1990" s="1">
        <v>3.2</v>
      </c>
      <c r="L1990" s="1">
        <v>92.52</v>
      </c>
      <c r="M1990" s="1" t="s">
        <v>10</v>
      </c>
      <c r="N1990" s="1">
        <f>IF(Sales_Data[[#This Row],[Sales with Discount]]&lt;Sales_Data[[#This Row],[Sales with Free Shipping]],Sales_Data[[#This Row],[Sales with Discount]],Sales_Data[[#This Row],[Sales with Free Shipping]])</f>
        <v>92.52</v>
      </c>
      <c r="O1990" s="1" t="str">
        <f>TEXT(Sales_Data[[#This Row],[Order Date]], "MM-YYYY")</f>
        <v>01-2019</v>
      </c>
    </row>
    <row r="1991" spans="1:15" x14ac:dyDescent="0.3">
      <c r="A1991" s="1">
        <v>47622</v>
      </c>
      <c r="B1991" s="2">
        <v>43720</v>
      </c>
      <c r="C1991" s="1" t="s">
        <v>11</v>
      </c>
      <c r="D1991" s="1">
        <v>41</v>
      </c>
      <c r="E1991" t="s">
        <v>23</v>
      </c>
      <c r="F1991" t="s">
        <v>23</v>
      </c>
      <c r="G1991" s="1">
        <v>8761.36</v>
      </c>
      <c r="H1991">
        <v>0.01</v>
      </c>
      <c r="I1991">
        <f>Sales_Data[[#This Row],[Sales]]*Sales_Data[[#This Row],[Discount]]</f>
        <v>87.613600000000005</v>
      </c>
      <c r="J1991">
        <v>8673.7464</v>
      </c>
      <c r="K1991" s="1">
        <v>15</v>
      </c>
      <c r="L1991" s="1">
        <v>8746.36</v>
      </c>
      <c r="M1991" s="1" t="s">
        <v>10</v>
      </c>
      <c r="N1991" s="1">
        <f>IF(Sales_Data[[#This Row],[Sales with Discount]]&lt;Sales_Data[[#This Row],[Sales with Free Shipping]],Sales_Data[[#This Row],[Sales with Discount]],Sales_Data[[#This Row],[Sales with Free Shipping]])</f>
        <v>8673.7464</v>
      </c>
      <c r="O1991" s="1" t="str">
        <f>TEXT(Sales_Data[[#This Row],[Order Date]], "MM-YYYY")</f>
        <v>09-2019</v>
      </c>
    </row>
    <row r="1992" spans="1:15" x14ac:dyDescent="0.3">
      <c r="A1992" s="1">
        <v>4261</v>
      </c>
      <c r="B1992" s="2">
        <v>43740</v>
      </c>
      <c r="C1992" s="1" t="s">
        <v>12</v>
      </c>
      <c r="D1992" s="1">
        <v>22</v>
      </c>
      <c r="E1992" t="s">
        <v>14</v>
      </c>
      <c r="F1992" t="s">
        <v>14</v>
      </c>
      <c r="G1992" s="1">
        <v>1665.8508999999999</v>
      </c>
      <c r="H1992">
        <v>0</v>
      </c>
      <c r="I1992">
        <f>Sales_Data[[#This Row],[Sales]]*Sales_Data[[#This Row],[Discount]]</f>
        <v>0</v>
      </c>
      <c r="J1992">
        <v>1665.8508999999999</v>
      </c>
      <c r="K1992" s="1">
        <v>64.2</v>
      </c>
      <c r="L1992" s="1">
        <v>1665.8508999999999</v>
      </c>
      <c r="M1992" s="1" t="s">
        <v>13</v>
      </c>
      <c r="N1992" s="1">
        <f>IF(Sales_Data[[#This Row],[Sales with Discount]]&lt;Sales_Data[[#This Row],[Sales with Free Shipping]],Sales_Data[[#This Row],[Sales with Discount]],Sales_Data[[#This Row],[Sales with Free Shipping]])</f>
        <v>1665.8508999999999</v>
      </c>
      <c r="O1992" s="1" t="str">
        <f>TEXT(Sales_Data[[#This Row],[Order Date]], "MM-YYYY")</f>
        <v>10-2019</v>
      </c>
    </row>
    <row r="1993" spans="1:15" x14ac:dyDescent="0.3">
      <c r="A1993" s="1">
        <v>9024</v>
      </c>
      <c r="B1993" s="2">
        <v>43618</v>
      </c>
      <c r="C1993" s="1" t="s">
        <v>14</v>
      </c>
      <c r="D1993" s="1">
        <v>44</v>
      </c>
      <c r="E1993" t="s">
        <v>23</v>
      </c>
      <c r="F1993" t="s">
        <v>23</v>
      </c>
      <c r="G1993" s="1">
        <v>2480.4899999999998</v>
      </c>
      <c r="H1993">
        <v>0.01</v>
      </c>
      <c r="I1993">
        <f>Sales_Data[[#This Row],[Sales]]*Sales_Data[[#This Row],[Discount]]</f>
        <v>24.8049</v>
      </c>
      <c r="J1993">
        <v>2455.6850999999997</v>
      </c>
      <c r="K1993" s="1">
        <v>3</v>
      </c>
      <c r="L1993" s="1">
        <v>2477.4899999999998</v>
      </c>
      <c r="M1993" s="1" t="s">
        <v>10</v>
      </c>
      <c r="N1993" s="1">
        <f>IF(Sales_Data[[#This Row],[Sales with Discount]]&lt;Sales_Data[[#This Row],[Sales with Free Shipping]],Sales_Data[[#This Row],[Sales with Discount]],Sales_Data[[#This Row],[Sales with Free Shipping]])</f>
        <v>2455.6850999999997</v>
      </c>
      <c r="O1993" s="1" t="str">
        <f>TEXT(Sales_Data[[#This Row],[Order Date]], "MM-YYYY")</f>
        <v>06-2019</v>
      </c>
    </row>
    <row r="1994" spans="1:15" x14ac:dyDescent="0.3">
      <c r="A1994" s="1">
        <v>50978</v>
      </c>
      <c r="B1994" s="2">
        <v>43555</v>
      </c>
      <c r="C1994" s="1" t="s">
        <v>9</v>
      </c>
      <c r="D1994" s="1">
        <v>4</v>
      </c>
      <c r="E1994" t="s">
        <v>16</v>
      </c>
      <c r="F1994" t="s">
        <v>16</v>
      </c>
      <c r="G1994" s="1">
        <v>873.22</v>
      </c>
      <c r="H1994">
        <v>0</v>
      </c>
      <c r="I1994">
        <f>Sales_Data[[#This Row],[Sales]]*Sales_Data[[#This Row],[Discount]]</f>
        <v>0</v>
      </c>
      <c r="J1994">
        <v>873.22</v>
      </c>
      <c r="K1994" s="1">
        <v>10.7</v>
      </c>
      <c r="L1994" s="1">
        <v>873.22</v>
      </c>
      <c r="M1994" s="1" t="s">
        <v>10</v>
      </c>
      <c r="N1994" s="1">
        <f>IF(Sales_Data[[#This Row],[Sales with Discount]]&lt;Sales_Data[[#This Row],[Sales with Free Shipping]],Sales_Data[[#This Row],[Sales with Discount]],Sales_Data[[#This Row],[Sales with Free Shipping]])</f>
        <v>873.22</v>
      </c>
      <c r="O1994" s="1" t="str">
        <f>TEXT(Sales_Data[[#This Row],[Order Date]], "MM-YYYY")</f>
        <v>03-2019</v>
      </c>
    </row>
    <row r="1995" spans="1:15" x14ac:dyDescent="0.3">
      <c r="A1995" s="1">
        <v>36257</v>
      </c>
      <c r="B1995" s="2">
        <v>43522</v>
      </c>
      <c r="C1995" s="1" t="s">
        <v>9</v>
      </c>
      <c r="D1995" s="1">
        <v>43</v>
      </c>
      <c r="E1995" t="s">
        <v>23</v>
      </c>
      <c r="F1995" t="s">
        <v>23</v>
      </c>
      <c r="G1995" s="1">
        <v>957.12570000000005</v>
      </c>
      <c r="H1995">
        <v>0.01</v>
      </c>
      <c r="I1995">
        <f>Sales_Data[[#This Row],[Sales]]*Sales_Data[[#This Row],[Discount]]</f>
        <v>9.571257000000001</v>
      </c>
      <c r="J1995">
        <v>947.55444299999999</v>
      </c>
      <c r="K1995" s="1">
        <v>2.1</v>
      </c>
      <c r="L1995" s="1">
        <v>955.02570000000003</v>
      </c>
      <c r="M1995" s="1" t="s">
        <v>10</v>
      </c>
      <c r="N1995" s="1">
        <f>IF(Sales_Data[[#This Row],[Sales with Discount]]&lt;Sales_Data[[#This Row],[Sales with Free Shipping]],Sales_Data[[#This Row],[Sales with Discount]],Sales_Data[[#This Row],[Sales with Free Shipping]])</f>
        <v>947.55444299999999</v>
      </c>
      <c r="O1995" s="1" t="str">
        <f>TEXT(Sales_Data[[#This Row],[Order Date]], "MM-YYYY")</f>
        <v>02-2019</v>
      </c>
    </row>
    <row r="1996" spans="1:15" x14ac:dyDescent="0.3">
      <c r="A1996" s="1">
        <v>4261</v>
      </c>
      <c r="B1996" s="2">
        <v>43740</v>
      </c>
      <c r="C1996" s="1" t="s">
        <v>12</v>
      </c>
      <c r="D1996" s="1">
        <v>48</v>
      </c>
      <c r="E1996" t="s">
        <v>24</v>
      </c>
      <c r="F1996" t="s">
        <v>24</v>
      </c>
      <c r="G1996" s="1">
        <v>293.58999999999997</v>
      </c>
      <c r="H1996">
        <v>0.01</v>
      </c>
      <c r="I1996">
        <f>Sales_Data[[#This Row],[Sales]]*Sales_Data[[#This Row],[Discount]]</f>
        <v>2.9358999999999997</v>
      </c>
      <c r="J1996">
        <v>290.65409999999997</v>
      </c>
      <c r="K1996" s="1">
        <v>5.7</v>
      </c>
      <c r="L1996" s="1">
        <v>287.89</v>
      </c>
      <c r="M1996" s="1" t="s">
        <v>10</v>
      </c>
      <c r="N1996" s="1">
        <f>IF(Sales_Data[[#This Row],[Sales with Discount]]&lt;Sales_Data[[#This Row],[Sales with Free Shipping]],Sales_Data[[#This Row],[Sales with Discount]],Sales_Data[[#This Row],[Sales with Free Shipping]])</f>
        <v>287.89</v>
      </c>
      <c r="O1996" s="1" t="str">
        <f>TEXT(Sales_Data[[#This Row],[Order Date]], "MM-YYYY")</f>
        <v>10-2019</v>
      </c>
    </row>
    <row r="1997" spans="1:15" x14ac:dyDescent="0.3">
      <c r="A1997" s="1">
        <v>17571</v>
      </c>
      <c r="B1997" s="2">
        <v>43539</v>
      </c>
      <c r="C1997" s="1" t="s">
        <v>11</v>
      </c>
      <c r="D1997" s="1">
        <v>32</v>
      </c>
      <c r="E1997" t="s">
        <v>21</v>
      </c>
      <c r="F1997" t="s">
        <v>21</v>
      </c>
      <c r="G1997" s="1">
        <v>109.77</v>
      </c>
      <c r="H1997">
        <v>0</v>
      </c>
      <c r="I1997">
        <f>Sales_Data[[#This Row],[Sales]]*Sales_Data[[#This Row],[Discount]]</f>
        <v>0</v>
      </c>
      <c r="J1997">
        <v>109.77</v>
      </c>
      <c r="K1997" s="1">
        <v>1.7</v>
      </c>
      <c r="L1997" s="1">
        <v>109.77</v>
      </c>
      <c r="M1997" s="1" t="s">
        <v>10</v>
      </c>
      <c r="N1997" s="1">
        <f>IF(Sales_Data[[#This Row],[Sales with Discount]]&lt;Sales_Data[[#This Row],[Sales with Free Shipping]],Sales_Data[[#This Row],[Sales with Discount]],Sales_Data[[#This Row],[Sales with Free Shipping]])</f>
        <v>109.77</v>
      </c>
      <c r="O1997" s="1" t="str">
        <f>TEXT(Sales_Data[[#This Row],[Order Date]], "MM-YYYY")</f>
        <v>03-2019</v>
      </c>
    </row>
    <row r="1998" spans="1:15" x14ac:dyDescent="0.3">
      <c r="A1998" s="1">
        <v>36103</v>
      </c>
      <c r="B1998" s="2">
        <v>43584</v>
      </c>
      <c r="C1998" s="1" t="s">
        <v>12</v>
      </c>
      <c r="D1998" s="1">
        <v>10</v>
      </c>
      <c r="E1998" t="s">
        <v>17</v>
      </c>
      <c r="F1998" t="s">
        <v>17</v>
      </c>
      <c r="G1998" s="1">
        <v>59.727400000000003</v>
      </c>
      <c r="H1998">
        <v>0</v>
      </c>
      <c r="I1998">
        <f>Sales_Data[[#This Row],[Sales]]*Sales_Data[[#This Row],[Discount]]</f>
        <v>0</v>
      </c>
      <c r="J1998">
        <v>59.727400000000003</v>
      </c>
      <c r="K1998" s="1">
        <v>6.1</v>
      </c>
      <c r="L1998" s="1">
        <v>59.727400000000003</v>
      </c>
      <c r="M1998" s="1" t="s">
        <v>10</v>
      </c>
      <c r="N1998" s="1">
        <f>IF(Sales_Data[[#This Row],[Sales with Discount]]&lt;Sales_Data[[#This Row],[Sales with Free Shipping]],Sales_Data[[#This Row],[Sales with Discount]],Sales_Data[[#This Row],[Sales with Free Shipping]])</f>
        <v>59.727400000000003</v>
      </c>
      <c r="O1998" s="1" t="str">
        <f>TEXT(Sales_Data[[#This Row],[Order Date]], "MM-YYYY")</f>
        <v>04-2019</v>
      </c>
    </row>
    <row r="1999" spans="1:15" x14ac:dyDescent="0.3">
      <c r="A1999" s="1">
        <v>1282</v>
      </c>
      <c r="B1999" s="2">
        <v>43522</v>
      </c>
      <c r="C1999" s="1" t="s">
        <v>11</v>
      </c>
      <c r="D1999" s="1">
        <v>10</v>
      </c>
      <c r="E1999" t="s">
        <v>17</v>
      </c>
      <c r="F1999" t="s">
        <v>17</v>
      </c>
      <c r="G1999" s="1">
        <v>31.47</v>
      </c>
      <c r="H1999">
        <v>0</v>
      </c>
      <c r="I1999">
        <f>Sales_Data[[#This Row],[Sales]]*Sales_Data[[#This Row],[Discount]]</f>
        <v>0</v>
      </c>
      <c r="J1999">
        <v>31.47</v>
      </c>
      <c r="K1999" s="1">
        <v>1.4</v>
      </c>
      <c r="L1999" s="1">
        <v>31.47</v>
      </c>
      <c r="M1999" s="1" t="s">
        <v>10</v>
      </c>
      <c r="N1999" s="1">
        <f>IF(Sales_Data[[#This Row],[Sales with Discount]]&lt;Sales_Data[[#This Row],[Sales with Free Shipping]],Sales_Data[[#This Row],[Sales with Discount]],Sales_Data[[#This Row],[Sales with Free Shipping]])</f>
        <v>31.47</v>
      </c>
      <c r="O1999" s="1" t="str">
        <f>TEXT(Sales_Data[[#This Row],[Order Date]], "MM-YYYY")</f>
        <v>02-2019</v>
      </c>
    </row>
    <row r="2000" spans="1:15" x14ac:dyDescent="0.3">
      <c r="A2000" s="1">
        <v>21223</v>
      </c>
      <c r="B2000" s="2">
        <v>43539</v>
      </c>
      <c r="C2000" s="1" t="s">
        <v>11</v>
      </c>
      <c r="D2000" s="1">
        <v>3</v>
      </c>
      <c r="E2000" t="s">
        <v>16</v>
      </c>
      <c r="F2000" t="s">
        <v>16</v>
      </c>
      <c r="G2000" s="1">
        <v>340.21</v>
      </c>
      <c r="H2000">
        <v>0</v>
      </c>
      <c r="I2000">
        <f>Sales_Data[[#This Row],[Sales]]*Sales_Data[[#This Row],[Discount]]</f>
        <v>0</v>
      </c>
      <c r="J2000">
        <v>340.21</v>
      </c>
      <c r="K2000" s="1">
        <v>28.1</v>
      </c>
      <c r="L2000" s="1">
        <v>340.21</v>
      </c>
      <c r="M2000" s="1" t="s">
        <v>13</v>
      </c>
      <c r="N2000" s="1">
        <f>IF(Sales_Data[[#This Row],[Sales with Discount]]&lt;Sales_Data[[#This Row],[Sales with Free Shipping]],Sales_Data[[#This Row],[Sales with Discount]],Sales_Data[[#This Row],[Sales with Free Shipping]])</f>
        <v>340.21</v>
      </c>
      <c r="O2000" s="1" t="str">
        <f>TEXT(Sales_Data[[#This Row],[Order Date]], "MM-YYYY")</f>
        <v>03-2019</v>
      </c>
    </row>
    <row r="2001" spans="1:15" x14ac:dyDescent="0.3">
      <c r="A2001" s="1">
        <v>45670</v>
      </c>
      <c r="B2001" s="2">
        <v>43684</v>
      </c>
      <c r="C2001" s="1" t="s">
        <v>7</v>
      </c>
      <c r="D2001" s="1">
        <v>2</v>
      </c>
      <c r="E2001" t="s">
        <v>16</v>
      </c>
      <c r="F2001" t="s">
        <v>16</v>
      </c>
      <c r="G2001" s="1">
        <v>21.57</v>
      </c>
      <c r="H2001">
        <v>0</v>
      </c>
      <c r="I2001">
        <f>Sales_Data[[#This Row],[Sales]]*Sales_Data[[#This Row],[Discount]]</f>
        <v>0</v>
      </c>
      <c r="J2001">
        <v>21.57</v>
      </c>
      <c r="K2001" s="1">
        <v>8.4</v>
      </c>
      <c r="L2001" s="1">
        <v>21.57</v>
      </c>
      <c r="M2001" s="1" t="s">
        <v>10</v>
      </c>
      <c r="N2001" s="1">
        <f>IF(Sales_Data[[#This Row],[Sales with Discount]]&lt;Sales_Data[[#This Row],[Sales with Free Shipping]],Sales_Data[[#This Row],[Sales with Discount]],Sales_Data[[#This Row],[Sales with Free Shipping]])</f>
        <v>21.57</v>
      </c>
      <c r="O2001" s="1" t="str">
        <f>TEXT(Sales_Data[[#This Row],[Order Date]], "MM-YYYY")</f>
        <v>08-2019</v>
      </c>
    </row>
    <row r="2002" spans="1:15" x14ac:dyDescent="0.3">
      <c r="A2002" s="1">
        <v>33702</v>
      </c>
      <c r="B2002" s="2">
        <v>43710</v>
      </c>
      <c r="C2002" s="1" t="s">
        <v>11</v>
      </c>
      <c r="D2002" s="1">
        <v>14</v>
      </c>
      <c r="E2002" t="s">
        <v>18</v>
      </c>
      <c r="F2002" t="s">
        <v>18</v>
      </c>
      <c r="G2002" s="1">
        <v>60.2</v>
      </c>
      <c r="H2002">
        <v>0</v>
      </c>
      <c r="I2002">
        <f>Sales_Data[[#This Row],[Sales]]*Sales_Data[[#This Row],[Discount]]</f>
        <v>0</v>
      </c>
      <c r="J2002">
        <v>60.2</v>
      </c>
      <c r="K2002" s="1">
        <v>0.5</v>
      </c>
      <c r="L2002" s="1">
        <v>60.2</v>
      </c>
      <c r="M2002" s="1" t="s">
        <v>8</v>
      </c>
      <c r="N2002" s="1">
        <f>IF(Sales_Data[[#This Row],[Sales with Discount]]&lt;Sales_Data[[#This Row],[Sales with Free Shipping]],Sales_Data[[#This Row],[Sales with Discount]],Sales_Data[[#This Row],[Sales with Free Shipping]])</f>
        <v>60.2</v>
      </c>
      <c r="O2002" s="1" t="str">
        <f>TEXT(Sales_Data[[#This Row],[Order Date]], "MM-YYYY")</f>
        <v>09-2019</v>
      </c>
    </row>
    <row r="2003" spans="1:15" x14ac:dyDescent="0.3">
      <c r="A2003" s="1">
        <v>32871</v>
      </c>
      <c r="B2003" s="2">
        <v>43764</v>
      </c>
      <c r="C2003" s="1" t="s">
        <v>9</v>
      </c>
      <c r="D2003" s="1">
        <v>14</v>
      </c>
      <c r="E2003" t="s">
        <v>18</v>
      </c>
      <c r="F2003" t="s">
        <v>18</v>
      </c>
      <c r="G2003" s="1">
        <v>2301.66</v>
      </c>
      <c r="H2003">
        <v>0</v>
      </c>
      <c r="I2003">
        <f>Sales_Data[[#This Row],[Sales]]*Sales_Data[[#This Row],[Discount]]</f>
        <v>0</v>
      </c>
      <c r="J2003">
        <v>2301.66</v>
      </c>
      <c r="K2003" s="1">
        <v>19.100000000000001</v>
      </c>
      <c r="L2003" s="1">
        <v>2301.66</v>
      </c>
      <c r="M2003" s="1" t="s">
        <v>13</v>
      </c>
      <c r="N2003" s="1">
        <f>IF(Sales_Data[[#This Row],[Sales with Discount]]&lt;Sales_Data[[#This Row],[Sales with Free Shipping]],Sales_Data[[#This Row],[Sales with Discount]],Sales_Data[[#This Row],[Sales with Free Shipping]])</f>
        <v>2301.66</v>
      </c>
      <c r="O2003" s="1" t="str">
        <f>TEXT(Sales_Data[[#This Row],[Order Date]], "MM-YYYY")</f>
        <v>10-2019</v>
      </c>
    </row>
    <row r="2004" spans="1:15" x14ac:dyDescent="0.3">
      <c r="A2004" s="1">
        <v>34400</v>
      </c>
      <c r="B2004" s="2">
        <v>43823</v>
      </c>
      <c r="C2004" s="1" t="s">
        <v>7</v>
      </c>
      <c r="D2004" s="1">
        <v>25</v>
      </c>
      <c r="E2004" t="s">
        <v>14</v>
      </c>
      <c r="F2004" t="s">
        <v>14</v>
      </c>
      <c r="G2004" s="1">
        <v>99.01</v>
      </c>
      <c r="H2004">
        <v>0</v>
      </c>
      <c r="I2004">
        <f>Sales_Data[[#This Row],[Sales]]*Sales_Data[[#This Row],[Discount]]</f>
        <v>0</v>
      </c>
      <c r="J2004">
        <v>99.01</v>
      </c>
      <c r="K2004" s="1">
        <v>4.5</v>
      </c>
      <c r="L2004" s="1">
        <v>99.01</v>
      </c>
      <c r="M2004" s="1" t="s">
        <v>10</v>
      </c>
      <c r="N2004" s="1">
        <f>IF(Sales_Data[[#This Row],[Sales with Discount]]&lt;Sales_Data[[#This Row],[Sales with Free Shipping]],Sales_Data[[#This Row],[Sales with Discount]],Sales_Data[[#This Row],[Sales with Free Shipping]])</f>
        <v>99.01</v>
      </c>
      <c r="O2004" s="1" t="str">
        <f>TEXT(Sales_Data[[#This Row],[Order Date]], "MM-YYYY")</f>
        <v>12-2019</v>
      </c>
    </row>
    <row r="2005" spans="1:15" x14ac:dyDescent="0.3">
      <c r="A2005" s="1">
        <v>57602</v>
      </c>
      <c r="B2005" s="2">
        <v>43602</v>
      </c>
      <c r="C2005" s="1" t="s">
        <v>7</v>
      </c>
      <c r="D2005" s="1">
        <v>43</v>
      </c>
      <c r="E2005" t="s">
        <v>23</v>
      </c>
      <c r="F2005" t="s">
        <v>23</v>
      </c>
      <c r="G2005" s="1">
        <v>139.49</v>
      </c>
      <c r="H2005">
        <v>0.01</v>
      </c>
      <c r="I2005">
        <f>Sales_Data[[#This Row],[Sales]]*Sales_Data[[#This Row],[Discount]]</f>
        <v>1.3949</v>
      </c>
      <c r="J2005">
        <v>138.0951</v>
      </c>
      <c r="K2005" s="1">
        <v>0.5</v>
      </c>
      <c r="L2005" s="1">
        <v>138.99</v>
      </c>
      <c r="M2005" s="1" t="s">
        <v>10</v>
      </c>
      <c r="N2005" s="1">
        <f>IF(Sales_Data[[#This Row],[Sales with Discount]]&lt;Sales_Data[[#This Row],[Sales with Free Shipping]],Sales_Data[[#This Row],[Sales with Discount]],Sales_Data[[#This Row],[Sales with Free Shipping]])</f>
        <v>138.0951</v>
      </c>
      <c r="O2005" s="1" t="str">
        <f>TEXT(Sales_Data[[#This Row],[Order Date]], "MM-YYYY")</f>
        <v>05-2019</v>
      </c>
    </row>
    <row r="2006" spans="1:15" x14ac:dyDescent="0.3">
      <c r="A2006" s="1">
        <v>52324</v>
      </c>
      <c r="B2006" s="2">
        <v>43645</v>
      </c>
      <c r="C2006" s="1" t="s">
        <v>11</v>
      </c>
      <c r="D2006" s="1">
        <v>4</v>
      </c>
      <c r="E2006" t="s">
        <v>16</v>
      </c>
      <c r="F2006" t="s">
        <v>16</v>
      </c>
      <c r="G2006" s="1">
        <v>810.11</v>
      </c>
      <c r="H2006">
        <v>0</v>
      </c>
      <c r="I2006">
        <f>Sales_Data[[#This Row],[Sales]]*Sales_Data[[#This Row],[Discount]]</f>
        <v>0</v>
      </c>
      <c r="J2006">
        <v>810.11</v>
      </c>
      <c r="K2006" s="1">
        <v>32.1</v>
      </c>
      <c r="L2006" s="1">
        <v>810.11</v>
      </c>
      <c r="M2006" s="1" t="s">
        <v>13</v>
      </c>
      <c r="N2006" s="1">
        <f>IF(Sales_Data[[#This Row],[Sales with Discount]]&lt;Sales_Data[[#This Row],[Sales with Free Shipping]],Sales_Data[[#This Row],[Sales with Discount]],Sales_Data[[#This Row],[Sales with Free Shipping]])</f>
        <v>810.11</v>
      </c>
      <c r="O2006" s="1" t="str">
        <f>TEXT(Sales_Data[[#This Row],[Order Date]], "MM-YYYY")</f>
        <v>06-2019</v>
      </c>
    </row>
    <row r="2007" spans="1:15" x14ac:dyDescent="0.3">
      <c r="A2007" s="1">
        <v>59075</v>
      </c>
      <c r="B2007" s="2">
        <v>43521</v>
      </c>
      <c r="C2007" s="1" t="s">
        <v>7</v>
      </c>
      <c r="D2007" s="1">
        <v>38</v>
      </c>
      <c r="E2007" t="s">
        <v>22</v>
      </c>
      <c r="F2007" t="s">
        <v>22</v>
      </c>
      <c r="G2007" s="1">
        <v>455.72</v>
      </c>
      <c r="H2007">
        <v>0.01</v>
      </c>
      <c r="I2007">
        <f>Sales_Data[[#This Row],[Sales]]*Sales_Data[[#This Row],[Discount]]</f>
        <v>4.5572000000000008</v>
      </c>
      <c r="J2007">
        <v>451.1628</v>
      </c>
      <c r="K2007" s="1">
        <v>5.4</v>
      </c>
      <c r="L2007" s="1">
        <v>450.32000000000005</v>
      </c>
      <c r="M2007" s="1" t="s">
        <v>10</v>
      </c>
      <c r="N2007" s="1">
        <f>IF(Sales_Data[[#This Row],[Sales with Discount]]&lt;Sales_Data[[#This Row],[Sales with Free Shipping]],Sales_Data[[#This Row],[Sales with Discount]],Sales_Data[[#This Row],[Sales with Free Shipping]])</f>
        <v>450.32000000000005</v>
      </c>
      <c r="O2007" s="1" t="str">
        <f>TEXT(Sales_Data[[#This Row],[Order Date]], "MM-YYYY")</f>
        <v>02-2019</v>
      </c>
    </row>
    <row r="2008" spans="1:15" x14ac:dyDescent="0.3">
      <c r="A2008" s="1">
        <v>38656</v>
      </c>
      <c r="B2008" s="2">
        <v>43687</v>
      </c>
      <c r="C2008" s="1" t="s">
        <v>7</v>
      </c>
      <c r="D2008" s="1">
        <v>3</v>
      </c>
      <c r="E2008" t="s">
        <v>16</v>
      </c>
      <c r="F2008" t="s">
        <v>16</v>
      </c>
      <c r="G2008" s="1">
        <v>600.73</v>
      </c>
      <c r="H2008">
        <v>0</v>
      </c>
      <c r="I2008">
        <f>Sales_Data[[#This Row],[Sales]]*Sales_Data[[#This Row],[Discount]]</f>
        <v>0</v>
      </c>
      <c r="J2008">
        <v>600.73</v>
      </c>
      <c r="K2008" s="1">
        <v>28</v>
      </c>
      <c r="L2008" s="1">
        <v>600.73</v>
      </c>
      <c r="M2008" s="1" t="s">
        <v>13</v>
      </c>
      <c r="N2008" s="1">
        <f>IF(Sales_Data[[#This Row],[Sales with Discount]]&lt;Sales_Data[[#This Row],[Sales with Free Shipping]],Sales_Data[[#This Row],[Sales with Discount]],Sales_Data[[#This Row],[Sales with Free Shipping]])</f>
        <v>600.73</v>
      </c>
      <c r="O2008" s="1" t="str">
        <f>TEXT(Sales_Data[[#This Row],[Order Date]], "MM-YYYY")</f>
        <v>08-2019</v>
      </c>
    </row>
    <row r="2009" spans="1:15" x14ac:dyDescent="0.3">
      <c r="A2009" s="1">
        <v>2023</v>
      </c>
      <c r="B2009" s="2">
        <v>43590</v>
      </c>
      <c r="C2009" s="1" t="s">
        <v>7</v>
      </c>
      <c r="D2009" s="1">
        <v>4</v>
      </c>
      <c r="E2009" t="s">
        <v>16</v>
      </c>
      <c r="F2009" t="s">
        <v>16</v>
      </c>
      <c r="G2009" s="1">
        <v>315.52999999999997</v>
      </c>
      <c r="H2009">
        <v>0</v>
      </c>
      <c r="I2009">
        <f>Sales_Data[[#This Row],[Sales]]*Sales_Data[[#This Row],[Discount]]</f>
        <v>0</v>
      </c>
      <c r="J2009">
        <v>315.52999999999997</v>
      </c>
      <c r="K2009" s="1">
        <v>13</v>
      </c>
      <c r="L2009" s="1">
        <v>315.52999999999997</v>
      </c>
      <c r="M2009" s="1" t="s">
        <v>10</v>
      </c>
      <c r="N2009" s="1">
        <f>IF(Sales_Data[[#This Row],[Sales with Discount]]&lt;Sales_Data[[#This Row],[Sales with Free Shipping]],Sales_Data[[#This Row],[Sales with Discount]],Sales_Data[[#This Row],[Sales with Free Shipping]])</f>
        <v>315.52999999999997</v>
      </c>
      <c r="O2009" s="1" t="str">
        <f>TEXT(Sales_Data[[#This Row],[Order Date]], "MM-YYYY")</f>
        <v>05-2019</v>
      </c>
    </row>
    <row r="2010" spans="1:15" x14ac:dyDescent="0.3">
      <c r="A2010" s="1">
        <v>19044</v>
      </c>
      <c r="B2010" s="2">
        <v>43566</v>
      </c>
      <c r="C2010" s="1" t="s">
        <v>7</v>
      </c>
      <c r="D2010" s="1">
        <v>29</v>
      </c>
      <c r="E2010" t="s">
        <v>20</v>
      </c>
      <c r="F2010" t="s">
        <v>20</v>
      </c>
      <c r="G2010" s="1">
        <v>290.32</v>
      </c>
      <c r="H2010">
        <v>0</v>
      </c>
      <c r="I2010">
        <f>Sales_Data[[#This Row],[Sales]]*Sales_Data[[#This Row],[Discount]]</f>
        <v>0</v>
      </c>
      <c r="J2010">
        <v>290.32</v>
      </c>
      <c r="K2010" s="1">
        <v>10.1</v>
      </c>
      <c r="L2010" s="1">
        <v>290.32</v>
      </c>
      <c r="M2010" s="1" t="s">
        <v>10</v>
      </c>
      <c r="N2010" s="1">
        <f>IF(Sales_Data[[#This Row],[Sales with Discount]]&lt;Sales_Data[[#This Row],[Sales with Free Shipping]],Sales_Data[[#This Row],[Sales with Discount]],Sales_Data[[#This Row],[Sales with Free Shipping]])</f>
        <v>290.32</v>
      </c>
      <c r="O2010" s="1" t="str">
        <f>TEXT(Sales_Data[[#This Row],[Order Date]], "MM-YYYY")</f>
        <v>04-2019</v>
      </c>
    </row>
    <row r="2011" spans="1:15" x14ac:dyDescent="0.3">
      <c r="A2011" s="1">
        <v>1573</v>
      </c>
      <c r="B2011" s="2">
        <v>43826</v>
      </c>
      <c r="C2011" s="1" t="s">
        <v>9</v>
      </c>
      <c r="D2011" s="1">
        <v>13</v>
      </c>
      <c r="E2011" t="s">
        <v>18</v>
      </c>
      <c r="F2011" t="s">
        <v>18</v>
      </c>
      <c r="G2011" s="1">
        <v>813.14</v>
      </c>
      <c r="H2011">
        <v>0</v>
      </c>
      <c r="I2011">
        <f>Sales_Data[[#This Row],[Sales]]*Sales_Data[[#This Row],[Discount]]</f>
        <v>0</v>
      </c>
      <c r="J2011">
        <v>813.14</v>
      </c>
      <c r="K2011" s="1">
        <v>34.700000000000003</v>
      </c>
      <c r="L2011" s="1">
        <v>813.14</v>
      </c>
      <c r="M2011" s="1" t="s">
        <v>13</v>
      </c>
      <c r="N2011" s="1">
        <f>IF(Sales_Data[[#This Row],[Sales with Discount]]&lt;Sales_Data[[#This Row],[Sales with Free Shipping]],Sales_Data[[#This Row],[Sales with Discount]],Sales_Data[[#This Row],[Sales with Free Shipping]])</f>
        <v>813.14</v>
      </c>
      <c r="O2011" s="1" t="str">
        <f>TEXT(Sales_Data[[#This Row],[Order Date]], "MM-YYYY")</f>
        <v>12-2019</v>
      </c>
    </row>
    <row r="2012" spans="1:15" x14ac:dyDescent="0.3">
      <c r="A2012" s="1">
        <v>48643</v>
      </c>
      <c r="B2012" s="2">
        <v>43756</v>
      </c>
      <c r="C2012" s="1" t="s">
        <v>14</v>
      </c>
      <c r="D2012" s="1">
        <v>14</v>
      </c>
      <c r="E2012" t="s">
        <v>18</v>
      </c>
      <c r="F2012" t="s">
        <v>18</v>
      </c>
      <c r="G2012" s="1">
        <v>9813.73</v>
      </c>
      <c r="H2012">
        <v>0</v>
      </c>
      <c r="I2012">
        <f>Sales_Data[[#This Row],[Sales]]*Sales_Data[[#This Row],[Discount]]</f>
        <v>0</v>
      </c>
      <c r="J2012">
        <v>9813.73</v>
      </c>
      <c r="K2012" s="1">
        <v>59.2</v>
      </c>
      <c r="L2012" s="1">
        <v>9813.73</v>
      </c>
      <c r="M2012" s="1" t="s">
        <v>13</v>
      </c>
      <c r="N2012" s="1">
        <f>IF(Sales_Data[[#This Row],[Sales with Discount]]&lt;Sales_Data[[#This Row],[Sales with Free Shipping]],Sales_Data[[#This Row],[Sales with Discount]],Sales_Data[[#This Row],[Sales with Free Shipping]])</f>
        <v>9813.73</v>
      </c>
      <c r="O2012" s="1" t="str">
        <f>TEXT(Sales_Data[[#This Row],[Order Date]], "MM-YYYY")</f>
        <v>10-2019</v>
      </c>
    </row>
    <row r="2013" spans="1:15" x14ac:dyDescent="0.3">
      <c r="A2013" s="1">
        <v>45571</v>
      </c>
      <c r="B2013" s="2">
        <v>43731</v>
      </c>
      <c r="C2013" s="1" t="s">
        <v>14</v>
      </c>
      <c r="D2013" s="1">
        <v>44</v>
      </c>
      <c r="E2013" t="s">
        <v>23</v>
      </c>
      <c r="F2013" t="s">
        <v>23</v>
      </c>
      <c r="G2013" s="1">
        <v>770.96</v>
      </c>
      <c r="H2013">
        <v>0.01</v>
      </c>
      <c r="I2013">
        <f>Sales_Data[[#This Row],[Sales]]*Sales_Data[[#This Row],[Discount]]</f>
        <v>7.7096000000000009</v>
      </c>
      <c r="J2013">
        <v>763.25040000000001</v>
      </c>
      <c r="K2013" s="1">
        <v>9.1</v>
      </c>
      <c r="L2013" s="1">
        <v>761.86</v>
      </c>
      <c r="M2013" s="1" t="s">
        <v>10</v>
      </c>
      <c r="N2013" s="1">
        <f>IF(Sales_Data[[#This Row],[Sales with Discount]]&lt;Sales_Data[[#This Row],[Sales with Free Shipping]],Sales_Data[[#This Row],[Sales with Discount]],Sales_Data[[#This Row],[Sales with Free Shipping]])</f>
        <v>761.86</v>
      </c>
      <c r="O2013" s="1" t="str">
        <f>TEXT(Sales_Data[[#This Row],[Order Date]], "MM-YYYY")</f>
        <v>09-2019</v>
      </c>
    </row>
    <row r="2014" spans="1:15" x14ac:dyDescent="0.3">
      <c r="A2014" s="1">
        <v>14241</v>
      </c>
      <c r="B2014" s="2">
        <v>43630</v>
      </c>
      <c r="C2014" s="1" t="s">
        <v>12</v>
      </c>
      <c r="D2014" s="1">
        <v>22</v>
      </c>
      <c r="E2014" t="s">
        <v>14</v>
      </c>
      <c r="F2014" t="s">
        <v>14</v>
      </c>
      <c r="G2014" s="1">
        <v>282.08</v>
      </c>
      <c r="H2014">
        <v>0</v>
      </c>
      <c r="I2014">
        <f>Sales_Data[[#This Row],[Sales]]*Sales_Data[[#This Row],[Discount]]</f>
        <v>0</v>
      </c>
      <c r="J2014">
        <v>282.08</v>
      </c>
      <c r="K2014" s="1">
        <v>2.5</v>
      </c>
      <c r="L2014" s="1">
        <v>282.08</v>
      </c>
      <c r="M2014" s="1" t="s">
        <v>10</v>
      </c>
      <c r="N2014" s="1">
        <f>IF(Sales_Data[[#This Row],[Sales with Discount]]&lt;Sales_Data[[#This Row],[Sales with Free Shipping]],Sales_Data[[#This Row],[Sales with Discount]],Sales_Data[[#This Row],[Sales with Free Shipping]])</f>
        <v>282.08</v>
      </c>
      <c r="O2014" s="1" t="str">
        <f>TEXT(Sales_Data[[#This Row],[Order Date]], "MM-YYYY")</f>
        <v>06-2019</v>
      </c>
    </row>
    <row r="2015" spans="1:15" x14ac:dyDescent="0.3">
      <c r="A2015" s="1">
        <v>44261</v>
      </c>
      <c r="B2015" s="2">
        <v>43547</v>
      </c>
      <c r="C2015" s="1" t="s">
        <v>9</v>
      </c>
      <c r="D2015" s="1">
        <v>34</v>
      </c>
      <c r="E2015" t="s">
        <v>21</v>
      </c>
      <c r="F2015" t="s">
        <v>21</v>
      </c>
      <c r="G2015" s="1">
        <v>5105.92</v>
      </c>
      <c r="H2015">
        <v>0</v>
      </c>
      <c r="I2015">
        <f>Sales_Data[[#This Row],[Sales]]*Sales_Data[[#This Row],[Discount]]</f>
        <v>0</v>
      </c>
      <c r="J2015">
        <v>5105.92</v>
      </c>
      <c r="K2015" s="1">
        <v>38.6</v>
      </c>
      <c r="L2015" s="1">
        <v>5105.92</v>
      </c>
      <c r="M2015" s="1" t="s">
        <v>13</v>
      </c>
      <c r="N2015" s="1">
        <f>IF(Sales_Data[[#This Row],[Sales with Discount]]&lt;Sales_Data[[#This Row],[Sales with Free Shipping]],Sales_Data[[#This Row],[Sales with Discount]],Sales_Data[[#This Row],[Sales with Free Shipping]])</f>
        <v>5105.92</v>
      </c>
      <c r="O2015" s="1" t="str">
        <f>TEXT(Sales_Data[[#This Row],[Order Date]], "MM-YYYY")</f>
        <v>03-2019</v>
      </c>
    </row>
    <row r="2016" spans="1:15" x14ac:dyDescent="0.3">
      <c r="A2016" s="1">
        <v>2275</v>
      </c>
      <c r="B2016" s="2">
        <v>43759</v>
      </c>
      <c r="C2016" s="1" t="s">
        <v>11</v>
      </c>
      <c r="D2016" s="1">
        <v>49</v>
      </c>
      <c r="E2016" t="s">
        <v>24</v>
      </c>
      <c r="F2016" t="s">
        <v>24</v>
      </c>
      <c r="G2016" s="1">
        <v>297.45999999999998</v>
      </c>
      <c r="H2016">
        <v>0.01</v>
      </c>
      <c r="I2016">
        <f>Sales_Data[[#This Row],[Sales]]*Sales_Data[[#This Row],[Discount]]</f>
        <v>2.9745999999999997</v>
      </c>
      <c r="J2016">
        <v>294.48539999999997</v>
      </c>
      <c r="K2016" s="1">
        <v>1.3</v>
      </c>
      <c r="L2016" s="1">
        <v>296.15999999999997</v>
      </c>
      <c r="M2016" s="1" t="s">
        <v>10</v>
      </c>
      <c r="N2016" s="1">
        <f>IF(Sales_Data[[#This Row],[Sales with Discount]]&lt;Sales_Data[[#This Row],[Sales with Free Shipping]],Sales_Data[[#This Row],[Sales with Discount]],Sales_Data[[#This Row],[Sales with Free Shipping]])</f>
        <v>294.48539999999997</v>
      </c>
      <c r="O2016" s="1" t="str">
        <f>TEXT(Sales_Data[[#This Row],[Order Date]], "MM-YYYY")</f>
        <v>10-2019</v>
      </c>
    </row>
    <row r="2017" spans="1:15" x14ac:dyDescent="0.3">
      <c r="A2017" s="1">
        <v>14435</v>
      </c>
      <c r="B2017" s="2">
        <v>43800</v>
      </c>
      <c r="C2017" s="1" t="s">
        <v>11</v>
      </c>
      <c r="D2017" s="1">
        <v>44</v>
      </c>
      <c r="E2017" t="s">
        <v>23</v>
      </c>
      <c r="F2017" t="s">
        <v>23</v>
      </c>
      <c r="G2017" s="1">
        <v>1390.9</v>
      </c>
      <c r="H2017">
        <v>0.01</v>
      </c>
      <c r="I2017">
        <f>Sales_Data[[#This Row],[Sales]]*Sales_Data[[#This Row],[Discount]]</f>
        <v>13.909000000000001</v>
      </c>
      <c r="J2017">
        <v>1376.991</v>
      </c>
      <c r="K2017" s="1">
        <v>6.2</v>
      </c>
      <c r="L2017" s="1">
        <v>1384.7</v>
      </c>
      <c r="M2017" s="1" t="s">
        <v>10</v>
      </c>
      <c r="N2017" s="1">
        <f>IF(Sales_Data[[#This Row],[Sales with Discount]]&lt;Sales_Data[[#This Row],[Sales with Free Shipping]],Sales_Data[[#This Row],[Sales with Discount]],Sales_Data[[#This Row],[Sales with Free Shipping]])</f>
        <v>1376.991</v>
      </c>
      <c r="O2017" s="1" t="str">
        <f>TEXT(Sales_Data[[#This Row],[Order Date]], "MM-YYYY")</f>
        <v>12-2019</v>
      </c>
    </row>
    <row r="2018" spans="1:15" x14ac:dyDescent="0.3">
      <c r="A2018" s="1">
        <v>27750</v>
      </c>
      <c r="B2018" s="2">
        <v>43757</v>
      </c>
      <c r="C2018" s="1" t="s">
        <v>7</v>
      </c>
      <c r="D2018" s="1">
        <v>18</v>
      </c>
      <c r="E2018" t="s">
        <v>19</v>
      </c>
      <c r="F2018" t="s">
        <v>19</v>
      </c>
      <c r="G2018" s="1">
        <v>7886.8</v>
      </c>
      <c r="H2018">
        <v>0</v>
      </c>
      <c r="I2018">
        <f>Sales_Data[[#This Row],[Sales]]*Sales_Data[[#This Row],[Discount]]</f>
        <v>0</v>
      </c>
      <c r="J2018">
        <v>7886.8</v>
      </c>
      <c r="K2018" s="1">
        <v>52.4</v>
      </c>
      <c r="L2018" s="1">
        <v>7886.8</v>
      </c>
      <c r="M2018" s="1" t="s">
        <v>13</v>
      </c>
      <c r="N2018" s="1">
        <f>IF(Sales_Data[[#This Row],[Sales with Discount]]&lt;Sales_Data[[#This Row],[Sales with Free Shipping]],Sales_Data[[#This Row],[Sales with Discount]],Sales_Data[[#This Row],[Sales with Free Shipping]])</f>
        <v>7886.8</v>
      </c>
      <c r="O2018" s="1" t="str">
        <f>TEXT(Sales_Data[[#This Row],[Order Date]], "MM-YYYY")</f>
        <v>10-2019</v>
      </c>
    </row>
    <row r="2019" spans="1:15" x14ac:dyDescent="0.3">
      <c r="A2019" s="1">
        <v>48774</v>
      </c>
      <c r="B2019" s="2">
        <v>43686</v>
      </c>
      <c r="C2019" s="1" t="s">
        <v>9</v>
      </c>
      <c r="D2019" s="1">
        <v>31</v>
      </c>
      <c r="E2019" t="s">
        <v>21</v>
      </c>
      <c r="F2019" t="s">
        <v>21</v>
      </c>
      <c r="G2019" s="1">
        <v>7836.44</v>
      </c>
      <c r="H2019">
        <v>0</v>
      </c>
      <c r="I2019">
        <f>Sales_Data[[#This Row],[Sales]]*Sales_Data[[#This Row],[Discount]]</f>
        <v>0</v>
      </c>
      <c r="J2019">
        <v>7836.44</v>
      </c>
      <c r="K2019" s="1">
        <v>67.3</v>
      </c>
      <c r="L2019" s="1">
        <v>7836.44</v>
      </c>
      <c r="M2019" s="1" t="s">
        <v>13</v>
      </c>
      <c r="N2019" s="1">
        <f>IF(Sales_Data[[#This Row],[Sales with Discount]]&lt;Sales_Data[[#This Row],[Sales with Free Shipping]],Sales_Data[[#This Row],[Sales with Discount]],Sales_Data[[#This Row],[Sales with Free Shipping]])</f>
        <v>7836.44</v>
      </c>
      <c r="O2019" s="1" t="str">
        <f>TEXT(Sales_Data[[#This Row],[Order Date]], "MM-YYYY")</f>
        <v>08-2019</v>
      </c>
    </row>
    <row r="2020" spans="1:15" x14ac:dyDescent="0.3">
      <c r="A2020" s="1">
        <v>35045</v>
      </c>
      <c r="B2020" s="2">
        <v>43557</v>
      </c>
      <c r="C2020" s="1" t="s">
        <v>14</v>
      </c>
      <c r="D2020" s="1">
        <v>44</v>
      </c>
      <c r="E2020" t="s">
        <v>23</v>
      </c>
      <c r="F2020" t="s">
        <v>23</v>
      </c>
      <c r="G2020" s="1">
        <v>604.55999999999995</v>
      </c>
      <c r="H2020">
        <v>0.01</v>
      </c>
      <c r="I2020">
        <f>Sales_Data[[#This Row],[Sales]]*Sales_Data[[#This Row],[Discount]]</f>
        <v>6.0455999999999994</v>
      </c>
      <c r="J2020">
        <v>598.51439999999991</v>
      </c>
      <c r="K2020" s="1">
        <v>4.8</v>
      </c>
      <c r="L2020" s="1">
        <v>599.76</v>
      </c>
      <c r="M2020" s="1" t="s">
        <v>10</v>
      </c>
      <c r="N2020" s="1">
        <f>IF(Sales_Data[[#This Row],[Sales with Discount]]&lt;Sales_Data[[#This Row],[Sales with Free Shipping]],Sales_Data[[#This Row],[Sales with Discount]],Sales_Data[[#This Row],[Sales with Free Shipping]])</f>
        <v>598.51439999999991</v>
      </c>
      <c r="O2020" s="1" t="str">
        <f>TEXT(Sales_Data[[#This Row],[Order Date]], "MM-YYYY")</f>
        <v>04-2019</v>
      </c>
    </row>
    <row r="2021" spans="1:15" x14ac:dyDescent="0.3">
      <c r="A2021" s="1">
        <v>46912</v>
      </c>
      <c r="B2021" s="2">
        <v>43646</v>
      </c>
      <c r="C2021" s="1" t="s">
        <v>7</v>
      </c>
      <c r="D2021" s="1">
        <v>5</v>
      </c>
      <c r="E2021" t="s">
        <v>16</v>
      </c>
      <c r="F2021" t="s">
        <v>16</v>
      </c>
      <c r="G2021" s="1">
        <v>314.58</v>
      </c>
      <c r="H2021">
        <v>0</v>
      </c>
      <c r="I2021">
        <f>Sales_Data[[#This Row],[Sales]]*Sales_Data[[#This Row],[Discount]]</f>
        <v>0</v>
      </c>
      <c r="J2021">
        <v>314.58</v>
      </c>
      <c r="K2021" s="1">
        <v>15.9</v>
      </c>
      <c r="L2021" s="1">
        <v>314.58</v>
      </c>
      <c r="M2021" s="1" t="s">
        <v>10</v>
      </c>
      <c r="N2021" s="1">
        <f>IF(Sales_Data[[#This Row],[Sales with Discount]]&lt;Sales_Data[[#This Row],[Sales with Free Shipping]],Sales_Data[[#This Row],[Sales with Discount]],Sales_Data[[#This Row],[Sales with Free Shipping]])</f>
        <v>314.58</v>
      </c>
      <c r="O2021" s="1" t="str">
        <f>TEXT(Sales_Data[[#This Row],[Order Date]], "MM-YYYY")</f>
        <v>06-2019</v>
      </c>
    </row>
    <row r="2022" spans="1:15" x14ac:dyDescent="0.3">
      <c r="A2022" s="1">
        <v>8130</v>
      </c>
      <c r="B2022" s="2">
        <v>43598</v>
      </c>
      <c r="C2022" s="1" t="s">
        <v>12</v>
      </c>
      <c r="D2022" s="1">
        <v>15</v>
      </c>
      <c r="E2022" t="s">
        <v>18</v>
      </c>
      <c r="F2022" t="s">
        <v>18</v>
      </c>
      <c r="G2022" s="1">
        <v>70.97</v>
      </c>
      <c r="H2022">
        <v>0</v>
      </c>
      <c r="I2022">
        <f>Sales_Data[[#This Row],[Sales]]*Sales_Data[[#This Row],[Discount]]</f>
        <v>0</v>
      </c>
      <c r="J2022">
        <v>70.97</v>
      </c>
      <c r="K2022" s="1">
        <v>5.4</v>
      </c>
      <c r="L2022" s="1">
        <v>70.97</v>
      </c>
      <c r="M2022" s="1" t="s">
        <v>10</v>
      </c>
      <c r="N2022" s="1">
        <f>IF(Sales_Data[[#This Row],[Sales with Discount]]&lt;Sales_Data[[#This Row],[Sales with Free Shipping]],Sales_Data[[#This Row],[Sales with Discount]],Sales_Data[[#This Row],[Sales with Free Shipping]])</f>
        <v>70.97</v>
      </c>
      <c r="O2022" s="1" t="str">
        <f>TEXT(Sales_Data[[#This Row],[Order Date]], "MM-YYYY")</f>
        <v>05-2019</v>
      </c>
    </row>
    <row r="2023" spans="1:15" x14ac:dyDescent="0.3">
      <c r="A2023" s="1">
        <v>967</v>
      </c>
      <c r="B2023" s="2">
        <v>43636</v>
      </c>
      <c r="C2023" s="1" t="s">
        <v>14</v>
      </c>
      <c r="D2023" s="1">
        <v>6</v>
      </c>
      <c r="E2023" t="s">
        <v>17</v>
      </c>
      <c r="F2023" t="s">
        <v>17</v>
      </c>
      <c r="G2023" s="1">
        <v>96.9</v>
      </c>
      <c r="H2023">
        <v>0</v>
      </c>
      <c r="I2023">
        <f>Sales_Data[[#This Row],[Sales]]*Sales_Data[[#This Row],[Discount]]</f>
        <v>0</v>
      </c>
      <c r="J2023">
        <v>96.9</v>
      </c>
      <c r="K2023" s="1">
        <v>8</v>
      </c>
      <c r="L2023" s="1">
        <v>96.9</v>
      </c>
      <c r="M2023" s="1" t="s">
        <v>10</v>
      </c>
      <c r="N2023" s="1">
        <f>IF(Sales_Data[[#This Row],[Sales with Discount]]&lt;Sales_Data[[#This Row],[Sales with Free Shipping]],Sales_Data[[#This Row],[Sales with Discount]],Sales_Data[[#This Row],[Sales with Free Shipping]])</f>
        <v>96.9</v>
      </c>
      <c r="O2023" s="1" t="str">
        <f>TEXT(Sales_Data[[#This Row],[Order Date]], "MM-YYYY")</f>
        <v>06-2019</v>
      </c>
    </row>
    <row r="2024" spans="1:15" x14ac:dyDescent="0.3">
      <c r="A2024" s="1">
        <v>24067</v>
      </c>
      <c r="B2024" s="2">
        <v>43699</v>
      </c>
      <c r="C2024" s="1" t="s">
        <v>9</v>
      </c>
      <c r="D2024" s="1">
        <v>46</v>
      </c>
      <c r="E2024" t="s">
        <v>24</v>
      </c>
      <c r="F2024" t="s">
        <v>24</v>
      </c>
      <c r="G2024" s="1">
        <v>2825.53</v>
      </c>
      <c r="H2024">
        <v>0.01</v>
      </c>
      <c r="I2024">
        <f>Sales_Data[[#This Row],[Sales]]*Sales_Data[[#This Row],[Discount]]</f>
        <v>28.255300000000002</v>
      </c>
      <c r="J2024">
        <v>2797.2747000000004</v>
      </c>
      <c r="K2024" s="1">
        <v>6.3</v>
      </c>
      <c r="L2024" s="1">
        <v>2819.23</v>
      </c>
      <c r="M2024" s="1" t="s">
        <v>8</v>
      </c>
      <c r="N2024" s="1">
        <f>IF(Sales_Data[[#This Row],[Sales with Discount]]&lt;Sales_Data[[#This Row],[Sales with Free Shipping]],Sales_Data[[#This Row],[Sales with Discount]],Sales_Data[[#This Row],[Sales with Free Shipping]])</f>
        <v>2797.2747000000004</v>
      </c>
      <c r="O2024" s="1" t="str">
        <f>TEXT(Sales_Data[[#This Row],[Order Date]], "MM-YYYY")</f>
        <v>08-2019</v>
      </c>
    </row>
    <row r="2025" spans="1:15" x14ac:dyDescent="0.3">
      <c r="A2025" s="1">
        <v>31266</v>
      </c>
      <c r="B2025" s="2">
        <v>43741</v>
      </c>
      <c r="C2025" s="1" t="s">
        <v>9</v>
      </c>
      <c r="D2025" s="1">
        <v>16</v>
      </c>
      <c r="E2025" t="s">
        <v>19</v>
      </c>
      <c r="F2025" t="s">
        <v>19</v>
      </c>
      <c r="G2025" s="1">
        <v>7033.91</v>
      </c>
      <c r="H2025">
        <v>0</v>
      </c>
      <c r="I2025">
        <f>Sales_Data[[#This Row],[Sales]]*Sales_Data[[#This Row],[Discount]]</f>
        <v>0</v>
      </c>
      <c r="J2025">
        <v>7033.91</v>
      </c>
      <c r="K2025" s="1">
        <v>12.9</v>
      </c>
      <c r="L2025" s="1">
        <v>7033.91</v>
      </c>
      <c r="M2025" s="1" t="s">
        <v>13</v>
      </c>
      <c r="N2025" s="1">
        <f>IF(Sales_Data[[#This Row],[Sales with Discount]]&lt;Sales_Data[[#This Row],[Sales with Free Shipping]],Sales_Data[[#This Row],[Sales with Discount]],Sales_Data[[#This Row],[Sales with Free Shipping]])</f>
        <v>7033.91</v>
      </c>
      <c r="O2025" s="1" t="str">
        <f>TEXT(Sales_Data[[#This Row],[Order Date]], "MM-YYYY")</f>
        <v>10-2019</v>
      </c>
    </row>
    <row r="2026" spans="1:15" x14ac:dyDescent="0.3">
      <c r="A2026" s="1">
        <v>20066</v>
      </c>
      <c r="B2026" s="2">
        <v>43710</v>
      </c>
      <c r="C2026" s="1" t="s">
        <v>12</v>
      </c>
      <c r="D2026" s="1">
        <v>16</v>
      </c>
      <c r="E2026" t="s">
        <v>19</v>
      </c>
      <c r="F2026" t="s">
        <v>19</v>
      </c>
      <c r="G2026" s="1">
        <v>560.95000000000005</v>
      </c>
      <c r="H2026">
        <v>0</v>
      </c>
      <c r="I2026">
        <f>Sales_Data[[#This Row],[Sales]]*Sales_Data[[#This Row],[Discount]]</f>
        <v>0</v>
      </c>
      <c r="J2026">
        <v>560.95000000000005</v>
      </c>
      <c r="K2026" s="1">
        <v>9.4</v>
      </c>
      <c r="L2026" s="1">
        <v>560.95000000000005</v>
      </c>
      <c r="M2026" s="1" t="s">
        <v>10</v>
      </c>
      <c r="N2026" s="1">
        <f>IF(Sales_Data[[#This Row],[Sales with Discount]]&lt;Sales_Data[[#This Row],[Sales with Free Shipping]],Sales_Data[[#This Row],[Sales with Discount]],Sales_Data[[#This Row],[Sales with Free Shipping]])</f>
        <v>560.95000000000005</v>
      </c>
      <c r="O2026" s="1" t="str">
        <f>TEXT(Sales_Data[[#This Row],[Order Date]], "MM-YYYY")</f>
        <v>09-2019</v>
      </c>
    </row>
    <row r="2027" spans="1:15" x14ac:dyDescent="0.3">
      <c r="A2027" s="1">
        <v>35104</v>
      </c>
      <c r="B2027" s="2">
        <v>43577</v>
      </c>
      <c r="C2027" s="1" t="s">
        <v>9</v>
      </c>
      <c r="D2027" s="1">
        <v>18</v>
      </c>
      <c r="E2027" t="s">
        <v>19</v>
      </c>
      <c r="F2027" t="s">
        <v>19</v>
      </c>
      <c r="G2027" s="1">
        <v>415.32049999999998</v>
      </c>
      <c r="H2027">
        <v>0</v>
      </c>
      <c r="I2027">
        <f>Sales_Data[[#This Row],[Sales]]*Sales_Data[[#This Row],[Discount]]</f>
        <v>0</v>
      </c>
      <c r="J2027">
        <v>415.32049999999998</v>
      </c>
      <c r="K2027" s="1">
        <v>15.9</v>
      </c>
      <c r="L2027" s="1">
        <v>415.32049999999998</v>
      </c>
      <c r="M2027" s="1" t="s">
        <v>10</v>
      </c>
      <c r="N2027" s="1">
        <f>IF(Sales_Data[[#This Row],[Sales with Discount]]&lt;Sales_Data[[#This Row],[Sales with Free Shipping]],Sales_Data[[#This Row],[Sales with Discount]],Sales_Data[[#This Row],[Sales with Free Shipping]])</f>
        <v>415.32049999999998</v>
      </c>
      <c r="O2027" s="1" t="str">
        <f>TEXT(Sales_Data[[#This Row],[Order Date]], "MM-YYYY")</f>
        <v>04-2019</v>
      </c>
    </row>
    <row r="2028" spans="1:15" x14ac:dyDescent="0.3">
      <c r="A2028" s="1">
        <v>33029</v>
      </c>
      <c r="B2028" s="2">
        <v>43616</v>
      </c>
      <c r="C2028" s="1" t="s">
        <v>9</v>
      </c>
      <c r="D2028" s="1">
        <v>8</v>
      </c>
      <c r="E2028" t="s">
        <v>17</v>
      </c>
      <c r="F2028" t="s">
        <v>17</v>
      </c>
      <c r="G2028" s="1">
        <v>789.93</v>
      </c>
      <c r="H2028">
        <v>0</v>
      </c>
      <c r="I2028">
        <f>Sales_Data[[#This Row],[Sales]]*Sales_Data[[#This Row],[Discount]]</f>
        <v>0</v>
      </c>
      <c r="J2028">
        <v>789.93</v>
      </c>
      <c r="K2028" s="1">
        <v>2.7</v>
      </c>
      <c r="L2028" s="1">
        <v>789.93</v>
      </c>
      <c r="M2028" s="1" t="s">
        <v>10</v>
      </c>
      <c r="N2028" s="1">
        <f>IF(Sales_Data[[#This Row],[Sales with Discount]]&lt;Sales_Data[[#This Row],[Sales with Free Shipping]],Sales_Data[[#This Row],[Sales with Discount]],Sales_Data[[#This Row],[Sales with Free Shipping]])</f>
        <v>789.93</v>
      </c>
      <c r="O2028" s="1" t="str">
        <f>TEXT(Sales_Data[[#This Row],[Order Date]], "MM-YYYY")</f>
        <v>05-2019</v>
      </c>
    </row>
    <row r="2029" spans="1:15" x14ac:dyDescent="0.3">
      <c r="A2029" s="1">
        <v>30784</v>
      </c>
      <c r="B2029" s="2">
        <v>43592</v>
      </c>
      <c r="C2029" s="1" t="s">
        <v>14</v>
      </c>
      <c r="D2029" s="1">
        <v>48</v>
      </c>
      <c r="E2029" t="s">
        <v>24</v>
      </c>
      <c r="F2029" t="s">
        <v>24</v>
      </c>
      <c r="G2029" s="1">
        <v>359.13</v>
      </c>
      <c r="H2029">
        <v>0.01</v>
      </c>
      <c r="I2029">
        <f>Sales_Data[[#This Row],[Sales]]*Sales_Data[[#This Row],[Discount]]</f>
        <v>3.5912999999999999</v>
      </c>
      <c r="J2029">
        <v>355.53870000000001</v>
      </c>
      <c r="K2029" s="1">
        <v>1.7</v>
      </c>
      <c r="L2029" s="1">
        <v>357.43</v>
      </c>
      <c r="M2029" s="1" t="s">
        <v>10</v>
      </c>
      <c r="N2029" s="1">
        <f>IF(Sales_Data[[#This Row],[Sales with Discount]]&lt;Sales_Data[[#This Row],[Sales with Free Shipping]],Sales_Data[[#This Row],[Sales with Discount]],Sales_Data[[#This Row],[Sales with Free Shipping]])</f>
        <v>355.53870000000001</v>
      </c>
      <c r="O2029" s="1" t="str">
        <f>TEXT(Sales_Data[[#This Row],[Order Date]], "MM-YYYY")</f>
        <v>05-2019</v>
      </c>
    </row>
    <row r="2030" spans="1:15" x14ac:dyDescent="0.3">
      <c r="A2030" s="1">
        <v>44036</v>
      </c>
      <c r="B2030" s="2">
        <v>43475</v>
      </c>
      <c r="C2030" s="1" t="s">
        <v>9</v>
      </c>
      <c r="D2030" s="1">
        <v>40</v>
      </c>
      <c r="E2030" t="s">
        <v>22</v>
      </c>
      <c r="F2030" t="s">
        <v>22</v>
      </c>
      <c r="G2030" s="1">
        <v>267.64</v>
      </c>
      <c r="H2030">
        <v>0.01</v>
      </c>
      <c r="I2030">
        <f>Sales_Data[[#This Row],[Sales]]*Sales_Data[[#This Row],[Discount]]</f>
        <v>2.6764000000000001</v>
      </c>
      <c r="J2030">
        <v>264.96359999999999</v>
      </c>
      <c r="K2030" s="1">
        <v>1.3</v>
      </c>
      <c r="L2030" s="1">
        <v>266.33999999999997</v>
      </c>
      <c r="M2030" s="1" t="s">
        <v>8</v>
      </c>
      <c r="N2030" s="1">
        <f>IF(Sales_Data[[#This Row],[Sales with Discount]]&lt;Sales_Data[[#This Row],[Sales with Free Shipping]],Sales_Data[[#This Row],[Sales with Discount]],Sales_Data[[#This Row],[Sales with Free Shipping]])</f>
        <v>264.96359999999999</v>
      </c>
      <c r="O2030" s="1" t="str">
        <f>TEXT(Sales_Data[[#This Row],[Order Date]], "MM-YYYY")</f>
        <v>01-2019</v>
      </c>
    </row>
    <row r="2031" spans="1:15" x14ac:dyDescent="0.3">
      <c r="A2031" s="1">
        <v>33637</v>
      </c>
      <c r="B2031" s="2">
        <v>43793</v>
      </c>
      <c r="C2031" s="1" t="s">
        <v>7</v>
      </c>
      <c r="D2031" s="1">
        <v>35</v>
      </c>
      <c r="E2031" t="s">
        <v>21</v>
      </c>
      <c r="F2031" t="s">
        <v>21</v>
      </c>
      <c r="G2031" s="1">
        <v>205.66</v>
      </c>
      <c r="H2031">
        <v>0</v>
      </c>
      <c r="I2031">
        <f>Sales_Data[[#This Row],[Sales]]*Sales_Data[[#This Row],[Discount]]</f>
        <v>0</v>
      </c>
      <c r="J2031">
        <v>205.66</v>
      </c>
      <c r="K2031" s="1">
        <v>5.6</v>
      </c>
      <c r="L2031" s="1">
        <v>205.66</v>
      </c>
      <c r="M2031" s="1" t="s">
        <v>10</v>
      </c>
      <c r="N2031" s="1">
        <f>IF(Sales_Data[[#This Row],[Sales with Discount]]&lt;Sales_Data[[#This Row],[Sales with Free Shipping]],Sales_Data[[#This Row],[Sales with Discount]],Sales_Data[[#This Row],[Sales with Free Shipping]])</f>
        <v>205.66</v>
      </c>
      <c r="O2031" s="1" t="str">
        <f>TEXT(Sales_Data[[#This Row],[Order Date]], "MM-YYYY")</f>
        <v>11-2019</v>
      </c>
    </row>
    <row r="2032" spans="1:15" x14ac:dyDescent="0.3">
      <c r="A2032" s="1">
        <v>45984</v>
      </c>
      <c r="B2032" s="2">
        <v>43491</v>
      </c>
      <c r="C2032" s="1" t="s">
        <v>14</v>
      </c>
      <c r="D2032" s="1">
        <v>27</v>
      </c>
      <c r="E2032" t="s">
        <v>20</v>
      </c>
      <c r="F2032" t="s">
        <v>20</v>
      </c>
      <c r="G2032" s="1">
        <v>85.95</v>
      </c>
      <c r="H2032">
        <v>0</v>
      </c>
      <c r="I2032">
        <f>Sales_Data[[#This Row],[Sales]]*Sales_Data[[#This Row],[Discount]]</f>
        <v>0</v>
      </c>
      <c r="J2032">
        <v>85.95</v>
      </c>
      <c r="K2032" s="1">
        <v>1</v>
      </c>
      <c r="L2032" s="1">
        <v>85.95</v>
      </c>
      <c r="M2032" s="1" t="s">
        <v>10</v>
      </c>
      <c r="N2032" s="1">
        <f>IF(Sales_Data[[#This Row],[Sales with Discount]]&lt;Sales_Data[[#This Row],[Sales with Free Shipping]],Sales_Data[[#This Row],[Sales with Discount]],Sales_Data[[#This Row],[Sales with Free Shipping]])</f>
        <v>85.95</v>
      </c>
      <c r="O2032" s="1" t="str">
        <f>TEXT(Sales_Data[[#This Row],[Order Date]], "MM-YYYY")</f>
        <v>01-2019</v>
      </c>
    </row>
    <row r="2033" spans="1:15" x14ac:dyDescent="0.3">
      <c r="A2033" s="1">
        <v>30784</v>
      </c>
      <c r="B2033" s="2">
        <v>43592</v>
      </c>
      <c r="C2033" s="1" t="s">
        <v>14</v>
      </c>
      <c r="D2033" s="1">
        <v>10</v>
      </c>
      <c r="E2033" t="s">
        <v>17</v>
      </c>
      <c r="F2033" t="s">
        <v>17</v>
      </c>
      <c r="G2033" s="1">
        <v>756.81</v>
      </c>
      <c r="H2033">
        <v>0</v>
      </c>
      <c r="I2033">
        <f>Sales_Data[[#This Row],[Sales]]*Sales_Data[[#This Row],[Discount]]</f>
        <v>0</v>
      </c>
      <c r="J2033">
        <v>756.81</v>
      </c>
      <c r="K2033" s="1">
        <v>28.6</v>
      </c>
      <c r="L2033" s="1">
        <v>756.81</v>
      </c>
      <c r="M2033" s="1" t="s">
        <v>13</v>
      </c>
      <c r="N2033" s="1">
        <f>IF(Sales_Data[[#This Row],[Sales with Discount]]&lt;Sales_Data[[#This Row],[Sales with Free Shipping]],Sales_Data[[#This Row],[Sales with Discount]],Sales_Data[[#This Row],[Sales with Free Shipping]])</f>
        <v>756.81</v>
      </c>
      <c r="O2033" s="1" t="str">
        <f>TEXT(Sales_Data[[#This Row],[Order Date]], "MM-YYYY")</f>
        <v>05-2019</v>
      </c>
    </row>
    <row r="2034" spans="1:15" x14ac:dyDescent="0.3">
      <c r="A2034" s="1">
        <v>26306</v>
      </c>
      <c r="B2034" s="2">
        <v>43768</v>
      </c>
      <c r="C2034" s="1" t="s">
        <v>7</v>
      </c>
      <c r="D2034" s="1">
        <v>39</v>
      </c>
      <c r="E2034" t="s">
        <v>22</v>
      </c>
      <c r="F2034" t="s">
        <v>22</v>
      </c>
      <c r="G2034" s="1">
        <v>8266.4599999999991</v>
      </c>
      <c r="H2034">
        <v>0.01</v>
      </c>
      <c r="I2034">
        <f>Sales_Data[[#This Row],[Sales]]*Sales_Data[[#This Row],[Discount]]</f>
        <v>82.664599999999993</v>
      </c>
      <c r="J2034">
        <v>8183.7953999999991</v>
      </c>
      <c r="K2034" s="1">
        <v>59.9</v>
      </c>
      <c r="L2034" s="1">
        <v>8206.56</v>
      </c>
      <c r="M2034" s="1" t="s">
        <v>13</v>
      </c>
      <c r="N2034" s="1">
        <f>IF(Sales_Data[[#This Row],[Sales with Discount]]&lt;Sales_Data[[#This Row],[Sales with Free Shipping]],Sales_Data[[#This Row],[Sales with Discount]],Sales_Data[[#This Row],[Sales with Free Shipping]])</f>
        <v>8183.7953999999991</v>
      </c>
      <c r="O2034" s="1" t="str">
        <f>TEXT(Sales_Data[[#This Row],[Order Date]], "MM-YYYY")</f>
        <v>10-2019</v>
      </c>
    </row>
    <row r="2035" spans="1:15" x14ac:dyDescent="0.3">
      <c r="A2035" s="1">
        <v>57699</v>
      </c>
      <c r="B2035" s="2">
        <v>43779</v>
      </c>
      <c r="C2035" s="1" t="s">
        <v>7</v>
      </c>
      <c r="D2035" s="1">
        <v>47</v>
      </c>
      <c r="E2035" t="s">
        <v>24</v>
      </c>
      <c r="F2035" t="s">
        <v>24</v>
      </c>
      <c r="G2035" s="1">
        <v>1987.93</v>
      </c>
      <c r="H2035">
        <v>0.01</v>
      </c>
      <c r="I2035">
        <f>Sales_Data[[#This Row],[Sales]]*Sales_Data[[#This Row],[Discount]]</f>
        <v>19.879300000000001</v>
      </c>
      <c r="J2035">
        <v>1968.0507</v>
      </c>
      <c r="K2035" s="1">
        <v>2.1</v>
      </c>
      <c r="L2035" s="1">
        <v>1985.8300000000002</v>
      </c>
      <c r="M2035" s="1" t="s">
        <v>10</v>
      </c>
      <c r="N2035" s="1">
        <f>IF(Sales_Data[[#This Row],[Sales with Discount]]&lt;Sales_Data[[#This Row],[Sales with Free Shipping]],Sales_Data[[#This Row],[Sales with Discount]],Sales_Data[[#This Row],[Sales with Free Shipping]])</f>
        <v>1968.0507</v>
      </c>
      <c r="O2035" s="1" t="str">
        <f>TEXT(Sales_Data[[#This Row],[Order Date]], "MM-YYYY")</f>
        <v>11-2019</v>
      </c>
    </row>
    <row r="2036" spans="1:15" x14ac:dyDescent="0.3">
      <c r="A2036" s="1">
        <v>43815</v>
      </c>
      <c r="B2036" s="2">
        <v>43629</v>
      </c>
      <c r="C2036" s="1" t="s">
        <v>11</v>
      </c>
      <c r="D2036" s="1">
        <v>40</v>
      </c>
      <c r="E2036" t="s">
        <v>22</v>
      </c>
      <c r="F2036" t="s">
        <v>22</v>
      </c>
      <c r="G2036" s="1">
        <v>680.08130000000006</v>
      </c>
      <c r="H2036">
        <v>0.01</v>
      </c>
      <c r="I2036">
        <f>Sales_Data[[#This Row],[Sales]]*Sales_Data[[#This Row],[Discount]]</f>
        <v>6.8008130000000007</v>
      </c>
      <c r="J2036">
        <v>673.28048699999999</v>
      </c>
      <c r="K2036" s="1">
        <v>3.2</v>
      </c>
      <c r="L2036" s="1">
        <v>676.88130000000001</v>
      </c>
      <c r="M2036" s="1" t="s">
        <v>10</v>
      </c>
      <c r="N2036" s="1">
        <f>IF(Sales_Data[[#This Row],[Sales with Discount]]&lt;Sales_Data[[#This Row],[Sales with Free Shipping]],Sales_Data[[#This Row],[Sales with Discount]],Sales_Data[[#This Row],[Sales with Free Shipping]])</f>
        <v>673.28048699999999</v>
      </c>
      <c r="O2036" s="1" t="str">
        <f>TEXT(Sales_Data[[#This Row],[Order Date]], "MM-YYYY")</f>
        <v>06-2019</v>
      </c>
    </row>
    <row r="2037" spans="1:15" x14ac:dyDescent="0.3">
      <c r="A2037" s="1">
        <v>25861</v>
      </c>
      <c r="B2037" s="2">
        <v>43684</v>
      </c>
      <c r="C2037" s="1" t="s">
        <v>9</v>
      </c>
      <c r="D2037" s="1">
        <v>44</v>
      </c>
      <c r="E2037" t="s">
        <v>23</v>
      </c>
      <c r="F2037" t="s">
        <v>23</v>
      </c>
      <c r="G2037" s="1">
        <v>25439.85</v>
      </c>
      <c r="H2037">
        <v>0.01</v>
      </c>
      <c r="I2037">
        <f>Sales_Data[[#This Row],[Sales]]*Sales_Data[[#This Row],[Discount]]</f>
        <v>254.39849999999998</v>
      </c>
      <c r="J2037">
        <v>25185.451499999999</v>
      </c>
      <c r="K2037" s="1">
        <v>15.7</v>
      </c>
      <c r="L2037" s="1">
        <v>25424.149999999998</v>
      </c>
      <c r="M2037" s="1" t="s">
        <v>13</v>
      </c>
      <c r="N2037" s="1">
        <f>IF(Sales_Data[[#This Row],[Sales with Discount]]&lt;Sales_Data[[#This Row],[Sales with Free Shipping]],Sales_Data[[#This Row],[Sales with Discount]],Sales_Data[[#This Row],[Sales with Free Shipping]])</f>
        <v>25185.451499999999</v>
      </c>
      <c r="O2037" s="1" t="str">
        <f>TEXT(Sales_Data[[#This Row],[Order Date]], "MM-YYYY")</f>
        <v>08-2019</v>
      </c>
    </row>
    <row r="2038" spans="1:15" x14ac:dyDescent="0.3">
      <c r="A2038" s="1">
        <v>52164</v>
      </c>
      <c r="B2038" s="2">
        <v>43568</v>
      </c>
      <c r="C2038" s="1" t="s">
        <v>11</v>
      </c>
      <c r="D2038" s="1">
        <v>30</v>
      </c>
      <c r="E2038" t="s">
        <v>20</v>
      </c>
      <c r="F2038" t="s">
        <v>20</v>
      </c>
      <c r="G2038" s="1">
        <v>1952.59</v>
      </c>
      <c r="H2038">
        <v>0</v>
      </c>
      <c r="I2038">
        <f>Sales_Data[[#This Row],[Sales]]*Sales_Data[[#This Row],[Discount]]</f>
        <v>0</v>
      </c>
      <c r="J2038">
        <v>1952.59</v>
      </c>
      <c r="K2038" s="1">
        <v>9.4</v>
      </c>
      <c r="L2038" s="1">
        <v>1952.59</v>
      </c>
      <c r="M2038" s="1" t="s">
        <v>10</v>
      </c>
      <c r="N2038" s="1">
        <f>IF(Sales_Data[[#This Row],[Sales with Discount]]&lt;Sales_Data[[#This Row],[Sales with Free Shipping]],Sales_Data[[#This Row],[Sales with Discount]],Sales_Data[[#This Row],[Sales with Free Shipping]])</f>
        <v>1952.59</v>
      </c>
      <c r="O2038" s="1" t="str">
        <f>TEXT(Sales_Data[[#This Row],[Order Date]], "MM-YYYY")</f>
        <v>04-2019</v>
      </c>
    </row>
    <row r="2039" spans="1:15" x14ac:dyDescent="0.3">
      <c r="A2039" s="1">
        <v>644</v>
      </c>
      <c r="B2039" s="2">
        <v>43585</v>
      </c>
      <c r="C2039" s="1" t="s">
        <v>12</v>
      </c>
      <c r="D2039" s="1">
        <v>5</v>
      </c>
      <c r="E2039" t="s">
        <v>16</v>
      </c>
      <c r="F2039" t="s">
        <v>16</v>
      </c>
      <c r="G2039" s="1">
        <v>1797.15</v>
      </c>
      <c r="H2039">
        <v>0</v>
      </c>
      <c r="I2039">
        <f>Sales_Data[[#This Row],[Sales]]*Sales_Data[[#This Row],[Discount]]</f>
        <v>0</v>
      </c>
      <c r="J2039">
        <v>1797.15</v>
      </c>
      <c r="K2039" s="1">
        <v>63.1</v>
      </c>
      <c r="L2039" s="1">
        <v>1797.15</v>
      </c>
      <c r="M2039" s="1" t="s">
        <v>13</v>
      </c>
      <c r="N2039" s="1">
        <f>IF(Sales_Data[[#This Row],[Sales with Discount]]&lt;Sales_Data[[#This Row],[Sales with Free Shipping]],Sales_Data[[#This Row],[Sales with Discount]],Sales_Data[[#This Row],[Sales with Free Shipping]])</f>
        <v>1797.15</v>
      </c>
      <c r="O2039" s="1" t="str">
        <f>TEXT(Sales_Data[[#This Row],[Order Date]], "MM-YYYY")</f>
        <v>04-2019</v>
      </c>
    </row>
    <row r="2040" spans="1:15" x14ac:dyDescent="0.3">
      <c r="A2040" s="1">
        <v>40065</v>
      </c>
      <c r="B2040" s="2">
        <v>43512</v>
      </c>
      <c r="C2040" s="1" t="s">
        <v>9</v>
      </c>
      <c r="D2040" s="1">
        <v>4</v>
      </c>
      <c r="E2040" t="s">
        <v>16</v>
      </c>
      <c r="F2040" t="s">
        <v>16</v>
      </c>
      <c r="G2040" s="1">
        <v>82.25</v>
      </c>
      <c r="H2040">
        <v>0</v>
      </c>
      <c r="I2040">
        <f>Sales_Data[[#This Row],[Sales]]*Sales_Data[[#This Row],[Discount]]</f>
        <v>0</v>
      </c>
      <c r="J2040">
        <v>82.25</v>
      </c>
      <c r="K2040" s="1">
        <v>1.1000000000000001</v>
      </c>
      <c r="L2040" s="1">
        <v>82.25</v>
      </c>
      <c r="M2040" s="1" t="s">
        <v>8</v>
      </c>
      <c r="N2040" s="1">
        <f>IF(Sales_Data[[#This Row],[Sales with Discount]]&lt;Sales_Data[[#This Row],[Sales with Free Shipping]],Sales_Data[[#This Row],[Sales with Discount]],Sales_Data[[#This Row],[Sales with Free Shipping]])</f>
        <v>82.25</v>
      </c>
      <c r="O2040" s="1" t="str">
        <f>TEXT(Sales_Data[[#This Row],[Order Date]], "MM-YYYY")</f>
        <v>02-2019</v>
      </c>
    </row>
    <row r="2041" spans="1:15" x14ac:dyDescent="0.3">
      <c r="A2041" s="1">
        <v>45571</v>
      </c>
      <c r="B2041" s="2">
        <v>43731</v>
      </c>
      <c r="C2041" s="1" t="s">
        <v>14</v>
      </c>
      <c r="D2041" s="1">
        <v>43</v>
      </c>
      <c r="E2041" t="s">
        <v>23</v>
      </c>
      <c r="F2041" t="s">
        <v>23</v>
      </c>
      <c r="G2041" s="1">
        <v>565.53</v>
      </c>
      <c r="H2041">
        <v>0.01</v>
      </c>
      <c r="I2041">
        <f>Sales_Data[[#This Row],[Sales]]*Sales_Data[[#This Row],[Discount]]</f>
        <v>5.6552999999999995</v>
      </c>
      <c r="J2041">
        <v>559.87469999999996</v>
      </c>
      <c r="K2041" s="1">
        <v>5.0999999999999996</v>
      </c>
      <c r="L2041" s="1">
        <v>560.42999999999995</v>
      </c>
      <c r="M2041" s="1" t="s">
        <v>10</v>
      </c>
      <c r="N2041" s="1">
        <f>IF(Sales_Data[[#This Row],[Sales with Discount]]&lt;Sales_Data[[#This Row],[Sales with Free Shipping]],Sales_Data[[#This Row],[Sales with Discount]],Sales_Data[[#This Row],[Sales with Free Shipping]])</f>
        <v>559.87469999999996</v>
      </c>
      <c r="O2041" s="1" t="str">
        <f>TEXT(Sales_Data[[#This Row],[Order Date]], "MM-YYYY")</f>
        <v>09-2019</v>
      </c>
    </row>
    <row r="2042" spans="1:15" x14ac:dyDescent="0.3">
      <c r="A2042" s="1">
        <v>33222</v>
      </c>
      <c r="B2042" s="2">
        <v>43635</v>
      </c>
      <c r="C2042" s="1" t="s">
        <v>14</v>
      </c>
      <c r="D2042" s="1">
        <v>30</v>
      </c>
      <c r="E2042" t="s">
        <v>20</v>
      </c>
      <c r="F2042" t="s">
        <v>20</v>
      </c>
      <c r="G2042" s="1">
        <v>1793.81</v>
      </c>
      <c r="H2042">
        <v>0</v>
      </c>
      <c r="I2042">
        <f>Sales_Data[[#This Row],[Sales]]*Sales_Data[[#This Row],[Discount]]</f>
        <v>0</v>
      </c>
      <c r="J2042">
        <v>1793.81</v>
      </c>
      <c r="K2042" s="1">
        <v>32.1</v>
      </c>
      <c r="L2042" s="1">
        <v>1793.81</v>
      </c>
      <c r="M2042" s="1" t="s">
        <v>13</v>
      </c>
      <c r="N2042" s="1">
        <f>IF(Sales_Data[[#This Row],[Sales with Discount]]&lt;Sales_Data[[#This Row],[Sales with Free Shipping]],Sales_Data[[#This Row],[Sales with Discount]],Sales_Data[[#This Row],[Sales with Free Shipping]])</f>
        <v>1793.81</v>
      </c>
      <c r="O2042" s="1" t="str">
        <f>TEXT(Sales_Data[[#This Row],[Order Date]], "MM-YYYY")</f>
        <v>06-2019</v>
      </c>
    </row>
    <row r="2043" spans="1:15" x14ac:dyDescent="0.3">
      <c r="A2043" s="1">
        <v>4099</v>
      </c>
      <c r="B2043" s="2">
        <v>43697</v>
      </c>
      <c r="C2043" s="1" t="s">
        <v>12</v>
      </c>
      <c r="D2043" s="1">
        <v>39</v>
      </c>
      <c r="E2043" t="s">
        <v>22</v>
      </c>
      <c r="F2043" t="s">
        <v>22</v>
      </c>
      <c r="G2043" s="1">
        <v>3860.4</v>
      </c>
      <c r="H2043">
        <v>0.01</v>
      </c>
      <c r="I2043">
        <f>Sales_Data[[#This Row],[Sales]]*Sales_Data[[#This Row],[Discount]]</f>
        <v>38.603999999999999</v>
      </c>
      <c r="J2043">
        <v>3821.7960000000003</v>
      </c>
      <c r="K2043" s="1">
        <v>9.6</v>
      </c>
      <c r="L2043" s="1">
        <v>3850.8</v>
      </c>
      <c r="M2043" s="1" t="s">
        <v>10</v>
      </c>
      <c r="N2043" s="1">
        <f>IF(Sales_Data[[#This Row],[Sales with Discount]]&lt;Sales_Data[[#This Row],[Sales with Free Shipping]],Sales_Data[[#This Row],[Sales with Discount]],Sales_Data[[#This Row],[Sales with Free Shipping]])</f>
        <v>3821.7960000000003</v>
      </c>
      <c r="O2043" s="1" t="str">
        <f>TEXT(Sales_Data[[#This Row],[Order Date]], "MM-YYYY")</f>
        <v>08-2019</v>
      </c>
    </row>
    <row r="2044" spans="1:15" x14ac:dyDescent="0.3">
      <c r="A2044" s="1">
        <v>33605</v>
      </c>
      <c r="B2044" s="2">
        <v>43558</v>
      </c>
      <c r="C2044" s="1" t="s">
        <v>12</v>
      </c>
      <c r="D2044" s="1">
        <v>42</v>
      </c>
      <c r="E2044" t="s">
        <v>23</v>
      </c>
      <c r="F2044" t="s">
        <v>23</v>
      </c>
      <c r="G2044" s="1">
        <v>163.72</v>
      </c>
      <c r="H2044">
        <v>0.01</v>
      </c>
      <c r="I2044">
        <f>Sales_Data[[#This Row],[Sales]]*Sales_Data[[#This Row],[Discount]]</f>
        <v>1.6372</v>
      </c>
      <c r="J2044">
        <v>162.08279999999999</v>
      </c>
      <c r="K2044" s="1">
        <v>7.3</v>
      </c>
      <c r="L2044" s="1">
        <v>156.41999999999999</v>
      </c>
      <c r="M2044" s="1" t="s">
        <v>10</v>
      </c>
      <c r="N2044" s="1">
        <f>IF(Sales_Data[[#This Row],[Sales with Discount]]&lt;Sales_Data[[#This Row],[Sales with Free Shipping]],Sales_Data[[#This Row],[Sales with Discount]],Sales_Data[[#This Row],[Sales with Free Shipping]])</f>
        <v>156.41999999999999</v>
      </c>
      <c r="O2044" s="1" t="str">
        <f>TEXT(Sales_Data[[#This Row],[Order Date]], "MM-YYYY")</f>
        <v>04-2019</v>
      </c>
    </row>
    <row r="2045" spans="1:15" x14ac:dyDescent="0.3">
      <c r="A2045" s="1">
        <v>21856</v>
      </c>
      <c r="B2045" s="2">
        <v>43560</v>
      </c>
      <c r="C2045" s="1" t="s">
        <v>11</v>
      </c>
      <c r="D2045" s="1">
        <v>26</v>
      </c>
      <c r="E2045" t="s">
        <v>20</v>
      </c>
      <c r="F2045" t="s">
        <v>20</v>
      </c>
      <c r="G2045" s="1">
        <v>82.42</v>
      </c>
      <c r="H2045">
        <v>0</v>
      </c>
      <c r="I2045">
        <f>Sales_Data[[#This Row],[Sales]]*Sales_Data[[#This Row],[Discount]]</f>
        <v>0</v>
      </c>
      <c r="J2045">
        <v>82.42</v>
      </c>
      <c r="K2045" s="1">
        <v>2.1</v>
      </c>
      <c r="L2045" s="1">
        <v>82.42</v>
      </c>
      <c r="M2045" s="1" t="s">
        <v>10</v>
      </c>
      <c r="N2045" s="1">
        <f>IF(Sales_Data[[#This Row],[Sales with Discount]]&lt;Sales_Data[[#This Row],[Sales with Free Shipping]],Sales_Data[[#This Row],[Sales with Discount]],Sales_Data[[#This Row],[Sales with Free Shipping]])</f>
        <v>82.42</v>
      </c>
      <c r="O2045" s="1" t="str">
        <f>TEXT(Sales_Data[[#This Row],[Order Date]], "MM-YYYY")</f>
        <v>04-2019</v>
      </c>
    </row>
    <row r="2046" spans="1:15" x14ac:dyDescent="0.3">
      <c r="A2046" s="1">
        <v>48673</v>
      </c>
      <c r="B2046" s="2">
        <v>43581</v>
      </c>
      <c r="C2046" s="1" t="s">
        <v>11</v>
      </c>
      <c r="D2046" s="1">
        <v>36</v>
      </c>
      <c r="E2046" t="s">
        <v>22</v>
      </c>
      <c r="F2046" t="s">
        <v>22</v>
      </c>
      <c r="G2046" s="1">
        <v>610.0498</v>
      </c>
      <c r="H2046">
        <v>0.01</v>
      </c>
      <c r="I2046">
        <f>Sales_Data[[#This Row],[Sales]]*Sales_Data[[#This Row],[Discount]]</f>
        <v>6.100498</v>
      </c>
      <c r="J2046">
        <v>603.94930199999999</v>
      </c>
      <c r="K2046" s="1">
        <v>9.4</v>
      </c>
      <c r="L2046" s="1">
        <v>600.64980000000003</v>
      </c>
      <c r="M2046" s="1" t="s">
        <v>10</v>
      </c>
      <c r="N2046" s="1">
        <f>IF(Sales_Data[[#This Row],[Sales with Discount]]&lt;Sales_Data[[#This Row],[Sales with Free Shipping]],Sales_Data[[#This Row],[Sales with Discount]],Sales_Data[[#This Row],[Sales with Free Shipping]])</f>
        <v>600.64980000000003</v>
      </c>
      <c r="O2046" s="1" t="str">
        <f>TEXT(Sales_Data[[#This Row],[Order Date]], "MM-YYYY")</f>
        <v>04-2019</v>
      </c>
    </row>
    <row r="2047" spans="1:15" x14ac:dyDescent="0.3">
      <c r="A2047" s="1">
        <v>19905</v>
      </c>
      <c r="B2047" s="2">
        <v>43689</v>
      </c>
      <c r="C2047" s="1" t="s">
        <v>12</v>
      </c>
      <c r="D2047" s="1">
        <v>20</v>
      </c>
      <c r="E2047" t="s">
        <v>19</v>
      </c>
      <c r="F2047" t="s">
        <v>19</v>
      </c>
      <c r="G2047" s="1">
        <v>88.78</v>
      </c>
      <c r="H2047">
        <v>0</v>
      </c>
      <c r="I2047">
        <f>Sales_Data[[#This Row],[Sales]]*Sales_Data[[#This Row],[Discount]]</f>
        <v>0</v>
      </c>
      <c r="J2047">
        <v>88.78</v>
      </c>
      <c r="K2047" s="1">
        <v>0.5</v>
      </c>
      <c r="L2047" s="1">
        <v>88.78</v>
      </c>
      <c r="M2047" s="1" t="s">
        <v>10</v>
      </c>
      <c r="N2047" s="1">
        <f>IF(Sales_Data[[#This Row],[Sales with Discount]]&lt;Sales_Data[[#This Row],[Sales with Free Shipping]],Sales_Data[[#This Row],[Sales with Discount]],Sales_Data[[#This Row],[Sales with Free Shipping]])</f>
        <v>88.78</v>
      </c>
      <c r="O2047" s="1" t="str">
        <f>TEXT(Sales_Data[[#This Row],[Order Date]], "MM-YYYY")</f>
        <v>08-2019</v>
      </c>
    </row>
    <row r="2048" spans="1:15" x14ac:dyDescent="0.3">
      <c r="A2048" s="1">
        <v>967</v>
      </c>
      <c r="B2048" s="2">
        <v>43636</v>
      </c>
      <c r="C2048" s="1" t="s">
        <v>14</v>
      </c>
      <c r="D2048" s="1">
        <v>42</v>
      </c>
      <c r="E2048" t="s">
        <v>23</v>
      </c>
      <c r="F2048" t="s">
        <v>23</v>
      </c>
      <c r="G2048" s="1">
        <v>1749.34</v>
      </c>
      <c r="H2048">
        <v>0.01</v>
      </c>
      <c r="I2048">
        <f>Sales_Data[[#This Row],[Sales]]*Sales_Data[[#This Row],[Discount]]</f>
        <v>17.493400000000001</v>
      </c>
      <c r="J2048">
        <v>1731.8465999999999</v>
      </c>
      <c r="K2048" s="1">
        <v>3.1</v>
      </c>
      <c r="L2048" s="1">
        <v>1746.24</v>
      </c>
      <c r="M2048" s="1" t="s">
        <v>10</v>
      </c>
      <c r="N2048" s="1">
        <f>IF(Sales_Data[[#This Row],[Sales with Discount]]&lt;Sales_Data[[#This Row],[Sales with Free Shipping]],Sales_Data[[#This Row],[Sales with Discount]],Sales_Data[[#This Row],[Sales with Free Shipping]])</f>
        <v>1731.8465999999999</v>
      </c>
      <c r="O2048" s="1" t="str">
        <f>TEXT(Sales_Data[[#This Row],[Order Date]], "MM-YYYY")</f>
        <v>06-2019</v>
      </c>
    </row>
    <row r="2049" spans="1:15" x14ac:dyDescent="0.3">
      <c r="A2049" s="1">
        <v>54053</v>
      </c>
      <c r="B2049" s="2">
        <v>43509</v>
      </c>
      <c r="C2049" s="1" t="s">
        <v>9</v>
      </c>
      <c r="D2049" s="1">
        <v>18</v>
      </c>
      <c r="E2049" t="s">
        <v>19</v>
      </c>
      <c r="F2049" t="s">
        <v>19</v>
      </c>
      <c r="G2049" s="1">
        <v>879.31</v>
      </c>
      <c r="H2049">
        <v>0</v>
      </c>
      <c r="I2049">
        <f>Sales_Data[[#This Row],[Sales]]*Sales_Data[[#This Row],[Discount]]</f>
        <v>0</v>
      </c>
      <c r="J2049">
        <v>879.31</v>
      </c>
      <c r="K2049" s="1">
        <v>5.4</v>
      </c>
      <c r="L2049" s="1">
        <v>879.31</v>
      </c>
      <c r="M2049" s="1" t="s">
        <v>8</v>
      </c>
      <c r="N2049" s="1">
        <f>IF(Sales_Data[[#This Row],[Sales with Discount]]&lt;Sales_Data[[#This Row],[Sales with Free Shipping]],Sales_Data[[#This Row],[Sales with Discount]],Sales_Data[[#This Row],[Sales with Free Shipping]])</f>
        <v>879.31</v>
      </c>
      <c r="O2049" s="1" t="str">
        <f>TEXT(Sales_Data[[#This Row],[Order Date]], "MM-YYYY")</f>
        <v>02-2019</v>
      </c>
    </row>
    <row r="2050" spans="1:15" x14ac:dyDescent="0.3">
      <c r="A2050" s="1">
        <v>2146</v>
      </c>
      <c r="B2050" s="2">
        <v>43721</v>
      </c>
      <c r="C2050" s="1" t="s">
        <v>11</v>
      </c>
      <c r="D2050" s="1">
        <v>41</v>
      </c>
      <c r="E2050" t="s">
        <v>23</v>
      </c>
      <c r="F2050" t="s">
        <v>23</v>
      </c>
      <c r="G2050" s="1">
        <v>6538.95</v>
      </c>
      <c r="H2050">
        <v>0.01</v>
      </c>
      <c r="I2050">
        <f>Sales_Data[[#This Row],[Sales]]*Sales_Data[[#This Row],[Discount]]</f>
        <v>65.389499999999998</v>
      </c>
      <c r="J2050">
        <v>6473.5604999999996</v>
      </c>
      <c r="K2050" s="1">
        <v>5.3</v>
      </c>
      <c r="L2050" s="1">
        <v>6533.65</v>
      </c>
      <c r="M2050" s="1" t="s">
        <v>10</v>
      </c>
      <c r="N2050" s="1">
        <f>IF(Sales_Data[[#This Row],[Sales with Discount]]&lt;Sales_Data[[#This Row],[Sales with Free Shipping]],Sales_Data[[#This Row],[Sales with Discount]],Sales_Data[[#This Row],[Sales with Free Shipping]])</f>
        <v>6473.5604999999996</v>
      </c>
      <c r="O2050" s="1" t="str">
        <f>TEXT(Sales_Data[[#This Row],[Order Date]], "MM-YYYY")</f>
        <v>09-2019</v>
      </c>
    </row>
    <row r="2051" spans="1:15" x14ac:dyDescent="0.3">
      <c r="A2051" s="1">
        <v>59491</v>
      </c>
      <c r="B2051" s="2">
        <v>43548</v>
      </c>
      <c r="C2051" s="1" t="s">
        <v>9</v>
      </c>
      <c r="D2051" s="1">
        <v>31</v>
      </c>
      <c r="E2051" t="s">
        <v>21</v>
      </c>
      <c r="F2051" t="s">
        <v>21</v>
      </c>
      <c r="G2051" s="1">
        <v>13343.23</v>
      </c>
      <c r="H2051">
        <v>0</v>
      </c>
      <c r="I2051">
        <f>Sales_Data[[#This Row],[Sales]]*Sales_Data[[#This Row],[Discount]]</f>
        <v>0</v>
      </c>
      <c r="J2051">
        <v>13343.23</v>
      </c>
      <c r="K2051" s="1">
        <v>21.4</v>
      </c>
      <c r="L2051" s="1">
        <v>13343.23</v>
      </c>
      <c r="M2051" s="1" t="s">
        <v>10</v>
      </c>
      <c r="N2051" s="1">
        <f>IF(Sales_Data[[#This Row],[Sales with Discount]]&lt;Sales_Data[[#This Row],[Sales with Free Shipping]],Sales_Data[[#This Row],[Sales with Discount]],Sales_Data[[#This Row],[Sales with Free Shipping]])</f>
        <v>13343.23</v>
      </c>
      <c r="O2051" s="1" t="str">
        <f>TEXT(Sales_Data[[#This Row],[Order Date]], "MM-YYYY")</f>
        <v>03-2019</v>
      </c>
    </row>
    <row r="2052" spans="1:15" x14ac:dyDescent="0.3">
      <c r="A2052" s="1">
        <v>33731</v>
      </c>
      <c r="B2052" s="2">
        <v>43746</v>
      </c>
      <c r="C2052" s="1" t="s">
        <v>9</v>
      </c>
      <c r="D2052" s="1">
        <v>27</v>
      </c>
      <c r="E2052" t="s">
        <v>20</v>
      </c>
      <c r="F2052" t="s">
        <v>20</v>
      </c>
      <c r="G2052" s="1">
        <v>8788.3058999999994</v>
      </c>
      <c r="H2052">
        <v>0</v>
      </c>
      <c r="I2052">
        <f>Sales_Data[[#This Row],[Sales]]*Sales_Data[[#This Row],[Discount]]</f>
        <v>0</v>
      </c>
      <c r="J2052">
        <v>8788.3058999999994</v>
      </c>
      <c r="K2052" s="1">
        <v>74.400000000000006</v>
      </c>
      <c r="L2052" s="1">
        <v>8788.3058999999994</v>
      </c>
      <c r="M2052" s="1" t="s">
        <v>13</v>
      </c>
      <c r="N2052" s="1">
        <f>IF(Sales_Data[[#This Row],[Sales with Discount]]&lt;Sales_Data[[#This Row],[Sales with Free Shipping]],Sales_Data[[#This Row],[Sales with Discount]],Sales_Data[[#This Row],[Sales with Free Shipping]])</f>
        <v>8788.3058999999994</v>
      </c>
      <c r="O2052" s="1" t="str">
        <f>TEXT(Sales_Data[[#This Row],[Order Date]], "MM-YYYY")</f>
        <v>10-2019</v>
      </c>
    </row>
    <row r="2053" spans="1:15" x14ac:dyDescent="0.3">
      <c r="A2053" s="1">
        <v>46053</v>
      </c>
      <c r="B2053" s="2">
        <v>43721</v>
      </c>
      <c r="C2053" s="1" t="s">
        <v>9</v>
      </c>
      <c r="D2053" s="1">
        <v>31</v>
      </c>
      <c r="E2053" t="s">
        <v>21</v>
      </c>
      <c r="F2053" t="s">
        <v>21</v>
      </c>
      <c r="G2053" s="1">
        <v>2618.41</v>
      </c>
      <c r="H2053">
        <v>0</v>
      </c>
      <c r="I2053">
        <f>Sales_Data[[#This Row],[Sales]]*Sales_Data[[#This Row],[Discount]]</f>
        <v>0</v>
      </c>
      <c r="J2053">
        <v>2618.41</v>
      </c>
      <c r="K2053" s="1">
        <v>1.1000000000000001</v>
      </c>
      <c r="L2053" s="1">
        <v>2618.41</v>
      </c>
      <c r="M2053" s="1" t="s">
        <v>10</v>
      </c>
      <c r="N2053" s="1">
        <f>IF(Sales_Data[[#This Row],[Sales with Discount]]&lt;Sales_Data[[#This Row],[Sales with Free Shipping]],Sales_Data[[#This Row],[Sales with Discount]],Sales_Data[[#This Row],[Sales with Free Shipping]])</f>
        <v>2618.41</v>
      </c>
      <c r="O2053" s="1" t="str">
        <f>TEXT(Sales_Data[[#This Row],[Order Date]], "MM-YYYY")</f>
        <v>09-2019</v>
      </c>
    </row>
    <row r="2054" spans="1:15" x14ac:dyDescent="0.3">
      <c r="A2054" s="1">
        <v>50017</v>
      </c>
      <c r="B2054" s="2">
        <v>43789</v>
      </c>
      <c r="C2054" s="1" t="s">
        <v>7</v>
      </c>
      <c r="D2054" s="1">
        <v>43</v>
      </c>
      <c r="E2054" t="s">
        <v>23</v>
      </c>
      <c r="F2054" t="s">
        <v>23</v>
      </c>
      <c r="G2054" s="1">
        <v>1607.64</v>
      </c>
      <c r="H2054">
        <v>0.01</v>
      </c>
      <c r="I2054">
        <f>Sales_Data[[#This Row],[Sales]]*Sales_Data[[#This Row],[Discount]]</f>
        <v>16.0764</v>
      </c>
      <c r="J2054">
        <v>1591.5636000000002</v>
      </c>
      <c r="K2054" s="1">
        <v>9.6</v>
      </c>
      <c r="L2054" s="1">
        <v>1598.0400000000002</v>
      </c>
      <c r="M2054" s="1" t="s">
        <v>10</v>
      </c>
      <c r="N2054" s="1">
        <f>IF(Sales_Data[[#This Row],[Sales with Discount]]&lt;Sales_Data[[#This Row],[Sales with Free Shipping]],Sales_Data[[#This Row],[Sales with Discount]],Sales_Data[[#This Row],[Sales with Free Shipping]])</f>
        <v>1591.5636000000002</v>
      </c>
      <c r="O2054" s="1" t="str">
        <f>TEXT(Sales_Data[[#This Row],[Order Date]], "MM-YYYY")</f>
        <v>11-2019</v>
      </c>
    </row>
    <row r="2055" spans="1:15" x14ac:dyDescent="0.3">
      <c r="A2055" s="1">
        <v>51489</v>
      </c>
      <c r="B2055" s="2">
        <v>43527</v>
      </c>
      <c r="C2055" s="1" t="s">
        <v>12</v>
      </c>
      <c r="D2055" s="1">
        <v>42</v>
      </c>
      <c r="E2055" t="s">
        <v>23</v>
      </c>
      <c r="F2055" t="s">
        <v>23</v>
      </c>
      <c r="G2055" s="1">
        <v>5185.95</v>
      </c>
      <c r="H2055">
        <v>0.01</v>
      </c>
      <c r="I2055">
        <f>Sales_Data[[#This Row],[Sales]]*Sales_Data[[#This Row],[Discount]]</f>
        <v>51.859499999999997</v>
      </c>
      <c r="J2055">
        <v>5134.0904999999993</v>
      </c>
      <c r="K2055" s="1">
        <v>15</v>
      </c>
      <c r="L2055" s="1">
        <v>5170.95</v>
      </c>
      <c r="M2055" s="1" t="s">
        <v>10</v>
      </c>
      <c r="N2055" s="1">
        <f>IF(Sales_Data[[#This Row],[Sales with Discount]]&lt;Sales_Data[[#This Row],[Sales with Free Shipping]],Sales_Data[[#This Row],[Sales with Discount]],Sales_Data[[#This Row],[Sales with Free Shipping]])</f>
        <v>5134.0904999999993</v>
      </c>
      <c r="O2055" s="1" t="str">
        <f>TEXT(Sales_Data[[#This Row],[Order Date]], "MM-YYYY")</f>
        <v>03-2019</v>
      </c>
    </row>
    <row r="2056" spans="1:15" x14ac:dyDescent="0.3">
      <c r="A2056" s="1">
        <v>1856</v>
      </c>
      <c r="B2056" s="2">
        <v>43543</v>
      </c>
      <c r="C2056" s="1" t="s">
        <v>11</v>
      </c>
      <c r="D2056" s="1">
        <v>24</v>
      </c>
      <c r="E2056" t="s">
        <v>14</v>
      </c>
      <c r="F2056" t="s">
        <v>14</v>
      </c>
      <c r="G2056" s="1">
        <v>1550.75</v>
      </c>
      <c r="H2056">
        <v>0</v>
      </c>
      <c r="I2056">
        <f>Sales_Data[[#This Row],[Sales]]*Sales_Data[[#This Row],[Discount]]</f>
        <v>0</v>
      </c>
      <c r="J2056">
        <v>1550.75</v>
      </c>
      <c r="K2056" s="1">
        <v>52.4</v>
      </c>
      <c r="L2056" s="1">
        <v>1550.75</v>
      </c>
      <c r="M2056" s="1" t="s">
        <v>10</v>
      </c>
      <c r="N2056" s="1">
        <f>IF(Sales_Data[[#This Row],[Sales with Discount]]&lt;Sales_Data[[#This Row],[Sales with Free Shipping]],Sales_Data[[#This Row],[Sales with Discount]],Sales_Data[[#This Row],[Sales with Free Shipping]])</f>
        <v>1550.75</v>
      </c>
      <c r="O2056" s="1" t="str">
        <f>TEXT(Sales_Data[[#This Row],[Order Date]], "MM-YYYY")</f>
        <v>03-2019</v>
      </c>
    </row>
    <row r="2057" spans="1:15" x14ac:dyDescent="0.3">
      <c r="A2057" s="1">
        <v>59202</v>
      </c>
      <c r="B2057" s="2">
        <v>43716</v>
      </c>
      <c r="C2057" s="1" t="s">
        <v>14</v>
      </c>
      <c r="D2057" s="1">
        <v>36</v>
      </c>
      <c r="E2057" t="s">
        <v>22</v>
      </c>
      <c r="F2057" t="s">
        <v>22</v>
      </c>
      <c r="G2057" s="1">
        <v>234.13</v>
      </c>
      <c r="H2057">
        <v>0.01</v>
      </c>
      <c r="I2057">
        <f>Sales_Data[[#This Row],[Sales]]*Sales_Data[[#This Row],[Discount]]</f>
        <v>2.3412999999999999</v>
      </c>
      <c r="J2057">
        <v>231.78870000000001</v>
      </c>
      <c r="K2057" s="1">
        <v>2.4</v>
      </c>
      <c r="L2057" s="1">
        <v>231.73</v>
      </c>
      <c r="M2057" s="1" t="s">
        <v>10</v>
      </c>
      <c r="N2057" s="1">
        <f>IF(Sales_Data[[#This Row],[Sales with Discount]]&lt;Sales_Data[[#This Row],[Sales with Free Shipping]],Sales_Data[[#This Row],[Sales with Discount]],Sales_Data[[#This Row],[Sales with Free Shipping]])</f>
        <v>231.73</v>
      </c>
      <c r="O2057" s="1" t="str">
        <f>TEXT(Sales_Data[[#This Row],[Order Date]], "MM-YYYY")</f>
        <v>09-2019</v>
      </c>
    </row>
    <row r="2058" spans="1:15" x14ac:dyDescent="0.3">
      <c r="A2058" s="1">
        <v>29831</v>
      </c>
      <c r="B2058" s="2">
        <v>43553</v>
      </c>
      <c r="C2058" s="1" t="s">
        <v>12</v>
      </c>
      <c r="D2058" s="1">
        <v>29</v>
      </c>
      <c r="E2058" t="s">
        <v>20</v>
      </c>
      <c r="F2058" t="s">
        <v>20</v>
      </c>
      <c r="G2058" s="1">
        <v>2327.4899999999998</v>
      </c>
      <c r="H2058">
        <v>0</v>
      </c>
      <c r="I2058">
        <f>Sales_Data[[#This Row],[Sales]]*Sales_Data[[#This Row],[Discount]]</f>
        <v>0</v>
      </c>
      <c r="J2058">
        <v>2327.4899999999998</v>
      </c>
      <c r="K2058" s="1">
        <v>64.2</v>
      </c>
      <c r="L2058" s="1">
        <v>2327.4899999999998</v>
      </c>
      <c r="M2058" s="1" t="s">
        <v>13</v>
      </c>
      <c r="N2058" s="1">
        <f>IF(Sales_Data[[#This Row],[Sales with Discount]]&lt;Sales_Data[[#This Row],[Sales with Free Shipping]],Sales_Data[[#This Row],[Sales with Discount]],Sales_Data[[#This Row],[Sales with Free Shipping]])</f>
        <v>2327.4899999999998</v>
      </c>
      <c r="O2058" s="1" t="str">
        <f>TEXT(Sales_Data[[#This Row],[Order Date]], "MM-YYYY")</f>
        <v>03-2019</v>
      </c>
    </row>
    <row r="2059" spans="1:15" x14ac:dyDescent="0.3">
      <c r="A2059" s="1">
        <v>58084</v>
      </c>
      <c r="B2059" s="2">
        <v>43696</v>
      </c>
      <c r="C2059" s="1" t="s">
        <v>14</v>
      </c>
      <c r="D2059" s="1">
        <v>36</v>
      </c>
      <c r="E2059" t="s">
        <v>22</v>
      </c>
      <c r="F2059" t="s">
        <v>22</v>
      </c>
      <c r="G2059" s="1">
        <v>284.79000000000002</v>
      </c>
      <c r="H2059">
        <v>0.01</v>
      </c>
      <c r="I2059">
        <f>Sales_Data[[#This Row],[Sales]]*Sales_Data[[#This Row],[Discount]]</f>
        <v>2.8479000000000001</v>
      </c>
      <c r="J2059">
        <v>281.94210000000004</v>
      </c>
      <c r="K2059" s="1">
        <v>1.9</v>
      </c>
      <c r="L2059" s="1">
        <v>282.89000000000004</v>
      </c>
      <c r="M2059" s="1" t="s">
        <v>10</v>
      </c>
      <c r="N2059" s="1">
        <f>IF(Sales_Data[[#This Row],[Sales with Discount]]&lt;Sales_Data[[#This Row],[Sales with Free Shipping]],Sales_Data[[#This Row],[Sales with Discount]],Sales_Data[[#This Row],[Sales with Free Shipping]])</f>
        <v>281.94210000000004</v>
      </c>
      <c r="O2059" s="1" t="str">
        <f>TEXT(Sales_Data[[#This Row],[Order Date]], "MM-YYYY")</f>
        <v>08-2019</v>
      </c>
    </row>
    <row r="2060" spans="1:15" x14ac:dyDescent="0.3">
      <c r="A2060" s="1">
        <v>7174</v>
      </c>
      <c r="B2060" s="2">
        <v>43534</v>
      </c>
      <c r="C2060" s="1" t="s">
        <v>11</v>
      </c>
      <c r="D2060" s="1">
        <v>10</v>
      </c>
      <c r="E2060" t="s">
        <v>17</v>
      </c>
      <c r="F2060" t="s">
        <v>17</v>
      </c>
      <c r="G2060" s="1">
        <v>151.85</v>
      </c>
      <c r="H2060">
        <v>0</v>
      </c>
      <c r="I2060">
        <f>Sales_Data[[#This Row],[Sales]]*Sales_Data[[#This Row],[Discount]]</f>
        <v>0</v>
      </c>
      <c r="J2060">
        <v>151.85</v>
      </c>
      <c r="K2060" s="1">
        <v>9.6</v>
      </c>
      <c r="L2060" s="1">
        <v>151.85</v>
      </c>
      <c r="M2060" s="1" t="s">
        <v>10</v>
      </c>
      <c r="N2060" s="1">
        <f>IF(Sales_Data[[#This Row],[Sales with Discount]]&lt;Sales_Data[[#This Row],[Sales with Free Shipping]],Sales_Data[[#This Row],[Sales with Discount]],Sales_Data[[#This Row],[Sales with Free Shipping]])</f>
        <v>151.85</v>
      </c>
      <c r="O2060" s="1" t="str">
        <f>TEXT(Sales_Data[[#This Row],[Order Date]], "MM-YYYY")</f>
        <v>03-2019</v>
      </c>
    </row>
    <row r="2061" spans="1:15" x14ac:dyDescent="0.3">
      <c r="A2061" s="1">
        <v>26657</v>
      </c>
      <c r="B2061" s="2">
        <v>43737</v>
      </c>
      <c r="C2061" s="1" t="s">
        <v>14</v>
      </c>
      <c r="D2061" s="1">
        <v>28</v>
      </c>
      <c r="E2061" t="s">
        <v>20</v>
      </c>
      <c r="F2061" t="s">
        <v>20</v>
      </c>
      <c r="G2061" s="1">
        <v>1185.1748</v>
      </c>
      <c r="H2061">
        <v>0</v>
      </c>
      <c r="I2061">
        <f>Sales_Data[[#This Row],[Sales]]*Sales_Data[[#This Row],[Discount]]</f>
        <v>0</v>
      </c>
      <c r="J2061">
        <v>1185.1748</v>
      </c>
      <c r="K2061" s="1">
        <v>8</v>
      </c>
      <c r="L2061" s="1">
        <v>1185.1748</v>
      </c>
      <c r="M2061" s="1" t="s">
        <v>10</v>
      </c>
      <c r="N2061" s="1">
        <f>IF(Sales_Data[[#This Row],[Sales with Discount]]&lt;Sales_Data[[#This Row],[Sales with Free Shipping]],Sales_Data[[#This Row],[Sales with Discount]],Sales_Data[[#This Row],[Sales with Free Shipping]])</f>
        <v>1185.1748</v>
      </c>
      <c r="O2061" s="1" t="str">
        <f>TEXT(Sales_Data[[#This Row],[Order Date]], "MM-YYYY")</f>
        <v>09-2019</v>
      </c>
    </row>
    <row r="2062" spans="1:15" x14ac:dyDescent="0.3">
      <c r="A2062" s="1">
        <v>9504</v>
      </c>
      <c r="B2062" s="2">
        <v>43794</v>
      </c>
      <c r="C2062" s="1" t="s">
        <v>14</v>
      </c>
      <c r="D2062" s="1">
        <v>17</v>
      </c>
      <c r="E2062" t="s">
        <v>19</v>
      </c>
      <c r="F2062" t="s">
        <v>19</v>
      </c>
      <c r="G2062" s="1">
        <v>2091.63</v>
      </c>
      <c r="H2062">
        <v>0</v>
      </c>
      <c r="I2062">
        <f>Sales_Data[[#This Row],[Sales]]*Sales_Data[[#This Row],[Discount]]</f>
        <v>0</v>
      </c>
      <c r="J2062">
        <v>2091.63</v>
      </c>
      <c r="K2062" s="1">
        <v>4.5</v>
      </c>
      <c r="L2062" s="1">
        <v>2091.63</v>
      </c>
      <c r="M2062" s="1" t="s">
        <v>10</v>
      </c>
      <c r="N2062" s="1">
        <f>IF(Sales_Data[[#This Row],[Sales with Discount]]&lt;Sales_Data[[#This Row],[Sales with Free Shipping]],Sales_Data[[#This Row],[Sales with Discount]],Sales_Data[[#This Row],[Sales with Free Shipping]])</f>
        <v>2091.63</v>
      </c>
      <c r="O2062" s="1" t="str">
        <f>TEXT(Sales_Data[[#This Row],[Order Date]], "MM-YYYY")</f>
        <v>11-2019</v>
      </c>
    </row>
    <row r="2063" spans="1:15" x14ac:dyDescent="0.3">
      <c r="A2063" s="1">
        <v>40673</v>
      </c>
      <c r="B2063" s="2">
        <v>43512</v>
      </c>
      <c r="C2063" s="1" t="s">
        <v>7</v>
      </c>
      <c r="D2063" s="1">
        <v>14</v>
      </c>
      <c r="E2063" t="s">
        <v>18</v>
      </c>
      <c r="F2063" t="s">
        <v>18</v>
      </c>
      <c r="G2063" s="1">
        <v>168.51</v>
      </c>
      <c r="H2063">
        <v>0</v>
      </c>
      <c r="I2063">
        <f>Sales_Data[[#This Row],[Sales]]*Sales_Data[[#This Row],[Discount]]</f>
        <v>0</v>
      </c>
      <c r="J2063">
        <v>168.51</v>
      </c>
      <c r="K2063" s="1">
        <v>1.5</v>
      </c>
      <c r="L2063" s="1">
        <v>168.51</v>
      </c>
      <c r="M2063" s="1" t="s">
        <v>10</v>
      </c>
      <c r="N2063" s="1">
        <f>IF(Sales_Data[[#This Row],[Sales with Discount]]&lt;Sales_Data[[#This Row],[Sales with Free Shipping]],Sales_Data[[#This Row],[Sales with Discount]],Sales_Data[[#This Row],[Sales with Free Shipping]])</f>
        <v>168.51</v>
      </c>
      <c r="O2063" s="1" t="str">
        <f>TEXT(Sales_Data[[#This Row],[Order Date]], "MM-YYYY")</f>
        <v>02-2019</v>
      </c>
    </row>
    <row r="2064" spans="1:15" x14ac:dyDescent="0.3">
      <c r="A2064" s="1">
        <v>40098</v>
      </c>
      <c r="B2064" s="2">
        <v>43500</v>
      </c>
      <c r="C2064" s="1" t="s">
        <v>7</v>
      </c>
      <c r="D2064" s="1">
        <v>50</v>
      </c>
      <c r="E2064" t="s">
        <v>24</v>
      </c>
      <c r="F2064" t="s">
        <v>24</v>
      </c>
      <c r="G2064" s="1">
        <v>525.23</v>
      </c>
      <c r="H2064">
        <v>0.01</v>
      </c>
      <c r="I2064">
        <f>Sales_Data[[#This Row],[Sales]]*Sales_Data[[#This Row],[Discount]]</f>
        <v>5.2523</v>
      </c>
      <c r="J2064">
        <v>519.97770000000003</v>
      </c>
      <c r="K2064" s="1">
        <v>2.2000000000000002</v>
      </c>
      <c r="L2064" s="1">
        <v>523.03</v>
      </c>
      <c r="M2064" s="1" t="s">
        <v>10</v>
      </c>
      <c r="N2064" s="1">
        <f>IF(Sales_Data[[#This Row],[Sales with Discount]]&lt;Sales_Data[[#This Row],[Sales with Free Shipping]],Sales_Data[[#This Row],[Sales with Discount]],Sales_Data[[#This Row],[Sales with Free Shipping]])</f>
        <v>519.97770000000003</v>
      </c>
      <c r="O2064" s="1" t="str">
        <f>TEXT(Sales_Data[[#This Row],[Order Date]], "MM-YYYY")</f>
        <v>02-2019</v>
      </c>
    </row>
    <row r="2065" spans="1:15" x14ac:dyDescent="0.3">
      <c r="A2065" s="1">
        <v>549</v>
      </c>
      <c r="B2065" s="2">
        <v>43658</v>
      </c>
      <c r="C2065" s="1" t="s">
        <v>12</v>
      </c>
      <c r="D2065" s="1">
        <v>13</v>
      </c>
      <c r="E2065" t="s">
        <v>18</v>
      </c>
      <c r="F2065" t="s">
        <v>18</v>
      </c>
      <c r="G2065" s="1">
        <v>75.16</v>
      </c>
      <c r="H2065">
        <v>0</v>
      </c>
      <c r="I2065">
        <f>Sales_Data[[#This Row],[Sales]]*Sales_Data[[#This Row],[Discount]]</f>
        <v>0</v>
      </c>
      <c r="J2065">
        <v>75.16</v>
      </c>
      <c r="K2065" s="1">
        <v>8</v>
      </c>
      <c r="L2065" s="1">
        <v>75.16</v>
      </c>
      <c r="M2065" s="1" t="s">
        <v>10</v>
      </c>
      <c r="N2065" s="1">
        <f>IF(Sales_Data[[#This Row],[Sales with Discount]]&lt;Sales_Data[[#This Row],[Sales with Free Shipping]],Sales_Data[[#This Row],[Sales with Discount]],Sales_Data[[#This Row],[Sales with Free Shipping]])</f>
        <v>75.16</v>
      </c>
      <c r="O2065" s="1" t="str">
        <f>TEXT(Sales_Data[[#This Row],[Order Date]], "MM-YYYY")</f>
        <v>07-2019</v>
      </c>
    </row>
    <row r="2066" spans="1:15" x14ac:dyDescent="0.3">
      <c r="A2066" s="1">
        <v>58949</v>
      </c>
      <c r="B2066" s="2">
        <v>43815</v>
      </c>
      <c r="C2066" s="1" t="s">
        <v>12</v>
      </c>
      <c r="D2066" s="1">
        <v>50</v>
      </c>
      <c r="E2066" t="s">
        <v>24</v>
      </c>
      <c r="F2066" t="s">
        <v>24</v>
      </c>
      <c r="G2066" s="1">
        <v>1668.0685000000001</v>
      </c>
      <c r="H2066">
        <v>0.01</v>
      </c>
      <c r="I2066">
        <f>Sales_Data[[#This Row],[Sales]]*Sales_Data[[#This Row],[Discount]]</f>
        <v>16.680685</v>
      </c>
      <c r="J2066">
        <v>1651.387815</v>
      </c>
      <c r="K2066" s="1">
        <v>1.2</v>
      </c>
      <c r="L2066" s="1">
        <v>1666.8685</v>
      </c>
      <c r="M2066" s="1" t="s">
        <v>10</v>
      </c>
      <c r="N2066" s="1">
        <f>IF(Sales_Data[[#This Row],[Sales with Discount]]&lt;Sales_Data[[#This Row],[Sales with Free Shipping]],Sales_Data[[#This Row],[Sales with Discount]],Sales_Data[[#This Row],[Sales with Free Shipping]])</f>
        <v>1651.387815</v>
      </c>
      <c r="O2066" s="1" t="str">
        <f>TEXT(Sales_Data[[#This Row],[Order Date]], "MM-YYYY")</f>
        <v>12-2019</v>
      </c>
    </row>
    <row r="2067" spans="1:15" x14ac:dyDescent="0.3">
      <c r="A2067" s="1">
        <v>23911</v>
      </c>
      <c r="B2067" s="2">
        <v>43617</v>
      </c>
      <c r="C2067" s="1" t="s">
        <v>12</v>
      </c>
      <c r="D2067" s="1">
        <v>3</v>
      </c>
      <c r="E2067" t="s">
        <v>16</v>
      </c>
      <c r="F2067" t="s">
        <v>16</v>
      </c>
      <c r="G2067" s="1">
        <v>129.75</v>
      </c>
      <c r="H2067">
        <v>0</v>
      </c>
      <c r="I2067">
        <f>Sales_Data[[#This Row],[Sales]]*Sales_Data[[#This Row],[Discount]]</f>
        <v>0</v>
      </c>
      <c r="J2067">
        <v>129.75</v>
      </c>
      <c r="K2067" s="1">
        <v>8</v>
      </c>
      <c r="L2067" s="1">
        <v>129.75</v>
      </c>
      <c r="M2067" s="1" t="s">
        <v>10</v>
      </c>
      <c r="N2067" s="1">
        <f>IF(Sales_Data[[#This Row],[Sales with Discount]]&lt;Sales_Data[[#This Row],[Sales with Free Shipping]],Sales_Data[[#This Row],[Sales with Discount]],Sales_Data[[#This Row],[Sales with Free Shipping]])</f>
        <v>129.75</v>
      </c>
      <c r="O2067" s="1" t="str">
        <f>TEXT(Sales_Data[[#This Row],[Order Date]], "MM-YYYY")</f>
        <v>06-2019</v>
      </c>
    </row>
    <row r="2068" spans="1:15" x14ac:dyDescent="0.3">
      <c r="A2068" s="1">
        <v>14435</v>
      </c>
      <c r="B2068" s="2">
        <v>43800</v>
      </c>
      <c r="C2068" s="1" t="s">
        <v>11</v>
      </c>
      <c r="D2068" s="1">
        <v>41</v>
      </c>
      <c r="E2068" t="s">
        <v>23</v>
      </c>
      <c r="F2068" t="s">
        <v>23</v>
      </c>
      <c r="G2068" s="1">
        <v>3992.8</v>
      </c>
      <c r="H2068">
        <v>0.01</v>
      </c>
      <c r="I2068">
        <f>Sales_Data[[#This Row],[Sales]]*Sales_Data[[#This Row],[Discount]]</f>
        <v>39.928000000000004</v>
      </c>
      <c r="J2068">
        <v>3952.8720000000003</v>
      </c>
      <c r="K2068" s="1">
        <v>44.9</v>
      </c>
      <c r="L2068" s="1">
        <v>3947.9</v>
      </c>
      <c r="M2068" s="1" t="s">
        <v>13</v>
      </c>
      <c r="N2068" s="1">
        <f>IF(Sales_Data[[#This Row],[Sales with Discount]]&lt;Sales_Data[[#This Row],[Sales with Free Shipping]],Sales_Data[[#This Row],[Sales with Discount]],Sales_Data[[#This Row],[Sales with Free Shipping]])</f>
        <v>3947.9</v>
      </c>
      <c r="O2068" s="1" t="str">
        <f>TEXT(Sales_Data[[#This Row],[Order Date]], "MM-YYYY")</f>
        <v>12-2019</v>
      </c>
    </row>
    <row r="2069" spans="1:15" x14ac:dyDescent="0.3">
      <c r="A2069" s="1">
        <v>13383</v>
      </c>
      <c r="B2069" s="2">
        <v>43631</v>
      </c>
      <c r="C2069" s="1" t="s">
        <v>11</v>
      </c>
      <c r="D2069" s="1">
        <v>35</v>
      </c>
      <c r="E2069" t="s">
        <v>21</v>
      </c>
      <c r="F2069" t="s">
        <v>21</v>
      </c>
      <c r="G2069" s="1">
        <v>802.53</v>
      </c>
      <c r="H2069">
        <v>0</v>
      </c>
      <c r="I2069">
        <f>Sales_Data[[#This Row],[Sales]]*Sales_Data[[#This Row],[Discount]]</f>
        <v>0</v>
      </c>
      <c r="J2069">
        <v>802.53</v>
      </c>
      <c r="K2069" s="1">
        <v>37.5</v>
      </c>
      <c r="L2069" s="1">
        <v>802.53</v>
      </c>
      <c r="M2069" s="1" t="s">
        <v>10</v>
      </c>
      <c r="N2069" s="1">
        <f>IF(Sales_Data[[#This Row],[Sales with Discount]]&lt;Sales_Data[[#This Row],[Sales with Free Shipping]],Sales_Data[[#This Row],[Sales with Discount]],Sales_Data[[#This Row],[Sales with Free Shipping]])</f>
        <v>802.53</v>
      </c>
      <c r="O2069" s="1" t="str">
        <f>TEXT(Sales_Data[[#This Row],[Order Date]], "MM-YYYY")</f>
        <v>06-2019</v>
      </c>
    </row>
    <row r="2070" spans="1:15" x14ac:dyDescent="0.3">
      <c r="A2070" s="1">
        <v>28582</v>
      </c>
      <c r="B2070" s="2">
        <v>43486</v>
      </c>
      <c r="C2070" s="1" t="s">
        <v>11</v>
      </c>
      <c r="D2070" s="1">
        <v>45</v>
      </c>
      <c r="E2070" t="s">
        <v>23</v>
      </c>
      <c r="F2070" t="s">
        <v>23</v>
      </c>
      <c r="G2070" s="1">
        <v>403.72</v>
      </c>
      <c r="H2070">
        <v>0.01</v>
      </c>
      <c r="I2070">
        <f>Sales_Data[[#This Row],[Sales]]*Sales_Data[[#This Row],[Discount]]</f>
        <v>4.0372000000000003</v>
      </c>
      <c r="J2070">
        <v>399.68280000000004</v>
      </c>
      <c r="K2070" s="1">
        <v>3.1</v>
      </c>
      <c r="L2070" s="1">
        <v>400.62</v>
      </c>
      <c r="M2070" s="1" t="s">
        <v>10</v>
      </c>
      <c r="N2070" s="1">
        <f>IF(Sales_Data[[#This Row],[Sales with Discount]]&lt;Sales_Data[[#This Row],[Sales with Free Shipping]],Sales_Data[[#This Row],[Sales with Discount]],Sales_Data[[#This Row],[Sales with Free Shipping]])</f>
        <v>399.68280000000004</v>
      </c>
      <c r="O2070" s="1" t="str">
        <f>TEXT(Sales_Data[[#This Row],[Order Date]], "MM-YYYY")</f>
        <v>01-2019</v>
      </c>
    </row>
    <row r="2071" spans="1:15" x14ac:dyDescent="0.3">
      <c r="A2071" s="1">
        <v>20002</v>
      </c>
      <c r="B2071" s="2">
        <v>43689</v>
      </c>
      <c r="C2071" s="1" t="s">
        <v>14</v>
      </c>
      <c r="D2071" s="1">
        <v>9</v>
      </c>
      <c r="E2071" t="s">
        <v>17</v>
      </c>
      <c r="F2071" t="s">
        <v>17</v>
      </c>
      <c r="G2071" s="1">
        <v>43.9</v>
      </c>
      <c r="H2071">
        <v>0</v>
      </c>
      <c r="I2071">
        <f>Sales_Data[[#This Row],[Sales]]*Sales_Data[[#This Row],[Discount]]</f>
        <v>0</v>
      </c>
      <c r="J2071">
        <v>43.9</v>
      </c>
      <c r="K2071" s="1">
        <v>2.6</v>
      </c>
      <c r="L2071" s="1">
        <v>43.9</v>
      </c>
      <c r="M2071" s="1" t="s">
        <v>10</v>
      </c>
      <c r="N2071" s="1">
        <f>IF(Sales_Data[[#This Row],[Sales with Discount]]&lt;Sales_Data[[#This Row],[Sales with Free Shipping]],Sales_Data[[#This Row],[Sales with Discount]],Sales_Data[[#This Row],[Sales with Free Shipping]])</f>
        <v>43.9</v>
      </c>
      <c r="O2071" s="1" t="str">
        <f>TEXT(Sales_Data[[#This Row],[Order Date]], "MM-YYYY")</f>
        <v>08-2019</v>
      </c>
    </row>
    <row r="2072" spans="1:15" x14ac:dyDescent="0.3">
      <c r="A2072" s="1">
        <v>44000</v>
      </c>
      <c r="B2072" s="2">
        <v>43742</v>
      </c>
      <c r="C2072" s="1" t="s">
        <v>11</v>
      </c>
      <c r="D2072" s="1">
        <v>17</v>
      </c>
      <c r="E2072" t="s">
        <v>19</v>
      </c>
      <c r="F2072" t="s">
        <v>19</v>
      </c>
      <c r="G2072" s="1">
        <v>127.88</v>
      </c>
      <c r="H2072">
        <v>0</v>
      </c>
      <c r="I2072">
        <f>Sales_Data[[#This Row],[Sales]]*Sales_Data[[#This Row],[Discount]]</f>
        <v>0</v>
      </c>
      <c r="J2072">
        <v>127.88</v>
      </c>
      <c r="K2072" s="1">
        <v>6.5</v>
      </c>
      <c r="L2072" s="1">
        <v>127.88</v>
      </c>
      <c r="M2072" s="1" t="s">
        <v>10</v>
      </c>
      <c r="N2072" s="1">
        <f>IF(Sales_Data[[#This Row],[Sales with Discount]]&lt;Sales_Data[[#This Row],[Sales with Free Shipping]],Sales_Data[[#This Row],[Sales with Discount]],Sales_Data[[#This Row],[Sales with Free Shipping]])</f>
        <v>127.88</v>
      </c>
      <c r="O2072" s="1" t="str">
        <f>TEXT(Sales_Data[[#This Row],[Order Date]], "MM-YYYY")</f>
        <v>10-2019</v>
      </c>
    </row>
    <row r="2073" spans="1:15" x14ac:dyDescent="0.3">
      <c r="A2073" s="1">
        <v>24576</v>
      </c>
      <c r="B2073" s="2">
        <v>43810</v>
      </c>
      <c r="C2073" s="1" t="s">
        <v>11</v>
      </c>
      <c r="D2073" s="1">
        <v>10</v>
      </c>
      <c r="E2073" t="s">
        <v>17</v>
      </c>
      <c r="F2073" t="s">
        <v>17</v>
      </c>
      <c r="G2073" s="1">
        <v>163.54</v>
      </c>
      <c r="H2073">
        <v>0</v>
      </c>
      <c r="I2073">
        <f>Sales_Data[[#This Row],[Sales]]*Sales_Data[[#This Row],[Discount]]</f>
        <v>0</v>
      </c>
      <c r="J2073">
        <v>163.54</v>
      </c>
      <c r="K2073" s="1">
        <v>7.9</v>
      </c>
      <c r="L2073" s="1">
        <v>163.54</v>
      </c>
      <c r="M2073" s="1" t="s">
        <v>10</v>
      </c>
      <c r="N2073" s="1">
        <f>IF(Sales_Data[[#This Row],[Sales with Discount]]&lt;Sales_Data[[#This Row],[Sales with Free Shipping]],Sales_Data[[#This Row],[Sales with Discount]],Sales_Data[[#This Row],[Sales with Free Shipping]])</f>
        <v>163.54</v>
      </c>
      <c r="O2073" s="1" t="str">
        <f>TEXT(Sales_Data[[#This Row],[Order Date]], "MM-YYYY")</f>
        <v>12-2019</v>
      </c>
    </row>
    <row r="2074" spans="1:15" x14ac:dyDescent="0.3">
      <c r="A2074" s="1">
        <v>8167</v>
      </c>
      <c r="B2074" s="2">
        <v>43681</v>
      </c>
      <c r="C2074" s="1" t="s">
        <v>12</v>
      </c>
      <c r="D2074" s="1">
        <v>4</v>
      </c>
      <c r="E2074" t="s">
        <v>16</v>
      </c>
      <c r="F2074" t="s">
        <v>16</v>
      </c>
      <c r="G2074" s="1">
        <v>33.119999999999997</v>
      </c>
      <c r="H2074">
        <v>0</v>
      </c>
      <c r="I2074">
        <f>Sales_Data[[#This Row],[Sales]]*Sales_Data[[#This Row],[Discount]]</f>
        <v>0</v>
      </c>
      <c r="J2074">
        <v>33.119999999999997</v>
      </c>
      <c r="K2074" s="1">
        <v>6.7</v>
      </c>
      <c r="L2074" s="1">
        <v>33.119999999999997</v>
      </c>
      <c r="M2074" s="1" t="s">
        <v>10</v>
      </c>
      <c r="N2074" s="1">
        <f>IF(Sales_Data[[#This Row],[Sales with Discount]]&lt;Sales_Data[[#This Row],[Sales with Free Shipping]],Sales_Data[[#This Row],[Sales with Discount]],Sales_Data[[#This Row],[Sales with Free Shipping]])</f>
        <v>33.119999999999997</v>
      </c>
      <c r="O2074" s="1" t="str">
        <f>TEXT(Sales_Data[[#This Row],[Order Date]], "MM-YYYY")</f>
        <v>08-2019</v>
      </c>
    </row>
    <row r="2075" spans="1:15" x14ac:dyDescent="0.3">
      <c r="A2075" s="1">
        <v>45125</v>
      </c>
      <c r="B2075" s="2">
        <v>43613</v>
      </c>
      <c r="C2075" s="1" t="s">
        <v>12</v>
      </c>
      <c r="D2075" s="1">
        <v>32</v>
      </c>
      <c r="E2075" t="s">
        <v>21</v>
      </c>
      <c r="F2075" t="s">
        <v>21</v>
      </c>
      <c r="G2075" s="1">
        <v>5173.24</v>
      </c>
      <c r="H2075">
        <v>0</v>
      </c>
      <c r="I2075">
        <f>Sales_Data[[#This Row],[Sales]]*Sales_Data[[#This Row],[Discount]]</f>
        <v>0</v>
      </c>
      <c r="J2075">
        <v>5173.24</v>
      </c>
      <c r="K2075" s="1">
        <v>5.3</v>
      </c>
      <c r="L2075" s="1">
        <v>5173.24</v>
      </c>
      <c r="M2075" s="1" t="s">
        <v>10</v>
      </c>
      <c r="N2075" s="1">
        <f>IF(Sales_Data[[#This Row],[Sales with Discount]]&lt;Sales_Data[[#This Row],[Sales with Free Shipping]],Sales_Data[[#This Row],[Sales with Discount]],Sales_Data[[#This Row],[Sales with Free Shipping]])</f>
        <v>5173.24</v>
      </c>
      <c r="O2075" s="1" t="str">
        <f>TEXT(Sales_Data[[#This Row],[Order Date]], "MM-YYYY")</f>
        <v>05-2019</v>
      </c>
    </row>
    <row r="2076" spans="1:15" x14ac:dyDescent="0.3">
      <c r="A2076" s="1">
        <v>26053</v>
      </c>
      <c r="B2076" s="2">
        <v>43488</v>
      </c>
      <c r="C2076" s="1" t="s">
        <v>7</v>
      </c>
      <c r="D2076" s="1">
        <v>48</v>
      </c>
      <c r="E2076" t="s">
        <v>24</v>
      </c>
      <c r="F2076" t="s">
        <v>24</v>
      </c>
      <c r="G2076" s="1">
        <v>940.26250000000005</v>
      </c>
      <c r="H2076">
        <v>0.01</v>
      </c>
      <c r="I2076">
        <f>Sales_Data[[#This Row],[Sales]]*Sales_Data[[#This Row],[Discount]]</f>
        <v>9.4026250000000005</v>
      </c>
      <c r="J2076">
        <v>930.85987499999999</v>
      </c>
      <c r="K2076" s="1">
        <v>9.6999999999999993</v>
      </c>
      <c r="L2076" s="1">
        <v>930.5625</v>
      </c>
      <c r="M2076" s="1" t="s">
        <v>8</v>
      </c>
      <c r="N2076" s="1">
        <f>IF(Sales_Data[[#This Row],[Sales with Discount]]&lt;Sales_Data[[#This Row],[Sales with Free Shipping]],Sales_Data[[#This Row],[Sales with Discount]],Sales_Data[[#This Row],[Sales with Free Shipping]])</f>
        <v>930.5625</v>
      </c>
      <c r="O2076" s="1" t="str">
        <f>TEXT(Sales_Data[[#This Row],[Order Date]], "MM-YYYY")</f>
        <v>01-2019</v>
      </c>
    </row>
    <row r="2077" spans="1:15" x14ac:dyDescent="0.3">
      <c r="A2077" s="1">
        <v>36357</v>
      </c>
      <c r="B2077" s="2">
        <v>43478</v>
      </c>
      <c r="C2077" s="1" t="s">
        <v>11</v>
      </c>
      <c r="D2077" s="1">
        <v>38</v>
      </c>
      <c r="E2077" t="s">
        <v>22</v>
      </c>
      <c r="F2077" t="s">
        <v>22</v>
      </c>
      <c r="G2077" s="1">
        <v>18838.169999999998</v>
      </c>
      <c r="H2077">
        <v>0.01</v>
      </c>
      <c r="I2077">
        <f>Sales_Data[[#This Row],[Sales]]*Sales_Data[[#This Row],[Discount]]</f>
        <v>188.3817</v>
      </c>
      <c r="J2077">
        <v>18649.788299999997</v>
      </c>
      <c r="K2077" s="1">
        <v>52.4</v>
      </c>
      <c r="L2077" s="1">
        <v>18785.769999999997</v>
      </c>
      <c r="M2077" s="1" t="s">
        <v>13</v>
      </c>
      <c r="N2077" s="1">
        <f>IF(Sales_Data[[#This Row],[Sales with Discount]]&lt;Sales_Data[[#This Row],[Sales with Free Shipping]],Sales_Data[[#This Row],[Sales with Discount]],Sales_Data[[#This Row],[Sales with Free Shipping]])</f>
        <v>18649.788299999997</v>
      </c>
      <c r="O2077" s="1" t="str">
        <f>TEXT(Sales_Data[[#This Row],[Order Date]], "MM-YYYY")</f>
        <v>01-2019</v>
      </c>
    </row>
    <row r="2078" spans="1:15" x14ac:dyDescent="0.3">
      <c r="A2078" s="1">
        <v>39143</v>
      </c>
      <c r="B2078" s="2">
        <v>43561</v>
      </c>
      <c r="C2078" s="1" t="s">
        <v>11</v>
      </c>
      <c r="D2078" s="1">
        <v>46</v>
      </c>
      <c r="E2078" t="s">
        <v>24</v>
      </c>
      <c r="F2078" t="s">
        <v>24</v>
      </c>
      <c r="G2078" s="1">
        <v>7201.17</v>
      </c>
      <c r="H2078">
        <v>0.01</v>
      </c>
      <c r="I2078">
        <f>Sales_Data[[#This Row],[Sales]]*Sales_Data[[#This Row],[Discount]]</f>
        <v>72.011700000000005</v>
      </c>
      <c r="J2078">
        <v>7129.1583000000001</v>
      </c>
      <c r="K2078" s="1">
        <v>70.900000000000006</v>
      </c>
      <c r="L2078" s="1">
        <v>7130.27</v>
      </c>
      <c r="M2078" s="1" t="s">
        <v>13</v>
      </c>
      <c r="N2078" s="1">
        <f>IF(Sales_Data[[#This Row],[Sales with Discount]]&lt;Sales_Data[[#This Row],[Sales with Free Shipping]],Sales_Data[[#This Row],[Sales with Discount]],Sales_Data[[#This Row],[Sales with Free Shipping]])</f>
        <v>7129.1583000000001</v>
      </c>
      <c r="O2078" s="1" t="str">
        <f>TEXT(Sales_Data[[#This Row],[Order Date]], "MM-YYYY")</f>
        <v>04-2019</v>
      </c>
    </row>
    <row r="2079" spans="1:15" x14ac:dyDescent="0.3">
      <c r="A2079" s="1">
        <v>56645</v>
      </c>
      <c r="B2079" s="2">
        <v>43470</v>
      </c>
      <c r="C2079" s="1" t="s">
        <v>7</v>
      </c>
      <c r="D2079" s="1">
        <v>42</v>
      </c>
      <c r="E2079" t="s">
        <v>23</v>
      </c>
      <c r="F2079" t="s">
        <v>23</v>
      </c>
      <c r="G2079" s="1">
        <v>15760.42</v>
      </c>
      <c r="H2079">
        <v>0.01</v>
      </c>
      <c r="I2079">
        <f>Sales_Data[[#This Row],[Sales]]*Sales_Data[[#This Row],[Discount]]</f>
        <v>157.60419999999999</v>
      </c>
      <c r="J2079">
        <v>15602.8158</v>
      </c>
      <c r="K2079" s="1">
        <v>43</v>
      </c>
      <c r="L2079" s="1">
        <v>15717.42</v>
      </c>
      <c r="M2079" s="1" t="s">
        <v>13</v>
      </c>
      <c r="N2079" s="1">
        <f>IF(Sales_Data[[#This Row],[Sales with Discount]]&lt;Sales_Data[[#This Row],[Sales with Free Shipping]],Sales_Data[[#This Row],[Sales with Discount]],Sales_Data[[#This Row],[Sales with Free Shipping]])</f>
        <v>15602.8158</v>
      </c>
      <c r="O2079" s="1" t="str">
        <f>TEXT(Sales_Data[[#This Row],[Order Date]], "MM-YYYY")</f>
        <v>01-2019</v>
      </c>
    </row>
    <row r="2080" spans="1:15" x14ac:dyDescent="0.3">
      <c r="A2080" s="1">
        <v>1504</v>
      </c>
      <c r="B2080" s="2">
        <v>43704</v>
      </c>
      <c r="C2080" s="1" t="s">
        <v>14</v>
      </c>
      <c r="D2080" s="1">
        <v>31</v>
      </c>
      <c r="E2080" t="s">
        <v>21</v>
      </c>
      <c r="F2080" t="s">
        <v>21</v>
      </c>
      <c r="G2080" s="1">
        <v>313.7</v>
      </c>
      <c r="H2080">
        <v>0</v>
      </c>
      <c r="I2080">
        <f>Sales_Data[[#This Row],[Sales]]*Sales_Data[[#This Row],[Discount]]</f>
        <v>0</v>
      </c>
      <c r="J2080">
        <v>313.7</v>
      </c>
      <c r="K2080" s="1">
        <v>2.1</v>
      </c>
      <c r="L2080" s="1">
        <v>313.7</v>
      </c>
      <c r="M2080" s="1" t="s">
        <v>10</v>
      </c>
      <c r="N2080" s="1">
        <f>IF(Sales_Data[[#This Row],[Sales with Discount]]&lt;Sales_Data[[#This Row],[Sales with Free Shipping]],Sales_Data[[#This Row],[Sales with Discount]],Sales_Data[[#This Row],[Sales with Free Shipping]])</f>
        <v>313.7</v>
      </c>
      <c r="O2080" s="1" t="str">
        <f>TEXT(Sales_Data[[#This Row],[Order Date]], "MM-YYYY")</f>
        <v>08-2019</v>
      </c>
    </row>
    <row r="2081" spans="1:15" x14ac:dyDescent="0.3">
      <c r="A2081" s="1">
        <v>39655</v>
      </c>
      <c r="B2081" s="2">
        <v>43547</v>
      </c>
      <c r="C2081" s="1" t="s">
        <v>9</v>
      </c>
      <c r="D2081" s="1">
        <v>35</v>
      </c>
      <c r="E2081" t="s">
        <v>21</v>
      </c>
      <c r="F2081" t="s">
        <v>21</v>
      </c>
      <c r="G2081" s="1">
        <v>270.87</v>
      </c>
      <c r="H2081">
        <v>0</v>
      </c>
      <c r="I2081">
        <f>Sales_Data[[#This Row],[Sales]]*Sales_Data[[#This Row],[Discount]]</f>
        <v>0</v>
      </c>
      <c r="J2081">
        <v>270.87</v>
      </c>
      <c r="K2081" s="1">
        <v>3.8</v>
      </c>
      <c r="L2081" s="1">
        <v>270.87</v>
      </c>
      <c r="M2081" s="1" t="s">
        <v>10</v>
      </c>
      <c r="N2081" s="1">
        <f>IF(Sales_Data[[#This Row],[Sales with Discount]]&lt;Sales_Data[[#This Row],[Sales with Free Shipping]],Sales_Data[[#This Row],[Sales with Discount]],Sales_Data[[#This Row],[Sales with Free Shipping]])</f>
        <v>270.87</v>
      </c>
      <c r="O2081" s="1" t="str">
        <f>TEXT(Sales_Data[[#This Row],[Order Date]], "MM-YYYY")</f>
        <v>03-2019</v>
      </c>
    </row>
    <row r="2082" spans="1:15" x14ac:dyDescent="0.3">
      <c r="A2082" s="1">
        <v>36103</v>
      </c>
      <c r="B2082" s="2">
        <v>43584</v>
      </c>
      <c r="C2082" s="1" t="s">
        <v>12</v>
      </c>
      <c r="D2082" s="1">
        <v>45</v>
      </c>
      <c r="E2082" t="s">
        <v>23</v>
      </c>
      <c r="F2082" t="s">
        <v>23</v>
      </c>
      <c r="G2082" s="1">
        <v>1428.79</v>
      </c>
      <c r="H2082">
        <v>0.01</v>
      </c>
      <c r="I2082">
        <f>Sales_Data[[#This Row],[Sales]]*Sales_Data[[#This Row],[Discount]]</f>
        <v>14.2879</v>
      </c>
      <c r="J2082">
        <v>1414.5020999999999</v>
      </c>
      <c r="K2082" s="1">
        <v>1.1000000000000001</v>
      </c>
      <c r="L2082" s="1">
        <v>1427.69</v>
      </c>
      <c r="M2082" s="1" t="s">
        <v>10</v>
      </c>
      <c r="N2082" s="1">
        <f>IF(Sales_Data[[#This Row],[Sales with Discount]]&lt;Sales_Data[[#This Row],[Sales with Free Shipping]],Sales_Data[[#This Row],[Sales with Discount]],Sales_Data[[#This Row],[Sales with Free Shipping]])</f>
        <v>1414.5020999999999</v>
      </c>
      <c r="O2082" s="1" t="str">
        <f>TEXT(Sales_Data[[#This Row],[Order Date]], "MM-YYYY")</f>
        <v>04-2019</v>
      </c>
    </row>
    <row r="2083" spans="1:15" x14ac:dyDescent="0.3">
      <c r="A2083" s="1">
        <v>14820</v>
      </c>
      <c r="B2083" s="2">
        <v>43473</v>
      </c>
      <c r="C2083" s="1" t="s">
        <v>9</v>
      </c>
      <c r="D2083" s="1">
        <v>39</v>
      </c>
      <c r="E2083" t="s">
        <v>22</v>
      </c>
      <c r="F2083" t="s">
        <v>22</v>
      </c>
      <c r="G2083" s="1">
        <v>298.43</v>
      </c>
      <c r="H2083">
        <v>0.01</v>
      </c>
      <c r="I2083">
        <f>Sales_Data[[#This Row],[Sales]]*Sales_Data[[#This Row],[Discount]]</f>
        <v>2.9843000000000002</v>
      </c>
      <c r="J2083">
        <v>295.44569999999999</v>
      </c>
      <c r="K2083" s="1">
        <v>5.4</v>
      </c>
      <c r="L2083" s="1">
        <v>293.03000000000003</v>
      </c>
      <c r="M2083" s="1" t="s">
        <v>8</v>
      </c>
      <c r="N2083" s="1">
        <f>IF(Sales_Data[[#This Row],[Sales with Discount]]&lt;Sales_Data[[#This Row],[Sales with Free Shipping]],Sales_Data[[#This Row],[Sales with Discount]],Sales_Data[[#This Row],[Sales with Free Shipping]])</f>
        <v>293.03000000000003</v>
      </c>
      <c r="O2083" s="1" t="str">
        <f>TEXT(Sales_Data[[#This Row],[Order Date]], "MM-YYYY")</f>
        <v>01-2019</v>
      </c>
    </row>
    <row r="2084" spans="1:15" x14ac:dyDescent="0.3">
      <c r="A2084" s="1">
        <v>11428</v>
      </c>
      <c r="B2084" s="2">
        <v>43485</v>
      </c>
      <c r="C2084" s="1" t="s">
        <v>14</v>
      </c>
      <c r="D2084" s="1">
        <v>16</v>
      </c>
      <c r="E2084" t="s">
        <v>19</v>
      </c>
      <c r="F2084" t="s">
        <v>19</v>
      </c>
      <c r="G2084" s="1">
        <v>1663.35</v>
      </c>
      <c r="H2084">
        <v>0</v>
      </c>
      <c r="I2084">
        <f>Sales_Data[[#This Row],[Sales]]*Sales_Data[[#This Row],[Discount]]</f>
        <v>0</v>
      </c>
      <c r="J2084">
        <v>1663.35</v>
      </c>
      <c r="K2084" s="1">
        <v>21.4</v>
      </c>
      <c r="L2084" s="1">
        <v>1663.35</v>
      </c>
      <c r="M2084" s="1" t="s">
        <v>10</v>
      </c>
      <c r="N2084" s="1">
        <f>IF(Sales_Data[[#This Row],[Sales with Discount]]&lt;Sales_Data[[#This Row],[Sales with Free Shipping]],Sales_Data[[#This Row],[Sales with Discount]],Sales_Data[[#This Row],[Sales with Free Shipping]])</f>
        <v>1663.35</v>
      </c>
      <c r="O2084" s="1" t="str">
        <f>TEXT(Sales_Data[[#This Row],[Order Date]], "MM-YYYY")</f>
        <v>01-2019</v>
      </c>
    </row>
    <row r="2085" spans="1:15" x14ac:dyDescent="0.3">
      <c r="A2085" s="1">
        <v>929</v>
      </c>
      <c r="B2085" s="2">
        <v>43739</v>
      </c>
      <c r="C2085" s="1" t="s">
        <v>9</v>
      </c>
      <c r="D2085" s="1">
        <v>39</v>
      </c>
      <c r="E2085" t="s">
        <v>22</v>
      </c>
      <c r="F2085" t="s">
        <v>22</v>
      </c>
      <c r="G2085" s="1">
        <v>90.23</v>
      </c>
      <c r="H2085">
        <v>0.01</v>
      </c>
      <c r="I2085">
        <f>Sales_Data[[#This Row],[Sales]]*Sales_Data[[#This Row],[Discount]]</f>
        <v>0.9023000000000001</v>
      </c>
      <c r="J2085">
        <v>89.327700000000007</v>
      </c>
      <c r="K2085" s="1">
        <v>2.7</v>
      </c>
      <c r="L2085" s="1">
        <v>87.53</v>
      </c>
      <c r="M2085" s="1" t="s">
        <v>10</v>
      </c>
      <c r="N2085" s="1">
        <f>IF(Sales_Data[[#This Row],[Sales with Discount]]&lt;Sales_Data[[#This Row],[Sales with Free Shipping]],Sales_Data[[#This Row],[Sales with Discount]],Sales_Data[[#This Row],[Sales with Free Shipping]])</f>
        <v>87.53</v>
      </c>
      <c r="O2085" s="1" t="str">
        <f>TEXT(Sales_Data[[#This Row],[Order Date]], "MM-YYYY")</f>
        <v>10-2019</v>
      </c>
    </row>
    <row r="2086" spans="1:15" x14ac:dyDescent="0.3">
      <c r="A2086" s="1">
        <v>5408</v>
      </c>
      <c r="B2086" s="2">
        <v>43666</v>
      </c>
      <c r="C2086" s="1" t="s">
        <v>7</v>
      </c>
      <c r="D2086" s="1">
        <v>11</v>
      </c>
      <c r="E2086" t="s">
        <v>18</v>
      </c>
      <c r="F2086" t="s">
        <v>18</v>
      </c>
      <c r="G2086" s="1">
        <v>2559.6860999999999</v>
      </c>
      <c r="H2086">
        <v>0</v>
      </c>
      <c r="I2086">
        <f>Sales_Data[[#This Row],[Sales]]*Sales_Data[[#This Row],[Discount]]</f>
        <v>0</v>
      </c>
      <c r="J2086">
        <v>2559.6860999999999</v>
      </c>
      <c r="K2086" s="1">
        <v>22.7</v>
      </c>
      <c r="L2086" s="1">
        <v>2559.6860999999999</v>
      </c>
      <c r="M2086" s="1" t="s">
        <v>10</v>
      </c>
      <c r="N2086" s="1">
        <f>IF(Sales_Data[[#This Row],[Sales with Discount]]&lt;Sales_Data[[#This Row],[Sales with Free Shipping]],Sales_Data[[#This Row],[Sales with Discount]],Sales_Data[[#This Row],[Sales with Free Shipping]])</f>
        <v>2559.6860999999999</v>
      </c>
      <c r="O2086" s="1" t="str">
        <f>TEXT(Sales_Data[[#This Row],[Order Date]], "MM-YYYY")</f>
        <v>07-2019</v>
      </c>
    </row>
    <row r="2087" spans="1:15" x14ac:dyDescent="0.3">
      <c r="A2087" s="1">
        <v>31845</v>
      </c>
      <c r="B2087" s="2">
        <v>43760</v>
      </c>
      <c r="C2087" s="1" t="s">
        <v>7</v>
      </c>
      <c r="D2087" s="1">
        <v>36</v>
      </c>
      <c r="E2087" t="s">
        <v>22</v>
      </c>
      <c r="F2087" t="s">
        <v>22</v>
      </c>
      <c r="G2087" s="1">
        <v>3900.28</v>
      </c>
      <c r="H2087">
        <v>0.01</v>
      </c>
      <c r="I2087">
        <f>Sales_Data[[#This Row],[Sales]]*Sales_Data[[#This Row],[Discount]]</f>
        <v>39.002800000000001</v>
      </c>
      <c r="J2087">
        <v>3861.2772</v>
      </c>
      <c r="K2087" s="1">
        <v>16.8</v>
      </c>
      <c r="L2087" s="1">
        <v>3883.48</v>
      </c>
      <c r="M2087" s="1" t="s">
        <v>13</v>
      </c>
      <c r="N2087" s="1">
        <f>IF(Sales_Data[[#This Row],[Sales with Discount]]&lt;Sales_Data[[#This Row],[Sales with Free Shipping]],Sales_Data[[#This Row],[Sales with Discount]],Sales_Data[[#This Row],[Sales with Free Shipping]])</f>
        <v>3861.2772</v>
      </c>
      <c r="O2087" s="1" t="str">
        <f>TEXT(Sales_Data[[#This Row],[Order Date]], "MM-YYYY")</f>
        <v>10-2019</v>
      </c>
    </row>
    <row r="2088" spans="1:15" x14ac:dyDescent="0.3">
      <c r="A2088" s="1">
        <v>36034</v>
      </c>
      <c r="B2088" s="2">
        <v>43754</v>
      </c>
      <c r="C2088" s="1" t="s">
        <v>9</v>
      </c>
      <c r="D2088" s="1">
        <v>10</v>
      </c>
      <c r="E2088" t="s">
        <v>17</v>
      </c>
      <c r="F2088" t="s">
        <v>17</v>
      </c>
      <c r="G2088" s="1">
        <v>20.72</v>
      </c>
      <c r="H2088">
        <v>0</v>
      </c>
      <c r="I2088">
        <f>Sales_Data[[#This Row],[Sales]]*Sales_Data[[#This Row],[Discount]]</f>
        <v>0</v>
      </c>
      <c r="J2088">
        <v>20.72</v>
      </c>
      <c r="K2088" s="1">
        <v>0.7</v>
      </c>
      <c r="L2088" s="1">
        <v>20.72</v>
      </c>
      <c r="M2088" s="1" t="s">
        <v>10</v>
      </c>
      <c r="N2088" s="1">
        <f>IF(Sales_Data[[#This Row],[Sales with Discount]]&lt;Sales_Data[[#This Row],[Sales with Free Shipping]],Sales_Data[[#This Row],[Sales with Discount]],Sales_Data[[#This Row],[Sales with Free Shipping]])</f>
        <v>20.72</v>
      </c>
      <c r="O2088" s="1" t="str">
        <f>TEXT(Sales_Data[[#This Row],[Order Date]], "MM-YYYY")</f>
        <v>10-2019</v>
      </c>
    </row>
    <row r="2089" spans="1:15" x14ac:dyDescent="0.3">
      <c r="A2089" s="1">
        <v>129</v>
      </c>
      <c r="B2089" s="2">
        <v>43787</v>
      </c>
      <c r="C2089" s="1" t="s">
        <v>7</v>
      </c>
      <c r="D2089" s="1">
        <v>4</v>
      </c>
      <c r="E2089" t="s">
        <v>16</v>
      </c>
      <c r="F2089" t="s">
        <v>16</v>
      </c>
      <c r="G2089" s="1">
        <v>35.01</v>
      </c>
      <c r="H2089">
        <v>0</v>
      </c>
      <c r="I2089">
        <f>Sales_Data[[#This Row],[Sales]]*Sales_Data[[#This Row],[Discount]]</f>
        <v>0</v>
      </c>
      <c r="J2089">
        <v>35.01</v>
      </c>
      <c r="K2089" s="1">
        <v>8.8000000000000007</v>
      </c>
      <c r="L2089" s="1">
        <v>35.01</v>
      </c>
      <c r="M2089" s="1" t="s">
        <v>10</v>
      </c>
      <c r="N2089" s="1">
        <f>IF(Sales_Data[[#This Row],[Sales with Discount]]&lt;Sales_Data[[#This Row],[Sales with Free Shipping]],Sales_Data[[#This Row],[Sales with Discount]],Sales_Data[[#This Row],[Sales with Free Shipping]])</f>
        <v>35.01</v>
      </c>
      <c r="O2089" s="1" t="str">
        <f>TEXT(Sales_Data[[#This Row],[Order Date]], "MM-YYYY")</f>
        <v>11-2019</v>
      </c>
    </row>
    <row r="2090" spans="1:15" x14ac:dyDescent="0.3">
      <c r="A2090" s="1">
        <v>21382</v>
      </c>
      <c r="B2090" s="2">
        <v>43476</v>
      </c>
      <c r="C2090" s="1" t="s">
        <v>12</v>
      </c>
      <c r="D2090" s="1">
        <v>27</v>
      </c>
      <c r="E2090" t="s">
        <v>20</v>
      </c>
      <c r="F2090" t="s">
        <v>20</v>
      </c>
      <c r="G2090" s="1">
        <v>156.14510000000001</v>
      </c>
      <c r="H2090">
        <v>0</v>
      </c>
      <c r="I2090">
        <f>Sales_Data[[#This Row],[Sales]]*Sales_Data[[#This Row],[Discount]]</f>
        <v>0</v>
      </c>
      <c r="J2090">
        <v>156.14510000000001</v>
      </c>
      <c r="K2090" s="1">
        <v>8</v>
      </c>
      <c r="L2090" s="1">
        <v>156.14510000000001</v>
      </c>
      <c r="M2090" s="1" t="s">
        <v>10</v>
      </c>
      <c r="N2090" s="1">
        <f>IF(Sales_Data[[#This Row],[Sales with Discount]]&lt;Sales_Data[[#This Row],[Sales with Free Shipping]],Sales_Data[[#This Row],[Sales with Discount]],Sales_Data[[#This Row],[Sales with Free Shipping]])</f>
        <v>156.14510000000001</v>
      </c>
      <c r="O2090" s="1" t="str">
        <f>TEXT(Sales_Data[[#This Row],[Order Date]], "MM-YYYY")</f>
        <v>01-2019</v>
      </c>
    </row>
    <row r="2091" spans="1:15" x14ac:dyDescent="0.3">
      <c r="A2091" s="1">
        <v>22466</v>
      </c>
      <c r="B2091" s="2">
        <v>43552</v>
      </c>
      <c r="C2091" s="1" t="s">
        <v>7</v>
      </c>
      <c r="D2091" s="1">
        <v>31</v>
      </c>
      <c r="E2091" t="s">
        <v>21</v>
      </c>
      <c r="F2091" t="s">
        <v>21</v>
      </c>
      <c r="G2091" s="1">
        <v>5782.47</v>
      </c>
      <c r="H2091">
        <v>0</v>
      </c>
      <c r="I2091">
        <f>Sales_Data[[#This Row],[Sales]]*Sales_Data[[#This Row],[Discount]]</f>
        <v>0</v>
      </c>
      <c r="J2091">
        <v>5782.47</v>
      </c>
      <c r="K2091" s="1">
        <v>32.1</v>
      </c>
      <c r="L2091" s="1">
        <v>5782.47</v>
      </c>
      <c r="M2091" s="1" t="s">
        <v>13</v>
      </c>
      <c r="N2091" s="1">
        <f>IF(Sales_Data[[#This Row],[Sales with Discount]]&lt;Sales_Data[[#This Row],[Sales with Free Shipping]],Sales_Data[[#This Row],[Sales with Discount]],Sales_Data[[#This Row],[Sales with Free Shipping]])</f>
        <v>5782.47</v>
      </c>
      <c r="O2091" s="1" t="str">
        <f>TEXT(Sales_Data[[#This Row],[Order Date]], "MM-YYYY")</f>
        <v>03-2019</v>
      </c>
    </row>
    <row r="2092" spans="1:15" x14ac:dyDescent="0.3">
      <c r="A2092" s="1">
        <v>58113</v>
      </c>
      <c r="B2092" s="2">
        <v>43496</v>
      </c>
      <c r="C2092" s="1" t="s">
        <v>9</v>
      </c>
      <c r="D2092" s="1">
        <v>12</v>
      </c>
      <c r="E2092" t="s">
        <v>18</v>
      </c>
      <c r="F2092" t="s">
        <v>18</v>
      </c>
      <c r="G2092" s="1">
        <v>2222.59</v>
      </c>
      <c r="H2092">
        <v>0</v>
      </c>
      <c r="I2092">
        <f>Sales_Data[[#This Row],[Sales]]*Sales_Data[[#This Row],[Discount]]</f>
        <v>0</v>
      </c>
      <c r="J2092">
        <v>2222.59</v>
      </c>
      <c r="K2092" s="1">
        <v>4.5</v>
      </c>
      <c r="L2092" s="1">
        <v>2222.59</v>
      </c>
      <c r="M2092" s="1" t="s">
        <v>8</v>
      </c>
      <c r="N2092" s="1">
        <f>IF(Sales_Data[[#This Row],[Sales with Discount]]&lt;Sales_Data[[#This Row],[Sales with Free Shipping]],Sales_Data[[#This Row],[Sales with Discount]],Sales_Data[[#This Row],[Sales with Free Shipping]])</f>
        <v>2222.59</v>
      </c>
      <c r="O2092" s="1" t="str">
        <f>TEXT(Sales_Data[[#This Row],[Order Date]], "MM-YYYY")</f>
        <v>01-2019</v>
      </c>
    </row>
    <row r="2093" spans="1:15" x14ac:dyDescent="0.3">
      <c r="A2093" s="1">
        <v>55171</v>
      </c>
      <c r="B2093" s="2">
        <v>43764</v>
      </c>
      <c r="C2093" s="1" t="s">
        <v>9</v>
      </c>
      <c r="D2093" s="1">
        <v>43</v>
      </c>
      <c r="E2093" t="s">
        <v>23</v>
      </c>
      <c r="F2093" t="s">
        <v>23</v>
      </c>
      <c r="G2093" s="1">
        <v>278.83999999999997</v>
      </c>
      <c r="H2093">
        <v>0.01</v>
      </c>
      <c r="I2093">
        <f>Sales_Data[[#This Row],[Sales]]*Sales_Data[[#This Row],[Discount]]</f>
        <v>2.7883999999999998</v>
      </c>
      <c r="J2093">
        <v>276.05159999999995</v>
      </c>
      <c r="K2093" s="1">
        <v>8.5</v>
      </c>
      <c r="L2093" s="1">
        <v>270.33999999999997</v>
      </c>
      <c r="M2093" s="1" t="s">
        <v>10</v>
      </c>
      <c r="N2093" s="1">
        <f>IF(Sales_Data[[#This Row],[Sales with Discount]]&lt;Sales_Data[[#This Row],[Sales with Free Shipping]],Sales_Data[[#This Row],[Sales with Discount]],Sales_Data[[#This Row],[Sales with Free Shipping]])</f>
        <v>270.33999999999997</v>
      </c>
      <c r="O2093" s="1" t="str">
        <f>TEXT(Sales_Data[[#This Row],[Order Date]], "MM-YYYY")</f>
        <v>10-2019</v>
      </c>
    </row>
    <row r="2094" spans="1:15" x14ac:dyDescent="0.3">
      <c r="A2094" s="1">
        <v>42374</v>
      </c>
      <c r="B2094" s="2">
        <v>43663</v>
      </c>
      <c r="C2094" s="1" t="s">
        <v>12</v>
      </c>
      <c r="D2094" s="1">
        <v>11</v>
      </c>
      <c r="E2094" t="s">
        <v>18</v>
      </c>
      <c r="F2094" t="s">
        <v>18</v>
      </c>
      <c r="G2094" s="1">
        <v>742.76</v>
      </c>
      <c r="H2094">
        <v>0</v>
      </c>
      <c r="I2094">
        <f>Sales_Data[[#This Row],[Sales]]*Sales_Data[[#This Row],[Discount]]</f>
        <v>0</v>
      </c>
      <c r="J2094">
        <v>742.76</v>
      </c>
      <c r="K2094" s="1">
        <v>11</v>
      </c>
      <c r="L2094" s="1">
        <v>742.76</v>
      </c>
      <c r="M2094" s="1" t="s">
        <v>10</v>
      </c>
      <c r="N2094" s="1">
        <f>IF(Sales_Data[[#This Row],[Sales with Discount]]&lt;Sales_Data[[#This Row],[Sales with Free Shipping]],Sales_Data[[#This Row],[Sales with Discount]],Sales_Data[[#This Row],[Sales with Free Shipping]])</f>
        <v>742.76</v>
      </c>
      <c r="O2094" s="1" t="str">
        <f>TEXT(Sales_Data[[#This Row],[Order Date]], "MM-YYYY")</f>
        <v>07-2019</v>
      </c>
    </row>
    <row r="2095" spans="1:15" x14ac:dyDescent="0.3">
      <c r="A2095" s="1">
        <v>40802</v>
      </c>
      <c r="B2095" s="2">
        <v>43711</v>
      </c>
      <c r="C2095" s="1" t="s">
        <v>9</v>
      </c>
      <c r="D2095" s="1">
        <v>28</v>
      </c>
      <c r="E2095" t="s">
        <v>20</v>
      </c>
      <c r="F2095" t="s">
        <v>20</v>
      </c>
      <c r="G2095" s="1">
        <v>3596.29</v>
      </c>
      <c r="H2095">
        <v>0</v>
      </c>
      <c r="I2095">
        <f>Sales_Data[[#This Row],[Sales]]*Sales_Data[[#This Row],[Discount]]</f>
        <v>0</v>
      </c>
      <c r="J2095">
        <v>3596.29</v>
      </c>
      <c r="K2095" s="1">
        <v>60.1</v>
      </c>
      <c r="L2095" s="1">
        <v>3596.29</v>
      </c>
      <c r="M2095" s="1" t="s">
        <v>13</v>
      </c>
      <c r="N2095" s="1">
        <f>IF(Sales_Data[[#This Row],[Sales with Discount]]&lt;Sales_Data[[#This Row],[Sales with Free Shipping]],Sales_Data[[#This Row],[Sales with Discount]],Sales_Data[[#This Row],[Sales with Free Shipping]])</f>
        <v>3596.29</v>
      </c>
      <c r="O2095" s="1" t="str">
        <f>TEXT(Sales_Data[[#This Row],[Order Date]], "MM-YYYY")</f>
        <v>09-2019</v>
      </c>
    </row>
    <row r="2096" spans="1:15" x14ac:dyDescent="0.3">
      <c r="A2096" s="1">
        <v>36130</v>
      </c>
      <c r="B2096" s="2">
        <v>43721</v>
      </c>
      <c r="C2096" s="1" t="s">
        <v>12</v>
      </c>
      <c r="D2096" s="1">
        <v>23</v>
      </c>
      <c r="E2096" t="s">
        <v>14</v>
      </c>
      <c r="F2096" t="s">
        <v>14</v>
      </c>
      <c r="G2096" s="1">
        <v>422.44</v>
      </c>
      <c r="H2096">
        <v>0</v>
      </c>
      <c r="I2096">
        <f>Sales_Data[[#This Row],[Sales]]*Sales_Data[[#This Row],[Discount]]</f>
        <v>0</v>
      </c>
      <c r="J2096">
        <v>422.44</v>
      </c>
      <c r="K2096" s="1">
        <v>4.3</v>
      </c>
      <c r="L2096" s="1">
        <v>422.44</v>
      </c>
      <c r="M2096" s="1" t="s">
        <v>10</v>
      </c>
      <c r="N2096" s="1">
        <f>IF(Sales_Data[[#This Row],[Sales with Discount]]&lt;Sales_Data[[#This Row],[Sales with Free Shipping]],Sales_Data[[#This Row],[Sales with Discount]],Sales_Data[[#This Row],[Sales with Free Shipping]])</f>
        <v>422.44</v>
      </c>
      <c r="O2096" s="1" t="str">
        <f>TEXT(Sales_Data[[#This Row],[Order Date]], "MM-YYYY")</f>
        <v>09-2019</v>
      </c>
    </row>
    <row r="2097" spans="1:15" x14ac:dyDescent="0.3">
      <c r="A2097" s="1">
        <v>57698</v>
      </c>
      <c r="B2097" s="2">
        <v>43470</v>
      </c>
      <c r="C2097" s="1" t="s">
        <v>12</v>
      </c>
      <c r="D2097" s="1">
        <v>13</v>
      </c>
      <c r="E2097" t="s">
        <v>18</v>
      </c>
      <c r="F2097" t="s">
        <v>18</v>
      </c>
      <c r="G2097" s="1">
        <v>5141.74</v>
      </c>
      <c r="H2097">
        <v>0</v>
      </c>
      <c r="I2097">
        <f>Sales_Data[[#This Row],[Sales]]*Sales_Data[[#This Row],[Discount]]</f>
        <v>0</v>
      </c>
      <c r="J2097">
        <v>5141.74</v>
      </c>
      <c r="K2097" s="1">
        <v>21.4</v>
      </c>
      <c r="L2097" s="1">
        <v>5141.74</v>
      </c>
      <c r="M2097" s="1" t="s">
        <v>10</v>
      </c>
      <c r="N2097" s="1">
        <f>IF(Sales_Data[[#This Row],[Sales with Discount]]&lt;Sales_Data[[#This Row],[Sales with Free Shipping]],Sales_Data[[#This Row],[Sales with Discount]],Sales_Data[[#This Row],[Sales with Free Shipping]])</f>
        <v>5141.74</v>
      </c>
      <c r="O2097" s="1" t="str">
        <f>TEXT(Sales_Data[[#This Row],[Order Date]], "MM-YYYY")</f>
        <v>01-2019</v>
      </c>
    </row>
    <row r="2098" spans="1:15" x14ac:dyDescent="0.3">
      <c r="A2098" s="1">
        <v>48803</v>
      </c>
      <c r="B2098" s="2">
        <v>43778</v>
      </c>
      <c r="C2098" s="1" t="s">
        <v>12</v>
      </c>
      <c r="D2098" s="1">
        <v>19</v>
      </c>
      <c r="E2098" t="s">
        <v>19</v>
      </c>
      <c r="F2098" t="s">
        <v>19</v>
      </c>
      <c r="G2098" s="1">
        <v>214.44</v>
      </c>
      <c r="H2098">
        <v>0</v>
      </c>
      <c r="I2098">
        <f>Sales_Data[[#This Row],[Sales]]*Sales_Data[[#This Row],[Discount]]</f>
        <v>0</v>
      </c>
      <c r="J2098">
        <v>214.44</v>
      </c>
      <c r="K2098" s="1">
        <v>5</v>
      </c>
      <c r="L2098" s="1">
        <v>214.44</v>
      </c>
      <c r="M2098" s="1" t="s">
        <v>10</v>
      </c>
      <c r="N2098" s="1">
        <f>IF(Sales_Data[[#This Row],[Sales with Discount]]&lt;Sales_Data[[#This Row],[Sales with Free Shipping]],Sales_Data[[#This Row],[Sales with Discount]],Sales_Data[[#This Row],[Sales with Free Shipping]])</f>
        <v>214.44</v>
      </c>
      <c r="O2098" s="1" t="str">
        <f>TEXT(Sales_Data[[#This Row],[Order Date]], "MM-YYYY")</f>
        <v>11-2019</v>
      </c>
    </row>
    <row r="2099" spans="1:15" x14ac:dyDescent="0.3">
      <c r="A2099" s="1">
        <v>25473</v>
      </c>
      <c r="B2099" s="2">
        <v>43752</v>
      </c>
      <c r="C2099" s="1" t="s">
        <v>9</v>
      </c>
      <c r="D2099" s="1">
        <v>36</v>
      </c>
      <c r="E2099" t="s">
        <v>22</v>
      </c>
      <c r="F2099" t="s">
        <v>22</v>
      </c>
      <c r="G2099" s="1">
        <v>18516.189999999999</v>
      </c>
      <c r="H2099">
        <v>0.01</v>
      </c>
      <c r="I2099">
        <f>Sales_Data[[#This Row],[Sales]]*Sales_Data[[#This Row],[Discount]]</f>
        <v>185.1619</v>
      </c>
      <c r="J2099">
        <v>18331.0281</v>
      </c>
      <c r="K2099" s="1">
        <v>30.1</v>
      </c>
      <c r="L2099" s="1">
        <v>18486.09</v>
      </c>
      <c r="M2099" s="1" t="s">
        <v>13</v>
      </c>
      <c r="N2099" s="1">
        <f>IF(Sales_Data[[#This Row],[Sales with Discount]]&lt;Sales_Data[[#This Row],[Sales with Free Shipping]],Sales_Data[[#This Row],[Sales with Discount]],Sales_Data[[#This Row],[Sales with Free Shipping]])</f>
        <v>18331.0281</v>
      </c>
      <c r="O2099" s="1" t="str">
        <f>TEXT(Sales_Data[[#This Row],[Order Date]], "MM-YYYY")</f>
        <v>10-2019</v>
      </c>
    </row>
    <row r="2100" spans="1:15" x14ac:dyDescent="0.3">
      <c r="A2100" s="1">
        <v>16193</v>
      </c>
      <c r="B2100" s="2">
        <v>43564</v>
      </c>
      <c r="C2100" s="1" t="s">
        <v>11</v>
      </c>
      <c r="D2100" s="1">
        <v>29</v>
      </c>
      <c r="E2100" t="s">
        <v>20</v>
      </c>
      <c r="F2100" t="s">
        <v>20</v>
      </c>
      <c r="G2100" s="1">
        <v>1460.34</v>
      </c>
      <c r="H2100">
        <v>0</v>
      </c>
      <c r="I2100">
        <f>Sales_Data[[#This Row],[Sales]]*Sales_Data[[#This Row],[Discount]]</f>
        <v>0</v>
      </c>
      <c r="J2100">
        <v>1460.34</v>
      </c>
      <c r="K2100" s="1">
        <v>5.4</v>
      </c>
      <c r="L2100" s="1">
        <v>1460.34</v>
      </c>
      <c r="M2100" s="1" t="s">
        <v>10</v>
      </c>
      <c r="N2100" s="1">
        <f>IF(Sales_Data[[#This Row],[Sales with Discount]]&lt;Sales_Data[[#This Row],[Sales with Free Shipping]],Sales_Data[[#This Row],[Sales with Discount]],Sales_Data[[#This Row],[Sales with Free Shipping]])</f>
        <v>1460.34</v>
      </c>
      <c r="O2100" s="1" t="str">
        <f>TEXT(Sales_Data[[#This Row],[Order Date]], "MM-YYYY")</f>
        <v>04-2019</v>
      </c>
    </row>
    <row r="2101" spans="1:15" x14ac:dyDescent="0.3">
      <c r="A2101" s="1">
        <v>25313</v>
      </c>
      <c r="B2101" s="2">
        <v>43698</v>
      </c>
      <c r="C2101" s="1" t="s">
        <v>12</v>
      </c>
      <c r="D2101" s="1">
        <v>19</v>
      </c>
      <c r="E2101" t="s">
        <v>19</v>
      </c>
      <c r="F2101" t="s">
        <v>19</v>
      </c>
      <c r="G2101" s="1">
        <v>448.01</v>
      </c>
      <c r="H2101">
        <v>0</v>
      </c>
      <c r="I2101">
        <f>Sales_Data[[#This Row],[Sales]]*Sales_Data[[#This Row],[Discount]]</f>
        <v>0</v>
      </c>
      <c r="J2101">
        <v>448.01</v>
      </c>
      <c r="K2101" s="1">
        <v>5.9</v>
      </c>
      <c r="L2101" s="1">
        <v>448.01</v>
      </c>
      <c r="M2101" s="1" t="s">
        <v>10</v>
      </c>
      <c r="N2101" s="1">
        <f>IF(Sales_Data[[#This Row],[Sales with Discount]]&lt;Sales_Data[[#This Row],[Sales with Free Shipping]],Sales_Data[[#This Row],[Sales with Discount]],Sales_Data[[#This Row],[Sales with Free Shipping]])</f>
        <v>448.01</v>
      </c>
      <c r="O2101" s="1" t="str">
        <f>TEXT(Sales_Data[[#This Row],[Order Date]], "MM-YYYY")</f>
        <v>08-2019</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O2102"/>
  <sheetViews>
    <sheetView zoomScale="110" zoomScaleNormal="110" workbookViewId="0">
      <selection sqref="A1:B1"/>
    </sheetView>
  </sheetViews>
  <sheetFormatPr defaultRowHeight="14.4" x14ac:dyDescent="0.3"/>
  <cols>
    <col min="1" max="2" width="15.6640625" customWidth="1"/>
    <col min="3" max="3" width="3.6640625" customWidth="1"/>
    <col min="4" max="4" width="12.88671875" style="1" customWidth="1"/>
    <col min="5" max="5" width="18.33203125" style="1" customWidth="1"/>
    <col min="6" max="6" width="15.44140625" style="1" customWidth="1"/>
    <col min="7" max="8" width="18.109375" style="1" customWidth="1"/>
    <col min="9" max="9" width="21" style="1" customWidth="1"/>
    <col min="10" max="11" width="13.5546875" style="1" customWidth="1"/>
    <col min="12" max="12" width="23" style="1" bestFit="1" customWidth="1"/>
    <col min="13" max="13" width="27.5546875" style="1" bestFit="1" customWidth="1"/>
    <col min="14" max="14" width="16.88671875" style="1" customWidth="1"/>
    <col min="15" max="15" width="17" style="1" customWidth="1"/>
  </cols>
  <sheetData>
    <row r="1" spans="1:15" x14ac:dyDescent="0.3">
      <c r="A1" s="32" t="s">
        <v>76</v>
      </c>
      <c r="B1" s="32"/>
      <c r="D1" s="1" t="s">
        <v>0</v>
      </c>
      <c r="E1" s="1" t="s">
        <v>1</v>
      </c>
      <c r="F1" s="1" t="s">
        <v>2</v>
      </c>
      <c r="G1" s="1" t="s">
        <v>3</v>
      </c>
      <c r="H1" s="1" t="s">
        <v>25</v>
      </c>
      <c r="I1" s="1" t="s">
        <v>26</v>
      </c>
      <c r="J1" s="1" t="s">
        <v>4</v>
      </c>
      <c r="K1" s="1" t="s">
        <v>27</v>
      </c>
      <c r="L1" s="1" t="s">
        <v>28</v>
      </c>
      <c r="M1" s="1" t="s">
        <v>29</v>
      </c>
      <c r="N1" s="1" t="s">
        <v>5</v>
      </c>
      <c r="O1" s="1" t="s">
        <v>6</v>
      </c>
    </row>
    <row r="2" spans="1:15" x14ac:dyDescent="0.3">
      <c r="A2" s="6" t="s">
        <v>3</v>
      </c>
      <c r="B2" s="6" t="s">
        <v>15</v>
      </c>
      <c r="D2" s="1">
        <v>53635</v>
      </c>
      <c r="E2" s="2">
        <v>43664</v>
      </c>
      <c r="F2" s="1" t="s">
        <v>11</v>
      </c>
      <c r="G2" s="1">
        <v>33</v>
      </c>
      <c r="H2" t="str">
        <f>VLOOKUP(G2, $A$3:$B$12, 2, TRUE)</f>
        <v>Large</v>
      </c>
      <c r="I2" t="str">
        <f>VLOOKUP(G2, $A$3:$B$12, 2, TRUE)</f>
        <v>Large</v>
      </c>
      <c r="J2" s="1">
        <v>111.1944</v>
      </c>
      <c r="K2">
        <f>IF(OR(I2="Extra Large", I2="XX Large", I2="XXX Large"), 0.01, 0)</f>
        <v>0</v>
      </c>
      <c r="L2">
        <f>J2 * (1 - K2)</f>
        <v>111.1944</v>
      </c>
      <c r="M2" s="1">
        <f>IF(OR(I2="Extra Large",I2="XX Large",I2="XXX Large"),J2-O2,J2)</f>
        <v>111.1944</v>
      </c>
      <c r="N2" s="1" t="s">
        <v>10</v>
      </c>
      <c r="O2" s="1">
        <v>2.1</v>
      </c>
    </row>
    <row r="3" spans="1:15" x14ac:dyDescent="0.3">
      <c r="A3" s="4">
        <v>1</v>
      </c>
      <c r="B3" s="4" t="s">
        <v>16</v>
      </c>
      <c r="D3" s="1">
        <v>12804</v>
      </c>
      <c r="E3" s="2">
        <v>43610</v>
      </c>
      <c r="F3" s="1" t="s">
        <v>14</v>
      </c>
      <c r="G3" s="1">
        <v>34</v>
      </c>
      <c r="H3" t="str">
        <f>VLOOKUP(G3, $A$3:$B$12, 2, TRUE)</f>
        <v>Large</v>
      </c>
      <c r="I3" t="str">
        <f t="shared" ref="I3:I66" si="0">VLOOKUP(G3, $A$3:$B$12, 2, TRUE)</f>
        <v>Large</v>
      </c>
      <c r="J3" s="1">
        <v>634.41999999999996</v>
      </c>
      <c r="K3">
        <f t="shared" ref="K3:K66" si="1">IF(OR(I3="Extra Large", I3="XX Large", I3="XXX Large"), 0.01, 0)</f>
        <v>0</v>
      </c>
      <c r="L3">
        <f t="shared" ref="L3:L66" si="2">J3 * (1 - K3)</f>
        <v>634.41999999999996</v>
      </c>
      <c r="M3" s="1">
        <f t="shared" ref="M3:M66" si="3">IF(OR(I3="Extra Large",I3="XX Large",I3="XXX Large"),J3-O3,J3)</f>
        <v>634.41999999999996</v>
      </c>
      <c r="N3" s="1" t="s">
        <v>8</v>
      </c>
      <c r="O3" s="1">
        <v>8.9</v>
      </c>
    </row>
    <row r="4" spans="1:15" x14ac:dyDescent="0.3">
      <c r="A4" s="4">
        <v>6</v>
      </c>
      <c r="B4" s="4" t="s">
        <v>17</v>
      </c>
      <c r="D4" s="1">
        <v>1856</v>
      </c>
      <c r="E4" s="2">
        <v>43543</v>
      </c>
      <c r="F4" s="1" t="s">
        <v>11</v>
      </c>
      <c r="G4" s="1">
        <v>44</v>
      </c>
      <c r="H4" t="str">
        <f>VLOOKUP(G4, $A$3:$B$12, 2, TRUE)</f>
        <v>XX Large</v>
      </c>
      <c r="I4" t="str">
        <f t="shared" si="0"/>
        <v>XX Large</v>
      </c>
      <c r="J4" s="1">
        <v>4583.0600000000004</v>
      </c>
      <c r="K4">
        <f t="shared" si="1"/>
        <v>0.01</v>
      </c>
      <c r="L4">
        <f t="shared" si="2"/>
        <v>4537.2294000000002</v>
      </c>
      <c r="M4" s="1">
        <f t="shared" si="3"/>
        <v>4573.6600000000008</v>
      </c>
      <c r="N4" s="1" t="s">
        <v>10</v>
      </c>
      <c r="O4" s="1">
        <v>9.4</v>
      </c>
    </row>
    <row r="5" spans="1:15" x14ac:dyDescent="0.3">
      <c r="A5" s="5">
        <v>11</v>
      </c>
      <c r="B5" s="4" t="s">
        <v>18</v>
      </c>
      <c r="D5" s="1">
        <v>33670</v>
      </c>
      <c r="E5" s="2">
        <v>43582</v>
      </c>
      <c r="F5" s="1" t="s">
        <v>9</v>
      </c>
      <c r="G5" s="1">
        <v>50</v>
      </c>
      <c r="H5" t="str">
        <f t="shared" ref="H5:H68" si="4">VLOOKUP(G5, $A$3:$B$12, 2, TRUE)</f>
        <v>XXX Large</v>
      </c>
      <c r="I5" t="str">
        <f t="shared" si="0"/>
        <v>XXX Large</v>
      </c>
      <c r="J5" s="1">
        <v>222.06780000000001</v>
      </c>
      <c r="K5">
        <f t="shared" si="1"/>
        <v>0.01</v>
      </c>
      <c r="L5">
        <f t="shared" si="2"/>
        <v>219.84712200000001</v>
      </c>
      <c r="M5" s="1">
        <f t="shared" si="3"/>
        <v>220.76779999999999</v>
      </c>
      <c r="N5" s="1" t="s">
        <v>10</v>
      </c>
      <c r="O5" s="1">
        <v>1.3</v>
      </c>
    </row>
    <row r="6" spans="1:15" x14ac:dyDescent="0.3">
      <c r="A6" s="4">
        <v>16</v>
      </c>
      <c r="B6" s="4" t="s">
        <v>19</v>
      </c>
      <c r="D6" s="1">
        <v>24801</v>
      </c>
      <c r="E6" s="2">
        <v>43784</v>
      </c>
      <c r="F6" s="1" t="s">
        <v>9</v>
      </c>
      <c r="G6" s="1">
        <v>3</v>
      </c>
      <c r="H6" t="str">
        <f t="shared" si="4"/>
        <v>Mini</v>
      </c>
      <c r="I6" t="str">
        <f t="shared" si="0"/>
        <v>Mini</v>
      </c>
      <c r="J6" s="1">
        <v>20.23</v>
      </c>
      <c r="K6">
        <f t="shared" si="1"/>
        <v>0</v>
      </c>
      <c r="L6">
        <f t="shared" si="2"/>
        <v>20.23</v>
      </c>
      <c r="M6" s="1">
        <f t="shared" si="3"/>
        <v>20.23</v>
      </c>
      <c r="N6" s="1" t="s">
        <v>10</v>
      </c>
      <c r="O6" s="1">
        <v>7.5</v>
      </c>
    </row>
    <row r="7" spans="1:15" x14ac:dyDescent="0.3">
      <c r="A7" s="4">
        <v>21</v>
      </c>
      <c r="B7" s="4" t="s">
        <v>14</v>
      </c>
      <c r="D7" s="1">
        <v>18374</v>
      </c>
      <c r="E7" s="2">
        <v>43738</v>
      </c>
      <c r="F7" s="1" t="s">
        <v>7</v>
      </c>
      <c r="G7" s="1">
        <v>21</v>
      </c>
      <c r="H7" t="str">
        <f t="shared" si="4"/>
        <v>Medium</v>
      </c>
      <c r="I7" t="str">
        <f t="shared" si="0"/>
        <v>Medium</v>
      </c>
      <c r="J7" s="1">
        <v>160.66999999999999</v>
      </c>
      <c r="K7">
        <f t="shared" si="1"/>
        <v>0</v>
      </c>
      <c r="L7">
        <f t="shared" si="2"/>
        <v>160.66999999999999</v>
      </c>
      <c r="M7" s="1">
        <f t="shared" si="3"/>
        <v>160.66999999999999</v>
      </c>
      <c r="N7" s="1" t="s">
        <v>10</v>
      </c>
      <c r="O7" s="1">
        <v>5.9</v>
      </c>
    </row>
    <row r="8" spans="1:15" x14ac:dyDescent="0.3">
      <c r="A8" s="4">
        <v>26</v>
      </c>
      <c r="B8" s="4" t="s">
        <v>20</v>
      </c>
      <c r="D8" s="1">
        <v>43493</v>
      </c>
      <c r="E8" s="2">
        <v>43595</v>
      </c>
      <c r="F8" s="1" t="s">
        <v>9</v>
      </c>
      <c r="G8" s="1">
        <v>22</v>
      </c>
      <c r="H8" t="str">
        <f t="shared" si="4"/>
        <v>Medium</v>
      </c>
      <c r="I8" t="str">
        <f t="shared" si="0"/>
        <v>Medium</v>
      </c>
      <c r="J8" s="1">
        <v>163.19999999999999</v>
      </c>
      <c r="K8">
        <f t="shared" si="1"/>
        <v>0</v>
      </c>
      <c r="L8">
        <f t="shared" si="2"/>
        <v>163.19999999999999</v>
      </c>
      <c r="M8" s="1">
        <f t="shared" si="3"/>
        <v>163.19999999999999</v>
      </c>
      <c r="N8" s="1" t="s">
        <v>10</v>
      </c>
      <c r="O8" s="1">
        <v>6.4</v>
      </c>
    </row>
    <row r="9" spans="1:15" x14ac:dyDescent="0.3">
      <c r="A9" s="4">
        <v>31</v>
      </c>
      <c r="B9" s="4" t="s">
        <v>21</v>
      </c>
      <c r="D9" s="1">
        <v>10948</v>
      </c>
      <c r="E9" s="2">
        <v>43690</v>
      </c>
      <c r="F9" s="1" t="s">
        <v>14</v>
      </c>
      <c r="G9" s="1">
        <v>50</v>
      </c>
      <c r="H9" t="str">
        <f t="shared" si="4"/>
        <v>XXX Large</v>
      </c>
      <c r="I9" t="str">
        <f t="shared" si="0"/>
        <v>XXX Large</v>
      </c>
      <c r="J9" s="1">
        <v>206.63</v>
      </c>
      <c r="K9">
        <f t="shared" si="1"/>
        <v>0.01</v>
      </c>
      <c r="L9">
        <f t="shared" si="2"/>
        <v>204.56369999999998</v>
      </c>
      <c r="M9" s="1">
        <f t="shared" si="3"/>
        <v>199.13</v>
      </c>
      <c r="N9" s="1" t="s">
        <v>10</v>
      </c>
      <c r="O9" s="1">
        <v>7.5</v>
      </c>
    </row>
    <row r="10" spans="1:15" x14ac:dyDescent="0.3">
      <c r="A10" s="4">
        <v>36</v>
      </c>
      <c r="B10" s="4" t="s">
        <v>22</v>
      </c>
      <c r="D10" s="1">
        <v>49153</v>
      </c>
      <c r="E10" s="2">
        <v>43674</v>
      </c>
      <c r="F10" s="1" t="s">
        <v>14</v>
      </c>
      <c r="G10" s="1">
        <v>31</v>
      </c>
      <c r="H10" t="str">
        <f t="shared" si="4"/>
        <v>Large</v>
      </c>
      <c r="I10" t="str">
        <f t="shared" si="0"/>
        <v>Large</v>
      </c>
      <c r="J10" s="1">
        <v>2402.98</v>
      </c>
      <c r="K10">
        <f t="shared" si="1"/>
        <v>0</v>
      </c>
      <c r="L10">
        <f t="shared" si="2"/>
        <v>2402.98</v>
      </c>
      <c r="M10" s="1">
        <f t="shared" si="3"/>
        <v>2402.98</v>
      </c>
      <c r="N10" s="1" t="s">
        <v>13</v>
      </c>
      <c r="O10" s="1">
        <v>32.1</v>
      </c>
    </row>
    <row r="11" spans="1:15" x14ac:dyDescent="0.3">
      <c r="A11" s="4">
        <v>41</v>
      </c>
      <c r="B11" s="4" t="s">
        <v>23</v>
      </c>
      <c r="D11" s="1">
        <v>56161</v>
      </c>
      <c r="E11" s="2">
        <v>43569</v>
      </c>
      <c r="F11" s="1" t="s">
        <v>9</v>
      </c>
      <c r="G11" s="1">
        <v>38</v>
      </c>
      <c r="H11" t="str">
        <f t="shared" si="4"/>
        <v>Extra Large</v>
      </c>
      <c r="I11" t="str">
        <f t="shared" si="0"/>
        <v>Extra Large</v>
      </c>
      <c r="J11" s="1">
        <v>1609.52</v>
      </c>
      <c r="K11">
        <f t="shared" si="1"/>
        <v>0.01</v>
      </c>
      <c r="L11">
        <f t="shared" si="2"/>
        <v>1593.4248</v>
      </c>
      <c r="M11" s="1">
        <f t="shared" si="3"/>
        <v>1598.52</v>
      </c>
      <c r="N11" s="1" t="s">
        <v>8</v>
      </c>
      <c r="O11" s="1">
        <v>11</v>
      </c>
    </row>
    <row r="12" spans="1:15" x14ac:dyDescent="0.3">
      <c r="A12" s="4">
        <v>46</v>
      </c>
      <c r="B12" s="4" t="s">
        <v>24</v>
      </c>
      <c r="D12" s="1">
        <v>31106</v>
      </c>
      <c r="E12" s="2">
        <v>43511</v>
      </c>
      <c r="F12" s="1" t="s">
        <v>7</v>
      </c>
      <c r="G12" s="1">
        <v>45</v>
      </c>
      <c r="H12" t="str">
        <f t="shared" si="4"/>
        <v>XX Large</v>
      </c>
      <c r="I12" t="str">
        <f t="shared" si="0"/>
        <v>XX Large</v>
      </c>
      <c r="J12" s="1">
        <v>277.31</v>
      </c>
      <c r="K12">
        <f t="shared" si="1"/>
        <v>0.01</v>
      </c>
      <c r="L12">
        <f t="shared" si="2"/>
        <v>274.5369</v>
      </c>
      <c r="M12" s="1">
        <f t="shared" si="3"/>
        <v>273.41000000000003</v>
      </c>
      <c r="N12" s="1" t="s">
        <v>10</v>
      </c>
      <c r="O12" s="1">
        <v>3.9</v>
      </c>
    </row>
    <row r="13" spans="1:15" x14ac:dyDescent="0.3">
      <c r="D13" s="1">
        <v>8390</v>
      </c>
      <c r="E13" s="2">
        <v>43576</v>
      </c>
      <c r="F13" s="1" t="s">
        <v>14</v>
      </c>
      <c r="G13" s="1">
        <v>24</v>
      </c>
      <c r="H13" t="str">
        <f t="shared" si="4"/>
        <v>Medium</v>
      </c>
      <c r="I13" t="str">
        <f t="shared" si="0"/>
        <v>Medium</v>
      </c>
      <c r="J13" s="1">
        <v>765.48</v>
      </c>
      <c r="K13">
        <f t="shared" si="1"/>
        <v>0</v>
      </c>
      <c r="L13">
        <f t="shared" si="2"/>
        <v>765.48</v>
      </c>
      <c r="M13" s="1">
        <f t="shared" si="3"/>
        <v>765.48</v>
      </c>
      <c r="N13" s="1" t="s">
        <v>10</v>
      </c>
      <c r="O13" s="1">
        <v>4.3</v>
      </c>
    </row>
    <row r="14" spans="1:15" x14ac:dyDescent="0.3">
      <c r="D14" s="1">
        <v>31042</v>
      </c>
      <c r="E14" s="2">
        <v>43788</v>
      </c>
      <c r="F14" s="1" t="s">
        <v>14</v>
      </c>
      <c r="G14" s="1">
        <v>26</v>
      </c>
      <c r="H14" t="str">
        <f t="shared" si="4"/>
        <v>Medium-Large</v>
      </c>
      <c r="I14" t="str">
        <f t="shared" si="0"/>
        <v>Medium-Large</v>
      </c>
      <c r="J14" s="1">
        <v>3453.3</v>
      </c>
      <c r="K14">
        <f t="shared" si="1"/>
        <v>0</v>
      </c>
      <c r="L14">
        <f t="shared" si="2"/>
        <v>3453.3</v>
      </c>
      <c r="M14" s="1">
        <f t="shared" si="3"/>
        <v>3453.3</v>
      </c>
      <c r="N14" s="1" t="s">
        <v>13</v>
      </c>
      <c r="O14" s="1">
        <v>32.1</v>
      </c>
    </row>
    <row r="15" spans="1:15" x14ac:dyDescent="0.3">
      <c r="D15" s="1">
        <v>55623</v>
      </c>
      <c r="E15" s="2">
        <v>43743</v>
      </c>
      <c r="F15" s="1" t="s">
        <v>12</v>
      </c>
      <c r="G15" s="1">
        <v>47</v>
      </c>
      <c r="H15" t="str">
        <f t="shared" si="4"/>
        <v>XXX Large</v>
      </c>
      <c r="I15" t="str">
        <f t="shared" si="0"/>
        <v>XXX Large</v>
      </c>
      <c r="J15" s="1">
        <v>11073.14</v>
      </c>
      <c r="K15">
        <f t="shared" si="1"/>
        <v>0.01</v>
      </c>
      <c r="L15">
        <f t="shared" si="2"/>
        <v>10962.408599999999</v>
      </c>
      <c r="M15" s="1">
        <f t="shared" si="3"/>
        <v>11038.34</v>
      </c>
      <c r="N15" s="1" t="s">
        <v>13</v>
      </c>
      <c r="O15" s="1">
        <v>34.799999999999997</v>
      </c>
    </row>
    <row r="16" spans="1:15" x14ac:dyDescent="0.3">
      <c r="B16">
        <f>SUMIF(I:I,"Medium",J:J)</f>
        <v>295191.88800000021</v>
      </c>
      <c r="D16" s="1">
        <v>23172</v>
      </c>
      <c r="E16" s="2">
        <v>43579</v>
      </c>
      <c r="F16" s="1" t="s">
        <v>7</v>
      </c>
      <c r="G16" s="1">
        <v>13</v>
      </c>
      <c r="H16" t="str">
        <f t="shared" si="4"/>
        <v>Small</v>
      </c>
      <c r="I16" t="str">
        <f t="shared" si="0"/>
        <v>Small</v>
      </c>
      <c r="J16" s="1">
        <v>1275.1500000000001</v>
      </c>
      <c r="K16">
        <f t="shared" si="1"/>
        <v>0</v>
      </c>
      <c r="L16">
        <f t="shared" si="2"/>
        <v>1275.1500000000001</v>
      </c>
      <c r="M16" s="1">
        <f t="shared" si="3"/>
        <v>1275.1500000000001</v>
      </c>
      <c r="N16" s="1" t="s">
        <v>10</v>
      </c>
      <c r="O16" s="1">
        <v>15</v>
      </c>
    </row>
    <row r="17" spans="2:15" x14ac:dyDescent="0.3">
      <c r="B17">
        <f>COUNTIF(K:K, 0.01)</f>
        <v>662</v>
      </c>
      <c r="D17" s="1">
        <v>43045</v>
      </c>
      <c r="E17" s="2">
        <v>43630</v>
      </c>
      <c r="F17" s="1" t="s">
        <v>14</v>
      </c>
      <c r="G17" s="1">
        <v>47</v>
      </c>
      <c r="H17" t="str">
        <f t="shared" si="4"/>
        <v>XXX Large</v>
      </c>
      <c r="I17" t="str">
        <f t="shared" si="0"/>
        <v>XXX Large</v>
      </c>
      <c r="J17" s="1">
        <v>5672.28</v>
      </c>
      <c r="K17">
        <f t="shared" si="1"/>
        <v>0.01</v>
      </c>
      <c r="L17">
        <f t="shared" si="2"/>
        <v>5615.5571999999993</v>
      </c>
      <c r="M17" s="1">
        <f t="shared" si="3"/>
        <v>5661.48</v>
      </c>
      <c r="N17" s="1" t="s">
        <v>10</v>
      </c>
      <c r="O17" s="1">
        <v>10.8</v>
      </c>
    </row>
    <row r="18" spans="2:15" x14ac:dyDescent="0.3">
      <c r="B18">
        <f>(SUM(J:J)-SUM(L:L))</f>
        <v>18081.666237997357</v>
      </c>
      <c r="D18" s="1">
        <v>17701</v>
      </c>
      <c r="E18" s="2">
        <v>43606</v>
      </c>
      <c r="F18" s="1" t="s">
        <v>12</v>
      </c>
      <c r="G18" s="1">
        <v>21</v>
      </c>
      <c r="H18" t="str">
        <f t="shared" si="4"/>
        <v>Medium</v>
      </c>
      <c r="I18" t="str">
        <f t="shared" si="0"/>
        <v>Medium</v>
      </c>
      <c r="J18" s="1">
        <v>86.08</v>
      </c>
      <c r="K18">
        <f t="shared" si="1"/>
        <v>0</v>
      </c>
      <c r="L18">
        <f t="shared" si="2"/>
        <v>86.08</v>
      </c>
      <c r="M18" s="1">
        <f t="shared" si="3"/>
        <v>86.08</v>
      </c>
      <c r="N18" s="1" t="s">
        <v>10</v>
      </c>
      <c r="O18" s="1">
        <v>5</v>
      </c>
    </row>
    <row r="19" spans="2:15" x14ac:dyDescent="0.3">
      <c r="B19">
        <f>ROUND(SUM(M:M),2)</f>
        <v>3969194.96</v>
      </c>
      <c r="D19" s="1">
        <v>44199</v>
      </c>
      <c r="E19" s="2">
        <v>43528</v>
      </c>
      <c r="F19" s="1" t="s">
        <v>7</v>
      </c>
      <c r="G19" s="1">
        <v>12</v>
      </c>
      <c r="H19" t="str">
        <f t="shared" si="4"/>
        <v>Small</v>
      </c>
      <c r="I19" t="str">
        <f t="shared" si="0"/>
        <v>Small</v>
      </c>
      <c r="J19" s="1">
        <v>54.24</v>
      </c>
      <c r="K19">
        <f t="shared" si="1"/>
        <v>0</v>
      </c>
      <c r="L19">
        <f t="shared" si="2"/>
        <v>54.24</v>
      </c>
      <c r="M19" s="1">
        <f t="shared" si="3"/>
        <v>54.24</v>
      </c>
      <c r="N19" s="1" t="s">
        <v>10</v>
      </c>
      <c r="O19" s="1">
        <v>2.1</v>
      </c>
    </row>
    <row r="20" spans="2:15" x14ac:dyDescent="0.3">
      <c r="B20">
        <f>ROUND(SUM(M:M)-SUM(L:L),2)</f>
        <v>9635.77</v>
      </c>
      <c r="D20" s="1">
        <v>43907</v>
      </c>
      <c r="E20" s="2">
        <v>43664</v>
      </c>
      <c r="F20" s="1" t="s">
        <v>12</v>
      </c>
      <c r="G20" s="1">
        <v>42</v>
      </c>
      <c r="H20" t="str">
        <f t="shared" si="4"/>
        <v>XX Large</v>
      </c>
      <c r="I20" t="str">
        <f t="shared" si="0"/>
        <v>XX Large</v>
      </c>
      <c r="J20" s="1">
        <v>1490.26</v>
      </c>
      <c r="K20">
        <f t="shared" si="1"/>
        <v>0.01</v>
      </c>
      <c r="L20">
        <f t="shared" si="2"/>
        <v>1475.3573999999999</v>
      </c>
      <c r="M20" s="1">
        <f t="shared" si="3"/>
        <v>1441.56</v>
      </c>
      <c r="N20" s="1" t="s">
        <v>13</v>
      </c>
      <c r="O20" s="1">
        <v>48.7</v>
      </c>
    </row>
    <row r="21" spans="2:15" x14ac:dyDescent="0.3">
      <c r="D21" s="1">
        <v>36390</v>
      </c>
      <c r="E21" s="2">
        <v>43750</v>
      </c>
      <c r="F21" s="1" t="s">
        <v>9</v>
      </c>
      <c r="G21" s="1">
        <v>3</v>
      </c>
      <c r="H21" t="str">
        <f t="shared" si="4"/>
        <v>Mini</v>
      </c>
      <c r="I21" t="str">
        <f t="shared" si="0"/>
        <v>Mini</v>
      </c>
      <c r="J21" s="1">
        <v>352.7</v>
      </c>
      <c r="K21">
        <f t="shared" si="1"/>
        <v>0</v>
      </c>
      <c r="L21">
        <f t="shared" si="2"/>
        <v>352.7</v>
      </c>
      <c r="M21" s="1">
        <f t="shared" si="3"/>
        <v>352.7</v>
      </c>
      <c r="N21" s="1" t="s">
        <v>10</v>
      </c>
      <c r="O21" s="1">
        <v>9.6</v>
      </c>
    </row>
    <row r="22" spans="2:15" x14ac:dyDescent="0.3">
      <c r="D22" s="1">
        <v>20096</v>
      </c>
      <c r="E22" s="2">
        <v>43696</v>
      </c>
      <c r="F22" s="1" t="s">
        <v>7</v>
      </c>
      <c r="G22" s="1">
        <v>35</v>
      </c>
      <c r="H22" t="str">
        <f t="shared" si="4"/>
        <v>Large</v>
      </c>
      <c r="I22" t="str">
        <f t="shared" si="0"/>
        <v>Large</v>
      </c>
      <c r="J22" s="1">
        <v>6544.24</v>
      </c>
      <c r="K22">
        <f t="shared" si="1"/>
        <v>0</v>
      </c>
      <c r="L22">
        <f t="shared" si="2"/>
        <v>6544.24</v>
      </c>
      <c r="M22" s="1">
        <f t="shared" si="3"/>
        <v>6544.24</v>
      </c>
      <c r="N22" s="1" t="s">
        <v>13</v>
      </c>
      <c r="O22" s="1">
        <v>31.3</v>
      </c>
    </row>
    <row r="23" spans="2:15" x14ac:dyDescent="0.3">
      <c r="D23" s="1">
        <v>46337</v>
      </c>
      <c r="E23" s="2">
        <v>43582</v>
      </c>
      <c r="F23" s="1" t="s">
        <v>7</v>
      </c>
      <c r="G23" s="1">
        <v>34</v>
      </c>
      <c r="H23" t="str">
        <f t="shared" si="4"/>
        <v>Large</v>
      </c>
      <c r="I23" t="str">
        <f t="shared" si="0"/>
        <v>Large</v>
      </c>
      <c r="J23" s="1">
        <v>65.75</v>
      </c>
      <c r="K23">
        <f t="shared" si="1"/>
        <v>0</v>
      </c>
      <c r="L23">
        <f t="shared" si="2"/>
        <v>65.75</v>
      </c>
      <c r="M23" s="1">
        <f t="shared" si="3"/>
        <v>65.75</v>
      </c>
      <c r="N23" s="1" t="s">
        <v>10</v>
      </c>
      <c r="O23" s="1">
        <v>0.7</v>
      </c>
    </row>
    <row r="24" spans="2:15" x14ac:dyDescent="0.3">
      <c r="D24" s="1">
        <v>24643</v>
      </c>
      <c r="E24" s="2">
        <v>43584</v>
      </c>
      <c r="F24" s="1" t="s">
        <v>14</v>
      </c>
      <c r="G24" s="1">
        <v>30</v>
      </c>
      <c r="H24" t="str">
        <f t="shared" si="4"/>
        <v>Medium-Large</v>
      </c>
      <c r="I24" t="str">
        <f t="shared" si="0"/>
        <v>Medium-Large</v>
      </c>
      <c r="J24" s="1">
        <v>2533.94</v>
      </c>
      <c r="K24">
        <f t="shared" si="1"/>
        <v>0</v>
      </c>
      <c r="L24">
        <f t="shared" si="2"/>
        <v>2533.94</v>
      </c>
      <c r="M24" s="1">
        <f t="shared" si="3"/>
        <v>2533.94</v>
      </c>
      <c r="N24" s="1" t="s">
        <v>10</v>
      </c>
      <c r="O24" s="1">
        <v>1.3</v>
      </c>
    </row>
    <row r="25" spans="2:15" x14ac:dyDescent="0.3">
      <c r="D25" s="1">
        <v>2240</v>
      </c>
      <c r="E25" s="2">
        <v>43529</v>
      </c>
      <c r="F25" s="1" t="s">
        <v>11</v>
      </c>
      <c r="G25" s="1">
        <v>5</v>
      </c>
      <c r="H25" t="str">
        <f t="shared" si="4"/>
        <v>Mini</v>
      </c>
      <c r="I25" t="str">
        <f t="shared" si="0"/>
        <v>Mini</v>
      </c>
      <c r="J25" s="1">
        <v>152.41</v>
      </c>
      <c r="K25">
        <f t="shared" si="1"/>
        <v>0</v>
      </c>
      <c r="L25">
        <f t="shared" si="2"/>
        <v>152.41</v>
      </c>
      <c r="M25" s="1">
        <f t="shared" si="3"/>
        <v>152.41</v>
      </c>
      <c r="N25" s="1" t="s">
        <v>10</v>
      </c>
      <c r="O25" s="1">
        <v>6.6</v>
      </c>
    </row>
    <row r="26" spans="2:15" x14ac:dyDescent="0.3">
      <c r="D26" s="1">
        <v>26274</v>
      </c>
      <c r="E26" s="2">
        <v>43628</v>
      </c>
      <c r="F26" s="1" t="s">
        <v>11</v>
      </c>
      <c r="G26" s="1">
        <v>41</v>
      </c>
      <c r="H26" t="str">
        <f t="shared" si="4"/>
        <v>XX Large</v>
      </c>
      <c r="I26" t="str">
        <f t="shared" si="0"/>
        <v>XX Large</v>
      </c>
      <c r="J26" s="1">
        <v>404.28</v>
      </c>
      <c r="K26">
        <f t="shared" si="1"/>
        <v>0.01</v>
      </c>
      <c r="L26">
        <f t="shared" si="2"/>
        <v>400.23719999999997</v>
      </c>
      <c r="M26" s="1">
        <f t="shared" si="3"/>
        <v>401.97999999999996</v>
      </c>
      <c r="N26" s="1" t="s">
        <v>10</v>
      </c>
      <c r="O26" s="1">
        <v>2.2999999999999998</v>
      </c>
    </row>
    <row r="27" spans="2:15" x14ac:dyDescent="0.3">
      <c r="D27" s="1">
        <v>44869</v>
      </c>
      <c r="E27" s="2">
        <v>43699</v>
      </c>
      <c r="F27" s="1" t="s">
        <v>14</v>
      </c>
      <c r="G27" s="1">
        <v>43</v>
      </c>
      <c r="H27" t="str">
        <f t="shared" si="4"/>
        <v>XX Large</v>
      </c>
      <c r="I27" t="str">
        <f t="shared" si="0"/>
        <v>XX Large</v>
      </c>
      <c r="J27" s="1">
        <v>303</v>
      </c>
      <c r="K27">
        <f t="shared" si="1"/>
        <v>0.01</v>
      </c>
      <c r="L27">
        <f t="shared" si="2"/>
        <v>299.96999999999997</v>
      </c>
      <c r="M27" s="1">
        <f t="shared" si="3"/>
        <v>295</v>
      </c>
      <c r="N27" s="1" t="s">
        <v>10</v>
      </c>
      <c r="O27" s="1">
        <v>8</v>
      </c>
    </row>
    <row r="28" spans="2:15" x14ac:dyDescent="0.3">
      <c r="D28" s="1">
        <v>49029</v>
      </c>
      <c r="E28" s="2">
        <v>43605</v>
      </c>
      <c r="F28" s="1" t="s">
        <v>9</v>
      </c>
      <c r="G28" s="1">
        <v>49</v>
      </c>
      <c r="H28" t="str">
        <f t="shared" si="4"/>
        <v>XXX Large</v>
      </c>
      <c r="I28" t="str">
        <f t="shared" si="0"/>
        <v>XXX Large</v>
      </c>
      <c r="J28" s="1">
        <v>8798.68</v>
      </c>
      <c r="K28">
        <f t="shared" si="1"/>
        <v>0.01</v>
      </c>
      <c r="L28">
        <f t="shared" si="2"/>
        <v>8710.6931999999997</v>
      </c>
      <c r="M28" s="1">
        <f t="shared" si="3"/>
        <v>8794.380000000001</v>
      </c>
      <c r="N28" s="1" t="s">
        <v>8</v>
      </c>
      <c r="O28" s="1">
        <v>4.3</v>
      </c>
    </row>
    <row r="29" spans="2:15" x14ac:dyDescent="0.3">
      <c r="D29" s="1">
        <v>38656</v>
      </c>
      <c r="E29" s="2">
        <v>43687</v>
      </c>
      <c r="F29" s="1" t="s">
        <v>7</v>
      </c>
      <c r="G29" s="1">
        <v>13</v>
      </c>
      <c r="H29" t="str">
        <f t="shared" si="4"/>
        <v>Small</v>
      </c>
      <c r="I29" t="str">
        <f t="shared" si="0"/>
        <v>Small</v>
      </c>
      <c r="J29" s="1">
        <v>68.97</v>
      </c>
      <c r="K29">
        <f t="shared" si="1"/>
        <v>0</v>
      </c>
      <c r="L29">
        <f t="shared" si="2"/>
        <v>68.97</v>
      </c>
      <c r="M29" s="1">
        <f t="shared" si="3"/>
        <v>68.97</v>
      </c>
      <c r="N29" s="1" t="s">
        <v>10</v>
      </c>
      <c r="O29" s="1">
        <v>0.5</v>
      </c>
    </row>
    <row r="30" spans="2:15" x14ac:dyDescent="0.3">
      <c r="D30" s="1">
        <v>45571</v>
      </c>
      <c r="E30" s="2">
        <v>43731</v>
      </c>
      <c r="F30" s="1" t="s">
        <v>14</v>
      </c>
      <c r="G30" s="1">
        <v>47</v>
      </c>
      <c r="H30" t="str">
        <f t="shared" si="4"/>
        <v>XXX Large</v>
      </c>
      <c r="I30" t="str">
        <f t="shared" si="0"/>
        <v>XXX Large</v>
      </c>
      <c r="J30" s="1">
        <v>6393.3</v>
      </c>
      <c r="K30">
        <f t="shared" si="1"/>
        <v>0.01</v>
      </c>
      <c r="L30">
        <f t="shared" si="2"/>
        <v>6329.3670000000002</v>
      </c>
      <c r="M30" s="1">
        <f t="shared" si="3"/>
        <v>6383.7</v>
      </c>
      <c r="N30" s="1" t="s">
        <v>10</v>
      </c>
      <c r="O30" s="1">
        <v>9.6</v>
      </c>
    </row>
    <row r="31" spans="2:15" x14ac:dyDescent="0.3">
      <c r="D31" s="1">
        <v>44422</v>
      </c>
      <c r="E31" s="2">
        <v>43568</v>
      </c>
      <c r="F31" s="1" t="s">
        <v>14</v>
      </c>
      <c r="G31" s="1">
        <v>11</v>
      </c>
      <c r="H31" t="str">
        <f t="shared" si="4"/>
        <v>Small</v>
      </c>
      <c r="I31" t="str">
        <f t="shared" si="0"/>
        <v>Small</v>
      </c>
      <c r="J31" s="1">
        <v>215.71</v>
      </c>
      <c r="K31">
        <f t="shared" si="1"/>
        <v>0</v>
      </c>
      <c r="L31">
        <f t="shared" si="2"/>
        <v>215.71</v>
      </c>
      <c r="M31" s="1">
        <f t="shared" si="3"/>
        <v>215.71</v>
      </c>
      <c r="N31" s="1" t="s">
        <v>10</v>
      </c>
      <c r="O31" s="1">
        <v>1.1000000000000001</v>
      </c>
    </row>
    <row r="32" spans="2:15" x14ac:dyDescent="0.3">
      <c r="D32" s="1">
        <v>33186</v>
      </c>
      <c r="E32" s="2">
        <v>43705</v>
      </c>
      <c r="F32" s="1" t="s">
        <v>7</v>
      </c>
      <c r="G32" s="1">
        <v>24</v>
      </c>
      <c r="H32" t="str">
        <f t="shared" si="4"/>
        <v>Medium</v>
      </c>
      <c r="I32" t="str">
        <f t="shared" si="0"/>
        <v>Medium</v>
      </c>
      <c r="J32" s="1">
        <v>1445.07</v>
      </c>
      <c r="K32">
        <f t="shared" si="1"/>
        <v>0</v>
      </c>
      <c r="L32">
        <f t="shared" si="2"/>
        <v>1445.07</v>
      </c>
      <c r="M32" s="1">
        <f t="shared" si="3"/>
        <v>1445.07</v>
      </c>
      <c r="N32" s="1" t="s">
        <v>10</v>
      </c>
      <c r="O32" s="1">
        <v>5.6</v>
      </c>
    </row>
    <row r="33" spans="4:15" x14ac:dyDescent="0.3">
      <c r="D33" s="1">
        <v>10439</v>
      </c>
      <c r="E33" s="2">
        <v>43552</v>
      </c>
      <c r="F33" s="1" t="s">
        <v>11</v>
      </c>
      <c r="G33" s="1">
        <v>30</v>
      </c>
      <c r="H33" t="str">
        <f t="shared" si="4"/>
        <v>Medium-Large</v>
      </c>
      <c r="I33" t="str">
        <f t="shared" si="0"/>
        <v>Medium-Large</v>
      </c>
      <c r="J33" s="1">
        <v>609.48270000000002</v>
      </c>
      <c r="K33">
        <f t="shared" si="1"/>
        <v>0</v>
      </c>
      <c r="L33">
        <f t="shared" si="2"/>
        <v>609.48270000000002</v>
      </c>
      <c r="M33" s="1">
        <f t="shared" si="3"/>
        <v>609.48270000000002</v>
      </c>
      <c r="N33" s="1" t="s">
        <v>10</v>
      </c>
      <c r="O33" s="1">
        <v>4.3</v>
      </c>
    </row>
    <row r="34" spans="4:15" x14ac:dyDescent="0.3">
      <c r="D34" s="1">
        <v>30913</v>
      </c>
      <c r="E34" s="2">
        <v>43730</v>
      </c>
      <c r="F34" s="1" t="s">
        <v>14</v>
      </c>
      <c r="G34" s="1">
        <v>24</v>
      </c>
      <c r="H34" t="str">
        <f t="shared" si="4"/>
        <v>Medium</v>
      </c>
      <c r="I34" t="str">
        <f t="shared" si="0"/>
        <v>Medium</v>
      </c>
      <c r="J34" s="1">
        <v>531.38</v>
      </c>
      <c r="K34">
        <f t="shared" si="1"/>
        <v>0</v>
      </c>
      <c r="L34">
        <f t="shared" si="2"/>
        <v>531.38</v>
      </c>
      <c r="M34" s="1">
        <f t="shared" si="3"/>
        <v>531.38</v>
      </c>
      <c r="N34" s="1" t="s">
        <v>8</v>
      </c>
      <c r="O34" s="1">
        <v>11.2</v>
      </c>
    </row>
    <row r="35" spans="4:15" x14ac:dyDescent="0.3">
      <c r="D35" s="1">
        <v>7427</v>
      </c>
      <c r="E35" s="2">
        <v>43814</v>
      </c>
      <c r="F35" s="1" t="s">
        <v>11</v>
      </c>
      <c r="G35" s="1">
        <v>47</v>
      </c>
      <c r="H35" t="str">
        <f t="shared" si="4"/>
        <v>XXX Large</v>
      </c>
      <c r="I35" t="str">
        <f t="shared" si="0"/>
        <v>XXX Large</v>
      </c>
      <c r="J35" s="1">
        <v>17122.45</v>
      </c>
      <c r="K35">
        <f t="shared" si="1"/>
        <v>0.01</v>
      </c>
      <c r="L35">
        <f t="shared" si="2"/>
        <v>16951.2255</v>
      </c>
      <c r="M35" s="1">
        <f t="shared" si="3"/>
        <v>17101.05</v>
      </c>
      <c r="N35" s="1" t="s">
        <v>10</v>
      </c>
      <c r="O35" s="1">
        <v>21.4</v>
      </c>
    </row>
    <row r="36" spans="4:15" x14ac:dyDescent="0.3">
      <c r="D36" s="1">
        <v>53795</v>
      </c>
      <c r="E36" s="2">
        <v>43494</v>
      </c>
      <c r="F36" s="1" t="s">
        <v>9</v>
      </c>
      <c r="G36" s="1">
        <v>21</v>
      </c>
      <c r="H36" t="str">
        <f t="shared" si="4"/>
        <v>Medium</v>
      </c>
      <c r="I36" t="str">
        <f t="shared" si="0"/>
        <v>Medium</v>
      </c>
      <c r="J36" s="1">
        <v>3591.7064999999998</v>
      </c>
      <c r="K36">
        <f t="shared" si="1"/>
        <v>0</v>
      </c>
      <c r="L36">
        <f t="shared" si="2"/>
        <v>3591.7064999999998</v>
      </c>
      <c r="M36" s="1">
        <f t="shared" si="3"/>
        <v>3591.7064999999998</v>
      </c>
      <c r="N36" s="1" t="s">
        <v>10</v>
      </c>
      <c r="O36" s="1">
        <v>4.5</v>
      </c>
    </row>
    <row r="37" spans="4:15" x14ac:dyDescent="0.3">
      <c r="D37" s="1">
        <v>42886</v>
      </c>
      <c r="E37" s="2">
        <v>43472</v>
      </c>
      <c r="F37" s="1" t="s">
        <v>14</v>
      </c>
      <c r="G37" s="1">
        <v>42</v>
      </c>
      <c r="H37" t="str">
        <f t="shared" si="4"/>
        <v>XX Large</v>
      </c>
      <c r="I37" t="str">
        <f t="shared" si="0"/>
        <v>XX Large</v>
      </c>
      <c r="J37" s="1">
        <v>173.94990000000001</v>
      </c>
      <c r="K37">
        <f t="shared" si="1"/>
        <v>0.01</v>
      </c>
      <c r="L37">
        <f t="shared" si="2"/>
        <v>172.21040100000002</v>
      </c>
      <c r="M37" s="1">
        <f t="shared" si="3"/>
        <v>173.44990000000001</v>
      </c>
      <c r="N37" s="1" t="s">
        <v>10</v>
      </c>
      <c r="O37" s="1">
        <v>0.5</v>
      </c>
    </row>
    <row r="38" spans="4:15" x14ac:dyDescent="0.3">
      <c r="D38" s="1">
        <v>48706</v>
      </c>
      <c r="E38" s="2">
        <v>43768</v>
      </c>
      <c r="F38" s="1" t="s">
        <v>7</v>
      </c>
      <c r="G38" s="1">
        <v>28</v>
      </c>
      <c r="H38" t="str">
        <f t="shared" si="4"/>
        <v>Medium-Large</v>
      </c>
      <c r="I38" t="str">
        <f t="shared" si="0"/>
        <v>Medium-Large</v>
      </c>
      <c r="J38" s="1">
        <v>33.380000000000003</v>
      </c>
      <c r="K38">
        <f t="shared" si="1"/>
        <v>0</v>
      </c>
      <c r="L38">
        <f t="shared" si="2"/>
        <v>33.380000000000003</v>
      </c>
      <c r="M38" s="1">
        <f t="shared" si="3"/>
        <v>33.380000000000003</v>
      </c>
      <c r="N38" s="1" t="s">
        <v>10</v>
      </c>
      <c r="O38" s="1">
        <v>0.7</v>
      </c>
    </row>
    <row r="39" spans="4:15" x14ac:dyDescent="0.3">
      <c r="D39" s="1">
        <v>20292</v>
      </c>
      <c r="E39" s="2">
        <v>43777</v>
      </c>
      <c r="F39" s="1" t="s">
        <v>14</v>
      </c>
      <c r="G39" s="1">
        <v>26</v>
      </c>
      <c r="H39" t="str">
        <f t="shared" si="4"/>
        <v>Medium-Large</v>
      </c>
      <c r="I39" t="str">
        <f t="shared" si="0"/>
        <v>Medium-Large</v>
      </c>
      <c r="J39" s="1">
        <v>484.06</v>
      </c>
      <c r="K39">
        <f t="shared" si="1"/>
        <v>0</v>
      </c>
      <c r="L39">
        <f t="shared" si="2"/>
        <v>484.06</v>
      </c>
      <c r="M39" s="1">
        <f t="shared" si="3"/>
        <v>484.06</v>
      </c>
      <c r="N39" s="1" t="s">
        <v>10</v>
      </c>
      <c r="O39" s="1">
        <v>8.6999999999999993</v>
      </c>
    </row>
    <row r="40" spans="4:15" x14ac:dyDescent="0.3">
      <c r="D40" s="1">
        <v>59909</v>
      </c>
      <c r="E40" s="2">
        <v>43682</v>
      </c>
      <c r="F40" s="1" t="s">
        <v>7</v>
      </c>
      <c r="G40" s="1">
        <v>11</v>
      </c>
      <c r="H40" t="str">
        <f t="shared" si="4"/>
        <v>Small</v>
      </c>
      <c r="I40" t="str">
        <f t="shared" si="0"/>
        <v>Small</v>
      </c>
      <c r="J40" s="1">
        <v>1343.36</v>
      </c>
      <c r="K40">
        <f t="shared" si="1"/>
        <v>0</v>
      </c>
      <c r="L40">
        <f t="shared" si="2"/>
        <v>1343.36</v>
      </c>
      <c r="M40" s="1">
        <f t="shared" si="3"/>
        <v>1343.36</v>
      </c>
      <c r="N40" s="1" t="s">
        <v>13</v>
      </c>
      <c r="O40" s="1">
        <v>60.1</v>
      </c>
    </row>
    <row r="41" spans="4:15" x14ac:dyDescent="0.3">
      <c r="D41" s="1">
        <v>11875</v>
      </c>
      <c r="E41" s="2">
        <v>43697</v>
      </c>
      <c r="F41" s="1" t="s">
        <v>14</v>
      </c>
      <c r="G41" s="1">
        <v>19</v>
      </c>
      <c r="H41" t="str">
        <f t="shared" si="4"/>
        <v>Small-Medium</v>
      </c>
      <c r="I41" t="str">
        <f t="shared" si="0"/>
        <v>Small-Medium</v>
      </c>
      <c r="J41" s="1">
        <v>259.61</v>
      </c>
      <c r="K41">
        <f t="shared" si="1"/>
        <v>0</v>
      </c>
      <c r="L41">
        <f t="shared" si="2"/>
        <v>259.61</v>
      </c>
      <c r="M41" s="1">
        <f t="shared" si="3"/>
        <v>259.61</v>
      </c>
      <c r="N41" s="1" t="s">
        <v>10</v>
      </c>
      <c r="O41" s="1">
        <v>6.7</v>
      </c>
    </row>
    <row r="42" spans="4:15" x14ac:dyDescent="0.3">
      <c r="D42" s="1">
        <v>25442</v>
      </c>
      <c r="E42" s="2">
        <v>43469</v>
      </c>
      <c r="F42" s="1" t="s">
        <v>9</v>
      </c>
      <c r="G42" s="1">
        <v>32</v>
      </c>
      <c r="H42" t="str">
        <f t="shared" si="4"/>
        <v>Large</v>
      </c>
      <c r="I42" t="str">
        <f t="shared" si="0"/>
        <v>Large</v>
      </c>
      <c r="J42" s="1">
        <v>1782.62</v>
      </c>
      <c r="K42">
        <f t="shared" si="1"/>
        <v>0</v>
      </c>
      <c r="L42">
        <f t="shared" si="2"/>
        <v>1782.62</v>
      </c>
      <c r="M42" s="1">
        <f t="shared" si="3"/>
        <v>1782.62</v>
      </c>
      <c r="N42" s="1" t="s">
        <v>10</v>
      </c>
      <c r="O42" s="1">
        <v>5.2</v>
      </c>
    </row>
    <row r="43" spans="4:15" x14ac:dyDescent="0.3">
      <c r="D43" s="1">
        <v>48322</v>
      </c>
      <c r="E43" s="2">
        <v>43528</v>
      </c>
      <c r="F43" s="1" t="s">
        <v>14</v>
      </c>
      <c r="G43" s="1">
        <v>14</v>
      </c>
      <c r="H43" t="str">
        <f t="shared" si="4"/>
        <v>Small</v>
      </c>
      <c r="I43" t="str">
        <f t="shared" si="0"/>
        <v>Small</v>
      </c>
      <c r="J43" s="1">
        <v>44.27</v>
      </c>
      <c r="K43">
        <f t="shared" si="1"/>
        <v>0</v>
      </c>
      <c r="L43">
        <f t="shared" si="2"/>
        <v>44.27</v>
      </c>
      <c r="M43" s="1">
        <f t="shared" si="3"/>
        <v>44.27</v>
      </c>
      <c r="N43" s="1" t="s">
        <v>10</v>
      </c>
      <c r="O43" s="1">
        <v>0.7</v>
      </c>
    </row>
    <row r="44" spans="4:15" x14ac:dyDescent="0.3">
      <c r="D44" s="1">
        <v>7107</v>
      </c>
      <c r="E44" s="2">
        <v>43468</v>
      </c>
      <c r="F44" s="1" t="s">
        <v>11</v>
      </c>
      <c r="G44" s="1">
        <v>3</v>
      </c>
      <c r="H44" t="str">
        <f t="shared" si="4"/>
        <v>Mini</v>
      </c>
      <c r="I44" t="str">
        <f t="shared" si="0"/>
        <v>Mini</v>
      </c>
      <c r="J44" s="1">
        <v>184.08</v>
      </c>
      <c r="K44">
        <f t="shared" si="1"/>
        <v>0</v>
      </c>
      <c r="L44">
        <f t="shared" si="2"/>
        <v>184.08</v>
      </c>
      <c r="M44" s="1">
        <f t="shared" si="3"/>
        <v>184.08</v>
      </c>
      <c r="N44" s="1" t="s">
        <v>10</v>
      </c>
      <c r="O44" s="1">
        <v>11.9</v>
      </c>
    </row>
    <row r="45" spans="4:15" x14ac:dyDescent="0.3">
      <c r="D45" s="1">
        <v>28929</v>
      </c>
      <c r="E45" s="2">
        <v>43747</v>
      </c>
      <c r="F45" s="1" t="s">
        <v>14</v>
      </c>
      <c r="G45" s="1">
        <v>46</v>
      </c>
      <c r="H45" t="str">
        <f t="shared" si="4"/>
        <v>XXX Large</v>
      </c>
      <c r="I45" t="str">
        <f t="shared" si="0"/>
        <v>XXX Large</v>
      </c>
      <c r="J45" s="1">
        <v>773.79</v>
      </c>
      <c r="K45">
        <f t="shared" si="1"/>
        <v>0.01</v>
      </c>
      <c r="L45">
        <f t="shared" si="2"/>
        <v>766.0521</v>
      </c>
      <c r="M45" s="1">
        <f t="shared" si="3"/>
        <v>760.49</v>
      </c>
      <c r="N45" s="1" t="s">
        <v>10</v>
      </c>
      <c r="O45" s="1">
        <v>13.3</v>
      </c>
    </row>
    <row r="46" spans="4:15" x14ac:dyDescent="0.3">
      <c r="D46" s="1">
        <v>55073</v>
      </c>
      <c r="E46" s="2">
        <v>43544</v>
      </c>
      <c r="F46" s="1" t="s">
        <v>7</v>
      </c>
      <c r="G46" s="1">
        <v>40</v>
      </c>
      <c r="H46" t="str">
        <f t="shared" si="4"/>
        <v>Extra Large</v>
      </c>
      <c r="I46" t="str">
        <f t="shared" si="0"/>
        <v>Extra Large</v>
      </c>
      <c r="J46" s="1">
        <v>2543.0801999999999</v>
      </c>
      <c r="K46">
        <f t="shared" si="1"/>
        <v>0.01</v>
      </c>
      <c r="L46">
        <f t="shared" si="2"/>
        <v>2517.649398</v>
      </c>
      <c r="M46" s="1">
        <f t="shared" si="3"/>
        <v>2538.7801999999997</v>
      </c>
      <c r="N46" s="1" t="s">
        <v>10</v>
      </c>
      <c r="O46" s="1">
        <v>4.3</v>
      </c>
    </row>
    <row r="47" spans="4:15" x14ac:dyDescent="0.3">
      <c r="D47" s="1">
        <v>40193</v>
      </c>
      <c r="E47" s="2">
        <v>43710</v>
      </c>
      <c r="F47" s="1" t="s">
        <v>9</v>
      </c>
      <c r="G47" s="1">
        <v>34</v>
      </c>
      <c r="H47" t="str">
        <f t="shared" si="4"/>
        <v>Large</v>
      </c>
      <c r="I47" t="str">
        <f t="shared" si="0"/>
        <v>Large</v>
      </c>
      <c r="J47" s="1">
        <v>3349.32</v>
      </c>
      <c r="K47">
        <f t="shared" si="1"/>
        <v>0</v>
      </c>
      <c r="L47">
        <f t="shared" si="2"/>
        <v>3349.32</v>
      </c>
      <c r="M47" s="1">
        <f t="shared" si="3"/>
        <v>3349.32</v>
      </c>
      <c r="N47" s="1" t="s">
        <v>8</v>
      </c>
      <c r="O47" s="1">
        <v>2.7</v>
      </c>
    </row>
    <row r="48" spans="4:15" x14ac:dyDescent="0.3">
      <c r="D48" s="1">
        <v>56384</v>
      </c>
      <c r="E48" s="2">
        <v>43677</v>
      </c>
      <c r="F48" s="1" t="s">
        <v>12</v>
      </c>
      <c r="G48" s="1">
        <v>47</v>
      </c>
      <c r="H48" t="str">
        <f t="shared" si="4"/>
        <v>XXX Large</v>
      </c>
      <c r="I48" t="str">
        <f t="shared" si="0"/>
        <v>XXX Large</v>
      </c>
      <c r="J48" s="1">
        <v>275.2</v>
      </c>
      <c r="K48">
        <f t="shared" si="1"/>
        <v>0.01</v>
      </c>
      <c r="L48">
        <f t="shared" si="2"/>
        <v>272.44799999999998</v>
      </c>
      <c r="M48" s="1">
        <f t="shared" si="3"/>
        <v>222.79999999999998</v>
      </c>
      <c r="N48" s="1" t="s">
        <v>10</v>
      </c>
      <c r="O48" s="1">
        <v>52.4</v>
      </c>
    </row>
    <row r="49" spans="4:15" x14ac:dyDescent="0.3">
      <c r="D49" s="1">
        <v>16005</v>
      </c>
      <c r="E49" s="2">
        <v>43823</v>
      </c>
      <c r="F49" s="1" t="s">
        <v>11</v>
      </c>
      <c r="G49" s="1">
        <v>7</v>
      </c>
      <c r="H49" t="str">
        <f t="shared" si="4"/>
        <v>Extra Small</v>
      </c>
      <c r="I49" t="str">
        <f t="shared" si="0"/>
        <v>Extra Small</v>
      </c>
      <c r="J49" s="1">
        <v>54.6</v>
      </c>
      <c r="K49">
        <f t="shared" si="1"/>
        <v>0</v>
      </c>
      <c r="L49">
        <f t="shared" si="2"/>
        <v>54.6</v>
      </c>
      <c r="M49" s="1">
        <f t="shared" si="3"/>
        <v>54.6</v>
      </c>
      <c r="N49" s="1" t="s">
        <v>10</v>
      </c>
      <c r="O49" s="1">
        <v>5.9</v>
      </c>
    </row>
    <row r="50" spans="4:15" x14ac:dyDescent="0.3">
      <c r="D50" s="1">
        <v>53600</v>
      </c>
      <c r="E50" s="2">
        <v>43656</v>
      </c>
      <c r="F50" s="1" t="s">
        <v>14</v>
      </c>
      <c r="G50" s="1">
        <v>8</v>
      </c>
      <c r="H50" t="str">
        <f t="shared" si="4"/>
        <v>Extra Small</v>
      </c>
      <c r="I50" t="str">
        <f t="shared" si="0"/>
        <v>Extra Small</v>
      </c>
      <c r="J50" s="1">
        <v>59.48</v>
      </c>
      <c r="K50">
        <f t="shared" si="1"/>
        <v>0</v>
      </c>
      <c r="L50">
        <f t="shared" si="2"/>
        <v>59.48</v>
      </c>
      <c r="M50" s="1">
        <f t="shared" si="3"/>
        <v>59.48</v>
      </c>
      <c r="N50" s="1" t="s">
        <v>8</v>
      </c>
      <c r="O50" s="1">
        <v>6.1</v>
      </c>
    </row>
    <row r="51" spans="4:15" x14ac:dyDescent="0.3">
      <c r="D51" s="1">
        <v>50370</v>
      </c>
      <c r="E51" s="2">
        <v>43775</v>
      </c>
      <c r="F51" s="1" t="s">
        <v>12</v>
      </c>
      <c r="G51" s="1">
        <v>25</v>
      </c>
      <c r="H51" t="str">
        <f t="shared" si="4"/>
        <v>Medium</v>
      </c>
      <c r="I51" t="str">
        <f t="shared" si="0"/>
        <v>Medium</v>
      </c>
      <c r="J51" s="1">
        <v>130.59</v>
      </c>
      <c r="K51">
        <f t="shared" si="1"/>
        <v>0</v>
      </c>
      <c r="L51">
        <f t="shared" si="2"/>
        <v>130.59</v>
      </c>
      <c r="M51" s="1">
        <f t="shared" si="3"/>
        <v>130.59</v>
      </c>
      <c r="N51" s="1" t="s">
        <v>8</v>
      </c>
      <c r="O51" s="1">
        <v>5.8</v>
      </c>
    </row>
    <row r="52" spans="4:15" x14ac:dyDescent="0.3">
      <c r="D52" s="1">
        <v>46979</v>
      </c>
      <c r="E52" s="2">
        <v>43662</v>
      </c>
      <c r="F52" s="1" t="s">
        <v>7</v>
      </c>
      <c r="G52" s="1">
        <v>26</v>
      </c>
      <c r="H52" t="str">
        <f t="shared" si="4"/>
        <v>Medium-Large</v>
      </c>
      <c r="I52" t="str">
        <f t="shared" si="0"/>
        <v>Medium-Large</v>
      </c>
      <c r="J52" s="1">
        <v>145.38999999999999</v>
      </c>
      <c r="K52">
        <f t="shared" si="1"/>
        <v>0</v>
      </c>
      <c r="L52">
        <f t="shared" si="2"/>
        <v>145.38999999999999</v>
      </c>
      <c r="M52" s="1">
        <f t="shared" si="3"/>
        <v>145.38999999999999</v>
      </c>
      <c r="N52" s="1" t="s">
        <v>10</v>
      </c>
      <c r="O52" s="1">
        <v>5.9</v>
      </c>
    </row>
    <row r="53" spans="4:15" x14ac:dyDescent="0.3">
      <c r="D53" s="1">
        <v>29376</v>
      </c>
      <c r="E53" s="2">
        <v>43688</v>
      </c>
      <c r="F53" s="1" t="s">
        <v>12</v>
      </c>
      <c r="G53" s="1">
        <v>20</v>
      </c>
      <c r="H53" t="str">
        <f t="shared" si="4"/>
        <v>Small-Medium</v>
      </c>
      <c r="I53" t="str">
        <f t="shared" si="0"/>
        <v>Small-Medium</v>
      </c>
      <c r="J53" s="1">
        <v>3049.83</v>
      </c>
      <c r="K53">
        <f t="shared" si="1"/>
        <v>0</v>
      </c>
      <c r="L53">
        <f t="shared" si="2"/>
        <v>3049.83</v>
      </c>
      <c r="M53" s="1">
        <f t="shared" si="3"/>
        <v>3049.83</v>
      </c>
      <c r="N53" s="1" t="s">
        <v>10</v>
      </c>
      <c r="O53" s="1">
        <v>7.6</v>
      </c>
    </row>
    <row r="54" spans="4:15" x14ac:dyDescent="0.3">
      <c r="D54" s="1">
        <v>56930</v>
      </c>
      <c r="E54" s="2">
        <v>43694</v>
      </c>
      <c r="F54" s="1" t="s">
        <v>7</v>
      </c>
      <c r="G54" s="1">
        <v>47</v>
      </c>
      <c r="H54" t="str">
        <f t="shared" si="4"/>
        <v>XXX Large</v>
      </c>
      <c r="I54" t="str">
        <f t="shared" si="0"/>
        <v>XXX Large</v>
      </c>
      <c r="J54" s="1">
        <v>244.29</v>
      </c>
      <c r="K54">
        <f t="shared" si="1"/>
        <v>0.01</v>
      </c>
      <c r="L54">
        <f t="shared" si="2"/>
        <v>241.84709999999998</v>
      </c>
      <c r="M54" s="1">
        <f t="shared" si="3"/>
        <v>243.59</v>
      </c>
      <c r="N54" s="1" t="s">
        <v>10</v>
      </c>
      <c r="O54" s="1">
        <v>0.7</v>
      </c>
    </row>
    <row r="55" spans="4:15" x14ac:dyDescent="0.3">
      <c r="D55" s="1">
        <v>50532</v>
      </c>
      <c r="E55" s="2">
        <v>43691</v>
      </c>
      <c r="F55" s="1" t="s">
        <v>14</v>
      </c>
      <c r="G55" s="1">
        <v>22</v>
      </c>
      <c r="H55" t="str">
        <f t="shared" si="4"/>
        <v>Medium</v>
      </c>
      <c r="I55" t="str">
        <f t="shared" si="0"/>
        <v>Medium</v>
      </c>
      <c r="J55" s="1">
        <v>88.79</v>
      </c>
      <c r="K55">
        <f t="shared" si="1"/>
        <v>0</v>
      </c>
      <c r="L55">
        <f t="shared" si="2"/>
        <v>88.79</v>
      </c>
      <c r="M55" s="1">
        <f t="shared" si="3"/>
        <v>88.79</v>
      </c>
      <c r="N55" s="1" t="s">
        <v>10</v>
      </c>
      <c r="O55" s="1">
        <v>1.4</v>
      </c>
    </row>
    <row r="56" spans="4:15" x14ac:dyDescent="0.3">
      <c r="D56" s="1">
        <v>9505</v>
      </c>
      <c r="E56" s="2">
        <v>43623</v>
      </c>
      <c r="F56" s="1" t="s">
        <v>9</v>
      </c>
      <c r="G56" s="1">
        <v>2</v>
      </c>
      <c r="H56" t="str">
        <f t="shared" si="4"/>
        <v>Mini</v>
      </c>
      <c r="I56" t="str">
        <f t="shared" si="0"/>
        <v>Mini</v>
      </c>
      <c r="J56" s="1">
        <v>338.68</v>
      </c>
      <c r="K56">
        <f t="shared" si="1"/>
        <v>0</v>
      </c>
      <c r="L56">
        <f t="shared" si="2"/>
        <v>338.68</v>
      </c>
      <c r="M56" s="1">
        <f t="shared" si="3"/>
        <v>338.68</v>
      </c>
      <c r="N56" s="1" t="s">
        <v>10</v>
      </c>
      <c r="O56" s="1">
        <v>4.3</v>
      </c>
    </row>
    <row r="57" spans="4:15" x14ac:dyDescent="0.3">
      <c r="D57" s="1">
        <v>35492</v>
      </c>
      <c r="E57" s="2">
        <v>43505</v>
      </c>
      <c r="F57" s="1" t="s">
        <v>14</v>
      </c>
      <c r="G57" s="1">
        <v>36</v>
      </c>
      <c r="H57" t="str">
        <f t="shared" si="4"/>
        <v>Extra Large</v>
      </c>
      <c r="I57" t="str">
        <f t="shared" si="0"/>
        <v>Extra Large</v>
      </c>
      <c r="J57" s="1">
        <v>487.85</v>
      </c>
      <c r="K57">
        <f t="shared" si="1"/>
        <v>0.01</v>
      </c>
      <c r="L57">
        <f t="shared" si="2"/>
        <v>482.97149999999999</v>
      </c>
      <c r="M57" s="1">
        <f t="shared" si="3"/>
        <v>482.55</v>
      </c>
      <c r="N57" s="1" t="s">
        <v>8</v>
      </c>
      <c r="O57" s="1">
        <v>5.3</v>
      </c>
    </row>
    <row r="58" spans="4:15" x14ac:dyDescent="0.3">
      <c r="D58" s="1">
        <v>7267</v>
      </c>
      <c r="E58" s="2">
        <v>43705</v>
      </c>
      <c r="F58" s="1" t="s">
        <v>9</v>
      </c>
      <c r="G58" s="1">
        <v>19</v>
      </c>
      <c r="H58" t="str">
        <f t="shared" si="4"/>
        <v>Small-Medium</v>
      </c>
      <c r="I58" t="str">
        <f t="shared" si="0"/>
        <v>Small-Medium</v>
      </c>
      <c r="J58" s="1">
        <v>280.68</v>
      </c>
      <c r="K58">
        <f t="shared" si="1"/>
        <v>0</v>
      </c>
      <c r="L58">
        <f t="shared" si="2"/>
        <v>280.68</v>
      </c>
      <c r="M58" s="1">
        <f t="shared" si="3"/>
        <v>280.68</v>
      </c>
      <c r="N58" s="1" t="s">
        <v>10</v>
      </c>
      <c r="O58" s="1">
        <v>6.9</v>
      </c>
    </row>
    <row r="59" spans="4:15" x14ac:dyDescent="0.3">
      <c r="D59" s="1">
        <v>11362</v>
      </c>
      <c r="E59" s="2">
        <v>43718</v>
      </c>
      <c r="F59" s="1" t="s">
        <v>7</v>
      </c>
      <c r="G59" s="1">
        <v>9</v>
      </c>
      <c r="H59" t="str">
        <f t="shared" si="4"/>
        <v>Extra Small</v>
      </c>
      <c r="I59" t="str">
        <f t="shared" si="0"/>
        <v>Extra Small</v>
      </c>
      <c r="J59" s="1">
        <v>6870.3308999999999</v>
      </c>
      <c r="K59">
        <f t="shared" si="1"/>
        <v>0</v>
      </c>
      <c r="L59">
        <f t="shared" si="2"/>
        <v>6870.3308999999999</v>
      </c>
      <c r="M59" s="1">
        <f t="shared" si="3"/>
        <v>6870.3308999999999</v>
      </c>
      <c r="N59" s="1" t="s">
        <v>10</v>
      </c>
      <c r="O59" s="1">
        <v>26.2</v>
      </c>
    </row>
    <row r="60" spans="4:15" x14ac:dyDescent="0.3">
      <c r="D60" s="1">
        <v>47041</v>
      </c>
      <c r="E60" s="2">
        <v>43556</v>
      </c>
      <c r="F60" s="1" t="s">
        <v>11</v>
      </c>
      <c r="G60" s="1">
        <v>35</v>
      </c>
      <c r="H60" t="str">
        <f t="shared" si="4"/>
        <v>Large</v>
      </c>
      <c r="I60" t="str">
        <f t="shared" si="0"/>
        <v>Large</v>
      </c>
      <c r="J60" s="1">
        <v>164.78</v>
      </c>
      <c r="K60">
        <f t="shared" si="1"/>
        <v>0</v>
      </c>
      <c r="L60">
        <f t="shared" si="2"/>
        <v>164.78</v>
      </c>
      <c r="M60" s="1">
        <f t="shared" si="3"/>
        <v>164.78</v>
      </c>
      <c r="N60" s="1" t="s">
        <v>10</v>
      </c>
      <c r="O60" s="1">
        <v>2.1</v>
      </c>
    </row>
    <row r="61" spans="4:15" x14ac:dyDescent="0.3">
      <c r="D61" s="1">
        <v>1154</v>
      </c>
      <c r="E61" s="2">
        <v>43509</v>
      </c>
      <c r="F61" s="1" t="s">
        <v>12</v>
      </c>
      <c r="G61" s="1">
        <v>11</v>
      </c>
      <c r="H61" t="str">
        <f t="shared" si="4"/>
        <v>Small</v>
      </c>
      <c r="I61" t="str">
        <f t="shared" si="0"/>
        <v>Small</v>
      </c>
      <c r="J61" s="1">
        <v>710.25</v>
      </c>
      <c r="K61">
        <f t="shared" si="1"/>
        <v>0</v>
      </c>
      <c r="L61">
        <f t="shared" si="2"/>
        <v>710.25</v>
      </c>
      <c r="M61" s="1">
        <f t="shared" si="3"/>
        <v>710.25</v>
      </c>
      <c r="N61" s="1" t="s">
        <v>10</v>
      </c>
      <c r="O61" s="1">
        <v>73.8</v>
      </c>
    </row>
    <row r="62" spans="4:15" x14ac:dyDescent="0.3">
      <c r="D62" s="1">
        <v>29985</v>
      </c>
      <c r="E62" s="2">
        <v>43657</v>
      </c>
      <c r="F62" s="1" t="s">
        <v>12</v>
      </c>
      <c r="G62" s="1">
        <v>2</v>
      </c>
      <c r="H62" t="str">
        <f t="shared" si="4"/>
        <v>Mini</v>
      </c>
      <c r="I62" t="str">
        <f t="shared" si="0"/>
        <v>Mini</v>
      </c>
      <c r="J62" s="1">
        <v>26.23</v>
      </c>
      <c r="K62">
        <f t="shared" si="1"/>
        <v>0</v>
      </c>
      <c r="L62">
        <f t="shared" si="2"/>
        <v>26.23</v>
      </c>
      <c r="M62" s="1">
        <f t="shared" si="3"/>
        <v>26.23</v>
      </c>
      <c r="N62" s="1" t="s">
        <v>10</v>
      </c>
      <c r="O62" s="1">
        <v>9.6</v>
      </c>
    </row>
    <row r="63" spans="4:15" x14ac:dyDescent="0.3">
      <c r="D63" s="1">
        <v>24263</v>
      </c>
      <c r="E63" s="2">
        <v>43723</v>
      </c>
      <c r="F63" s="1" t="s">
        <v>7</v>
      </c>
      <c r="G63" s="1">
        <v>16</v>
      </c>
      <c r="H63" t="str">
        <f t="shared" si="4"/>
        <v>Small-Medium</v>
      </c>
      <c r="I63" t="str">
        <f t="shared" si="0"/>
        <v>Small-Medium</v>
      </c>
      <c r="J63" s="1">
        <v>548.71</v>
      </c>
      <c r="K63">
        <f t="shared" si="1"/>
        <v>0</v>
      </c>
      <c r="L63">
        <f t="shared" si="2"/>
        <v>548.71</v>
      </c>
      <c r="M63" s="1">
        <f t="shared" si="3"/>
        <v>548.71</v>
      </c>
      <c r="N63" s="1" t="s">
        <v>13</v>
      </c>
      <c r="O63" s="1">
        <v>20.5</v>
      </c>
    </row>
    <row r="64" spans="4:15" x14ac:dyDescent="0.3">
      <c r="D64" s="1">
        <v>23428</v>
      </c>
      <c r="E64" s="2">
        <v>43766</v>
      </c>
      <c r="F64" s="1" t="s">
        <v>9</v>
      </c>
      <c r="G64" s="1">
        <v>41</v>
      </c>
      <c r="H64" t="str">
        <f t="shared" si="4"/>
        <v>XX Large</v>
      </c>
      <c r="I64" t="str">
        <f t="shared" si="0"/>
        <v>XX Large</v>
      </c>
      <c r="J64" s="1">
        <v>1049.6199999999999</v>
      </c>
      <c r="K64">
        <f t="shared" si="1"/>
        <v>0.01</v>
      </c>
      <c r="L64">
        <f t="shared" si="2"/>
        <v>1039.1237999999998</v>
      </c>
      <c r="M64" s="1">
        <f t="shared" si="3"/>
        <v>1040.82</v>
      </c>
      <c r="N64" s="1" t="s">
        <v>10</v>
      </c>
      <c r="O64" s="1">
        <v>8.8000000000000007</v>
      </c>
    </row>
    <row r="65" spans="4:15" x14ac:dyDescent="0.3">
      <c r="D65" s="1">
        <v>22272</v>
      </c>
      <c r="E65" s="2">
        <v>43591</v>
      </c>
      <c r="F65" s="1" t="s">
        <v>9</v>
      </c>
      <c r="G65" s="1">
        <v>30</v>
      </c>
      <c r="H65" t="str">
        <f t="shared" si="4"/>
        <v>Medium-Large</v>
      </c>
      <c r="I65" t="str">
        <f t="shared" si="0"/>
        <v>Medium-Large</v>
      </c>
      <c r="J65" s="1">
        <v>1108.47</v>
      </c>
      <c r="K65">
        <f t="shared" si="1"/>
        <v>0</v>
      </c>
      <c r="L65">
        <f t="shared" si="2"/>
        <v>1108.47</v>
      </c>
      <c r="M65" s="1">
        <f t="shared" si="3"/>
        <v>1108.47</v>
      </c>
      <c r="N65" s="1" t="s">
        <v>10</v>
      </c>
      <c r="O65" s="1">
        <v>2.1</v>
      </c>
    </row>
    <row r="66" spans="4:15" x14ac:dyDescent="0.3">
      <c r="D66" s="1">
        <v>18464</v>
      </c>
      <c r="E66" s="2">
        <v>43552</v>
      </c>
      <c r="F66" s="1" t="s">
        <v>9</v>
      </c>
      <c r="G66" s="1">
        <v>37</v>
      </c>
      <c r="H66" t="str">
        <f t="shared" si="4"/>
        <v>Extra Large</v>
      </c>
      <c r="I66" t="str">
        <f t="shared" si="0"/>
        <v>Extra Large</v>
      </c>
      <c r="J66" s="1">
        <v>6461.84</v>
      </c>
      <c r="K66">
        <f t="shared" si="1"/>
        <v>0.01</v>
      </c>
      <c r="L66">
        <f t="shared" si="2"/>
        <v>6397.2215999999999</v>
      </c>
      <c r="M66" s="1">
        <f t="shared" si="3"/>
        <v>6390.9400000000005</v>
      </c>
      <c r="N66" s="1" t="s">
        <v>13</v>
      </c>
      <c r="O66" s="1">
        <v>70.900000000000006</v>
      </c>
    </row>
    <row r="67" spans="4:15" x14ac:dyDescent="0.3">
      <c r="D67" s="1">
        <v>55938</v>
      </c>
      <c r="E67" s="2">
        <v>43648</v>
      </c>
      <c r="F67" s="1" t="s">
        <v>11</v>
      </c>
      <c r="G67" s="1">
        <v>18</v>
      </c>
      <c r="H67" t="str">
        <f t="shared" si="4"/>
        <v>Small-Medium</v>
      </c>
      <c r="I67" t="str">
        <f t="shared" ref="I67:I130" si="5">VLOOKUP(G67, $A$3:$B$12, 2, TRUE)</f>
        <v>Small-Medium</v>
      </c>
      <c r="J67" s="1">
        <v>1893.79</v>
      </c>
      <c r="K67">
        <f t="shared" ref="K67:K130" si="6">IF(OR(I67="Extra Large", I67="XX Large", I67="XXX Large"), 0.01, 0)</f>
        <v>0</v>
      </c>
      <c r="L67">
        <f t="shared" ref="L67:L130" si="7">J67 * (1 - K67)</f>
        <v>1893.79</v>
      </c>
      <c r="M67" s="1">
        <f t="shared" ref="M67:M130" si="8">IF(OR(I67="Extra Large",I67="XX Large",I67="XXX Large"),J67-O67,J67)</f>
        <v>1893.79</v>
      </c>
      <c r="N67" s="1" t="s">
        <v>8</v>
      </c>
      <c r="O67" s="1">
        <v>37.5</v>
      </c>
    </row>
    <row r="68" spans="4:15" x14ac:dyDescent="0.3">
      <c r="D68" s="1">
        <v>28485</v>
      </c>
      <c r="E68" s="2">
        <v>43476</v>
      </c>
      <c r="F68" s="1" t="s">
        <v>9</v>
      </c>
      <c r="G68" s="1">
        <v>12</v>
      </c>
      <c r="H68" t="str">
        <f t="shared" si="4"/>
        <v>Small</v>
      </c>
      <c r="I68" t="str">
        <f t="shared" si="5"/>
        <v>Small</v>
      </c>
      <c r="J68" s="1">
        <v>52.622599999999998</v>
      </c>
      <c r="K68">
        <f t="shared" si="6"/>
        <v>0</v>
      </c>
      <c r="L68">
        <f t="shared" si="7"/>
        <v>52.622599999999998</v>
      </c>
      <c r="M68" s="1">
        <f t="shared" si="8"/>
        <v>52.622599999999998</v>
      </c>
      <c r="N68" s="1" t="s">
        <v>10</v>
      </c>
      <c r="O68" s="1">
        <v>1</v>
      </c>
    </row>
    <row r="69" spans="4:15" x14ac:dyDescent="0.3">
      <c r="D69" s="1">
        <v>17187</v>
      </c>
      <c r="E69" s="2">
        <v>43731</v>
      </c>
      <c r="F69" s="1" t="s">
        <v>9</v>
      </c>
      <c r="G69" s="1">
        <v>4</v>
      </c>
      <c r="H69" t="str">
        <f t="shared" ref="H69:H132" si="9">VLOOKUP(G69, $A$3:$B$12, 2, TRUE)</f>
        <v>Mini</v>
      </c>
      <c r="I69" t="str">
        <f t="shared" si="5"/>
        <v>Mini</v>
      </c>
      <c r="J69" s="1">
        <v>3158.61</v>
      </c>
      <c r="K69">
        <f t="shared" si="6"/>
        <v>0</v>
      </c>
      <c r="L69">
        <f t="shared" si="7"/>
        <v>3158.61</v>
      </c>
      <c r="M69" s="1">
        <f t="shared" si="8"/>
        <v>3158.61</v>
      </c>
      <c r="N69" s="1" t="s">
        <v>13</v>
      </c>
      <c r="O69" s="1">
        <v>17.2</v>
      </c>
    </row>
    <row r="70" spans="4:15" x14ac:dyDescent="0.3">
      <c r="D70" s="1">
        <v>13923</v>
      </c>
      <c r="E70" s="2">
        <v>43654</v>
      </c>
      <c r="F70" s="1" t="s">
        <v>9</v>
      </c>
      <c r="G70" s="1">
        <v>27</v>
      </c>
      <c r="H70" t="str">
        <f t="shared" si="9"/>
        <v>Medium-Large</v>
      </c>
      <c r="I70" t="str">
        <f t="shared" si="5"/>
        <v>Medium-Large</v>
      </c>
      <c r="J70" s="1">
        <v>6583.5</v>
      </c>
      <c r="K70">
        <f t="shared" si="6"/>
        <v>0</v>
      </c>
      <c r="L70">
        <f t="shared" si="7"/>
        <v>6583.5</v>
      </c>
      <c r="M70" s="1">
        <f t="shared" si="8"/>
        <v>6583.5</v>
      </c>
      <c r="N70" s="1" t="s">
        <v>13</v>
      </c>
      <c r="O70" s="1">
        <v>30.7</v>
      </c>
    </row>
    <row r="71" spans="4:15" x14ac:dyDescent="0.3">
      <c r="D71" s="1">
        <v>16359</v>
      </c>
      <c r="E71" s="2">
        <v>43599</v>
      </c>
      <c r="F71" s="1" t="s">
        <v>12</v>
      </c>
      <c r="G71" s="1">
        <v>39</v>
      </c>
      <c r="H71" t="str">
        <f t="shared" si="9"/>
        <v>Extra Large</v>
      </c>
      <c r="I71" t="str">
        <f t="shared" si="5"/>
        <v>Extra Large</v>
      </c>
      <c r="J71" s="1">
        <v>1437.65</v>
      </c>
      <c r="K71">
        <f t="shared" si="6"/>
        <v>0.01</v>
      </c>
      <c r="L71">
        <f t="shared" si="7"/>
        <v>1423.2735</v>
      </c>
      <c r="M71" s="1">
        <f t="shared" si="8"/>
        <v>1421.8500000000001</v>
      </c>
      <c r="N71" s="1" t="s">
        <v>10</v>
      </c>
      <c r="O71" s="1">
        <v>15.8</v>
      </c>
    </row>
    <row r="72" spans="4:15" x14ac:dyDescent="0.3">
      <c r="D72" s="1">
        <v>43906</v>
      </c>
      <c r="E72" s="2">
        <v>43503</v>
      </c>
      <c r="F72" s="1" t="s">
        <v>9</v>
      </c>
      <c r="G72" s="1">
        <v>50</v>
      </c>
      <c r="H72" t="str">
        <f t="shared" si="9"/>
        <v>XXX Large</v>
      </c>
      <c r="I72" t="str">
        <f t="shared" si="5"/>
        <v>XXX Large</v>
      </c>
      <c r="J72" s="1">
        <v>3853.1448999999998</v>
      </c>
      <c r="K72">
        <f t="shared" si="6"/>
        <v>0.01</v>
      </c>
      <c r="L72">
        <f t="shared" si="7"/>
        <v>3814.6134509999997</v>
      </c>
      <c r="M72" s="1">
        <f t="shared" si="8"/>
        <v>3837.6448999999998</v>
      </c>
      <c r="N72" s="1" t="s">
        <v>10</v>
      </c>
      <c r="O72" s="1">
        <v>15.5</v>
      </c>
    </row>
    <row r="73" spans="4:15" x14ac:dyDescent="0.3">
      <c r="D73" s="1">
        <v>1345</v>
      </c>
      <c r="E73" s="2">
        <v>43765</v>
      </c>
      <c r="F73" s="1" t="s">
        <v>7</v>
      </c>
      <c r="G73" s="1">
        <v>24</v>
      </c>
      <c r="H73" t="str">
        <f t="shared" si="9"/>
        <v>Medium</v>
      </c>
      <c r="I73" t="str">
        <f t="shared" si="5"/>
        <v>Medium</v>
      </c>
      <c r="J73" s="1">
        <v>2614.92</v>
      </c>
      <c r="K73">
        <f t="shared" si="6"/>
        <v>0</v>
      </c>
      <c r="L73">
        <f t="shared" si="7"/>
        <v>2614.92</v>
      </c>
      <c r="M73" s="1">
        <f t="shared" si="8"/>
        <v>2614.92</v>
      </c>
      <c r="N73" s="1" t="s">
        <v>13</v>
      </c>
      <c r="O73" s="1">
        <v>38.299999999999997</v>
      </c>
    </row>
    <row r="74" spans="4:15" x14ac:dyDescent="0.3">
      <c r="D74" s="1">
        <v>11776</v>
      </c>
      <c r="E74" s="2">
        <v>43519</v>
      </c>
      <c r="F74" s="1" t="s">
        <v>7</v>
      </c>
      <c r="G74" s="1">
        <v>40</v>
      </c>
      <c r="H74" t="str">
        <f t="shared" si="9"/>
        <v>Extra Large</v>
      </c>
      <c r="I74" t="str">
        <f t="shared" si="5"/>
        <v>Extra Large</v>
      </c>
      <c r="J74" s="1">
        <v>61.25</v>
      </c>
      <c r="K74">
        <f t="shared" si="6"/>
        <v>0.01</v>
      </c>
      <c r="L74">
        <f t="shared" si="7"/>
        <v>60.637500000000003</v>
      </c>
      <c r="M74" s="1">
        <f t="shared" si="8"/>
        <v>60.55</v>
      </c>
      <c r="N74" s="1" t="s">
        <v>8</v>
      </c>
      <c r="O74" s="1">
        <v>0.7</v>
      </c>
    </row>
    <row r="75" spans="4:15" x14ac:dyDescent="0.3">
      <c r="D75" s="1">
        <v>17953</v>
      </c>
      <c r="E75" s="2">
        <v>43697</v>
      </c>
      <c r="F75" s="1" t="s">
        <v>9</v>
      </c>
      <c r="G75" s="1">
        <v>30</v>
      </c>
      <c r="H75" t="str">
        <f t="shared" si="9"/>
        <v>Medium-Large</v>
      </c>
      <c r="I75" t="str">
        <f t="shared" si="5"/>
        <v>Medium-Large</v>
      </c>
      <c r="J75" s="1">
        <v>1043.3800000000001</v>
      </c>
      <c r="K75">
        <f t="shared" si="6"/>
        <v>0</v>
      </c>
      <c r="L75">
        <f t="shared" si="7"/>
        <v>1043.3800000000001</v>
      </c>
      <c r="M75" s="1">
        <f t="shared" si="8"/>
        <v>1043.3800000000001</v>
      </c>
      <c r="N75" s="1" t="s">
        <v>10</v>
      </c>
      <c r="O75" s="1">
        <v>20.9</v>
      </c>
    </row>
    <row r="76" spans="4:15" x14ac:dyDescent="0.3">
      <c r="D76" s="1">
        <v>59204</v>
      </c>
      <c r="E76" s="2">
        <v>43524</v>
      </c>
      <c r="F76" s="1" t="s">
        <v>14</v>
      </c>
      <c r="G76" s="1">
        <v>7</v>
      </c>
      <c r="H76" t="str">
        <f t="shared" si="9"/>
        <v>Extra Small</v>
      </c>
      <c r="I76" t="str">
        <f t="shared" si="5"/>
        <v>Extra Small</v>
      </c>
      <c r="J76" s="1">
        <v>269.2</v>
      </c>
      <c r="K76">
        <f t="shared" si="6"/>
        <v>0</v>
      </c>
      <c r="L76">
        <f t="shared" si="7"/>
        <v>269.2</v>
      </c>
      <c r="M76" s="1">
        <f t="shared" si="8"/>
        <v>269.2</v>
      </c>
      <c r="N76" s="1" t="s">
        <v>10</v>
      </c>
      <c r="O76" s="1">
        <v>5.4</v>
      </c>
    </row>
    <row r="77" spans="4:15" x14ac:dyDescent="0.3">
      <c r="D77" s="1">
        <v>58658</v>
      </c>
      <c r="E77" s="2">
        <v>43627</v>
      </c>
      <c r="F77" s="1" t="s">
        <v>14</v>
      </c>
      <c r="G77" s="1">
        <v>41</v>
      </c>
      <c r="H77" t="str">
        <f t="shared" si="9"/>
        <v>XX Large</v>
      </c>
      <c r="I77" t="str">
        <f t="shared" si="5"/>
        <v>XX Large</v>
      </c>
      <c r="J77" s="1">
        <v>981.46</v>
      </c>
      <c r="K77">
        <f t="shared" si="6"/>
        <v>0.01</v>
      </c>
      <c r="L77">
        <f t="shared" si="7"/>
        <v>971.6454</v>
      </c>
      <c r="M77" s="1">
        <f t="shared" si="8"/>
        <v>974.46</v>
      </c>
      <c r="N77" s="1" t="s">
        <v>10</v>
      </c>
      <c r="O77" s="1">
        <v>7</v>
      </c>
    </row>
    <row r="78" spans="4:15" x14ac:dyDescent="0.3">
      <c r="D78" s="1">
        <v>26084</v>
      </c>
      <c r="E78" s="2">
        <v>43754</v>
      </c>
      <c r="F78" s="1" t="s">
        <v>7</v>
      </c>
      <c r="G78" s="1">
        <v>33</v>
      </c>
      <c r="H78" t="str">
        <f t="shared" si="9"/>
        <v>Large</v>
      </c>
      <c r="I78" t="str">
        <f t="shared" si="5"/>
        <v>Large</v>
      </c>
      <c r="J78" s="1">
        <v>244.84</v>
      </c>
      <c r="K78">
        <f t="shared" si="6"/>
        <v>0</v>
      </c>
      <c r="L78">
        <f t="shared" si="7"/>
        <v>244.84</v>
      </c>
      <c r="M78" s="1">
        <f t="shared" si="8"/>
        <v>244.84</v>
      </c>
      <c r="N78" s="1" t="s">
        <v>8</v>
      </c>
      <c r="O78" s="1">
        <v>7.8</v>
      </c>
    </row>
    <row r="79" spans="4:15" x14ac:dyDescent="0.3">
      <c r="D79" s="1">
        <v>57157</v>
      </c>
      <c r="E79" s="2">
        <v>43521</v>
      </c>
      <c r="F79" s="1" t="s">
        <v>12</v>
      </c>
      <c r="G79" s="1">
        <v>18</v>
      </c>
      <c r="H79" t="str">
        <f t="shared" si="9"/>
        <v>Small-Medium</v>
      </c>
      <c r="I79" t="str">
        <f t="shared" si="5"/>
        <v>Small-Medium</v>
      </c>
      <c r="J79" s="1">
        <v>217.82</v>
      </c>
      <c r="K79">
        <f t="shared" si="6"/>
        <v>0</v>
      </c>
      <c r="L79">
        <f t="shared" si="7"/>
        <v>217.82</v>
      </c>
      <c r="M79" s="1">
        <f t="shared" si="8"/>
        <v>217.82</v>
      </c>
      <c r="N79" s="1" t="s">
        <v>10</v>
      </c>
      <c r="O79" s="1">
        <v>4.3</v>
      </c>
    </row>
    <row r="80" spans="4:15" x14ac:dyDescent="0.3">
      <c r="D80" s="1">
        <v>51747</v>
      </c>
      <c r="E80" s="2">
        <v>43651</v>
      </c>
      <c r="F80" s="1" t="s">
        <v>14</v>
      </c>
      <c r="G80" s="1">
        <v>3</v>
      </c>
      <c r="H80" t="str">
        <f t="shared" si="9"/>
        <v>Mini</v>
      </c>
      <c r="I80" t="str">
        <f t="shared" si="5"/>
        <v>Mini</v>
      </c>
      <c r="J80" s="1">
        <v>12.96</v>
      </c>
      <c r="K80">
        <f t="shared" si="6"/>
        <v>0</v>
      </c>
      <c r="L80">
        <f t="shared" si="7"/>
        <v>12.96</v>
      </c>
      <c r="M80" s="1">
        <f t="shared" si="8"/>
        <v>12.96</v>
      </c>
      <c r="N80" s="1" t="s">
        <v>10</v>
      </c>
      <c r="O80" s="1">
        <v>0.5</v>
      </c>
    </row>
    <row r="81" spans="4:15" x14ac:dyDescent="0.3">
      <c r="D81" s="1">
        <v>56644</v>
      </c>
      <c r="E81" s="2">
        <v>43797</v>
      </c>
      <c r="F81" s="1" t="s">
        <v>11</v>
      </c>
      <c r="G81" s="1">
        <v>36</v>
      </c>
      <c r="H81" t="str">
        <f t="shared" si="9"/>
        <v>Extra Large</v>
      </c>
      <c r="I81" t="str">
        <f t="shared" si="5"/>
        <v>Extra Large</v>
      </c>
      <c r="J81" s="1">
        <v>87.84</v>
      </c>
      <c r="K81">
        <f t="shared" si="6"/>
        <v>0.01</v>
      </c>
      <c r="L81">
        <f t="shared" si="7"/>
        <v>86.961600000000004</v>
      </c>
      <c r="M81" s="1">
        <f t="shared" si="8"/>
        <v>86.740000000000009</v>
      </c>
      <c r="N81" s="1" t="s">
        <v>10</v>
      </c>
      <c r="O81" s="1">
        <v>1.1000000000000001</v>
      </c>
    </row>
    <row r="82" spans="4:15" x14ac:dyDescent="0.3">
      <c r="D82" s="1">
        <v>10982</v>
      </c>
      <c r="E82" s="2">
        <v>43809</v>
      </c>
      <c r="F82" s="1" t="s">
        <v>11</v>
      </c>
      <c r="G82" s="1">
        <v>14</v>
      </c>
      <c r="H82" t="str">
        <f t="shared" si="9"/>
        <v>Small</v>
      </c>
      <c r="I82" t="str">
        <f t="shared" si="5"/>
        <v>Small</v>
      </c>
      <c r="J82" s="1">
        <v>22.416499999999999</v>
      </c>
      <c r="K82">
        <f t="shared" si="6"/>
        <v>0</v>
      </c>
      <c r="L82">
        <f t="shared" si="7"/>
        <v>22.416499999999999</v>
      </c>
      <c r="M82" s="1">
        <f t="shared" si="8"/>
        <v>22.416499999999999</v>
      </c>
      <c r="N82" s="1" t="s">
        <v>8</v>
      </c>
      <c r="O82" s="1">
        <v>0.7</v>
      </c>
    </row>
    <row r="83" spans="4:15" x14ac:dyDescent="0.3">
      <c r="D83" s="1">
        <v>42887</v>
      </c>
      <c r="E83" s="2">
        <v>43626</v>
      </c>
      <c r="F83" s="1" t="s">
        <v>14</v>
      </c>
      <c r="G83" s="1">
        <v>11</v>
      </c>
      <c r="H83" t="str">
        <f t="shared" si="9"/>
        <v>Small</v>
      </c>
      <c r="I83" t="str">
        <f t="shared" si="5"/>
        <v>Small</v>
      </c>
      <c r="J83" s="1">
        <v>251.19</v>
      </c>
      <c r="K83">
        <f t="shared" si="6"/>
        <v>0</v>
      </c>
      <c r="L83">
        <f t="shared" si="7"/>
        <v>251.19</v>
      </c>
      <c r="M83" s="1">
        <f t="shared" si="8"/>
        <v>251.19</v>
      </c>
      <c r="N83" s="1" t="s">
        <v>10</v>
      </c>
      <c r="O83" s="1">
        <v>9.6</v>
      </c>
    </row>
    <row r="84" spans="4:15" x14ac:dyDescent="0.3">
      <c r="D84" s="1">
        <v>51175</v>
      </c>
      <c r="E84" s="2">
        <v>43691</v>
      </c>
      <c r="F84" s="1" t="s">
        <v>9</v>
      </c>
      <c r="G84" s="1">
        <v>28</v>
      </c>
      <c r="H84" t="str">
        <f t="shared" si="9"/>
        <v>Medium-Large</v>
      </c>
      <c r="I84" t="str">
        <f t="shared" si="5"/>
        <v>Medium-Large</v>
      </c>
      <c r="J84" s="1">
        <v>1214.71</v>
      </c>
      <c r="K84">
        <f t="shared" si="6"/>
        <v>0</v>
      </c>
      <c r="L84">
        <f t="shared" si="7"/>
        <v>1214.71</v>
      </c>
      <c r="M84" s="1">
        <f t="shared" si="8"/>
        <v>1214.71</v>
      </c>
      <c r="N84" s="1" t="s">
        <v>10</v>
      </c>
      <c r="O84" s="1">
        <v>4.8</v>
      </c>
    </row>
    <row r="85" spans="4:15" x14ac:dyDescent="0.3">
      <c r="D85" s="1">
        <v>9024</v>
      </c>
      <c r="E85" s="2">
        <v>43618</v>
      </c>
      <c r="F85" s="1" t="s">
        <v>14</v>
      </c>
      <c r="G85" s="1">
        <v>30</v>
      </c>
      <c r="H85" t="str">
        <f t="shared" si="9"/>
        <v>Medium-Large</v>
      </c>
      <c r="I85" t="str">
        <f t="shared" si="5"/>
        <v>Medium-Large</v>
      </c>
      <c r="J85" s="1">
        <v>1215.9908</v>
      </c>
      <c r="K85">
        <f t="shared" si="6"/>
        <v>0</v>
      </c>
      <c r="L85">
        <f t="shared" si="7"/>
        <v>1215.9908</v>
      </c>
      <c r="M85" s="1">
        <f t="shared" si="8"/>
        <v>1215.9908</v>
      </c>
      <c r="N85" s="1" t="s">
        <v>10</v>
      </c>
      <c r="O85" s="1">
        <v>7</v>
      </c>
    </row>
    <row r="86" spans="4:15" x14ac:dyDescent="0.3">
      <c r="D86" s="1">
        <v>26756</v>
      </c>
      <c r="E86" s="2">
        <v>43595</v>
      </c>
      <c r="F86" s="1" t="s">
        <v>14</v>
      </c>
      <c r="G86" s="1">
        <v>40</v>
      </c>
      <c r="H86" t="str">
        <f t="shared" si="9"/>
        <v>Extra Large</v>
      </c>
      <c r="I86" t="str">
        <f t="shared" si="5"/>
        <v>Extra Large</v>
      </c>
      <c r="J86" s="1">
        <v>271.66000000000003</v>
      </c>
      <c r="K86">
        <f t="shared" si="6"/>
        <v>0.01</v>
      </c>
      <c r="L86">
        <f t="shared" si="7"/>
        <v>268.9434</v>
      </c>
      <c r="M86" s="1">
        <f t="shared" si="8"/>
        <v>264.96000000000004</v>
      </c>
      <c r="N86" s="1" t="s">
        <v>10</v>
      </c>
      <c r="O86" s="1">
        <v>6.7</v>
      </c>
    </row>
    <row r="87" spans="4:15" x14ac:dyDescent="0.3">
      <c r="D87" s="1">
        <v>25478</v>
      </c>
      <c r="E87" s="2">
        <v>43579</v>
      </c>
      <c r="F87" s="1" t="s">
        <v>12</v>
      </c>
      <c r="G87" s="1">
        <v>47</v>
      </c>
      <c r="H87" t="str">
        <f t="shared" si="9"/>
        <v>XXX Large</v>
      </c>
      <c r="I87" t="str">
        <f t="shared" si="5"/>
        <v>XXX Large</v>
      </c>
      <c r="J87" s="1">
        <v>5055.8500000000004</v>
      </c>
      <c r="K87">
        <f t="shared" si="6"/>
        <v>0.01</v>
      </c>
      <c r="L87">
        <f t="shared" si="7"/>
        <v>5005.2915000000003</v>
      </c>
      <c r="M87" s="1">
        <f t="shared" si="8"/>
        <v>5053.1500000000005</v>
      </c>
      <c r="N87" s="1" t="s">
        <v>10</v>
      </c>
      <c r="O87" s="1">
        <v>2.7</v>
      </c>
    </row>
    <row r="88" spans="4:15" x14ac:dyDescent="0.3">
      <c r="D88" s="1">
        <v>26310</v>
      </c>
      <c r="E88" s="2">
        <v>43675</v>
      </c>
      <c r="F88" s="1" t="s">
        <v>11</v>
      </c>
      <c r="G88" s="1">
        <v>5</v>
      </c>
      <c r="H88" t="str">
        <f t="shared" si="9"/>
        <v>Mini</v>
      </c>
      <c r="I88" t="str">
        <f t="shared" si="5"/>
        <v>Mini</v>
      </c>
      <c r="J88" s="1">
        <v>82.83</v>
      </c>
      <c r="K88">
        <f t="shared" si="6"/>
        <v>0</v>
      </c>
      <c r="L88">
        <f t="shared" si="7"/>
        <v>82.83</v>
      </c>
      <c r="M88" s="1">
        <f t="shared" si="8"/>
        <v>82.83</v>
      </c>
      <c r="N88" s="1" t="s">
        <v>10</v>
      </c>
      <c r="O88" s="1">
        <v>1.5</v>
      </c>
    </row>
    <row r="89" spans="4:15" x14ac:dyDescent="0.3">
      <c r="D89" s="1">
        <v>20933</v>
      </c>
      <c r="E89" s="2">
        <v>43703</v>
      </c>
      <c r="F89" s="1" t="s">
        <v>9</v>
      </c>
      <c r="G89" s="1">
        <v>45</v>
      </c>
      <c r="H89" t="str">
        <f t="shared" si="9"/>
        <v>XX Large</v>
      </c>
      <c r="I89" t="str">
        <f t="shared" si="5"/>
        <v>XX Large</v>
      </c>
      <c r="J89" s="1">
        <v>2225.04</v>
      </c>
      <c r="K89">
        <f t="shared" si="6"/>
        <v>0.01</v>
      </c>
      <c r="L89">
        <f t="shared" si="7"/>
        <v>2202.7896000000001</v>
      </c>
      <c r="M89" s="1">
        <f t="shared" si="8"/>
        <v>2219.64</v>
      </c>
      <c r="N89" s="1" t="s">
        <v>10</v>
      </c>
      <c r="O89" s="1">
        <v>5.4</v>
      </c>
    </row>
    <row r="90" spans="4:15" x14ac:dyDescent="0.3">
      <c r="D90" s="1">
        <v>29761</v>
      </c>
      <c r="E90" s="2">
        <v>43649</v>
      </c>
      <c r="F90" s="1" t="s">
        <v>14</v>
      </c>
      <c r="G90" s="1">
        <v>42</v>
      </c>
      <c r="H90" t="str">
        <f t="shared" si="9"/>
        <v>XX Large</v>
      </c>
      <c r="I90" t="str">
        <f t="shared" si="5"/>
        <v>XX Large</v>
      </c>
      <c r="J90" s="1">
        <v>1161.3800000000001</v>
      </c>
      <c r="K90">
        <f t="shared" si="6"/>
        <v>0.01</v>
      </c>
      <c r="L90">
        <f t="shared" si="7"/>
        <v>1149.7662</v>
      </c>
      <c r="M90" s="1">
        <f t="shared" si="8"/>
        <v>1155.68</v>
      </c>
      <c r="N90" s="1" t="s">
        <v>10</v>
      </c>
      <c r="O90" s="1">
        <v>5.7</v>
      </c>
    </row>
    <row r="91" spans="4:15" x14ac:dyDescent="0.3">
      <c r="D91" s="1">
        <v>33570</v>
      </c>
      <c r="E91" s="2">
        <v>43815</v>
      </c>
      <c r="F91" s="1" t="s">
        <v>11</v>
      </c>
      <c r="G91" s="1">
        <v>46</v>
      </c>
      <c r="H91" t="str">
        <f t="shared" si="9"/>
        <v>XXX Large</v>
      </c>
      <c r="I91" t="str">
        <f t="shared" si="5"/>
        <v>XXX Large</v>
      </c>
      <c r="J91" s="1">
        <v>284.49</v>
      </c>
      <c r="K91">
        <f t="shared" si="6"/>
        <v>0.01</v>
      </c>
      <c r="L91">
        <f t="shared" si="7"/>
        <v>281.64510000000001</v>
      </c>
      <c r="M91" s="1">
        <f t="shared" si="8"/>
        <v>279.09000000000003</v>
      </c>
      <c r="N91" s="1" t="s">
        <v>10</v>
      </c>
      <c r="O91" s="1">
        <v>5.4</v>
      </c>
    </row>
    <row r="92" spans="4:15" x14ac:dyDescent="0.3">
      <c r="D92" s="1">
        <v>34822</v>
      </c>
      <c r="E92" s="2">
        <v>43656</v>
      </c>
      <c r="F92" s="1" t="s">
        <v>11</v>
      </c>
      <c r="G92" s="1">
        <v>23</v>
      </c>
      <c r="H92" t="str">
        <f t="shared" si="9"/>
        <v>Medium</v>
      </c>
      <c r="I92" t="str">
        <f t="shared" si="5"/>
        <v>Medium</v>
      </c>
      <c r="J92" s="1">
        <v>1059.8399999999999</v>
      </c>
      <c r="K92">
        <f t="shared" si="6"/>
        <v>0</v>
      </c>
      <c r="L92">
        <f t="shared" si="7"/>
        <v>1059.8399999999999</v>
      </c>
      <c r="M92" s="1">
        <f t="shared" si="8"/>
        <v>1059.8399999999999</v>
      </c>
      <c r="N92" s="1" t="s">
        <v>10</v>
      </c>
      <c r="O92" s="1">
        <v>2.1</v>
      </c>
    </row>
    <row r="93" spans="4:15" x14ac:dyDescent="0.3">
      <c r="D93" s="1">
        <v>9505</v>
      </c>
      <c r="E93" s="2">
        <v>43623</v>
      </c>
      <c r="F93" s="1" t="s">
        <v>9</v>
      </c>
      <c r="G93" s="1">
        <v>5</v>
      </c>
      <c r="H93" t="str">
        <f t="shared" si="9"/>
        <v>Mini</v>
      </c>
      <c r="I93" t="str">
        <f t="shared" si="5"/>
        <v>Mini</v>
      </c>
      <c r="J93" s="1">
        <v>166.27</v>
      </c>
      <c r="K93">
        <f t="shared" si="6"/>
        <v>0</v>
      </c>
      <c r="L93">
        <f t="shared" si="7"/>
        <v>166.27</v>
      </c>
      <c r="M93" s="1">
        <f t="shared" si="8"/>
        <v>166.27</v>
      </c>
      <c r="N93" s="1" t="s">
        <v>10</v>
      </c>
      <c r="O93" s="1">
        <v>5.9</v>
      </c>
    </row>
    <row r="94" spans="4:15" x14ac:dyDescent="0.3">
      <c r="D94" s="1">
        <v>54339</v>
      </c>
      <c r="E94" s="2">
        <v>43587</v>
      </c>
      <c r="F94" s="1" t="s">
        <v>7</v>
      </c>
      <c r="G94" s="1">
        <v>41</v>
      </c>
      <c r="H94" t="str">
        <f t="shared" si="9"/>
        <v>XX Large</v>
      </c>
      <c r="I94" t="str">
        <f t="shared" si="5"/>
        <v>XX Large</v>
      </c>
      <c r="J94" s="1">
        <v>2364.1815999999999</v>
      </c>
      <c r="K94">
        <f t="shared" si="6"/>
        <v>0.01</v>
      </c>
      <c r="L94">
        <f t="shared" si="7"/>
        <v>2340.5397840000001</v>
      </c>
      <c r="M94" s="1">
        <f t="shared" si="8"/>
        <v>2358.4816000000001</v>
      </c>
      <c r="N94" s="1" t="s">
        <v>10</v>
      </c>
      <c r="O94" s="1">
        <v>5.7</v>
      </c>
    </row>
    <row r="95" spans="4:15" x14ac:dyDescent="0.3">
      <c r="D95" s="1">
        <v>50433</v>
      </c>
      <c r="E95" s="2">
        <v>43483</v>
      </c>
      <c r="F95" s="1" t="s">
        <v>12</v>
      </c>
      <c r="G95" s="1">
        <v>50</v>
      </c>
      <c r="H95" t="str">
        <f t="shared" si="9"/>
        <v>XXX Large</v>
      </c>
      <c r="I95" t="str">
        <f t="shared" si="5"/>
        <v>XXX Large</v>
      </c>
      <c r="J95" s="1">
        <v>7092.55</v>
      </c>
      <c r="K95">
        <f t="shared" si="6"/>
        <v>0.01</v>
      </c>
      <c r="L95">
        <f t="shared" si="7"/>
        <v>7021.6244999999999</v>
      </c>
      <c r="M95" s="1">
        <f t="shared" si="8"/>
        <v>7073.45</v>
      </c>
      <c r="N95" s="1" t="s">
        <v>13</v>
      </c>
      <c r="O95" s="1">
        <v>19.100000000000001</v>
      </c>
    </row>
    <row r="96" spans="4:15" x14ac:dyDescent="0.3">
      <c r="D96" s="1">
        <v>48902</v>
      </c>
      <c r="E96" s="2">
        <v>43761</v>
      </c>
      <c r="F96" s="1" t="s">
        <v>14</v>
      </c>
      <c r="G96" s="1">
        <v>7</v>
      </c>
      <c r="H96" t="str">
        <f t="shared" si="9"/>
        <v>Extra Small</v>
      </c>
      <c r="I96" t="str">
        <f t="shared" si="5"/>
        <v>Extra Small</v>
      </c>
      <c r="J96" s="1">
        <v>57.02</v>
      </c>
      <c r="K96">
        <f t="shared" si="6"/>
        <v>0</v>
      </c>
      <c r="L96">
        <f t="shared" si="7"/>
        <v>57.02</v>
      </c>
      <c r="M96" s="1">
        <f t="shared" si="8"/>
        <v>57.02</v>
      </c>
      <c r="N96" s="1" t="s">
        <v>10</v>
      </c>
      <c r="O96" s="1">
        <v>8</v>
      </c>
    </row>
    <row r="97" spans="4:15" x14ac:dyDescent="0.3">
      <c r="D97" s="1">
        <v>13284</v>
      </c>
      <c r="E97" s="2">
        <v>43689</v>
      </c>
      <c r="F97" s="1" t="s">
        <v>9</v>
      </c>
      <c r="G97" s="1">
        <v>49</v>
      </c>
      <c r="H97" t="str">
        <f t="shared" si="9"/>
        <v>XXX Large</v>
      </c>
      <c r="I97" t="str">
        <f t="shared" si="5"/>
        <v>XXX Large</v>
      </c>
      <c r="J97" s="1">
        <v>1778.95</v>
      </c>
      <c r="K97">
        <f t="shared" si="6"/>
        <v>0.01</v>
      </c>
      <c r="L97">
        <f t="shared" si="7"/>
        <v>1761.1605</v>
      </c>
      <c r="M97" s="1">
        <f t="shared" si="8"/>
        <v>1775.75</v>
      </c>
      <c r="N97" s="1" t="s">
        <v>10</v>
      </c>
      <c r="O97" s="1">
        <v>3.2</v>
      </c>
    </row>
    <row r="98" spans="4:15" x14ac:dyDescent="0.3">
      <c r="D98" s="1">
        <v>42243</v>
      </c>
      <c r="E98" s="2">
        <v>43535</v>
      </c>
      <c r="F98" s="1" t="s">
        <v>14</v>
      </c>
      <c r="G98" s="1">
        <v>42</v>
      </c>
      <c r="H98" t="str">
        <f t="shared" si="9"/>
        <v>XX Large</v>
      </c>
      <c r="I98" t="str">
        <f t="shared" si="5"/>
        <v>XX Large</v>
      </c>
      <c r="J98" s="1">
        <v>2007.42</v>
      </c>
      <c r="K98">
        <f t="shared" si="6"/>
        <v>0.01</v>
      </c>
      <c r="L98">
        <f t="shared" si="7"/>
        <v>1987.3458000000001</v>
      </c>
      <c r="M98" s="1">
        <f t="shared" si="8"/>
        <v>2004.22</v>
      </c>
      <c r="N98" s="1" t="s">
        <v>10</v>
      </c>
      <c r="O98" s="1">
        <v>3.2</v>
      </c>
    </row>
    <row r="99" spans="4:15" x14ac:dyDescent="0.3">
      <c r="D99" s="1">
        <v>44839</v>
      </c>
      <c r="E99" s="2">
        <v>43627</v>
      </c>
      <c r="F99" s="1" t="s">
        <v>12</v>
      </c>
      <c r="G99" s="1">
        <v>27</v>
      </c>
      <c r="H99" t="str">
        <f t="shared" si="9"/>
        <v>Medium-Large</v>
      </c>
      <c r="I99" t="str">
        <f t="shared" si="5"/>
        <v>Medium-Large</v>
      </c>
      <c r="J99" s="1">
        <v>962.97</v>
      </c>
      <c r="K99">
        <f t="shared" si="6"/>
        <v>0</v>
      </c>
      <c r="L99">
        <f t="shared" si="7"/>
        <v>962.97</v>
      </c>
      <c r="M99" s="1">
        <f t="shared" si="8"/>
        <v>962.97</v>
      </c>
      <c r="N99" s="1" t="s">
        <v>8</v>
      </c>
      <c r="O99" s="1">
        <v>21.4</v>
      </c>
    </row>
    <row r="100" spans="4:15" x14ac:dyDescent="0.3">
      <c r="D100" s="1">
        <v>59586</v>
      </c>
      <c r="E100" s="2">
        <v>43531</v>
      </c>
      <c r="F100" s="1" t="s">
        <v>7</v>
      </c>
      <c r="G100" s="1">
        <v>25</v>
      </c>
      <c r="H100" t="str">
        <f t="shared" si="9"/>
        <v>Medium</v>
      </c>
      <c r="I100" t="str">
        <f t="shared" si="5"/>
        <v>Medium</v>
      </c>
      <c r="J100" s="1">
        <v>178.94</v>
      </c>
      <c r="K100">
        <f t="shared" si="6"/>
        <v>0</v>
      </c>
      <c r="L100">
        <f t="shared" si="7"/>
        <v>178.94</v>
      </c>
      <c r="M100" s="1">
        <f t="shared" si="8"/>
        <v>178.94</v>
      </c>
      <c r="N100" s="1" t="s">
        <v>10</v>
      </c>
      <c r="O100" s="1">
        <v>5.8</v>
      </c>
    </row>
    <row r="101" spans="4:15" x14ac:dyDescent="0.3">
      <c r="D101" s="1">
        <v>30720</v>
      </c>
      <c r="E101" s="2">
        <v>43735</v>
      </c>
      <c r="F101" s="1" t="s">
        <v>7</v>
      </c>
      <c r="G101" s="1">
        <v>37</v>
      </c>
      <c r="H101" t="str">
        <f t="shared" si="9"/>
        <v>Extra Large</v>
      </c>
      <c r="I101" t="str">
        <f t="shared" si="5"/>
        <v>Extra Large</v>
      </c>
      <c r="J101" s="1">
        <v>1820.64</v>
      </c>
      <c r="K101">
        <f t="shared" si="6"/>
        <v>0.01</v>
      </c>
      <c r="L101">
        <f t="shared" si="7"/>
        <v>1802.4336000000001</v>
      </c>
      <c r="M101" s="1">
        <f t="shared" si="8"/>
        <v>1818.5400000000002</v>
      </c>
      <c r="N101" s="1" t="s">
        <v>8</v>
      </c>
      <c r="O101" s="1">
        <v>2.1</v>
      </c>
    </row>
    <row r="102" spans="4:15" x14ac:dyDescent="0.3">
      <c r="D102" s="1">
        <v>32804</v>
      </c>
      <c r="E102" s="2">
        <v>43717</v>
      </c>
      <c r="F102" s="1" t="s">
        <v>14</v>
      </c>
      <c r="G102" s="1">
        <v>20</v>
      </c>
      <c r="H102" t="str">
        <f t="shared" si="9"/>
        <v>Small-Medium</v>
      </c>
      <c r="I102" t="str">
        <f t="shared" si="5"/>
        <v>Small-Medium</v>
      </c>
      <c r="J102" s="1">
        <v>95.78</v>
      </c>
      <c r="K102">
        <f t="shared" si="6"/>
        <v>0</v>
      </c>
      <c r="L102">
        <f t="shared" si="7"/>
        <v>95.78</v>
      </c>
      <c r="M102" s="1">
        <f t="shared" si="8"/>
        <v>95.78</v>
      </c>
      <c r="N102" s="1" t="s">
        <v>10</v>
      </c>
      <c r="O102" s="1">
        <v>5.6</v>
      </c>
    </row>
    <row r="103" spans="4:15" x14ac:dyDescent="0.3">
      <c r="D103" s="1">
        <v>53216</v>
      </c>
      <c r="E103" s="2">
        <v>43803</v>
      </c>
      <c r="F103" s="1" t="s">
        <v>9</v>
      </c>
      <c r="G103" s="1">
        <v>36</v>
      </c>
      <c r="H103" t="str">
        <f t="shared" si="9"/>
        <v>Extra Large</v>
      </c>
      <c r="I103" t="str">
        <f t="shared" si="5"/>
        <v>Extra Large</v>
      </c>
      <c r="J103" s="1">
        <v>243.97069999999999</v>
      </c>
      <c r="K103">
        <f t="shared" si="6"/>
        <v>0.01</v>
      </c>
      <c r="L103">
        <f t="shared" si="7"/>
        <v>241.530993</v>
      </c>
      <c r="M103" s="1">
        <f t="shared" si="8"/>
        <v>234.67069999999998</v>
      </c>
      <c r="N103" s="1" t="s">
        <v>10</v>
      </c>
      <c r="O103" s="1">
        <v>9.3000000000000007</v>
      </c>
    </row>
    <row r="104" spans="4:15" x14ac:dyDescent="0.3">
      <c r="D104" s="1">
        <v>55777</v>
      </c>
      <c r="E104" s="2">
        <v>43779</v>
      </c>
      <c r="F104" s="1" t="s">
        <v>11</v>
      </c>
      <c r="G104" s="1">
        <v>1</v>
      </c>
      <c r="H104" t="str">
        <f t="shared" si="9"/>
        <v>Mini</v>
      </c>
      <c r="I104" t="str">
        <f t="shared" si="5"/>
        <v>Mini</v>
      </c>
      <c r="J104" s="1">
        <v>70.349999999999994</v>
      </c>
      <c r="K104">
        <f t="shared" si="6"/>
        <v>0</v>
      </c>
      <c r="L104">
        <f t="shared" si="7"/>
        <v>70.349999999999994</v>
      </c>
      <c r="M104" s="1">
        <f t="shared" si="8"/>
        <v>70.349999999999994</v>
      </c>
      <c r="N104" s="1" t="s">
        <v>8</v>
      </c>
      <c r="O104" s="1">
        <v>4.3</v>
      </c>
    </row>
    <row r="105" spans="4:15" x14ac:dyDescent="0.3">
      <c r="D105" s="1">
        <v>35011</v>
      </c>
      <c r="E105" s="2">
        <v>43809</v>
      </c>
      <c r="F105" s="1" t="s">
        <v>11</v>
      </c>
      <c r="G105" s="1">
        <v>14</v>
      </c>
      <c r="H105" t="str">
        <f t="shared" si="9"/>
        <v>Small</v>
      </c>
      <c r="I105" t="str">
        <f t="shared" si="5"/>
        <v>Small</v>
      </c>
      <c r="J105" s="1">
        <v>165.26</v>
      </c>
      <c r="K105">
        <f t="shared" si="6"/>
        <v>0</v>
      </c>
      <c r="L105">
        <f t="shared" si="7"/>
        <v>165.26</v>
      </c>
      <c r="M105" s="1">
        <f t="shared" si="8"/>
        <v>165.26</v>
      </c>
      <c r="N105" s="1" t="s">
        <v>10</v>
      </c>
      <c r="O105" s="1">
        <v>3.6</v>
      </c>
    </row>
    <row r="106" spans="4:15" x14ac:dyDescent="0.3">
      <c r="D106" s="1">
        <v>16706</v>
      </c>
      <c r="E106" s="2">
        <v>43643</v>
      </c>
      <c r="F106" s="1" t="s">
        <v>9</v>
      </c>
      <c r="G106" s="1">
        <v>6</v>
      </c>
      <c r="H106" t="str">
        <f t="shared" si="9"/>
        <v>Extra Small</v>
      </c>
      <c r="I106" t="str">
        <f t="shared" si="5"/>
        <v>Extra Small</v>
      </c>
      <c r="J106" s="1">
        <v>19.655899999999999</v>
      </c>
      <c r="K106">
        <f t="shared" si="6"/>
        <v>0</v>
      </c>
      <c r="L106">
        <f t="shared" si="7"/>
        <v>19.655899999999999</v>
      </c>
      <c r="M106" s="1">
        <f t="shared" si="8"/>
        <v>19.655899999999999</v>
      </c>
      <c r="N106" s="1" t="s">
        <v>10</v>
      </c>
      <c r="O106" s="1">
        <v>1.3</v>
      </c>
    </row>
    <row r="107" spans="4:15" x14ac:dyDescent="0.3">
      <c r="D107" s="1">
        <v>4069</v>
      </c>
      <c r="E107" s="2">
        <v>43597</v>
      </c>
      <c r="F107" s="1" t="s">
        <v>14</v>
      </c>
      <c r="G107" s="1">
        <v>47</v>
      </c>
      <c r="H107" t="str">
        <f t="shared" si="9"/>
        <v>XXX Large</v>
      </c>
      <c r="I107" t="str">
        <f t="shared" si="5"/>
        <v>XXX Large</v>
      </c>
      <c r="J107" s="1">
        <v>133.69</v>
      </c>
      <c r="K107">
        <f t="shared" si="6"/>
        <v>0.01</v>
      </c>
      <c r="L107">
        <f t="shared" si="7"/>
        <v>132.35309999999998</v>
      </c>
      <c r="M107" s="1">
        <f t="shared" si="8"/>
        <v>132.29</v>
      </c>
      <c r="N107" s="1" t="s">
        <v>8</v>
      </c>
      <c r="O107" s="1">
        <v>1.4</v>
      </c>
    </row>
    <row r="108" spans="4:15" x14ac:dyDescent="0.3">
      <c r="D108" s="1">
        <v>22272</v>
      </c>
      <c r="E108" s="2">
        <v>43591</v>
      </c>
      <c r="F108" s="1" t="s">
        <v>9</v>
      </c>
      <c r="G108" s="1">
        <v>37</v>
      </c>
      <c r="H108" t="str">
        <f t="shared" si="9"/>
        <v>Extra Large</v>
      </c>
      <c r="I108" t="str">
        <f t="shared" si="5"/>
        <v>Extra Large</v>
      </c>
      <c r="J108" s="1">
        <v>5759</v>
      </c>
      <c r="K108">
        <f t="shared" si="6"/>
        <v>0.01</v>
      </c>
      <c r="L108">
        <f t="shared" si="7"/>
        <v>5701.41</v>
      </c>
      <c r="M108" s="1">
        <f t="shared" si="8"/>
        <v>5754.7</v>
      </c>
      <c r="N108" s="1" t="s">
        <v>10</v>
      </c>
      <c r="O108" s="1">
        <v>4.3</v>
      </c>
    </row>
    <row r="109" spans="4:15" x14ac:dyDescent="0.3">
      <c r="D109" s="1">
        <v>27300</v>
      </c>
      <c r="E109" s="2">
        <v>43738</v>
      </c>
      <c r="F109" s="1" t="s">
        <v>11</v>
      </c>
      <c r="G109" s="1">
        <v>27</v>
      </c>
      <c r="H109" t="str">
        <f t="shared" si="9"/>
        <v>Medium-Large</v>
      </c>
      <c r="I109" t="str">
        <f t="shared" si="5"/>
        <v>Medium-Large</v>
      </c>
      <c r="J109" s="1">
        <v>59.58</v>
      </c>
      <c r="K109">
        <f t="shared" si="6"/>
        <v>0</v>
      </c>
      <c r="L109">
        <f t="shared" si="7"/>
        <v>59.58</v>
      </c>
      <c r="M109" s="1">
        <f t="shared" si="8"/>
        <v>59.58</v>
      </c>
      <c r="N109" s="1" t="s">
        <v>10</v>
      </c>
      <c r="O109" s="1">
        <v>0.7</v>
      </c>
    </row>
    <row r="110" spans="4:15" x14ac:dyDescent="0.3">
      <c r="D110" s="1">
        <v>46787</v>
      </c>
      <c r="E110" s="2">
        <v>43553</v>
      </c>
      <c r="F110" s="1" t="s">
        <v>14</v>
      </c>
      <c r="G110" s="1">
        <v>28</v>
      </c>
      <c r="H110" t="str">
        <f t="shared" si="9"/>
        <v>Medium-Large</v>
      </c>
      <c r="I110" t="str">
        <f t="shared" si="5"/>
        <v>Medium-Large</v>
      </c>
      <c r="J110" s="1">
        <v>186.29</v>
      </c>
      <c r="K110">
        <f t="shared" si="6"/>
        <v>0</v>
      </c>
      <c r="L110">
        <f t="shared" si="7"/>
        <v>186.29</v>
      </c>
      <c r="M110" s="1">
        <f t="shared" si="8"/>
        <v>186.29</v>
      </c>
      <c r="N110" s="1" t="s">
        <v>10</v>
      </c>
      <c r="O110" s="1">
        <v>9.8000000000000007</v>
      </c>
    </row>
    <row r="111" spans="4:15" x14ac:dyDescent="0.3">
      <c r="D111" s="1">
        <v>26912</v>
      </c>
      <c r="E111" s="2">
        <v>43582</v>
      </c>
      <c r="F111" s="1" t="s">
        <v>7</v>
      </c>
      <c r="G111" s="1">
        <v>21</v>
      </c>
      <c r="H111" t="str">
        <f t="shared" si="9"/>
        <v>Medium</v>
      </c>
      <c r="I111" t="str">
        <f t="shared" si="5"/>
        <v>Medium</v>
      </c>
      <c r="J111" s="1">
        <v>1166.42</v>
      </c>
      <c r="K111">
        <f t="shared" si="6"/>
        <v>0</v>
      </c>
      <c r="L111">
        <f t="shared" si="7"/>
        <v>1166.42</v>
      </c>
      <c r="M111" s="1">
        <f t="shared" si="8"/>
        <v>1166.42</v>
      </c>
      <c r="N111" s="1" t="s">
        <v>10</v>
      </c>
      <c r="O111" s="1">
        <v>5.9</v>
      </c>
    </row>
    <row r="112" spans="4:15" x14ac:dyDescent="0.3">
      <c r="D112" s="1">
        <v>50055</v>
      </c>
      <c r="E112" s="2">
        <v>43756</v>
      </c>
      <c r="F112" s="1" t="s">
        <v>14</v>
      </c>
      <c r="G112" s="1">
        <v>1</v>
      </c>
      <c r="H112" t="str">
        <f t="shared" si="9"/>
        <v>Mini</v>
      </c>
      <c r="I112" t="str">
        <f t="shared" si="5"/>
        <v>Mini</v>
      </c>
      <c r="J112" s="1">
        <v>14.39</v>
      </c>
      <c r="K112">
        <f t="shared" si="6"/>
        <v>0</v>
      </c>
      <c r="L112">
        <f t="shared" si="7"/>
        <v>14.39</v>
      </c>
      <c r="M112" s="1">
        <f t="shared" si="8"/>
        <v>14.39</v>
      </c>
      <c r="N112" s="1" t="s">
        <v>10</v>
      </c>
      <c r="O112" s="1">
        <v>8.3000000000000007</v>
      </c>
    </row>
    <row r="113" spans="4:15" x14ac:dyDescent="0.3">
      <c r="D113" s="1">
        <v>59329</v>
      </c>
      <c r="E113" s="2">
        <v>43803</v>
      </c>
      <c r="F113" s="1" t="s">
        <v>12</v>
      </c>
      <c r="G113" s="1">
        <v>25</v>
      </c>
      <c r="H113" t="str">
        <f t="shared" si="9"/>
        <v>Medium</v>
      </c>
      <c r="I113" t="str">
        <f t="shared" si="5"/>
        <v>Medium</v>
      </c>
      <c r="J113" s="1">
        <v>177.21</v>
      </c>
      <c r="K113">
        <f t="shared" si="6"/>
        <v>0</v>
      </c>
      <c r="L113">
        <f t="shared" si="7"/>
        <v>177.21</v>
      </c>
      <c r="M113" s="1">
        <f t="shared" si="8"/>
        <v>177.21</v>
      </c>
      <c r="N113" s="1" t="s">
        <v>10</v>
      </c>
      <c r="O113" s="1">
        <v>5.6</v>
      </c>
    </row>
    <row r="114" spans="4:15" x14ac:dyDescent="0.3">
      <c r="D114" s="1">
        <v>23681</v>
      </c>
      <c r="E114" s="2">
        <v>43604</v>
      </c>
      <c r="F114" s="1" t="s">
        <v>9</v>
      </c>
      <c r="G114" s="1">
        <v>42</v>
      </c>
      <c r="H114" t="str">
        <f t="shared" si="9"/>
        <v>XX Large</v>
      </c>
      <c r="I114" t="str">
        <f t="shared" si="5"/>
        <v>XX Large</v>
      </c>
      <c r="J114" s="1">
        <v>4475.3</v>
      </c>
      <c r="K114">
        <f t="shared" si="6"/>
        <v>0.01</v>
      </c>
      <c r="L114">
        <f t="shared" si="7"/>
        <v>4430.5470000000005</v>
      </c>
      <c r="M114" s="1">
        <f t="shared" si="8"/>
        <v>4437.8</v>
      </c>
      <c r="N114" s="1" t="s">
        <v>8</v>
      </c>
      <c r="O114" s="1">
        <v>37.5</v>
      </c>
    </row>
    <row r="115" spans="4:15" x14ac:dyDescent="0.3">
      <c r="D115" s="1">
        <v>54181</v>
      </c>
      <c r="E115" s="2">
        <v>43603</v>
      </c>
      <c r="F115" s="1" t="s">
        <v>9</v>
      </c>
      <c r="G115" s="1">
        <v>12</v>
      </c>
      <c r="H115" t="str">
        <f t="shared" si="9"/>
        <v>Small</v>
      </c>
      <c r="I115" t="str">
        <f t="shared" si="5"/>
        <v>Small</v>
      </c>
      <c r="J115" s="1">
        <v>2791.41</v>
      </c>
      <c r="K115">
        <f t="shared" si="6"/>
        <v>0</v>
      </c>
      <c r="L115">
        <f t="shared" si="7"/>
        <v>2791.41</v>
      </c>
      <c r="M115" s="1">
        <f t="shared" si="8"/>
        <v>2791.41</v>
      </c>
      <c r="N115" s="1" t="s">
        <v>13</v>
      </c>
      <c r="O115" s="1">
        <v>15.7</v>
      </c>
    </row>
    <row r="116" spans="4:15" x14ac:dyDescent="0.3">
      <c r="D116" s="1">
        <v>13988</v>
      </c>
      <c r="E116" s="2">
        <v>43678</v>
      </c>
      <c r="F116" s="1" t="s">
        <v>11</v>
      </c>
      <c r="G116" s="1">
        <v>34</v>
      </c>
      <c r="H116" t="str">
        <f t="shared" si="9"/>
        <v>Large</v>
      </c>
      <c r="I116" t="str">
        <f t="shared" si="5"/>
        <v>Large</v>
      </c>
      <c r="J116" s="1">
        <v>192.89</v>
      </c>
      <c r="K116">
        <f t="shared" si="6"/>
        <v>0</v>
      </c>
      <c r="L116">
        <f t="shared" si="7"/>
        <v>192.89</v>
      </c>
      <c r="M116" s="1">
        <f t="shared" si="8"/>
        <v>192.89</v>
      </c>
      <c r="N116" s="1" t="s">
        <v>10</v>
      </c>
      <c r="O116" s="1">
        <v>5.7</v>
      </c>
    </row>
    <row r="117" spans="4:15" x14ac:dyDescent="0.3">
      <c r="D117" s="1">
        <v>27265</v>
      </c>
      <c r="E117" s="2">
        <v>43591</v>
      </c>
      <c r="F117" s="1" t="s">
        <v>12</v>
      </c>
      <c r="G117" s="1">
        <v>49</v>
      </c>
      <c r="H117" t="str">
        <f t="shared" si="9"/>
        <v>XXX Large</v>
      </c>
      <c r="I117" t="str">
        <f t="shared" si="5"/>
        <v>XXX Large</v>
      </c>
      <c r="J117" s="1">
        <v>429.49</v>
      </c>
      <c r="K117">
        <f t="shared" si="6"/>
        <v>0.01</v>
      </c>
      <c r="L117">
        <f t="shared" si="7"/>
        <v>425.19510000000002</v>
      </c>
      <c r="M117" s="1">
        <f t="shared" si="8"/>
        <v>428.49</v>
      </c>
      <c r="N117" s="1" t="s">
        <v>8</v>
      </c>
      <c r="O117" s="1">
        <v>1</v>
      </c>
    </row>
    <row r="118" spans="4:15" x14ac:dyDescent="0.3">
      <c r="D118" s="1">
        <v>56672</v>
      </c>
      <c r="E118" s="2">
        <v>43597</v>
      </c>
      <c r="F118" s="1" t="s">
        <v>9</v>
      </c>
      <c r="G118" s="1">
        <v>45</v>
      </c>
      <c r="H118" t="str">
        <f t="shared" si="9"/>
        <v>XX Large</v>
      </c>
      <c r="I118" t="str">
        <f t="shared" si="5"/>
        <v>XX Large</v>
      </c>
      <c r="J118" s="1">
        <v>2609.06</v>
      </c>
      <c r="K118">
        <f t="shared" si="6"/>
        <v>0.01</v>
      </c>
      <c r="L118">
        <f t="shared" si="7"/>
        <v>2582.9694</v>
      </c>
      <c r="M118" s="1">
        <f t="shared" si="8"/>
        <v>2599.46</v>
      </c>
      <c r="N118" s="1" t="s">
        <v>10</v>
      </c>
      <c r="O118" s="1">
        <v>9.6</v>
      </c>
    </row>
    <row r="119" spans="4:15" x14ac:dyDescent="0.3">
      <c r="D119" s="1">
        <v>4896</v>
      </c>
      <c r="E119" s="2">
        <v>43698</v>
      </c>
      <c r="F119" s="1" t="s">
        <v>12</v>
      </c>
      <c r="G119" s="1">
        <v>25</v>
      </c>
      <c r="H119" t="str">
        <f t="shared" si="9"/>
        <v>Medium</v>
      </c>
      <c r="I119" t="str">
        <f t="shared" si="5"/>
        <v>Medium</v>
      </c>
      <c r="J119" s="1">
        <v>889.72640000000001</v>
      </c>
      <c r="K119">
        <f t="shared" si="6"/>
        <v>0</v>
      </c>
      <c r="L119">
        <f t="shared" si="7"/>
        <v>889.72640000000001</v>
      </c>
      <c r="M119" s="1">
        <f t="shared" si="8"/>
        <v>889.72640000000001</v>
      </c>
      <c r="N119" s="1" t="s">
        <v>10</v>
      </c>
      <c r="O119" s="1">
        <v>2.1</v>
      </c>
    </row>
    <row r="120" spans="4:15" x14ac:dyDescent="0.3">
      <c r="D120" s="1">
        <v>21763</v>
      </c>
      <c r="E120" s="2">
        <v>43613</v>
      </c>
      <c r="F120" s="1" t="s">
        <v>7</v>
      </c>
      <c r="G120" s="1">
        <v>22</v>
      </c>
      <c r="H120" t="str">
        <f t="shared" si="9"/>
        <v>Medium</v>
      </c>
      <c r="I120" t="str">
        <f t="shared" si="5"/>
        <v>Medium</v>
      </c>
      <c r="J120" s="1">
        <v>1326.21</v>
      </c>
      <c r="K120">
        <f t="shared" si="6"/>
        <v>0</v>
      </c>
      <c r="L120">
        <f t="shared" si="7"/>
        <v>1326.21</v>
      </c>
      <c r="M120" s="1">
        <f t="shared" si="8"/>
        <v>1326.21</v>
      </c>
      <c r="N120" s="1" t="s">
        <v>10</v>
      </c>
      <c r="O120" s="1">
        <v>4.3</v>
      </c>
    </row>
    <row r="121" spans="4:15" x14ac:dyDescent="0.3">
      <c r="D121" s="1">
        <v>32102</v>
      </c>
      <c r="E121" s="2">
        <v>43813</v>
      </c>
      <c r="F121" s="1" t="s">
        <v>14</v>
      </c>
      <c r="G121" s="1">
        <v>2</v>
      </c>
      <c r="H121" t="str">
        <f t="shared" si="9"/>
        <v>Mini</v>
      </c>
      <c r="I121" t="str">
        <f t="shared" si="5"/>
        <v>Mini</v>
      </c>
      <c r="J121" s="1">
        <v>21.2</v>
      </c>
      <c r="K121">
        <f t="shared" si="6"/>
        <v>0</v>
      </c>
      <c r="L121">
        <f t="shared" si="7"/>
        <v>21.2</v>
      </c>
      <c r="M121" s="1">
        <f t="shared" si="8"/>
        <v>21.2</v>
      </c>
      <c r="N121" s="1" t="s">
        <v>10</v>
      </c>
      <c r="O121" s="1">
        <v>6.7</v>
      </c>
    </row>
    <row r="122" spans="4:15" x14ac:dyDescent="0.3">
      <c r="D122" s="1">
        <v>15937</v>
      </c>
      <c r="E122" s="2">
        <v>43775</v>
      </c>
      <c r="F122" s="1" t="s">
        <v>7</v>
      </c>
      <c r="G122" s="1">
        <v>17</v>
      </c>
      <c r="H122" t="str">
        <f t="shared" si="9"/>
        <v>Small-Medium</v>
      </c>
      <c r="I122" t="str">
        <f t="shared" si="5"/>
        <v>Small-Medium</v>
      </c>
      <c r="J122" s="1">
        <v>230.75</v>
      </c>
      <c r="K122">
        <f t="shared" si="6"/>
        <v>0</v>
      </c>
      <c r="L122">
        <f t="shared" si="7"/>
        <v>230.75</v>
      </c>
      <c r="M122" s="1">
        <f t="shared" si="8"/>
        <v>230.75</v>
      </c>
      <c r="N122" s="1" t="s">
        <v>8</v>
      </c>
      <c r="O122" s="1">
        <v>3</v>
      </c>
    </row>
    <row r="123" spans="4:15" x14ac:dyDescent="0.3">
      <c r="D123" s="1">
        <v>32000</v>
      </c>
      <c r="E123" s="2">
        <v>43721</v>
      </c>
      <c r="F123" s="1" t="s">
        <v>7</v>
      </c>
      <c r="G123" s="1">
        <v>49</v>
      </c>
      <c r="H123" t="str">
        <f t="shared" si="9"/>
        <v>XXX Large</v>
      </c>
      <c r="I123" t="str">
        <f t="shared" si="5"/>
        <v>XXX Large</v>
      </c>
      <c r="J123" s="1">
        <v>173.51</v>
      </c>
      <c r="K123">
        <f t="shared" si="6"/>
        <v>0.01</v>
      </c>
      <c r="L123">
        <f t="shared" si="7"/>
        <v>171.7749</v>
      </c>
      <c r="M123" s="1">
        <f t="shared" si="8"/>
        <v>172.10999999999999</v>
      </c>
      <c r="N123" s="1" t="s">
        <v>10</v>
      </c>
      <c r="O123" s="1">
        <v>1.4</v>
      </c>
    </row>
    <row r="124" spans="4:15" x14ac:dyDescent="0.3">
      <c r="D124" s="1">
        <v>43296</v>
      </c>
      <c r="E124" s="2">
        <v>43527</v>
      </c>
      <c r="F124" s="1" t="s">
        <v>14</v>
      </c>
      <c r="G124" s="1">
        <v>41</v>
      </c>
      <c r="H124" t="str">
        <f t="shared" si="9"/>
        <v>XX Large</v>
      </c>
      <c r="I124" t="str">
        <f t="shared" si="5"/>
        <v>XX Large</v>
      </c>
      <c r="J124" s="1">
        <v>1782.4167</v>
      </c>
      <c r="K124">
        <f t="shared" si="6"/>
        <v>0.01</v>
      </c>
      <c r="L124">
        <f t="shared" si="7"/>
        <v>1764.592533</v>
      </c>
      <c r="M124" s="1">
        <f t="shared" si="8"/>
        <v>1774.4167</v>
      </c>
      <c r="N124" s="1" t="s">
        <v>10</v>
      </c>
      <c r="O124" s="1">
        <v>8</v>
      </c>
    </row>
    <row r="125" spans="4:15" x14ac:dyDescent="0.3">
      <c r="D125" s="1">
        <v>27750</v>
      </c>
      <c r="E125" s="2">
        <v>43757</v>
      </c>
      <c r="F125" s="1" t="s">
        <v>7</v>
      </c>
      <c r="G125" s="1">
        <v>12</v>
      </c>
      <c r="H125" t="str">
        <f t="shared" si="9"/>
        <v>Small</v>
      </c>
      <c r="I125" t="str">
        <f t="shared" si="5"/>
        <v>Small</v>
      </c>
      <c r="J125" s="1">
        <v>823.01</v>
      </c>
      <c r="K125">
        <f t="shared" si="6"/>
        <v>0</v>
      </c>
      <c r="L125">
        <f t="shared" si="7"/>
        <v>823.01</v>
      </c>
      <c r="M125" s="1">
        <f t="shared" si="8"/>
        <v>823.01</v>
      </c>
      <c r="N125" s="1" t="s">
        <v>13</v>
      </c>
      <c r="O125" s="1">
        <v>39.200000000000003</v>
      </c>
    </row>
    <row r="126" spans="4:15" x14ac:dyDescent="0.3">
      <c r="D126" s="1">
        <v>51333</v>
      </c>
      <c r="E126" s="2">
        <v>43742</v>
      </c>
      <c r="F126" s="1" t="s">
        <v>11</v>
      </c>
      <c r="G126" s="1">
        <v>30</v>
      </c>
      <c r="H126" t="str">
        <f t="shared" si="9"/>
        <v>Medium-Large</v>
      </c>
      <c r="I126" t="str">
        <f t="shared" si="5"/>
        <v>Medium-Large</v>
      </c>
      <c r="J126" s="1">
        <v>2375.1799999999998</v>
      </c>
      <c r="K126">
        <f t="shared" si="6"/>
        <v>0</v>
      </c>
      <c r="L126">
        <f t="shared" si="7"/>
        <v>2375.1799999999998</v>
      </c>
      <c r="M126" s="1">
        <f t="shared" si="8"/>
        <v>2375.1799999999998</v>
      </c>
      <c r="N126" s="1" t="s">
        <v>13</v>
      </c>
      <c r="O126" s="1">
        <v>36</v>
      </c>
    </row>
    <row r="127" spans="4:15" x14ac:dyDescent="0.3">
      <c r="D127" s="1">
        <v>16193</v>
      </c>
      <c r="E127" s="2">
        <v>43564</v>
      </c>
      <c r="F127" s="1" t="s">
        <v>11</v>
      </c>
      <c r="G127" s="1">
        <v>8</v>
      </c>
      <c r="H127" t="str">
        <f t="shared" si="9"/>
        <v>Extra Small</v>
      </c>
      <c r="I127" t="str">
        <f t="shared" si="5"/>
        <v>Extra Small</v>
      </c>
      <c r="J127" s="1">
        <v>321.20999999999998</v>
      </c>
      <c r="K127">
        <f t="shared" si="6"/>
        <v>0</v>
      </c>
      <c r="L127">
        <f t="shared" si="7"/>
        <v>321.20999999999998</v>
      </c>
      <c r="M127" s="1">
        <f t="shared" si="8"/>
        <v>321.20999999999998</v>
      </c>
      <c r="N127" s="1" t="s">
        <v>10</v>
      </c>
      <c r="O127" s="1">
        <v>8.8000000000000007</v>
      </c>
    </row>
    <row r="128" spans="4:15" x14ac:dyDescent="0.3">
      <c r="D128" s="1">
        <v>46977</v>
      </c>
      <c r="E128" s="2">
        <v>43592</v>
      </c>
      <c r="F128" s="1" t="s">
        <v>14</v>
      </c>
      <c r="G128" s="1">
        <v>10</v>
      </c>
      <c r="H128" t="str">
        <f t="shared" si="9"/>
        <v>Extra Small</v>
      </c>
      <c r="I128" t="str">
        <f t="shared" si="5"/>
        <v>Extra Small</v>
      </c>
      <c r="J128" s="1">
        <v>53.95</v>
      </c>
      <c r="K128">
        <f t="shared" si="6"/>
        <v>0</v>
      </c>
      <c r="L128">
        <f t="shared" si="7"/>
        <v>53.95</v>
      </c>
      <c r="M128" s="1">
        <f t="shared" si="8"/>
        <v>53.95</v>
      </c>
      <c r="N128" s="1" t="s">
        <v>10</v>
      </c>
      <c r="O128" s="1">
        <v>1.6</v>
      </c>
    </row>
    <row r="129" spans="4:15" x14ac:dyDescent="0.3">
      <c r="D129" s="1">
        <v>57861</v>
      </c>
      <c r="E129" s="2">
        <v>43763</v>
      </c>
      <c r="F129" s="1" t="s">
        <v>14</v>
      </c>
      <c r="G129" s="1">
        <v>40</v>
      </c>
      <c r="H129" t="str">
        <f t="shared" si="9"/>
        <v>Extra Large</v>
      </c>
      <c r="I129" t="str">
        <f t="shared" si="5"/>
        <v>Extra Large</v>
      </c>
      <c r="J129" s="1">
        <v>128.56</v>
      </c>
      <c r="K129">
        <f t="shared" si="6"/>
        <v>0.01</v>
      </c>
      <c r="L129">
        <f t="shared" si="7"/>
        <v>127.2744</v>
      </c>
      <c r="M129" s="1">
        <f t="shared" si="8"/>
        <v>126.96000000000001</v>
      </c>
      <c r="N129" s="1" t="s">
        <v>10</v>
      </c>
      <c r="O129" s="1">
        <v>1.6</v>
      </c>
    </row>
    <row r="130" spans="4:15" x14ac:dyDescent="0.3">
      <c r="D130" s="1">
        <v>11202</v>
      </c>
      <c r="E130" s="2">
        <v>43541</v>
      </c>
      <c r="F130" s="1" t="s">
        <v>14</v>
      </c>
      <c r="G130" s="1">
        <v>8</v>
      </c>
      <c r="H130" t="str">
        <f t="shared" si="9"/>
        <v>Extra Small</v>
      </c>
      <c r="I130" t="str">
        <f t="shared" si="5"/>
        <v>Extra Small</v>
      </c>
      <c r="J130" s="1">
        <v>363.6</v>
      </c>
      <c r="K130">
        <f t="shared" si="6"/>
        <v>0</v>
      </c>
      <c r="L130">
        <f t="shared" si="7"/>
        <v>363.6</v>
      </c>
      <c r="M130" s="1">
        <f t="shared" si="8"/>
        <v>363.6</v>
      </c>
      <c r="N130" s="1" t="s">
        <v>10</v>
      </c>
      <c r="O130" s="1">
        <v>3.2</v>
      </c>
    </row>
    <row r="131" spans="4:15" x14ac:dyDescent="0.3">
      <c r="D131" s="1">
        <v>34279</v>
      </c>
      <c r="E131" s="2">
        <v>43552</v>
      </c>
      <c r="F131" s="1" t="s">
        <v>11</v>
      </c>
      <c r="G131" s="1">
        <v>3</v>
      </c>
      <c r="H131" t="str">
        <f t="shared" si="9"/>
        <v>Mini</v>
      </c>
      <c r="I131" t="str">
        <f t="shared" ref="I131:I194" si="10">VLOOKUP(G131, $A$3:$B$12, 2, TRUE)</f>
        <v>Mini</v>
      </c>
      <c r="J131" s="1">
        <v>899.39</v>
      </c>
      <c r="K131">
        <f t="shared" ref="K131:K194" si="11">IF(OR(I131="Extra Large", I131="XX Large", I131="XXX Large"), 0.01, 0)</f>
        <v>0</v>
      </c>
      <c r="L131">
        <f t="shared" ref="L131:L194" si="12">J131 * (1 - K131)</f>
        <v>899.39</v>
      </c>
      <c r="M131" s="1">
        <f t="shared" ref="M131:M194" si="13">IF(OR(I131="Extra Large",I131="XX Large",I131="XXX Large"),J131-O131,J131)</f>
        <v>899.39</v>
      </c>
      <c r="N131" s="1" t="s">
        <v>13</v>
      </c>
      <c r="O131" s="1">
        <v>64.2</v>
      </c>
    </row>
    <row r="132" spans="4:15" x14ac:dyDescent="0.3">
      <c r="D132" s="1">
        <v>19207</v>
      </c>
      <c r="E132" s="2">
        <v>43539</v>
      </c>
      <c r="F132" s="1" t="s">
        <v>11</v>
      </c>
      <c r="G132" s="1">
        <v>11</v>
      </c>
      <c r="H132" t="str">
        <f t="shared" si="9"/>
        <v>Small</v>
      </c>
      <c r="I132" t="str">
        <f t="shared" si="10"/>
        <v>Small</v>
      </c>
      <c r="J132" s="1">
        <v>16.62</v>
      </c>
      <c r="K132">
        <f t="shared" si="11"/>
        <v>0</v>
      </c>
      <c r="L132">
        <f t="shared" si="12"/>
        <v>16.62</v>
      </c>
      <c r="M132" s="1">
        <f t="shared" si="13"/>
        <v>16.62</v>
      </c>
      <c r="N132" s="1" t="s">
        <v>10</v>
      </c>
      <c r="O132" s="1">
        <v>0.7</v>
      </c>
    </row>
    <row r="133" spans="4:15" x14ac:dyDescent="0.3">
      <c r="D133" s="1">
        <v>52419</v>
      </c>
      <c r="E133" s="2">
        <v>43726</v>
      </c>
      <c r="F133" s="1" t="s">
        <v>9</v>
      </c>
      <c r="G133" s="1">
        <v>32</v>
      </c>
      <c r="H133" t="str">
        <f t="shared" ref="H133:H196" si="14">VLOOKUP(G133, $A$3:$B$12, 2, TRUE)</f>
        <v>Large</v>
      </c>
      <c r="I133" t="str">
        <f t="shared" si="10"/>
        <v>Large</v>
      </c>
      <c r="J133" s="1">
        <v>3745.5243</v>
      </c>
      <c r="K133">
        <f t="shared" si="11"/>
        <v>0</v>
      </c>
      <c r="L133">
        <f t="shared" si="12"/>
        <v>3745.5243</v>
      </c>
      <c r="M133" s="1">
        <f t="shared" si="13"/>
        <v>3745.5243</v>
      </c>
      <c r="N133" s="1" t="s">
        <v>10</v>
      </c>
      <c r="O133" s="1">
        <v>9.1999999999999993</v>
      </c>
    </row>
    <row r="134" spans="4:15" x14ac:dyDescent="0.3">
      <c r="D134" s="1">
        <v>31684</v>
      </c>
      <c r="E134" s="2">
        <v>43724</v>
      </c>
      <c r="F134" s="1" t="s">
        <v>12</v>
      </c>
      <c r="G134" s="1">
        <v>15</v>
      </c>
      <c r="H134" t="str">
        <f t="shared" si="14"/>
        <v>Small</v>
      </c>
      <c r="I134" t="str">
        <f t="shared" si="10"/>
        <v>Small</v>
      </c>
      <c r="J134" s="1">
        <v>96.27</v>
      </c>
      <c r="K134">
        <f t="shared" si="11"/>
        <v>0</v>
      </c>
      <c r="L134">
        <f t="shared" si="12"/>
        <v>96.27</v>
      </c>
      <c r="M134" s="1">
        <f t="shared" si="13"/>
        <v>96.27</v>
      </c>
      <c r="N134" s="1" t="s">
        <v>10</v>
      </c>
      <c r="O134" s="1">
        <v>1.6</v>
      </c>
    </row>
    <row r="135" spans="4:15" x14ac:dyDescent="0.3">
      <c r="D135" s="1">
        <v>35299</v>
      </c>
      <c r="E135" s="2">
        <v>43687</v>
      </c>
      <c r="F135" s="1" t="s">
        <v>11</v>
      </c>
      <c r="G135" s="1">
        <v>41</v>
      </c>
      <c r="H135" t="str">
        <f t="shared" si="14"/>
        <v>XX Large</v>
      </c>
      <c r="I135" t="str">
        <f t="shared" si="10"/>
        <v>XX Large</v>
      </c>
      <c r="J135" s="1">
        <v>4664.13</v>
      </c>
      <c r="K135">
        <f t="shared" si="11"/>
        <v>0.01</v>
      </c>
      <c r="L135">
        <f t="shared" si="12"/>
        <v>4617.4886999999999</v>
      </c>
      <c r="M135" s="1">
        <f t="shared" si="13"/>
        <v>4642.7300000000005</v>
      </c>
      <c r="N135" s="1" t="s">
        <v>10</v>
      </c>
      <c r="O135" s="1">
        <v>21.4</v>
      </c>
    </row>
    <row r="136" spans="4:15" x14ac:dyDescent="0.3">
      <c r="D136" s="1">
        <v>9761</v>
      </c>
      <c r="E136" s="2">
        <v>43486</v>
      </c>
      <c r="F136" s="1" t="s">
        <v>11</v>
      </c>
      <c r="G136" s="1">
        <v>23</v>
      </c>
      <c r="H136" t="str">
        <f t="shared" si="14"/>
        <v>Medium</v>
      </c>
      <c r="I136" t="str">
        <f t="shared" si="10"/>
        <v>Medium</v>
      </c>
      <c r="J136" s="1">
        <v>143.05000000000001</v>
      </c>
      <c r="K136">
        <f t="shared" si="11"/>
        <v>0</v>
      </c>
      <c r="L136">
        <f t="shared" si="12"/>
        <v>143.05000000000001</v>
      </c>
      <c r="M136" s="1">
        <f t="shared" si="13"/>
        <v>143.05000000000001</v>
      </c>
      <c r="N136" s="1" t="s">
        <v>10</v>
      </c>
      <c r="O136" s="1">
        <v>7.7</v>
      </c>
    </row>
    <row r="137" spans="4:15" x14ac:dyDescent="0.3">
      <c r="D137" s="1">
        <v>9509</v>
      </c>
      <c r="E137" s="2">
        <v>43745</v>
      </c>
      <c r="F137" s="1" t="s">
        <v>11</v>
      </c>
      <c r="G137" s="1">
        <v>32</v>
      </c>
      <c r="H137" t="str">
        <f t="shared" si="14"/>
        <v>Large</v>
      </c>
      <c r="I137" t="str">
        <f t="shared" si="10"/>
        <v>Large</v>
      </c>
      <c r="J137" s="1">
        <v>1696.63</v>
      </c>
      <c r="K137">
        <f t="shared" si="11"/>
        <v>0</v>
      </c>
      <c r="L137">
        <f t="shared" si="12"/>
        <v>1696.63</v>
      </c>
      <c r="M137" s="1">
        <f t="shared" si="13"/>
        <v>1696.63</v>
      </c>
      <c r="N137" s="1" t="s">
        <v>10</v>
      </c>
      <c r="O137" s="1">
        <v>6.2</v>
      </c>
    </row>
    <row r="138" spans="4:15" x14ac:dyDescent="0.3">
      <c r="D138" s="1">
        <v>1540</v>
      </c>
      <c r="E138" s="2">
        <v>43681</v>
      </c>
      <c r="F138" s="1" t="s">
        <v>9</v>
      </c>
      <c r="G138" s="1">
        <v>30</v>
      </c>
      <c r="H138" t="str">
        <f t="shared" si="14"/>
        <v>Medium-Large</v>
      </c>
      <c r="I138" t="str">
        <f t="shared" si="10"/>
        <v>Medium-Large</v>
      </c>
      <c r="J138" s="1">
        <v>86.563000000000002</v>
      </c>
      <c r="K138">
        <f t="shared" si="11"/>
        <v>0</v>
      </c>
      <c r="L138">
        <f t="shared" si="12"/>
        <v>86.563000000000002</v>
      </c>
      <c r="M138" s="1">
        <f t="shared" si="13"/>
        <v>86.563000000000002</v>
      </c>
      <c r="N138" s="1" t="s">
        <v>10</v>
      </c>
      <c r="O138" s="1">
        <v>0.7</v>
      </c>
    </row>
    <row r="139" spans="4:15" x14ac:dyDescent="0.3">
      <c r="D139" s="1">
        <v>14980</v>
      </c>
      <c r="E139" s="2">
        <v>43660</v>
      </c>
      <c r="F139" s="1" t="s">
        <v>12</v>
      </c>
      <c r="G139" s="1">
        <v>27</v>
      </c>
      <c r="H139" t="str">
        <f t="shared" si="14"/>
        <v>Medium-Large</v>
      </c>
      <c r="I139" t="str">
        <f t="shared" si="10"/>
        <v>Medium-Large</v>
      </c>
      <c r="J139" s="1">
        <v>961.82</v>
      </c>
      <c r="K139">
        <f t="shared" si="11"/>
        <v>0</v>
      </c>
      <c r="L139">
        <f t="shared" si="12"/>
        <v>961.82</v>
      </c>
      <c r="M139" s="1">
        <f t="shared" si="13"/>
        <v>961.82</v>
      </c>
      <c r="N139" s="1" t="s">
        <v>10</v>
      </c>
      <c r="O139" s="1">
        <v>2.1</v>
      </c>
    </row>
    <row r="140" spans="4:15" x14ac:dyDescent="0.3">
      <c r="D140" s="1">
        <v>18531</v>
      </c>
      <c r="E140" s="2">
        <v>43767</v>
      </c>
      <c r="F140" s="1" t="s">
        <v>12</v>
      </c>
      <c r="G140" s="1">
        <v>50</v>
      </c>
      <c r="H140" t="str">
        <f t="shared" si="14"/>
        <v>XXX Large</v>
      </c>
      <c r="I140" t="str">
        <f t="shared" si="10"/>
        <v>XXX Large</v>
      </c>
      <c r="J140" s="1">
        <v>1389.73</v>
      </c>
      <c r="K140">
        <f t="shared" si="11"/>
        <v>0.01</v>
      </c>
      <c r="L140">
        <f t="shared" si="12"/>
        <v>1375.8326999999999</v>
      </c>
      <c r="M140" s="1">
        <f t="shared" si="13"/>
        <v>1374.33</v>
      </c>
      <c r="N140" s="1" t="s">
        <v>13</v>
      </c>
      <c r="O140" s="1">
        <v>15.4</v>
      </c>
    </row>
    <row r="141" spans="4:15" x14ac:dyDescent="0.3">
      <c r="D141" s="1">
        <v>13570</v>
      </c>
      <c r="E141" s="2">
        <v>43801</v>
      </c>
      <c r="F141" s="1" t="s">
        <v>11</v>
      </c>
      <c r="G141" s="1">
        <v>2</v>
      </c>
      <c r="H141" t="str">
        <f t="shared" si="14"/>
        <v>Mini</v>
      </c>
      <c r="I141" t="str">
        <f t="shared" si="10"/>
        <v>Mini</v>
      </c>
      <c r="J141" s="1">
        <v>18.16</v>
      </c>
      <c r="K141">
        <f t="shared" si="11"/>
        <v>0</v>
      </c>
      <c r="L141">
        <f t="shared" si="12"/>
        <v>18.16</v>
      </c>
      <c r="M141" s="1">
        <f t="shared" si="13"/>
        <v>18.16</v>
      </c>
      <c r="N141" s="1" t="s">
        <v>10</v>
      </c>
      <c r="O141" s="1">
        <v>1</v>
      </c>
    </row>
    <row r="142" spans="4:15" x14ac:dyDescent="0.3">
      <c r="D142" s="1">
        <v>51365</v>
      </c>
      <c r="E142" s="2">
        <v>43684</v>
      </c>
      <c r="F142" s="1" t="s">
        <v>9</v>
      </c>
      <c r="G142" s="1">
        <v>35</v>
      </c>
      <c r="H142" t="str">
        <f t="shared" si="14"/>
        <v>Large</v>
      </c>
      <c r="I142" t="str">
        <f t="shared" si="10"/>
        <v>Large</v>
      </c>
      <c r="J142" s="1">
        <v>4335.43</v>
      </c>
      <c r="K142">
        <f t="shared" si="11"/>
        <v>0</v>
      </c>
      <c r="L142">
        <f t="shared" si="12"/>
        <v>4335.43</v>
      </c>
      <c r="M142" s="1">
        <f t="shared" si="13"/>
        <v>4335.43</v>
      </c>
      <c r="N142" s="1" t="s">
        <v>13</v>
      </c>
      <c r="O142" s="1">
        <v>55.6</v>
      </c>
    </row>
    <row r="143" spans="4:15" x14ac:dyDescent="0.3">
      <c r="D143" s="1">
        <v>32640</v>
      </c>
      <c r="E143" s="2">
        <v>43723</v>
      </c>
      <c r="F143" s="1" t="s">
        <v>9</v>
      </c>
      <c r="G143" s="1">
        <v>18</v>
      </c>
      <c r="H143" t="str">
        <f t="shared" si="14"/>
        <v>Small-Medium</v>
      </c>
      <c r="I143" t="str">
        <f t="shared" si="10"/>
        <v>Small-Medium</v>
      </c>
      <c r="J143" s="1">
        <v>135.56</v>
      </c>
      <c r="K143">
        <f t="shared" si="11"/>
        <v>0</v>
      </c>
      <c r="L143">
        <f t="shared" si="12"/>
        <v>135.56</v>
      </c>
      <c r="M143" s="1">
        <f t="shared" si="13"/>
        <v>135.56</v>
      </c>
      <c r="N143" s="1" t="s">
        <v>10</v>
      </c>
      <c r="O143" s="1">
        <v>5.9</v>
      </c>
    </row>
    <row r="144" spans="4:15" x14ac:dyDescent="0.3">
      <c r="D144" s="1">
        <v>29191</v>
      </c>
      <c r="E144" s="2">
        <v>43644</v>
      </c>
      <c r="F144" s="1" t="s">
        <v>14</v>
      </c>
      <c r="G144" s="1">
        <v>26</v>
      </c>
      <c r="H144" t="str">
        <f t="shared" si="14"/>
        <v>Medium-Large</v>
      </c>
      <c r="I144" t="str">
        <f t="shared" si="10"/>
        <v>Medium-Large</v>
      </c>
      <c r="J144" s="1">
        <v>7706.02</v>
      </c>
      <c r="K144">
        <f t="shared" si="11"/>
        <v>0</v>
      </c>
      <c r="L144">
        <f t="shared" si="12"/>
        <v>7706.02</v>
      </c>
      <c r="M144" s="1">
        <f t="shared" si="13"/>
        <v>7706.02</v>
      </c>
      <c r="N144" s="1" t="s">
        <v>13</v>
      </c>
      <c r="O144" s="1">
        <v>57.9</v>
      </c>
    </row>
    <row r="145" spans="4:15" x14ac:dyDescent="0.3">
      <c r="D145" s="1">
        <v>29220</v>
      </c>
      <c r="E145" s="2">
        <v>43828</v>
      </c>
      <c r="F145" s="1" t="s">
        <v>14</v>
      </c>
      <c r="G145" s="1">
        <v>36</v>
      </c>
      <c r="H145" t="str">
        <f t="shared" si="14"/>
        <v>Extra Large</v>
      </c>
      <c r="I145" t="str">
        <f t="shared" si="10"/>
        <v>Extra Large</v>
      </c>
      <c r="J145" s="1">
        <v>13578.65</v>
      </c>
      <c r="K145">
        <f t="shared" si="11"/>
        <v>0.01</v>
      </c>
      <c r="L145">
        <f t="shared" si="12"/>
        <v>13442.863499999999</v>
      </c>
      <c r="M145" s="1">
        <f t="shared" si="13"/>
        <v>13557.25</v>
      </c>
      <c r="N145" s="1" t="s">
        <v>8</v>
      </c>
      <c r="O145" s="1">
        <v>21.4</v>
      </c>
    </row>
    <row r="146" spans="4:15" x14ac:dyDescent="0.3">
      <c r="D146" s="1">
        <v>57056</v>
      </c>
      <c r="E146" s="2">
        <v>43777</v>
      </c>
      <c r="F146" s="1" t="s">
        <v>7</v>
      </c>
      <c r="G146" s="1">
        <v>29</v>
      </c>
      <c r="H146" t="str">
        <f t="shared" si="14"/>
        <v>Medium-Large</v>
      </c>
      <c r="I146" t="str">
        <f t="shared" si="10"/>
        <v>Medium-Large</v>
      </c>
      <c r="J146" s="1">
        <v>2338.6</v>
      </c>
      <c r="K146">
        <f t="shared" si="11"/>
        <v>0</v>
      </c>
      <c r="L146">
        <f t="shared" si="12"/>
        <v>2338.6</v>
      </c>
      <c r="M146" s="1">
        <f t="shared" si="13"/>
        <v>2338.6</v>
      </c>
      <c r="N146" s="1" t="s">
        <v>13</v>
      </c>
      <c r="O146" s="1">
        <v>95.6</v>
      </c>
    </row>
    <row r="147" spans="4:15" x14ac:dyDescent="0.3">
      <c r="D147" s="1">
        <v>37124</v>
      </c>
      <c r="E147" s="2">
        <v>43554</v>
      </c>
      <c r="F147" s="1" t="s">
        <v>7</v>
      </c>
      <c r="G147" s="1">
        <v>33</v>
      </c>
      <c r="H147" t="str">
        <f t="shared" si="14"/>
        <v>Large</v>
      </c>
      <c r="I147" t="str">
        <f t="shared" si="10"/>
        <v>Large</v>
      </c>
      <c r="J147" s="1">
        <v>22689.884999999998</v>
      </c>
      <c r="K147">
        <f t="shared" si="11"/>
        <v>0</v>
      </c>
      <c r="L147">
        <f t="shared" si="12"/>
        <v>22689.884999999998</v>
      </c>
      <c r="M147" s="1">
        <f t="shared" si="13"/>
        <v>22689.884999999998</v>
      </c>
      <c r="N147" s="1" t="s">
        <v>10</v>
      </c>
      <c r="O147" s="1">
        <v>26.2</v>
      </c>
    </row>
    <row r="148" spans="4:15" x14ac:dyDescent="0.3">
      <c r="D148" s="1">
        <v>40608</v>
      </c>
      <c r="E148" s="2">
        <v>43696</v>
      </c>
      <c r="F148" s="1" t="s">
        <v>11</v>
      </c>
      <c r="G148" s="1">
        <v>29</v>
      </c>
      <c r="H148" t="str">
        <f t="shared" si="14"/>
        <v>Medium-Large</v>
      </c>
      <c r="I148" t="str">
        <f t="shared" si="10"/>
        <v>Medium-Large</v>
      </c>
      <c r="J148" s="1">
        <v>614.15</v>
      </c>
      <c r="K148">
        <f t="shared" si="11"/>
        <v>0</v>
      </c>
      <c r="L148">
        <f t="shared" si="12"/>
        <v>614.15</v>
      </c>
      <c r="M148" s="1">
        <f t="shared" si="13"/>
        <v>614.15</v>
      </c>
      <c r="N148" s="1" t="s">
        <v>10</v>
      </c>
      <c r="O148" s="1">
        <v>10.199999999999999</v>
      </c>
    </row>
    <row r="149" spans="4:15" x14ac:dyDescent="0.3">
      <c r="D149" s="1">
        <v>45734</v>
      </c>
      <c r="E149" s="2">
        <v>43663</v>
      </c>
      <c r="F149" s="1" t="s">
        <v>12</v>
      </c>
      <c r="G149" s="1">
        <v>47</v>
      </c>
      <c r="H149" t="str">
        <f t="shared" si="14"/>
        <v>XXX Large</v>
      </c>
      <c r="I149" t="str">
        <f t="shared" si="10"/>
        <v>XXX Large</v>
      </c>
      <c r="J149" s="1">
        <v>596.54999999999995</v>
      </c>
      <c r="K149">
        <f t="shared" si="11"/>
        <v>0.01</v>
      </c>
      <c r="L149">
        <f t="shared" si="12"/>
        <v>590.58449999999993</v>
      </c>
      <c r="M149" s="1">
        <f t="shared" si="13"/>
        <v>588.04999999999995</v>
      </c>
      <c r="N149" s="1" t="s">
        <v>8</v>
      </c>
      <c r="O149" s="1">
        <v>8.5</v>
      </c>
    </row>
    <row r="150" spans="4:15" x14ac:dyDescent="0.3">
      <c r="D150" s="1">
        <v>36743</v>
      </c>
      <c r="E150" s="2">
        <v>43716</v>
      </c>
      <c r="F150" s="1" t="s">
        <v>12</v>
      </c>
      <c r="G150" s="1">
        <v>3</v>
      </c>
      <c r="H150" t="str">
        <f t="shared" si="14"/>
        <v>Mini</v>
      </c>
      <c r="I150" t="str">
        <f t="shared" si="10"/>
        <v>Mini</v>
      </c>
      <c r="J150" s="1">
        <v>27.96</v>
      </c>
      <c r="K150">
        <f t="shared" si="11"/>
        <v>0</v>
      </c>
      <c r="L150">
        <f t="shared" si="12"/>
        <v>27.96</v>
      </c>
      <c r="M150" s="1">
        <f t="shared" si="13"/>
        <v>27.96</v>
      </c>
      <c r="N150" s="1" t="s">
        <v>10</v>
      </c>
      <c r="O150" s="1">
        <v>4.3</v>
      </c>
    </row>
    <row r="151" spans="4:15" x14ac:dyDescent="0.3">
      <c r="D151" s="1">
        <v>32513</v>
      </c>
      <c r="E151" s="2">
        <v>43497</v>
      </c>
      <c r="F151" s="1" t="s">
        <v>7</v>
      </c>
      <c r="G151" s="1">
        <v>40</v>
      </c>
      <c r="H151" t="str">
        <f t="shared" si="14"/>
        <v>Extra Large</v>
      </c>
      <c r="I151" t="str">
        <f t="shared" si="10"/>
        <v>Extra Large</v>
      </c>
      <c r="J151" s="1">
        <v>71.209999999999994</v>
      </c>
      <c r="K151">
        <f t="shared" si="11"/>
        <v>0.01</v>
      </c>
      <c r="L151">
        <f t="shared" si="12"/>
        <v>70.497899999999987</v>
      </c>
      <c r="M151" s="1">
        <f t="shared" si="13"/>
        <v>69.809999999999988</v>
      </c>
      <c r="N151" s="1" t="s">
        <v>10</v>
      </c>
      <c r="O151" s="1">
        <v>1.4</v>
      </c>
    </row>
    <row r="152" spans="4:15" x14ac:dyDescent="0.3">
      <c r="D152" s="1">
        <v>23847</v>
      </c>
      <c r="E152" s="2">
        <v>43778</v>
      </c>
      <c r="F152" s="1" t="s">
        <v>11</v>
      </c>
      <c r="G152" s="1">
        <v>7</v>
      </c>
      <c r="H152" t="str">
        <f t="shared" si="14"/>
        <v>Extra Small</v>
      </c>
      <c r="I152" t="str">
        <f t="shared" si="10"/>
        <v>Extra Small</v>
      </c>
      <c r="J152" s="1">
        <v>1368.15</v>
      </c>
      <c r="K152">
        <f t="shared" si="11"/>
        <v>0</v>
      </c>
      <c r="L152">
        <f t="shared" si="12"/>
        <v>1368.15</v>
      </c>
      <c r="M152" s="1">
        <f t="shared" si="13"/>
        <v>1368.15</v>
      </c>
      <c r="N152" s="1" t="s">
        <v>10</v>
      </c>
      <c r="O152" s="1">
        <v>4.5</v>
      </c>
    </row>
    <row r="153" spans="4:15" x14ac:dyDescent="0.3">
      <c r="D153" s="1">
        <v>25152</v>
      </c>
      <c r="E153" s="2">
        <v>43753</v>
      </c>
      <c r="F153" s="1" t="s">
        <v>12</v>
      </c>
      <c r="G153" s="1">
        <v>29</v>
      </c>
      <c r="H153" t="str">
        <f t="shared" si="14"/>
        <v>Medium-Large</v>
      </c>
      <c r="I153" t="str">
        <f t="shared" si="10"/>
        <v>Medium-Large</v>
      </c>
      <c r="J153" s="1">
        <v>208.87</v>
      </c>
      <c r="K153">
        <f t="shared" si="11"/>
        <v>0</v>
      </c>
      <c r="L153">
        <f t="shared" si="12"/>
        <v>208.87</v>
      </c>
      <c r="M153" s="1">
        <f t="shared" si="13"/>
        <v>208.87</v>
      </c>
      <c r="N153" s="1" t="s">
        <v>10</v>
      </c>
      <c r="O153" s="1">
        <v>2.5</v>
      </c>
    </row>
    <row r="154" spans="4:15" x14ac:dyDescent="0.3">
      <c r="D154" s="1">
        <v>14497</v>
      </c>
      <c r="E154" s="2">
        <v>43605</v>
      </c>
      <c r="F154" s="1" t="s">
        <v>14</v>
      </c>
      <c r="G154" s="1">
        <v>34</v>
      </c>
      <c r="H154" t="str">
        <f t="shared" si="14"/>
        <v>Large</v>
      </c>
      <c r="I154" t="str">
        <f t="shared" si="10"/>
        <v>Large</v>
      </c>
      <c r="J154" s="1">
        <v>229.01</v>
      </c>
      <c r="K154">
        <f t="shared" si="11"/>
        <v>0</v>
      </c>
      <c r="L154">
        <f t="shared" si="12"/>
        <v>229.01</v>
      </c>
      <c r="M154" s="1">
        <f t="shared" si="13"/>
        <v>229.01</v>
      </c>
      <c r="N154" s="1" t="s">
        <v>10</v>
      </c>
      <c r="O154" s="1">
        <v>8.5</v>
      </c>
    </row>
    <row r="155" spans="4:15" x14ac:dyDescent="0.3">
      <c r="D155" s="1">
        <v>38498</v>
      </c>
      <c r="E155" s="2">
        <v>43582</v>
      </c>
      <c r="F155" s="1" t="s">
        <v>12</v>
      </c>
      <c r="G155" s="1">
        <v>1</v>
      </c>
      <c r="H155" t="str">
        <f t="shared" si="14"/>
        <v>Mini</v>
      </c>
      <c r="I155" t="str">
        <f t="shared" si="10"/>
        <v>Mini</v>
      </c>
      <c r="J155" s="1">
        <v>46.972999999999999</v>
      </c>
      <c r="K155">
        <f t="shared" si="11"/>
        <v>0</v>
      </c>
      <c r="L155">
        <f t="shared" si="12"/>
        <v>46.972999999999999</v>
      </c>
      <c r="M155" s="1">
        <f t="shared" si="13"/>
        <v>46.972999999999999</v>
      </c>
      <c r="N155" s="1" t="s">
        <v>10</v>
      </c>
      <c r="O155" s="1">
        <v>4.5999999999999996</v>
      </c>
    </row>
    <row r="156" spans="4:15" x14ac:dyDescent="0.3">
      <c r="D156" s="1">
        <v>37287</v>
      </c>
      <c r="E156" s="2">
        <v>43770</v>
      </c>
      <c r="F156" s="1" t="s">
        <v>7</v>
      </c>
      <c r="G156" s="1">
        <v>22</v>
      </c>
      <c r="H156" t="str">
        <f t="shared" si="14"/>
        <v>Medium</v>
      </c>
      <c r="I156" t="str">
        <f t="shared" si="10"/>
        <v>Medium</v>
      </c>
      <c r="J156" s="1">
        <v>2195.92</v>
      </c>
      <c r="K156">
        <f t="shared" si="11"/>
        <v>0</v>
      </c>
      <c r="L156">
        <f t="shared" si="12"/>
        <v>2195.92</v>
      </c>
      <c r="M156" s="1">
        <f t="shared" si="13"/>
        <v>2195.92</v>
      </c>
      <c r="N156" s="1" t="s">
        <v>10</v>
      </c>
      <c r="O156" s="1">
        <v>2.7</v>
      </c>
    </row>
    <row r="157" spans="4:15" x14ac:dyDescent="0.3">
      <c r="D157" s="1">
        <v>49350</v>
      </c>
      <c r="E157" s="2">
        <v>43699</v>
      </c>
      <c r="F157" s="1" t="s">
        <v>9</v>
      </c>
      <c r="G157" s="1">
        <v>50</v>
      </c>
      <c r="H157" t="str">
        <f t="shared" si="14"/>
        <v>XXX Large</v>
      </c>
      <c r="I157" t="str">
        <f t="shared" si="10"/>
        <v>XXX Large</v>
      </c>
      <c r="J157" s="1">
        <v>401.37</v>
      </c>
      <c r="K157">
        <f t="shared" si="11"/>
        <v>0.01</v>
      </c>
      <c r="L157">
        <f t="shared" si="12"/>
        <v>397.35629999999998</v>
      </c>
      <c r="M157" s="1">
        <f t="shared" si="13"/>
        <v>389.47</v>
      </c>
      <c r="N157" s="1" t="s">
        <v>10</v>
      </c>
      <c r="O157" s="1">
        <v>11.9</v>
      </c>
    </row>
    <row r="158" spans="4:15" x14ac:dyDescent="0.3">
      <c r="D158" s="1">
        <v>23713</v>
      </c>
      <c r="E158" s="2">
        <v>43797</v>
      </c>
      <c r="F158" s="1" t="s">
        <v>11</v>
      </c>
      <c r="G158" s="1">
        <v>38</v>
      </c>
      <c r="H158" t="str">
        <f t="shared" si="14"/>
        <v>Extra Large</v>
      </c>
      <c r="I158" t="str">
        <f t="shared" si="10"/>
        <v>Extra Large</v>
      </c>
      <c r="J158" s="1">
        <v>3960.63</v>
      </c>
      <c r="K158">
        <f t="shared" si="11"/>
        <v>0.01</v>
      </c>
      <c r="L158">
        <f t="shared" si="12"/>
        <v>3921.0237000000002</v>
      </c>
      <c r="M158" s="1">
        <f t="shared" si="13"/>
        <v>3954.33</v>
      </c>
      <c r="N158" s="1" t="s">
        <v>10</v>
      </c>
      <c r="O158" s="1">
        <v>6.3</v>
      </c>
    </row>
    <row r="159" spans="4:15" x14ac:dyDescent="0.3">
      <c r="D159" s="1">
        <v>4294</v>
      </c>
      <c r="E159" s="2">
        <v>43691</v>
      </c>
      <c r="F159" s="1" t="s">
        <v>14</v>
      </c>
      <c r="G159" s="1">
        <v>8</v>
      </c>
      <c r="H159" t="str">
        <f t="shared" si="14"/>
        <v>Extra Small</v>
      </c>
      <c r="I159" t="str">
        <f t="shared" si="10"/>
        <v>Extra Small</v>
      </c>
      <c r="J159" s="1">
        <v>18.96</v>
      </c>
      <c r="K159">
        <f t="shared" si="11"/>
        <v>0</v>
      </c>
      <c r="L159">
        <f t="shared" si="12"/>
        <v>18.96</v>
      </c>
      <c r="M159" s="1">
        <f t="shared" si="13"/>
        <v>18.96</v>
      </c>
      <c r="N159" s="1" t="s">
        <v>10</v>
      </c>
      <c r="O159" s="1">
        <v>4.4000000000000004</v>
      </c>
    </row>
    <row r="160" spans="4:15" x14ac:dyDescent="0.3">
      <c r="D160" s="1">
        <v>24386</v>
      </c>
      <c r="E160" s="2">
        <v>43642</v>
      </c>
      <c r="F160" s="1" t="s">
        <v>9</v>
      </c>
      <c r="G160" s="1">
        <v>12</v>
      </c>
      <c r="H160" t="str">
        <f t="shared" si="14"/>
        <v>Small</v>
      </c>
      <c r="I160" t="str">
        <f t="shared" si="10"/>
        <v>Small</v>
      </c>
      <c r="J160" s="1">
        <v>538.29999999999995</v>
      </c>
      <c r="K160">
        <f t="shared" si="11"/>
        <v>0</v>
      </c>
      <c r="L160">
        <f t="shared" si="12"/>
        <v>538.29999999999995</v>
      </c>
      <c r="M160" s="1">
        <f t="shared" si="13"/>
        <v>538.29999999999995</v>
      </c>
      <c r="N160" s="1" t="s">
        <v>10</v>
      </c>
      <c r="O160" s="1">
        <v>7</v>
      </c>
    </row>
    <row r="161" spans="4:15" x14ac:dyDescent="0.3">
      <c r="D161" s="1">
        <v>34595</v>
      </c>
      <c r="E161" s="2">
        <v>43665</v>
      </c>
      <c r="F161" s="1" t="s">
        <v>14</v>
      </c>
      <c r="G161" s="1">
        <v>12</v>
      </c>
      <c r="H161" t="str">
        <f t="shared" si="14"/>
        <v>Small</v>
      </c>
      <c r="I161" t="str">
        <f t="shared" si="10"/>
        <v>Small</v>
      </c>
      <c r="J161" s="1">
        <v>522.86</v>
      </c>
      <c r="K161">
        <f t="shared" si="11"/>
        <v>0</v>
      </c>
      <c r="L161">
        <f t="shared" si="12"/>
        <v>522.86</v>
      </c>
      <c r="M161" s="1">
        <f t="shared" si="13"/>
        <v>522.86</v>
      </c>
      <c r="N161" s="1" t="s">
        <v>10</v>
      </c>
      <c r="O161" s="1">
        <v>18.7</v>
      </c>
    </row>
    <row r="162" spans="4:15" x14ac:dyDescent="0.3">
      <c r="D162" s="1">
        <v>43010</v>
      </c>
      <c r="E162" s="2">
        <v>43747</v>
      </c>
      <c r="F162" s="1" t="s">
        <v>12</v>
      </c>
      <c r="G162" s="1">
        <v>40</v>
      </c>
      <c r="H162" t="str">
        <f t="shared" si="14"/>
        <v>Extra Large</v>
      </c>
      <c r="I162" t="str">
        <f t="shared" si="10"/>
        <v>Extra Large</v>
      </c>
      <c r="J162" s="1">
        <v>249.524</v>
      </c>
      <c r="K162">
        <f t="shared" si="11"/>
        <v>0.01</v>
      </c>
      <c r="L162">
        <f t="shared" si="12"/>
        <v>247.02876000000001</v>
      </c>
      <c r="M162" s="1">
        <f t="shared" si="13"/>
        <v>247.92400000000001</v>
      </c>
      <c r="N162" s="1" t="s">
        <v>10</v>
      </c>
      <c r="O162" s="1">
        <v>1.6</v>
      </c>
    </row>
    <row r="163" spans="4:15" x14ac:dyDescent="0.3">
      <c r="D163" s="1">
        <v>2912</v>
      </c>
      <c r="E163" s="2">
        <v>43535</v>
      </c>
      <c r="F163" s="1" t="s">
        <v>7</v>
      </c>
      <c r="G163" s="1">
        <v>9</v>
      </c>
      <c r="H163" t="str">
        <f t="shared" si="14"/>
        <v>Extra Small</v>
      </c>
      <c r="I163" t="str">
        <f t="shared" si="10"/>
        <v>Extra Small</v>
      </c>
      <c r="J163" s="1">
        <v>543.54</v>
      </c>
      <c r="K163">
        <f t="shared" si="11"/>
        <v>0</v>
      </c>
      <c r="L163">
        <f t="shared" si="12"/>
        <v>543.54</v>
      </c>
      <c r="M163" s="1">
        <f t="shared" si="13"/>
        <v>543.54</v>
      </c>
      <c r="N163" s="1" t="s">
        <v>8</v>
      </c>
      <c r="O163" s="1">
        <v>5.2</v>
      </c>
    </row>
    <row r="164" spans="4:15" x14ac:dyDescent="0.3">
      <c r="D164" s="1">
        <v>38853</v>
      </c>
      <c r="E164" s="2">
        <v>43547</v>
      </c>
      <c r="F164" s="1" t="s">
        <v>7</v>
      </c>
      <c r="G164" s="1">
        <v>13</v>
      </c>
      <c r="H164" t="str">
        <f t="shared" si="14"/>
        <v>Small</v>
      </c>
      <c r="I164" t="str">
        <f t="shared" si="10"/>
        <v>Small</v>
      </c>
      <c r="J164" s="1">
        <v>778.99</v>
      </c>
      <c r="K164">
        <f t="shared" si="11"/>
        <v>0</v>
      </c>
      <c r="L164">
        <f t="shared" si="12"/>
        <v>778.99</v>
      </c>
      <c r="M164" s="1">
        <f t="shared" si="13"/>
        <v>778.99</v>
      </c>
      <c r="N164" s="1" t="s">
        <v>10</v>
      </c>
      <c r="O164" s="1">
        <v>2.7</v>
      </c>
    </row>
    <row r="165" spans="4:15" x14ac:dyDescent="0.3">
      <c r="D165" s="1">
        <v>1187</v>
      </c>
      <c r="E165" s="2">
        <v>43788</v>
      </c>
      <c r="F165" s="1" t="s">
        <v>14</v>
      </c>
      <c r="G165" s="1">
        <v>14</v>
      </c>
      <c r="H165" t="str">
        <f t="shared" si="14"/>
        <v>Small</v>
      </c>
      <c r="I165" t="str">
        <f t="shared" si="10"/>
        <v>Small</v>
      </c>
      <c r="J165" s="1">
        <v>238.51</v>
      </c>
      <c r="K165">
        <f t="shared" si="11"/>
        <v>0</v>
      </c>
      <c r="L165">
        <f t="shared" si="12"/>
        <v>238.51</v>
      </c>
      <c r="M165" s="1">
        <f t="shared" si="13"/>
        <v>238.51</v>
      </c>
      <c r="N165" s="1" t="s">
        <v>10</v>
      </c>
      <c r="O165" s="1">
        <v>4.3</v>
      </c>
    </row>
    <row r="166" spans="4:15" x14ac:dyDescent="0.3">
      <c r="D166" s="1">
        <v>54656</v>
      </c>
      <c r="E166" s="2">
        <v>43788</v>
      </c>
      <c r="F166" s="1" t="s">
        <v>9</v>
      </c>
      <c r="G166" s="1">
        <v>22</v>
      </c>
      <c r="H166" t="str">
        <f t="shared" si="14"/>
        <v>Medium</v>
      </c>
      <c r="I166" t="str">
        <f t="shared" si="10"/>
        <v>Medium</v>
      </c>
      <c r="J166" s="1">
        <v>117.19</v>
      </c>
      <c r="K166">
        <f t="shared" si="11"/>
        <v>0</v>
      </c>
      <c r="L166">
        <f t="shared" si="12"/>
        <v>117.19</v>
      </c>
      <c r="M166" s="1">
        <f t="shared" si="13"/>
        <v>117.19</v>
      </c>
      <c r="N166" s="1" t="s">
        <v>8</v>
      </c>
      <c r="O166" s="1">
        <v>6.2</v>
      </c>
    </row>
    <row r="167" spans="4:15" x14ac:dyDescent="0.3">
      <c r="D167" s="1">
        <v>25767</v>
      </c>
      <c r="E167" s="2">
        <v>43527</v>
      </c>
      <c r="F167" s="1" t="s">
        <v>9</v>
      </c>
      <c r="G167" s="1">
        <v>7</v>
      </c>
      <c r="H167" t="str">
        <f t="shared" si="14"/>
        <v>Extra Small</v>
      </c>
      <c r="I167" t="str">
        <f t="shared" si="10"/>
        <v>Extra Small</v>
      </c>
      <c r="J167" s="1">
        <v>280.21159999999998</v>
      </c>
      <c r="K167">
        <f t="shared" si="11"/>
        <v>0</v>
      </c>
      <c r="L167">
        <f t="shared" si="12"/>
        <v>280.21159999999998</v>
      </c>
      <c r="M167" s="1">
        <f t="shared" si="13"/>
        <v>280.21159999999998</v>
      </c>
      <c r="N167" s="1" t="s">
        <v>10</v>
      </c>
      <c r="O167" s="1">
        <v>2.1</v>
      </c>
    </row>
    <row r="168" spans="4:15" x14ac:dyDescent="0.3">
      <c r="D168" s="1">
        <v>5635</v>
      </c>
      <c r="E168" s="2">
        <v>43692</v>
      </c>
      <c r="F168" s="1" t="s">
        <v>14</v>
      </c>
      <c r="G168" s="1">
        <v>50</v>
      </c>
      <c r="H168" t="str">
        <f t="shared" si="14"/>
        <v>XXX Large</v>
      </c>
      <c r="I168" t="str">
        <f t="shared" si="10"/>
        <v>XXX Large</v>
      </c>
      <c r="J168" s="1">
        <v>301.29000000000002</v>
      </c>
      <c r="K168">
        <f t="shared" si="11"/>
        <v>0.01</v>
      </c>
      <c r="L168">
        <f t="shared" si="12"/>
        <v>298.27710000000002</v>
      </c>
      <c r="M168" s="1">
        <f t="shared" si="13"/>
        <v>294.99</v>
      </c>
      <c r="N168" s="1" t="s">
        <v>10</v>
      </c>
      <c r="O168" s="1">
        <v>6.3</v>
      </c>
    </row>
    <row r="169" spans="4:15" x14ac:dyDescent="0.3">
      <c r="D169" s="1">
        <v>33031</v>
      </c>
      <c r="E169" s="2">
        <v>43701</v>
      </c>
      <c r="F169" s="1" t="s">
        <v>9</v>
      </c>
      <c r="G169" s="1">
        <v>18</v>
      </c>
      <c r="H169" t="str">
        <f t="shared" si="14"/>
        <v>Small-Medium</v>
      </c>
      <c r="I169" t="str">
        <f t="shared" si="10"/>
        <v>Small-Medium</v>
      </c>
      <c r="J169" s="1">
        <v>129.43</v>
      </c>
      <c r="K169">
        <f t="shared" si="11"/>
        <v>0</v>
      </c>
      <c r="L169">
        <f t="shared" si="12"/>
        <v>129.43</v>
      </c>
      <c r="M169" s="1">
        <f t="shared" si="13"/>
        <v>129.43</v>
      </c>
      <c r="N169" s="1" t="s">
        <v>10</v>
      </c>
      <c r="O169" s="1">
        <v>7.1</v>
      </c>
    </row>
    <row r="170" spans="4:15" x14ac:dyDescent="0.3">
      <c r="D170" s="1">
        <v>21604</v>
      </c>
      <c r="E170" s="2">
        <v>43556</v>
      </c>
      <c r="F170" s="1" t="s">
        <v>14</v>
      </c>
      <c r="G170" s="1">
        <v>6</v>
      </c>
      <c r="H170" t="str">
        <f t="shared" si="14"/>
        <v>Extra Small</v>
      </c>
      <c r="I170" t="str">
        <f t="shared" si="10"/>
        <v>Extra Small</v>
      </c>
      <c r="J170" s="1">
        <v>2652.4</v>
      </c>
      <c r="K170">
        <f t="shared" si="11"/>
        <v>0</v>
      </c>
      <c r="L170">
        <f t="shared" si="12"/>
        <v>2652.4</v>
      </c>
      <c r="M170" s="1">
        <f t="shared" si="13"/>
        <v>2652.4</v>
      </c>
      <c r="N170" s="1" t="s">
        <v>8</v>
      </c>
      <c r="O170" s="1">
        <v>21.4</v>
      </c>
    </row>
    <row r="171" spans="4:15" x14ac:dyDescent="0.3">
      <c r="D171" s="1">
        <v>11301</v>
      </c>
      <c r="E171" s="2">
        <v>43546</v>
      </c>
      <c r="F171" s="1" t="s">
        <v>14</v>
      </c>
      <c r="G171" s="1">
        <v>29</v>
      </c>
      <c r="H171" t="str">
        <f t="shared" si="14"/>
        <v>Medium-Large</v>
      </c>
      <c r="I171" t="str">
        <f t="shared" si="10"/>
        <v>Medium-Large</v>
      </c>
      <c r="J171" s="1">
        <v>1278.6099999999999</v>
      </c>
      <c r="K171">
        <f t="shared" si="11"/>
        <v>0</v>
      </c>
      <c r="L171">
        <f t="shared" si="12"/>
        <v>1278.6099999999999</v>
      </c>
      <c r="M171" s="1">
        <f t="shared" si="13"/>
        <v>1278.6099999999999</v>
      </c>
      <c r="N171" s="1" t="s">
        <v>10</v>
      </c>
      <c r="O171" s="1">
        <v>4.3</v>
      </c>
    </row>
    <row r="172" spans="4:15" x14ac:dyDescent="0.3">
      <c r="D172" s="1">
        <v>18466</v>
      </c>
      <c r="E172" s="2">
        <v>43606</v>
      </c>
      <c r="F172" s="1" t="s">
        <v>7</v>
      </c>
      <c r="G172" s="1">
        <v>24</v>
      </c>
      <c r="H172" t="str">
        <f t="shared" si="14"/>
        <v>Medium</v>
      </c>
      <c r="I172" t="str">
        <f t="shared" si="10"/>
        <v>Medium</v>
      </c>
      <c r="J172" s="1">
        <v>2882.59</v>
      </c>
      <c r="K172">
        <f t="shared" si="11"/>
        <v>0</v>
      </c>
      <c r="L172">
        <f t="shared" si="12"/>
        <v>2882.59</v>
      </c>
      <c r="M172" s="1">
        <f t="shared" si="13"/>
        <v>2882.59</v>
      </c>
      <c r="N172" s="1" t="s">
        <v>8</v>
      </c>
      <c r="O172" s="1">
        <v>7.6</v>
      </c>
    </row>
    <row r="173" spans="4:15" x14ac:dyDescent="0.3">
      <c r="D173" s="1">
        <v>18368</v>
      </c>
      <c r="E173" s="2">
        <v>43799</v>
      </c>
      <c r="F173" s="1" t="s">
        <v>11</v>
      </c>
      <c r="G173" s="1">
        <v>3</v>
      </c>
      <c r="H173" t="str">
        <f t="shared" si="14"/>
        <v>Mini</v>
      </c>
      <c r="I173" t="str">
        <f t="shared" si="10"/>
        <v>Mini</v>
      </c>
      <c r="J173" s="1">
        <v>227.81</v>
      </c>
      <c r="K173">
        <f t="shared" si="11"/>
        <v>0</v>
      </c>
      <c r="L173">
        <f t="shared" si="12"/>
        <v>227.81</v>
      </c>
      <c r="M173" s="1">
        <f t="shared" si="13"/>
        <v>227.81</v>
      </c>
      <c r="N173" s="1" t="s">
        <v>10</v>
      </c>
      <c r="O173" s="1">
        <v>3.7</v>
      </c>
    </row>
    <row r="174" spans="4:15" x14ac:dyDescent="0.3">
      <c r="D174" s="1">
        <v>55268</v>
      </c>
      <c r="E174" s="2">
        <v>43541</v>
      </c>
      <c r="F174" s="1" t="s">
        <v>9</v>
      </c>
      <c r="G174" s="1">
        <v>11</v>
      </c>
      <c r="H174" t="str">
        <f t="shared" si="14"/>
        <v>Small</v>
      </c>
      <c r="I174" t="str">
        <f t="shared" si="10"/>
        <v>Small</v>
      </c>
      <c r="J174" s="1">
        <v>65.760000000000005</v>
      </c>
      <c r="K174">
        <f t="shared" si="11"/>
        <v>0</v>
      </c>
      <c r="L174">
        <f t="shared" si="12"/>
        <v>65.760000000000005</v>
      </c>
      <c r="M174" s="1">
        <f t="shared" si="13"/>
        <v>65.760000000000005</v>
      </c>
      <c r="N174" s="1" t="s">
        <v>8</v>
      </c>
      <c r="O174" s="1">
        <v>5.3</v>
      </c>
    </row>
    <row r="175" spans="4:15" x14ac:dyDescent="0.3">
      <c r="D175" s="1">
        <v>26726</v>
      </c>
      <c r="E175" s="2">
        <v>43826</v>
      </c>
      <c r="F175" s="1" t="s">
        <v>9</v>
      </c>
      <c r="G175" s="1">
        <v>41</v>
      </c>
      <c r="H175" t="str">
        <f t="shared" si="14"/>
        <v>XX Large</v>
      </c>
      <c r="I175" t="str">
        <f t="shared" si="10"/>
        <v>XX Large</v>
      </c>
      <c r="J175" s="1">
        <v>891.86</v>
      </c>
      <c r="K175">
        <f t="shared" si="11"/>
        <v>0.01</v>
      </c>
      <c r="L175">
        <f t="shared" si="12"/>
        <v>882.94140000000004</v>
      </c>
      <c r="M175" s="1">
        <f t="shared" si="13"/>
        <v>890.26</v>
      </c>
      <c r="N175" s="1" t="s">
        <v>10</v>
      </c>
      <c r="O175" s="1">
        <v>1.6</v>
      </c>
    </row>
    <row r="176" spans="4:15" x14ac:dyDescent="0.3">
      <c r="D176" s="1">
        <v>34470</v>
      </c>
      <c r="E176" s="2">
        <v>43496</v>
      </c>
      <c r="F176" s="1" t="s">
        <v>12</v>
      </c>
      <c r="G176" s="1">
        <v>31</v>
      </c>
      <c r="H176" t="str">
        <f t="shared" si="14"/>
        <v>Large</v>
      </c>
      <c r="I176" t="str">
        <f t="shared" si="10"/>
        <v>Large</v>
      </c>
      <c r="J176" s="1">
        <v>3173.7591000000002</v>
      </c>
      <c r="K176">
        <f t="shared" si="11"/>
        <v>0</v>
      </c>
      <c r="L176">
        <f t="shared" si="12"/>
        <v>3173.7591000000002</v>
      </c>
      <c r="M176" s="1">
        <f t="shared" si="13"/>
        <v>3173.7591000000002</v>
      </c>
      <c r="N176" s="1" t="s">
        <v>13</v>
      </c>
      <c r="O176" s="1">
        <v>61.4</v>
      </c>
    </row>
    <row r="177" spans="4:15" x14ac:dyDescent="0.3">
      <c r="D177" s="1">
        <v>29537</v>
      </c>
      <c r="E177" s="2">
        <v>43727</v>
      </c>
      <c r="F177" s="1" t="s">
        <v>7</v>
      </c>
      <c r="G177" s="1">
        <v>30</v>
      </c>
      <c r="H177" t="str">
        <f t="shared" si="14"/>
        <v>Medium-Large</v>
      </c>
      <c r="I177" t="str">
        <f t="shared" si="10"/>
        <v>Medium-Large</v>
      </c>
      <c r="J177" s="1">
        <v>340.85919999999999</v>
      </c>
      <c r="K177">
        <f t="shared" si="11"/>
        <v>0</v>
      </c>
      <c r="L177">
        <f t="shared" si="12"/>
        <v>340.85919999999999</v>
      </c>
      <c r="M177" s="1">
        <f t="shared" si="13"/>
        <v>340.85919999999999</v>
      </c>
      <c r="N177" s="1" t="s">
        <v>8</v>
      </c>
      <c r="O177" s="1">
        <v>4.8</v>
      </c>
    </row>
    <row r="178" spans="4:15" x14ac:dyDescent="0.3">
      <c r="D178" s="1">
        <v>42436</v>
      </c>
      <c r="E178" s="2">
        <v>43686</v>
      </c>
      <c r="F178" s="1" t="s">
        <v>12</v>
      </c>
      <c r="G178" s="1">
        <v>30</v>
      </c>
      <c r="H178" t="str">
        <f t="shared" si="14"/>
        <v>Medium-Large</v>
      </c>
      <c r="I178" t="str">
        <f t="shared" si="10"/>
        <v>Medium-Large</v>
      </c>
      <c r="J178" s="1">
        <v>11764.37</v>
      </c>
      <c r="K178">
        <f t="shared" si="11"/>
        <v>0</v>
      </c>
      <c r="L178">
        <f t="shared" si="12"/>
        <v>11764.37</v>
      </c>
      <c r="M178" s="1">
        <f t="shared" si="13"/>
        <v>11764.37</v>
      </c>
      <c r="N178" s="1" t="s">
        <v>13</v>
      </c>
      <c r="O178" s="1">
        <v>51.6</v>
      </c>
    </row>
    <row r="179" spans="4:15" x14ac:dyDescent="0.3">
      <c r="D179" s="1">
        <v>14212</v>
      </c>
      <c r="E179" s="2">
        <v>43511</v>
      </c>
      <c r="F179" s="1" t="s">
        <v>12</v>
      </c>
      <c r="G179" s="1">
        <v>8</v>
      </c>
      <c r="H179" t="str">
        <f t="shared" si="14"/>
        <v>Extra Small</v>
      </c>
      <c r="I179" t="str">
        <f t="shared" si="10"/>
        <v>Extra Small</v>
      </c>
      <c r="J179" s="1">
        <v>23.53</v>
      </c>
      <c r="K179">
        <f t="shared" si="11"/>
        <v>0</v>
      </c>
      <c r="L179">
        <f t="shared" si="12"/>
        <v>23.53</v>
      </c>
      <c r="M179" s="1">
        <f t="shared" si="13"/>
        <v>23.53</v>
      </c>
      <c r="N179" s="1" t="s">
        <v>10</v>
      </c>
      <c r="O179" s="1">
        <v>0.5</v>
      </c>
    </row>
    <row r="180" spans="4:15" x14ac:dyDescent="0.3">
      <c r="D180" s="1">
        <v>8454</v>
      </c>
      <c r="E180" s="2">
        <v>43692</v>
      </c>
      <c r="F180" s="1" t="s">
        <v>14</v>
      </c>
      <c r="G180" s="1">
        <v>38</v>
      </c>
      <c r="H180" t="str">
        <f t="shared" si="14"/>
        <v>Extra Large</v>
      </c>
      <c r="I180" t="str">
        <f t="shared" si="10"/>
        <v>Extra Large</v>
      </c>
      <c r="J180" s="1">
        <v>234.08</v>
      </c>
      <c r="K180">
        <f t="shared" si="11"/>
        <v>0.01</v>
      </c>
      <c r="L180">
        <f t="shared" si="12"/>
        <v>231.73920000000001</v>
      </c>
      <c r="M180" s="1">
        <f t="shared" si="13"/>
        <v>225.78</v>
      </c>
      <c r="N180" s="1" t="s">
        <v>10</v>
      </c>
      <c r="O180" s="1">
        <v>8.3000000000000007</v>
      </c>
    </row>
    <row r="181" spans="4:15" x14ac:dyDescent="0.3">
      <c r="D181" s="1">
        <v>56672</v>
      </c>
      <c r="E181" s="2">
        <v>43597</v>
      </c>
      <c r="F181" s="1" t="s">
        <v>9</v>
      </c>
      <c r="G181" s="1">
        <v>34</v>
      </c>
      <c r="H181" t="str">
        <f t="shared" si="14"/>
        <v>Large</v>
      </c>
      <c r="I181" t="str">
        <f t="shared" si="10"/>
        <v>Large</v>
      </c>
      <c r="J181" s="1">
        <v>1211.58</v>
      </c>
      <c r="K181">
        <f t="shared" si="11"/>
        <v>0</v>
      </c>
      <c r="L181">
        <f t="shared" si="12"/>
        <v>1211.58</v>
      </c>
      <c r="M181" s="1">
        <f t="shared" si="13"/>
        <v>1211.58</v>
      </c>
      <c r="N181" s="1" t="s">
        <v>10</v>
      </c>
      <c r="O181" s="1">
        <v>14.9</v>
      </c>
    </row>
    <row r="182" spans="4:15" x14ac:dyDescent="0.3">
      <c r="D182" s="1">
        <v>43588</v>
      </c>
      <c r="E182" s="2">
        <v>43709</v>
      </c>
      <c r="F182" s="1" t="s">
        <v>14</v>
      </c>
      <c r="G182" s="1">
        <v>16</v>
      </c>
      <c r="H182" t="str">
        <f t="shared" si="14"/>
        <v>Small-Medium</v>
      </c>
      <c r="I182" t="str">
        <f t="shared" si="10"/>
        <v>Small-Medium</v>
      </c>
      <c r="J182" s="1">
        <v>3291.05</v>
      </c>
      <c r="K182">
        <f t="shared" si="11"/>
        <v>0</v>
      </c>
      <c r="L182">
        <f t="shared" si="12"/>
        <v>3291.05</v>
      </c>
      <c r="M182" s="1">
        <f t="shared" si="13"/>
        <v>3291.05</v>
      </c>
      <c r="N182" s="1" t="s">
        <v>13</v>
      </c>
      <c r="O182" s="1">
        <v>63.4</v>
      </c>
    </row>
    <row r="183" spans="4:15" x14ac:dyDescent="0.3">
      <c r="D183" s="1">
        <v>50565</v>
      </c>
      <c r="E183" s="2">
        <v>43707</v>
      </c>
      <c r="F183" s="1" t="s">
        <v>9</v>
      </c>
      <c r="G183" s="1">
        <v>43</v>
      </c>
      <c r="H183" t="str">
        <f t="shared" si="14"/>
        <v>XX Large</v>
      </c>
      <c r="I183" t="str">
        <f t="shared" si="10"/>
        <v>XX Large</v>
      </c>
      <c r="J183" s="1">
        <v>731.30219999999997</v>
      </c>
      <c r="K183">
        <f t="shared" si="11"/>
        <v>0.01</v>
      </c>
      <c r="L183">
        <f t="shared" si="12"/>
        <v>723.98917799999992</v>
      </c>
      <c r="M183" s="1">
        <f t="shared" si="13"/>
        <v>718.00220000000002</v>
      </c>
      <c r="N183" s="1" t="s">
        <v>10</v>
      </c>
      <c r="O183" s="1">
        <v>13.3</v>
      </c>
    </row>
    <row r="184" spans="4:15" x14ac:dyDescent="0.3">
      <c r="D184" s="1">
        <v>39783</v>
      </c>
      <c r="E184" s="2">
        <v>43728</v>
      </c>
      <c r="F184" s="1" t="s">
        <v>11</v>
      </c>
      <c r="G184" s="1">
        <v>29</v>
      </c>
      <c r="H184" t="str">
        <f t="shared" si="14"/>
        <v>Medium-Large</v>
      </c>
      <c r="I184" t="str">
        <f t="shared" si="10"/>
        <v>Medium-Large</v>
      </c>
      <c r="J184" s="1">
        <v>101.12</v>
      </c>
      <c r="K184">
        <f t="shared" si="11"/>
        <v>0</v>
      </c>
      <c r="L184">
        <f t="shared" si="12"/>
        <v>101.12</v>
      </c>
      <c r="M184" s="1">
        <f t="shared" si="13"/>
        <v>101.12</v>
      </c>
      <c r="N184" s="1" t="s">
        <v>10</v>
      </c>
      <c r="O184" s="1">
        <v>0.5</v>
      </c>
    </row>
    <row r="185" spans="4:15" x14ac:dyDescent="0.3">
      <c r="D185" s="1">
        <v>37350</v>
      </c>
      <c r="E185" s="2">
        <v>43605</v>
      </c>
      <c r="F185" s="1" t="s">
        <v>12</v>
      </c>
      <c r="G185" s="1">
        <v>7</v>
      </c>
      <c r="H185" t="str">
        <f t="shared" si="14"/>
        <v>Extra Small</v>
      </c>
      <c r="I185" t="str">
        <f t="shared" si="10"/>
        <v>Extra Small</v>
      </c>
      <c r="J185" s="1">
        <v>174.56</v>
      </c>
      <c r="K185">
        <f t="shared" si="11"/>
        <v>0</v>
      </c>
      <c r="L185">
        <f t="shared" si="12"/>
        <v>174.56</v>
      </c>
      <c r="M185" s="1">
        <f t="shared" si="13"/>
        <v>174.56</v>
      </c>
      <c r="N185" s="1" t="s">
        <v>10</v>
      </c>
      <c r="O185" s="1">
        <v>9.6</v>
      </c>
    </row>
    <row r="186" spans="4:15" x14ac:dyDescent="0.3">
      <c r="D186" s="1">
        <v>53667</v>
      </c>
      <c r="E186" s="2">
        <v>43602</v>
      </c>
      <c r="F186" s="1" t="s">
        <v>14</v>
      </c>
      <c r="G186" s="1">
        <v>16</v>
      </c>
      <c r="H186" t="str">
        <f t="shared" si="14"/>
        <v>Small-Medium</v>
      </c>
      <c r="I186" t="str">
        <f t="shared" si="10"/>
        <v>Small-Medium</v>
      </c>
      <c r="J186" s="1">
        <v>514.72239999999999</v>
      </c>
      <c r="K186">
        <f t="shared" si="11"/>
        <v>0</v>
      </c>
      <c r="L186">
        <f t="shared" si="12"/>
        <v>514.72239999999999</v>
      </c>
      <c r="M186" s="1">
        <f t="shared" si="13"/>
        <v>514.72239999999999</v>
      </c>
      <c r="N186" s="1" t="s">
        <v>10</v>
      </c>
      <c r="O186" s="1">
        <v>1.2</v>
      </c>
    </row>
    <row r="187" spans="4:15" x14ac:dyDescent="0.3">
      <c r="D187" s="1">
        <v>26818</v>
      </c>
      <c r="E187" s="2">
        <v>43472</v>
      </c>
      <c r="F187" s="1" t="s">
        <v>11</v>
      </c>
      <c r="G187" s="1">
        <v>23</v>
      </c>
      <c r="H187" t="str">
        <f t="shared" si="14"/>
        <v>Medium</v>
      </c>
      <c r="I187" t="str">
        <f t="shared" si="10"/>
        <v>Medium</v>
      </c>
      <c r="J187" s="1">
        <v>217.04</v>
      </c>
      <c r="K187">
        <f t="shared" si="11"/>
        <v>0</v>
      </c>
      <c r="L187">
        <f t="shared" si="12"/>
        <v>217.04</v>
      </c>
      <c r="M187" s="1">
        <f t="shared" si="13"/>
        <v>217.04</v>
      </c>
      <c r="N187" s="1" t="s">
        <v>10</v>
      </c>
      <c r="O187" s="1">
        <v>6</v>
      </c>
    </row>
    <row r="188" spans="4:15" x14ac:dyDescent="0.3">
      <c r="D188" s="1">
        <v>42400</v>
      </c>
      <c r="E188" s="2">
        <v>43686</v>
      </c>
      <c r="F188" s="1" t="s">
        <v>7</v>
      </c>
      <c r="G188" s="1">
        <v>44</v>
      </c>
      <c r="H188" t="str">
        <f t="shared" si="14"/>
        <v>XX Large</v>
      </c>
      <c r="I188" t="str">
        <f t="shared" si="10"/>
        <v>XX Large</v>
      </c>
      <c r="J188" s="1">
        <v>925.84</v>
      </c>
      <c r="K188">
        <f t="shared" si="11"/>
        <v>0.01</v>
      </c>
      <c r="L188">
        <f t="shared" si="12"/>
        <v>916.58159999999998</v>
      </c>
      <c r="M188" s="1">
        <f t="shared" si="13"/>
        <v>921.54000000000008</v>
      </c>
      <c r="N188" s="1" t="s">
        <v>10</v>
      </c>
      <c r="O188" s="1">
        <v>4.3</v>
      </c>
    </row>
    <row r="189" spans="4:15" x14ac:dyDescent="0.3">
      <c r="D189" s="1">
        <v>9925</v>
      </c>
      <c r="E189" s="2">
        <v>43494</v>
      </c>
      <c r="F189" s="1" t="s">
        <v>12</v>
      </c>
      <c r="G189" s="1">
        <v>43</v>
      </c>
      <c r="H189" t="str">
        <f t="shared" si="14"/>
        <v>XX Large</v>
      </c>
      <c r="I189" t="str">
        <f t="shared" si="10"/>
        <v>XX Large</v>
      </c>
      <c r="J189" s="1">
        <v>1874.3</v>
      </c>
      <c r="K189">
        <f t="shared" si="11"/>
        <v>0.01</v>
      </c>
      <c r="L189">
        <f t="shared" si="12"/>
        <v>1855.557</v>
      </c>
      <c r="M189" s="1">
        <f t="shared" si="13"/>
        <v>1871.1</v>
      </c>
      <c r="N189" s="1" t="s">
        <v>8</v>
      </c>
      <c r="O189" s="1">
        <v>3.2</v>
      </c>
    </row>
    <row r="190" spans="4:15" x14ac:dyDescent="0.3">
      <c r="D190" s="1">
        <v>32292</v>
      </c>
      <c r="E190" s="2">
        <v>43510</v>
      </c>
      <c r="F190" s="1" t="s">
        <v>7</v>
      </c>
      <c r="G190" s="1">
        <v>1</v>
      </c>
      <c r="H190" t="str">
        <f t="shared" si="14"/>
        <v>Mini</v>
      </c>
      <c r="I190" t="str">
        <f t="shared" si="10"/>
        <v>Mini</v>
      </c>
      <c r="J190" s="1">
        <v>14.48</v>
      </c>
      <c r="K190">
        <f t="shared" si="11"/>
        <v>0</v>
      </c>
      <c r="L190">
        <f t="shared" si="12"/>
        <v>14.48</v>
      </c>
      <c r="M190" s="1">
        <f t="shared" si="13"/>
        <v>14.48</v>
      </c>
      <c r="N190" s="1" t="s">
        <v>10</v>
      </c>
      <c r="O190" s="1">
        <v>2.5</v>
      </c>
    </row>
    <row r="191" spans="4:15" x14ac:dyDescent="0.3">
      <c r="D191" s="1">
        <v>56645</v>
      </c>
      <c r="E191" s="2">
        <v>43470</v>
      </c>
      <c r="F191" s="1" t="s">
        <v>7</v>
      </c>
      <c r="G191" s="1">
        <v>46</v>
      </c>
      <c r="H191" t="str">
        <f t="shared" si="14"/>
        <v>XXX Large</v>
      </c>
      <c r="I191" t="str">
        <f t="shared" si="10"/>
        <v>XXX Large</v>
      </c>
      <c r="J191" s="1">
        <v>1587.33</v>
      </c>
      <c r="K191">
        <f t="shared" si="11"/>
        <v>0.01</v>
      </c>
      <c r="L191">
        <f t="shared" si="12"/>
        <v>1571.4567</v>
      </c>
      <c r="M191" s="1">
        <f t="shared" si="13"/>
        <v>1569.03</v>
      </c>
      <c r="N191" s="1" t="s">
        <v>10</v>
      </c>
      <c r="O191" s="1">
        <v>18.3</v>
      </c>
    </row>
    <row r="192" spans="4:15" x14ac:dyDescent="0.3">
      <c r="D192" s="1">
        <v>34532</v>
      </c>
      <c r="E192" s="2">
        <v>43810</v>
      </c>
      <c r="F192" s="1" t="s">
        <v>7</v>
      </c>
      <c r="G192" s="1">
        <v>41</v>
      </c>
      <c r="H192" t="str">
        <f t="shared" si="14"/>
        <v>XX Large</v>
      </c>
      <c r="I192" t="str">
        <f t="shared" si="10"/>
        <v>XX Large</v>
      </c>
      <c r="J192" s="1">
        <v>1320.77</v>
      </c>
      <c r="K192">
        <f t="shared" si="11"/>
        <v>0.01</v>
      </c>
      <c r="L192">
        <f t="shared" si="12"/>
        <v>1307.5623000000001</v>
      </c>
      <c r="M192" s="1">
        <f t="shared" si="13"/>
        <v>1299.8699999999999</v>
      </c>
      <c r="N192" s="1" t="s">
        <v>8</v>
      </c>
      <c r="O192" s="1">
        <v>20.9</v>
      </c>
    </row>
    <row r="193" spans="4:15" x14ac:dyDescent="0.3">
      <c r="D193" s="1">
        <v>36998</v>
      </c>
      <c r="E193" s="2">
        <v>43737</v>
      </c>
      <c r="F193" s="1" t="s">
        <v>7</v>
      </c>
      <c r="G193" s="1">
        <v>50</v>
      </c>
      <c r="H193" t="str">
        <f t="shared" si="14"/>
        <v>XXX Large</v>
      </c>
      <c r="I193" t="str">
        <f t="shared" si="10"/>
        <v>XXX Large</v>
      </c>
      <c r="J193" s="1">
        <v>514.91999999999996</v>
      </c>
      <c r="K193">
        <f t="shared" si="11"/>
        <v>0.01</v>
      </c>
      <c r="L193">
        <f t="shared" si="12"/>
        <v>509.77079999999995</v>
      </c>
      <c r="M193" s="1">
        <f t="shared" si="13"/>
        <v>501.52</v>
      </c>
      <c r="N193" s="1" t="s">
        <v>10</v>
      </c>
      <c r="O193" s="1">
        <v>13.4</v>
      </c>
    </row>
    <row r="194" spans="4:15" x14ac:dyDescent="0.3">
      <c r="D194" s="1">
        <v>42887</v>
      </c>
      <c r="E194" s="2">
        <v>43626</v>
      </c>
      <c r="F194" s="1" t="s">
        <v>14</v>
      </c>
      <c r="G194" s="1">
        <v>3</v>
      </c>
      <c r="H194" t="str">
        <f t="shared" si="14"/>
        <v>Mini</v>
      </c>
      <c r="I194" t="str">
        <f t="shared" si="10"/>
        <v>Mini</v>
      </c>
      <c r="J194" s="1">
        <v>533.38</v>
      </c>
      <c r="K194">
        <f t="shared" si="11"/>
        <v>0</v>
      </c>
      <c r="L194">
        <f t="shared" si="12"/>
        <v>533.38</v>
      </c>
      <c r="M194" s="1">
        <f t="shared" si="13"/>
        <v>533.38</v>
      </c>
      <c r="N194" s="1" t="s">
        <v>13</v>
      </c>
      <c r="O194" s="1">
        <v>55.6</v>
      </c>
    </row>
    <row r="195" spans="4:15" x14ac:dyDescent="0.3">
      <c r="D195" s="1">
        <v>1027</v>
      </c>
      <c r="E195" s="2">
        <v>43618</v>
      </c>
      <c r="F195" s="1" t="s">
        <v>14</v>
      </c>
      <c r="G195" s="1">
        <v>19</v>
      </c>
      <c r="H195" t="str">
        <f t="shared" si="14"/>
        <v>Small-Medium</v>
      </c>
      <c r="I195" t="str">
        <f t="shared" ref="I195:I258" si="15">VLOOKUP(G195, $A$3:$B$12, 2, TRUE)</f>
        <v>Small-Medium</v>
      </c>
      <c r="J195" s="1">
        <v>1504.58</v>
      </c>
      <c r="K195">
        <f t="shared" ref="K195:K258" si="16">IF(OR(I195="Extra Large", I195="XX Large", I195="XXX Large"), 0.01, 0)</f>
        <v>0</v>
      </c>
      <c r="L195">
        <f t="shared" ref="L195:L258" si="17">J195 * (1 - K195)</f>
        <v>1504.58</v>
      </c>
      <c r="M195" s="1">
        <f t="shared" ref="M195:M258" si="18">IF(OR(I195="Extra Large",I195="XX Large",I195="XXX Large"),J195-O195,J195)</f>
        <v>1504.58</v>
      </c>
      <c r="N195" s="1" t="s">
        <v>13</v>
      </c>
      <c r="O195" s="1">
        <v>50</v>
      </c>
    </row>
    <row r="196" spans="4:15" x14ac:dyDescent="0.3">
      <c r="D196" s="1">
        <v>53730</v>
      </c>
      <c r="E196" s="2">
        <v>43828</v>
      </c>
      <c r="F196" s="1" t="s">
        <v>9</v>
      </c>
      <c r="G196" s="1">
        <v>40</v>
      </c>
      <c r="H196" t="str">
        <f t="shared" si="14"/>
        <v>Extra Large</v>
      </c>
      <c r="I196" t="str">
        <f t="shared" si="15"/>
        <v>Extra Large</v>
      </c>
      <c r="J196" s="1">
        <v>194.53</v>
      </c>
      <c r="K196">
        <f t="shared" si="16"/>
        <v>0.01</v>
      </c>
      <c r="L196">
        <f t="shared" si="17"/>
        <v>192.5847</v>
      </c>
      <c r="M196" s="1">
        <f t="shared" si="18"/>
        <v>188.33</v>
      </c>
      <c r="N196" s="1" t="s">
        <v>10</v>
      </c>
      <c r="O196" s="1">
        <v>6.2</v>
      </c>
    </row>
    <row r="197" spans="4:15" x14ac:dyDescent="0.3">
      <c r="D197" s="1">
        <v>55683</v>
      </c>
      <c r="E197" s="2">
        <v>43661</v>
      </c>
      <c r="F197" s="1" t="s">
        <v>9</v>
      </c>
      <c r="G197" s="1">
        <v>50</v>
      </c>
      <c r="H197" t="str">
        <f t="shared" ref="H197:H260" si="19">VLOOKUP(G197, $A$3:$B$12, 2, TRUE)</f>
        <v>XXX Large</v>
      </c>
      <c r="I197" t="str">
        <f t="shared" si="15"/>
        <v>XXX Large</v>
      </c>
      <c r="J197" s="1">
        <v>184.29</v>
      </c>
      <c r="K197">
        <f t="shared" si="16"/>
        <v>0.01</v>
      </c>
      <c r="L197">
        <f t="shared" si="17"/>
        <v>182.44709999999998</v>
      </c>
      <c r="M197" s="1">
        <f t="shared" si="18"/>
        <v>182.89</v>
      </c>
      <c r="N197" s="1" t="s">
        <v>10</v>
      </c>
      <c r="O197" s="1">
        <v>1.4</v>
      </c>
    </row>
    <row r="198" spans="4:15" x14ac:dyDescent="0.3">
      <c r="D198" s="1">
        <v>54786</v>
      </c>
      <c r="E198" s="2">
        <v>43475</v>
      </c>
      <c r="F198" s="1" t="s">
        <v>11</v>
      </c>
      <c r="G198" s="1">
        <v>30</v>
      </c>
      <c r="H198" t="str">
        <f t="shared" si="19"/>
        <v>Medium-Large</v>
      </c>
      <c r="I198" t="str">
        <f t="shared" si="15"/>
        <v>Medium-Large</v>
      </c>
      <c r="J198" s="1">
        <v>406.9</v>
      </c>
      <c r="K198">
        <f t="shared" si="16"/>
        <v>0</v>
      </c>
      <c r="L198">
        <f t="shared" si="17"/>
        <v>406.9</v>
      </c>
      <c r="M198" s="1">
        <f t="shared" si="18"/>
        <v>406.9</v>
      </c>
      <c r="N198" s="1" t="s">
        <v>10</v>
      </c>
      <c r="O198" s="1">
        <v>4.8</v>
      </c>
    </row>
    <row r="199" spans="4:15" x14ac:dyDescent="0.3">
      <c r="D199" s="1">
        <v>29764</v>
      </c>
      <c r="E199" s="2">
        <v>43668</v>
      </c>
      <c r="F199" s="1" t="s">
        <v>12</v>
      </c>
      <c r="G199" s="1">
        <v>10</v>
      </c>
      <c r="H199" t="str">
        <f t="shared" si="19"/>
        <v>Extra Small</v>
      </c>
      <c r="I199" t="str">
        <f t="shared" si="15"/>
        <v>Extra Small</v>
      </c>
      <c r="J199" s="1">
        <v>176.65</v>
      </c>
      <c r="K199">
        <f t="shared" si="16"/>
        <v>0</v>
      </c>
      <c r="L199">
        <f t="shared" si="17"/>
        <v>176.65</v>
      </c>
      <c r="M199" s="1">
        <f t="shared" si="18"/>
        <v>176.65</v>
      </c>
      <c r="N199" s="1" t="s">
        <v>8</v>
      </c>
      <c r="O199" s="1">
        <v>9</v>
      </c>
    </row>
    <row r="200" spans="4:15" x14ac:dyDescent="0.3">
      <c r="D200" s="1">
        <v>38884</v>
      </c>
      <c r="E200" s="2">
        <v>43694</v>
      </c>
      <c r="F200" s="1" t="s">
        <v>9</v>
      </c>
      <c r="G200" s="1">
        <v>20</v>
      </c>
      <c r="H200" t="str">
        <f t="shared" si="19"/>
        <v>Small-Medium</v>
      </c>
      <c r="I200" t="str">
        <f t="shared" si="15"/>
        <v>Small-Medium</v>
      </c>
      <c r="J200" s="1">
        <v>6492.5</v>
      </c>
      <c r="K200">
        <f t="shared" si="16"/>
        <v>0</v>
      </c>
      <c r="L200">
        <f t="shared" si="17"/>
        <v>6492.5</v>
      </c>
      <c r="M200" s="1">
        <f t="shared" si="18"/>
        <v>6492.5</v>
      </c>
      <c r="N200" s="1" t="s">
        <v>13</v>
      </c>
      <c r="O200" s="1">
        <v>57.9</v>
      </c>
    </row>
    <row r="201" spans="4:15" x14ac:dyDescent="0.3">
      <c r="D201" s="1">
        <v>23911</v>
      </c>
      <c r="E201" s="2">
        <v>43617</v>
      </c>
      <c r="F201" s="1" t="s">
        <v>12</v>
      </c>
      <c r="G201" s="1">
        <v>21</v>
      </c>
      <c r="H201" t="str">
        <f t="shared" si="19"/>
        <v>Medium</v>
      </c>
      <c r="I201" t="str">
        <f t="shared" si="15"/>
        <v>Medium</v>
      </c>
      <c r="J201" s="1">
        <v>2761.32</v>
      </c>
      <c r="K201">
        <f t="shared" si="16"/>
        <v>0</v>
      </c>
      <c r="L201">
        <f t="shared" si="17"/>
        <v>2761.32</v>
      </c>
      <c r="M201" s="1">
        <f t="shared" si="18"/>
        <v>2761.32</v>
      </c>
      <c r="N201" s="1" t="s">
        <v>13</v>
      </c>
      <c r="O201" s="1">
        <v>75.099999999999994</v>
      </c>
    </row>
    <row r="202" spans="4:15" x14ac:dyDescent="0.3">
      <c r="D202" s="1">
        <v>54183</v>
      </c>
      <c r="E202" s="2">
        <v>43570</v>
      </c>
      <c r="F202" s="1" t="s">
        <v>12</v>
      </c>
      <c r="G202" s="1">
        <v>9</v>
      </c>
      <c r="H202" t="str">
        <f t="shared" si="19"/>
        <v>Extra Small</v>
      </c>
      <c r="I202" t="str">
        <f t="shared" si="15"/>
        <v>Extra Small</v>
      </c>
      <c r="J202" s="1">
        <v>121.86</v>
      </c>
      <c r="K202">
        <f t="shared" si="16"/>
        <v>0</v>
      </c>
      <c r="L202">
        <f t="shared" si="17"/>
        <v>121.86</v>
      </c>
      <c r="M202" s="1">
        <f t="shared" si="18"/>
        <v>121.86</v>
      </c>
      <c r="N202" s="1" t="s">
        <v>10</v>
      </c>
      <c r="O202" s="1">
        <v>9.6</v>
      </c>
    </row>
    <row r="203" spans="4:15" x14ac:dyDescent="0.3">
      <c r="D203" s="1">
        <v>28228</v>
      </c>
      <c r="E203" s="2">
        <v>43657</v>
      </c>
      <c r="F203" s="1" t="s">
        <v>11</v>
      </c>
      <c r="G203" s="1">
        <v>5</v>
      </c>
      <c r="H203" t="str">
        <f t="shared" si="19"/>
        <v>Mini</v>
      </c>
      <c r="I203" t="str">
        <f t="shared" si="15"/>
        <v>Mini</v>
      </c>
      <c r="J203" s="1">
        <v>370.47</v>
      </c>
      <c r="K203">
        <f t="shared" si="16"/>
        <v>0</v>
      </c>
      <c r="L203">
        <f t="shared" si="17"/>
        <v>370.47</v>
      </c>
      <c r="M203" s="1">
        <f t="shared" si="18"/>
        <v>370.47</v>
      </c>
      <c r="N203" s="1" t="s">
        <v>10</v>
      </c>
      <c r="O203" s="1">
        <v>21.4</v>
      </c>
    </row>
    <row r="204" spans="4:15" x14ac:dyDescent="0.3">
      <c r="D204" s="1">
        <v>16352</v>
      </c>
      <c r="E204" s="2">
        <v>43676</v>
      </c>
      <c r="F204" s="1" t="s">
        <v>14</v>
      </c>
      <c r="G204" s="1">
        <v>16</v>
      </c>
      <c r="H204" t="str">
        <f t="shared" si="19"/>
        <v>Small-Medium</v>
      </c>
      <c r="I204" t="str">
        <f t="shared" si="15"/>
        <v>Small-Medium</v>
      </c>
      <c r="J204" s="1">
        <v>121.17749999999999</v>
      </c>
      <c r="K204">
        <f t="shared" si="16"/>
        <v>0</v>
      </c>
      <c r="L204">
        <f t="shared" si="17"/>
        <v>121.17749999999999</v>
      </c>
      <c r="M204" s="1">
        <f t="shared" si="18"/>
        <v>121.17749999999999</v>
      </c>
      <c r="N204" s="1" t="s">
        <v>10</v>
      </c>
      <c r="O204" s="1">
        <v>7.1</v>
      </c>
    </row>
    <row r="205" spans="4:15" x14ac:dyDescent="0.3">
      <c r="D205" s="1">
        <v>11011</v>
      </c>
      <c r="E205" s="2">
        <v>43598</v>
      </c>
      <c r="F205" s="1" t="s">
        <v>9</v>
      </c>
      <c r="G205" s="1">
        <v>33</v>
      </c>
      <c r="H205" t="str">
        <f t="shared" si="19"/>
        <v>Large</v>
      </c>
      <c r="I205" t="str">
        <f t="shared" si="15"/>
        <v>Large</v>
      </c>
      <c r="J205" s="1">
        <v>8886.5499999999993</v>
      </c>
      <c r="K205">
        <f t="shared" si="16"/>
        <v>0</v>
      </c>
      <c r="L205">
        <f t="shared" si="17"/>
        <v>8886.5499999999993</v>
      </c>
      <c r="M205" s="1">
        <f t="shared" si="18"/>
        <v>8886.5499999999993</v>
      </c>
      <c r="N205" s="1" t="s">
        <v>13</v>
      </c>
      <c r="O205" s="1">
        <v>64.400000000000006</v>
      </c>
    </row>
    <row r="206" spans="4:15" x14ac:dyDescent="0.3">
      <c r="D206" s="1">
        <v>10439</v>
      </c>
      <c r="E206" s="2">
        <v>43552</v>
      </c>
      <c r="F206" s="1" t="s">
        <v>11</v>
      </c>
      <c r="G206" s="1">
        <v>27</v>
      </c>
      <c r="H206" t="str">
        <f t="shared" si="19"/>
        <v>Medium-Large</v>
      </c>
      <c r="I206" t="str">
        <f t="shared" si="15"/>
        <v>Medium-Large</v>
      </c>
      <c r="J206" s="1">
        <v>80.31</v>
      </c>
      <c r="K206">
        <f t="shared" si="16"/>
        <v>0</v>
      </c>
      <c r="L206">
        <f t="shared" si="17"/>
        <v>80.31</v>
      </c>
      <c r="M206" s="1">
        <f t="shared" si="18"/>
        <v>80.31</v>
      </c>
      <c r="N206" s="1" t="s">
        <v>10</v>
      </c>
      <c r="O206" s="1">
        <v>0.5</v>
      </c>
    </row>
    <row r="207" spans="4:15" x14ac:dyDescent="0.3">
      <c r="D207" s="1">
        <v>868</v>
      </c>
      <c r="E207" s="2">
        <v>43624</v>
      </c>
      <c r="F207" s="1" t="s">
        <v>11</v>
      </c>
      <c r="G207" s="1">
        <v>32</v>
      </c>
      <c r="H207" t="str">
        <f t="shared" si="19"/>
        <v>Large</v>
      </c>
      <c r="I207" t="str">
        <f t="shared" si="15"/>
        <v>Large</v>
      </c>
      <c r="J207" s="1">
        <v>767.02</v>
      </c>
      <c r="K207">
        <f t="shared" si="16"/>
        <v>0</v>
      </c>
      <c r="L207">
        <f t="shared" si="17"/>
        <v>767.02</v>
      </c>
      <c r="M207" s="1">
        <f t="shared" si="18"/>
        <v>767.02</v>
      </c>
      <c r="N207" s="1" t="s">
        <v>10</v>
      </c>
      <c r="O207" s="1">
        <v>6.4</v>
      </c>
    </row>
    <row r="208" spans="4:15" x14ac:dyDescent="0.3">
      <c r="D208" s="1">
        <v>44033</v>
      </c>
      <c r="E208" s="2">
        <v>43474</v>
      </c>
      <c r="F208" s="1" t="s">
        <v>12</v>
      </c>
      <c r="G208" s="1">
        <v>45</v>
      </c>
      <c r="H208" t="str">
        <f t="shared" si="19"/>
        <v>XX Large</v>
      </c>
      <c r="I208" t="str">
        <f t="shared" si="15"/>
        <v>XX Large</v>
      </c>
      <c r="J208" s="1">
        <v>6218.81</v>
      </c>
      <c r="K208">
        <f t="shared" si="16"/>
        <v>0.01</v>
      </c>
      <c r="L208">
        <f t="shared" si="17"/>
        <v>6156.6219000000001</v>
      </c>
      <c r="M208" s="1">
        <f t="shared" si="18"/>
        <v>6163.21</v>
      </c>
      <c r="N208" s="1" t="s">
        <v>13</v>
      </c>
      <c r="O208" s="1">
        <v>55.6</v>
      </c>
    </row>
    <row r="209" spans="4:15" x14ac:dyDescent="0.3">
      <c r="D209" s="1">
        <v>26336</v>
      </c>
      <c r="E209" s="2">
        <v>43611</v>
      </c>
      <c r="F209" s="1" t="s">
        <v>9</v>
      </c>
      <c r="G209" s="1">
        <v>39</v>
      </c>
      <c r="H209" t="str">
        <f t="shared" si="19"/>
        <v>Extra Large</v>
      </c>
      <c r="I209" t="str">
        <f t="shared" si="15"/>
        <v>Extra Large</v>
      </c>
      <c r="J209" s="1">
        <v>1623</v>
      </c>
      <c r="K209">
        <f t="shared" si="16"/>
        <v>0.01</v>
      </c>
      <c r="L209">
        <f t="shared" si="17"/>
        <v>1606.77</v>
      </c>
      <c r="M209" s="1">
        <f t="shared" si="18"/>
        <v>1616</v>
      </c>
      <c r="N209" s="1" t="s">
        <v>10</v>
      </c>
      <c r="O209" s="1">
        <v>7</v>
      </c>
    </row>
    <row r="210" spans="4:15" x14ac:dyDescent="0.3">
      <c r="D210" s="1">
        <v>11011</v>
      </c>
      <c r="E210" s="2">
        <v>43598</v>
      </c>
      <c r="F210" s="1" t="s">
        <v>9</v>
      </c>
      <c r="G210" s="1">
        <v>36</v>
      </c>
      <c r="H210" t="str">
        <f t="shared" si="19"/>
        <v>Extra Large</v>
      </c>
      <c r="I210" t="str">
        <f t="shared" si="15"/>
        <v>Extra Large</v>
      </c>
      <c r="J210" s="1">
        <v>268.62</v>
      </c>
      <c r="K210">
        <f t="shared" si="16"/>
        <v>0.01</v>
      </c>
      <c r="L210">
        <f t="shared" si="17"/>
        <v>265.93380000000002</v>
      </c>
      <c r="M210" s="1">
        <f t="shared" si="18"/>
        <v>268.12</v>
      </c>
      <c r="N210" s="1" t="s">
        <v>10</v>
      </c>
      <c r="O210" s="1">
        <v>0.5</v>
      </c>
    </row>
    <row r="211" spans="4:15" x14ac:dyDescent="0.3">
      <c r="D211" s="1">
        <v>36803</v>
      </c>
      <c r="E211" s="2">
        <v>43681</v>
      </c>
      <c r="F211" s="1" t="s">
        <v>11</v>
      </c>
      <c r="G211" s="1">
        <v>42</v>
      </c>
      <c r="H211" t="str">
        <f t="shared" si="19"/>
        <v>XX Large</v>
      </c>
      <c r="I211" t="str">
        <f t="shared" si="15"/>
        <v>XX Large</v>
      </c>
      <c r="J211" s="1">
        <v>130.16999999999999</v>
      </c>
      <c r="K211">
        <f t="shared" si="16"/>
        <v>0.01</v>
      </c>
      <c r="L211">
        <f t="shared" si="17"/>
        <v>128.86829999999998</v>
      </c>
      <c r="M211" s="1">
        <f t="shared" si="18"/>
        <v>129.07</v>
      </c>
      <c r="N211" s="1" t="s">
        <v>10</v>
      </c>
      <c r="O211" s="1">
        <v>1.1000000000000001</v>
      </c>
    </row>
    <row r="212" spans="4:15" x14ac:dyDescent="0.3">
      <c r="D212" s="1">
        <v>23911</v>
      </c>
      <c r="E212" s="2">
        <v>43617</v>
      </c>
      <c r="F212" s="1" t="s">
        <v>12</v>
      </c>
      <c r="G212" s="1">
        <v>19</v>
      </c>
      <c r="H212" t="str">
        <f t="shared" si="19"/>
        <v>Small-Medium</v>
      </c>
      <c r="I212" t="str">
        <f t="shared" si="15"/>
        <v>Small-Medium</v>
      </c>
      <c r="J212" s="1">
        <v>1022.34</v>
      </c>
      <c r="K212">
        <f t="shared" si="16"/>
        <v>0</v>
      </c>
      <c r="L212">
        <f t="shared" si="17"/>
        <v>1022.34</v>
      </c>
      <c r="M212" s="1">
        <f t="shared" si="18"/>
        <v>1022.34</v>
      </c>
      <c r="N212" s="1" t="s">
        <v>10</v>
      </c>
      <c r="O212" s="1">
        <v>7</v>
      </c>
    </row>
    <row r="213" spans="4:15" x14ac:dyDescent="0.3">
      <c r="D213" s="1">
        <v>21382</v>
      </c>
      <c r="E213" s="2">
        <v>43476</v>
      </c>
      <c r="F213" s="1" t="s">
        <v>12</v>
      </c>
      <c r="G213" s="1">
        <v>21</v>
      </c>
      <c r="H213" t="str">
        <f t="shared" si="19"/>
        <v>Medium</v>
      </c>
      <c r="I213" t="str">
        <f t="shared" si="15"/>
        <v>Medium</v>
      </c>
      <c r="J213" s="1">
        <v>6886.38</v>
      </c>
      <c r="K213">
        <f t="shared" si="16"/>
        <v>0</v>
      </c>
      <c r="L213">
        <f t="shared" si="17"/>
        <v>6886.38</v>
      </c>
      <c r="M213" s="1">
        <f t="shared" si="18"/>
        <v>6886.38</v>
      </c>
      <c r="N213" s="1" t="s">
        <v>13</v>
      </c>
      <c r="O213" s="1">
        <v>69.3</v>
      </c>
    </row>
    <row r="214" spans="4:15" x14ac:dyDescent="0.3">
      <c r="D214" s="1">
        <v>55651</v>
      </c>
      <c r="E214" s="2">
        <v>43531</v>
      </c>
      <c r="F214" s="1" t="s">
        <v>14</v>
      </c>
      <c r="G214" s="1">
        <v>11</v>
      </c>
      <c r="H214" t="str">
        <f t="shared" si="19"/>
        <v>Small</v>
      </c>
      <c r="I214" t="str">
        <f t="shared" si="15"/>
        <v>Small</v>
      </c>
      <c r="J214" s="1">
        <v>1065.42</v>
      </c>
      <c r="K214">
        <f t="shared" si="16"/>
        <v>0</v>
      </c>
      <c r="L214">
        <f t="shared" si="17"/>
        <v>1065.42</v>
      </c>
      <c r="M214" s="1">
        <f t="shared" si="18"/>
        <v>1065.42</v>
      </c>
      <c r="N214" s="1" t="s">
        <v>10</v>
      </c>
      <c r="O214" s="1">
        <v>2.7</v>
      </c>
    </row>
    <row r="215" spans="4:15" x14ac:dyDescent="0.3">
      <c r="D215" s="1">
        <v>2209</v>
      </c>
      <c r="E215" s="2">
        <v>43655</v>
      </c>
      <c r="F215" s="1" t="s">
        <v>9</v>
      </c>
      <c r="G215" s="1">
        <v>1</v>
      </c>
      <c r="H215" t="str">
        <f t="shared" si="19"/>
        <v>Mini</v>
      </c>
      <c r="I215" t="str">
        <f t="shared" si="15"/>
        <v>Mini</v>
      </c>
      <c r="J215" s="1">
        <v>6.08</v>
      </c>
      <c r="K215">
        <f t="shared" si="16"/>
        <v>0</v>
      </c>
      <c r="L215">
        <f t="shared" si="17"/>
        <v>6.08</v>
      </c>
      <c r="M215" s="1">
        <f t="shared" si="18"/>
        <v>6.08</v>
      </c>
      <c r="N215" s="1" t="s">
        <v>10</v>
      </c>
      <c r="O215" s="1">
        <v>0.9</v>
      </c>
    </row>
    <row r="216" spans="4:15" x14ac:dyDescent="0.3">
      <c r="D216" s="1">
        <v>53571</v>
      </c>
      <c r="E216" s="2">
        <v>43539</v>
      </c>
      <c r="F216" s="1" t="s">
        <v>11</v>
      </c>
      <c r="G216" s="1">
        <v>21</v>
      </c>
      <c r="H216" t="str">
        <f t="shared" si="19"/>
        <v>Medium</v>
      </c>
      <c r="I216" t="str">
        <f t="shared" si="15"/>
        <v>Medium</v>
      </c>
      <c r="J216" s="1">
        <v>254.72</v>
      </c>
      <c r="K216">
        <f t="shared" si="16"/>
        <v>0</v>
      </c>
      <c r="L216">
        <f t="shared" si="17"/>
        <v>254.72</v>
      </c>
      <c r="M216" s="1">
        <f t="shared" si="18"/>
        <v>254.72</v>
      </c>
      <c r="N216" s="1" t="s">
        <v>10</v>
      </c>
      <c r="O216" s="1">
        <v>3.2</v>
      </c>
    </row>
    <row r="217" spans="4:15" x14ac:dyDescent="0.3">
      <c r="D217" s="1">
        <v>25476</v>
      </c>
      <c r="E217" s="2">
        <v>43740</v>
      </c>
      <c r="F217" s="1" t="s">
        <v>11</v>
      </c>
      <c r="G217" s="1">
        <v>21</v>
      </c>
      <c r="H217" t="str">
        <f t="shared" si="19"/>
        <v>Medium</v>
      </c>
      <c r="I217" t="str">
        <f t="shared" si="15"/>
        <v>Medium</v>
      </c>
      <c r="J217" s="1">
        <v>724.06</v>
      </c>
      <c r="K217">
        <f t="shared" si="16"/>
        <v>0</v>
      </c>
      <c r="L217">
        <f t="shared" si="17"/>
        <v>724.06</v>
      </c>
      <c r="M217" s="1">
        <f t="shared" si="18"/>
        <v>724.06</v>
      </c>
      <c r="N217" s="1" t="s">
        <v>10</v>
      </c>
      <c r="O217" s="1">
        <v>2.1</v>
      </c>
    </row>
    <row r="218" spans="4:15" x14ac:dyDescent="0.3">
      <c r="D218" s="1">
        <v>38437</v>
      </c>
      <c r="E218" s="2">
        <v>43593</v>
      </c>
      <c r="F218" s="1" t="s">
        <v>12</v>
      </c>
      <c r="G218" s="1">
        <v>19</v>
      </c>
      <c r="H218" t="str">
        <f t="shared" si="19"/>
        <v>Small-Medium</v>
      </c>
      <c r="I218" t="str">
        <f t="shared" si="15"/>
        <v>Small-Medium</v>
      </c>
      <c r="J218" s="1">
        <v>4495.57</v>
      </c>
      <c r="K218">
        <f t="shared" si="16"/>
        <v>0</v>
      </c>
      <c r="L218">
        <f t="shared" si="17"/>
        <v>4495.57</v>
      </c>
      <c r="M218" s="1">
        <f t="shared" si="18"/>
        <v>4495.57</v>
      </c>
      <c r="N218" s="1" t="s">
        <v>13</v>
      </c>
      <c r="O218" s="1">
        <v>55.9</v>
      </c>
    </row>
    <row r="219" spans="4:15" x14ac:dyDescent="0.3">
      <c r="D219" s="1">
        <v>29761</v>
      </c>
      <c r="E219" s="2">
        <v>43649</v>
      </c>
      <c r="F219" s="1" t="s">
        <v>14</v>
      </c>
      <c r="G219" s="1">
        <v>19</v>
      </c>
      <c r="H219" t="str">
        <f t="shared" si="19"/>
        <v>Small-Medium</v>
      </c>
      <c r="I219" t="str">
        <f t="shared" si="15"/>
        <v>Small-Medium</v>
      </c>
      <c r="J219" s="1">
        <v>132.33000000000001</v>
      </c>
      <c r="K219">
        <f t="shared" si="16"/>
        <v>0</v>
      </c>
      <c r="L219">
        <f t="shared" si="17"/>
        <v>132.33000000000001</v>
      </c>
      <c r="M219" s="1">
        <f t="shared" si="18"/>
        <v>132.33000000000001</v>
      </c>
      <c r="N219" s="1" t="s">
        <v>10</v>
      </c>
      <c r="O219" s="1">
        <v>5.6</v>
      </c>
    </row>
    <row r="220" spans="4:15" x14ac:dyDescent="0.3">
      <c r="D220" s="1">
        <v>33477</v>
      </c>
      <c r="E220" s="2">
        <v>43757</v>
      </c>
      <c r="F220" s="1" t="s">
        <v>9</v>
      </c>
      <c r="G220" s="1">
        <v>28</v>
      </c>
      <c r="H220" t="str">
        <f t="shared" si="19"/>
        <v>Medium-Large</v>
      </c>
      <c r="I220" t="str">
        <f t="shared" si="15"/>
        <v>Medium-Large</v>
      </c>
      <c r="J220" s="1">
        <v>288.13</v>
      </c>
      <c r="K220">
        <f t="shared" si="16"/>
        <v>0</v>
      </c>
      <c r="L220">
        <f t="shared" si="17"/>
        <v>288.13</v>
      </c>
      <c r="M220" s="1">
        <f t="shared" si="18"/>
        <v>288.13</v>
      </c>
      <c r="N220" s="1" t="s">
        <v>10</v>
      </c>
      <c r="O220" s="1">
        <v>1.1000000000000001</v>
      </c>
    </row>
    <row r="221" spans="4:15" x14ac:dyDescent="0.3">
      <c r="D221" s="1">
        <v>29347</v>
      </c>
      <c r="E221" s="2">
        <v>43689</v>
      </c>
      <c r="F221" s="1" t="s">
        <v>14</v>
      </c>
      <c r="G221" s="1">
        <v>50</v>
      </c>
      <c r="H221" t="str">
        <f t="shared" si="19"/>
        <v>XXX Large</v>
      </c>
      <c r="I221" t="str">
        <f t="shared" si="15"/>
        <v>XXX Large</v>
      </c>
      <c r="J221" s="1">
        <v>2183.2199999999998</v>
      </c>
      <c r="K221">
        <f t="shared" si="16"/>
        <v>0.01</v>
      </c>
      <c r="L221">
        <f t="shared" si="17"/>
        <v>2161.3878</v>
      </c>
      <c r="M221" s="1">
        <f t="shared" si="18"/>
        <v>2161.8199999999997</v>
      </c>
      <c r="N221" s="1" t="s">
        <v>10</v>
      </c>
      <c r="O221" s="1">
        <v>21.4</v>
      </c>
    </row>
    <row r="222" spans="4:15" x14ac:dyDescent="0.3">
      <c r="D222" s="1">
        <v>38851</v>
      </c>
      <c r="E222" s="2">
        <v>43626</v>
      </c>
      <c r="F222" s="1" t="s">
        <v>12</v>
      </c>
      <c r="G222" s="1">
        <v>1</v>
      </c>
      <c r="H222" t="str">
        <f t="shared" si="19"/>
        <v>Mini</v>
      </c>
      <c r="I222" t="str">
        <f t="shared" si="15"/>
        <v>Mini</v>
      </c>
      <c r="J222" s="1">
        <v>9.08</v>
      </c>
      <c r="K222">
        <f t="shared" si="16"/>
        <v>0</v>
      </c>
      <c r="L222">
        <f t="shared" si="17"/>
        <v>9.08</v>
      </c>
      <c r="M222" s="1">
        <f t="shared" si="18"/>
        <v>9.08</v>
      </c>
      <c r="N222" s="1" t="s">
        <v>10</v>
      </c>
      <c r="O222" s="1">
        <v>5</v>
      </c>
    </row>
    <row r="223" spans="4:15" x14ac:dyDescent="0.3">
      <c r="D223" s="1">
        <v>3205</v>
      </c>
      <c r="E223" s="2">
        <v>43565</v>
      </c>
      <c r="F223" s="1" t="s">
        <v>7</v>
      </c>
      <c r="G223" s="1">
        <v>42</v>
      </c>
      <c r="H223" t="str">
        <f t="shared" si="19"/>
        <v>XX Large</v>
      </c>
      <c r="I223" t="str">
        <f t="shared" si="15"/>
        <v>XX Large</v>
      </c>
      <c r="J223" s="1">
        <v>3111.1641</v>
      </c>
      <c r="K223">
        <f t="shared" si="16"/>
        <v>0.01</v>
      </c>
      <c r="L223">
        <f t="shared" si="17"/>
        <v>3080.052459</v>
      </c>
      <c r="M223" s="1">
        <f t="shared" si="18"/>
        <v>3037.3640999999998</v>
      </c>
      <c r="N223" s="1" t="s">
        <v>8</v>
      </c>
      <c r="O223" s="1">
        <v>73.8</v>
      </c>
    </row>
    <row r="224" spans="4:15" x14ac:dyDescent="0.3">
      <c r="D224" s="1">
        <v>26726</v>
      </c>
      <c r="E224" s="2">
        <v>43826</v>
      </c>
      <c r="F224" s="1" t="s">
        <v>9</v>
      </c>
      <c r="G224" s="1">
        <v>11</v>
      </c>
      <c r="H224" t="str">
        <f t="shared" si="19"/>
        <v>Small</v>
      </c>
      <c r="I224" t="str">
        <f t="shared" si="15"/>
        <v>Small</v>
      </c>
      <c r="J224" s="1">
        <v>92.75</v>
      </c>
      <c r="K224">
        <f t="shared" si="16"/>
        <v>0</v>
      </c>
      <c r="L224">
        <f t="shared" si="17"/>
        <v>92.75</v>
      </c>
      <c r="M224" s="1">
        <f t="shared" si="18"/>
        <v>92.75</v>
      </c>
      <c r="N224" s="1" t="s">
        <v>10</v>
      </c>
      <c r="O224" s="1">
        <v>52.4</v>
      </c>
    </row>
    <row r="225" spans="4:15" x14ac:dyDescent="0.3">
      <c r="D225" s="1">
        <v>3680</v>
      </c>
      <c r="E225" s="2">
        <v>43808</v>
      </c>
      <c r="F225" s="1" t="s">
        <v>11</v>
      </c>
      <c r="G225" s="1">
        <v>24</v>
      </c>
      <c r="H225" t="str">
        <f t="shared" si="19"/>
        <v>Medium</v>
      </c>
      <c r="I225" t="str">
        <f t="shared" si="15"/>
        <v>Medium</v>
      </c>
      <c r="J225" s="1">
        <v>106.5</v>
      </c>
      <c r="K225">
        <f t="shared" si="16"/>
        <v>0</v>
      </c>
      <c r="L225">
        <f t="shared" si="17"/>
        <v>106.5</v>
      </c>
      <c r="M225" s="1">
        <f t="shared" si="18"/>
        <v>106.5</v>
      </c>
      <c r="N225" s="1" t="s">
        <v>8</v>
      </c>
      <c r="O225" s="1">
        <v>1.6</v>
      </c>
    </row>
    <row r="226" spans="4:15" x14ac:dyDescent="0.3">
      <c r="D226" s="1">
        <v>14784</v>
      </c>
      <c r="E226" s="2">
        <v>43538</v>
      </c>
      <c r="F226" s="1" t="s">
        <v>14</v>
      </c>
      <c r="G226" s="1">
        <v>43</v>
      </c>
      <c r="H226" t="str">
        <f t="shared" si="19"/>
        <v>XX Large</v>
      </c>
      <c r="I226" t="str">
        <f t="shared" si="15"/>
        <v>XX Large</v>
      </c>
      <c r="J226" s="1">
        <v>2149.6799999999998</v>
      </c>
      <c r="K226">
        <f t="shared" si="16"/>
        <v>0.01</v>
      </c>
      <c r="L226">
        <f t="shared" si="17"/>
        <v>2128.1831999999999</v>
      </c>
      <c r="M226" s="1">
        <f t="shared" si="18"/>
        <v>2099.7799999999997</v>
      </c>
      <c r="N226" s="1" t="s">
        <v>13</v>
      </c>
      <c r="O226" s="1">
        <v>49.9</v>
      </c>
    </row>
    <row r="227" spans="4:15" x14ac:dyDescent="0.3">
      <c r="D227" s="1">
        <v>17799</v>
      </c>
      <c r="E227" s="2">
        <v>43728</v>
      </c>
      <c r="F227" s="1" t="s">
        <v>14</v>
      </c>
      <c r="G227" s="1">
        <v>8</v>
      </c>
      <c r="H227" t="str">
        <f t="shared" si="19"/>
        <v>Extra Small</v>
      </c>
      <c r="I227" t="str">
        <f t="shared" si="15"/>
        <v>Extra Small</v>
      </c>
      <c r="J227" s="1">
        <v>159.97999999999999</v>
      </c>
      <c r="K227">
        <f t="shared" si="16"/>
        <v>0</v>
      </c>
      <c r="L227">
        <f t="shared" si="17"/>
        <v>159.97999999999999</v>
      </c>
      <c r="M227" s="1">
        <f t="shared" si="18"/>
        <v>159.97999999999999</v>
      </c>
      <c r="N227" s="1" t="s">
        <v>10</v>
      </c>
      <c r="O227" s="1">
        <v>13.3</v>
      </c>
    </row>
    <row r="228" spans="4:15" x14ac:dyDescent="0.3">
      <c r="D228" s="1">
        <v>16709</v>
      </c>
      <c r="E228" s="2">
        <v>43744</v>
      </c>
      <c r="F228" s="1" t="s">
        <v>9</v>
      </c>
      <c r="G228" s="1">
        <v>3</v>
      </c>
      <c r="H228" t="str">
        <f t="shared" si="19"/>
        <v>Mini</v>
      </c>
      <c r="I228" t="str">
        <f t="shared" si="15"/>
        <v>Mini</v>
      </c>
      <c r="J228" s="1">
        <v>26.07</v>
      </c>
      <c r="K228">
        <f t="shared" si="16"/>
        <v>0</v>
      </c>
      <c r="L228">
        <f t="shared" si="17"/>
        <v>26.07</v>
      </c>
      <c r="M228" s="1">
        <f t="shared" si="18"/>
        <v>26.07</v>
      </c>
      <c r="N228" s="1" t="s">
        <v>10</v>
      </c>
      <c r="O228" s="1">
        <v>6.1</v>
      </c>
    </row>
    <row r="229" spans="4:15" x14ac:dyDescent="0.3">
      <c r="D229" s="1">
        <v>46691</v>
      </c>
      <c r="E229" s="2">
        <v>43640</v>
      </c>
      <c r="F229" s="1" t="s">
        <v>12</v>
      </c>
      <c r="G229" s="1">
        <v>47</v>
      </c>
      <c r="H229" t="str">
        <f t="shared" si="19"/>
        <v>XXX Large</v>
      </c>
      <c r="I229" t="str">
        <f t="shared" si="15"/>
        <v>XXX Large</v>
      </c>
      <c r="J229" s="1">
        <v>1793.59</v>
      </c>
      <c r="K229">
        <f t="shared" si="16"/>
        <v>0.01</v>
      </c>
      <c r="L229">
        <f t="shared" si="17"/>
        <v>1775.6541</v>
      </c>
      <c r="M229" s="1">
        <f t="shared" si="18"/>
        <v>1769.3899999999999</v>
      </c>
      <c r="N229" s="1" t="s">
        <v>10</v>
      </c>
      <c r="O229" s="1">
        <v>24.2</v>
      </c>
    </row>
    <row r="230" spans="4:15" x14ac:dyDescent="0.3">
      <c r="D230" s="1">
        <v>51044</v>
      </c>
      <c r="E230" s="2">
        <v>43482</v>
      </c>
      <c r="F230" s="1" t="s">
        <v>7</v>
      </c>
      <c r="G230" s="1">
        <v>26</v>
      </c>
      <c r="H230" t="str">
        <f t="shared" si="19"/>
        <v>Medium-Large</v>
      </c>
      <c r="I230" t="str">
        <f t="shared" si="15"/>
        <v>Medium-Large</v>
      </c>
      <c r="J230" s="1">
        <v>1426.5</v>
      </c>
      <c r="K230">
        <f t="shared" si="16"/>
        <v>0</v>
      </c>
      <c r="L230">
        <f t="shared" si="17"/>
        <v>1426.5</v>
      </c>
      <c r="M230" s="1">
        <f t="shared" si="18"/>
        <v>1426.5</v>
      </c>
      <c r="N230" s="1" t="s">
        <v>13</v>
      </c>
      <c r="O230" s="1">
        <v>15.2</v>
      </c>
    </row>
    <row r="231" spans="4:15" x14ac:dyDescent="0.3">
      <c r="D231" s="1">
        <v>22183</v>
      </c>
      <c r="E231" s="2">
        <v>43578</v>
      </c>
      <c r="F231" s="1" t="s">
        <v>14</v>
      </c>
      <c r="G231" s="1">
        <v>30</v>
      </c>
      <c r="H231" t="str">
        <f t="shared" si="19"/>
        <v>Medium-Large</v>
      </c>
      <c r="I231" t="str">
        <f t="shared" si="15"/>
        <v>Medium-Large</v>
      </c>
      <c r="J231" s="1">
        <v>189.63</v>
      </c>
      <c r="K231">
        <f t="shared" si="16"/>
        <v>0</v>
      </c>
      <c r="L231">
        <f t="shared" si="17"/>
        <v>189.63</v>
      </c>
      <c r="M231" s="1">
        <f t="shared" si="18"/>
        <v>189.63</v>
      </c>
      <c r="N231" s="1" t="s">
        <v>10</v>
      </c>
      <c r="O231" s="1">
        <v>1.1000000000000001</v>
      </c>
    </row>
    <row r="232" spans="4:15" x14ac:dyDescent="0.3">
      <c r="D232" s="1">
        <v>13892</v>
      </c>
      <c r="E232" s="2">
        <v>43582</v>
      </c>
      <c r="F232" s="1" t="s">
        <v>9</v>
      </c>
      <c r="G232" s="1">
        <v>47</v>
      </c>
      <c r="H232" t="str">
        <f t="shared" si="19"/>
        <v>XXX Large</v>
      </c>
      <c r="I232" t="str">
        <f t="shared" si="15"/>
        <v>XXX Large</v>
      </c>
      <c r="J232" s="1">
        <v>1548.26</v>
      </c>
      <c r="K232">
        <f t="shared" si="16"/>
        <v>0.01</v>
      </c>
      <c r="L232">
        <f t="shared" si="17"/>
        <v>1532.7773999999999</v>
      </c>
      <c r="M232" s="1">
        <f t="shared" si="18"/>
        <v>1546.16</v>
      </c>
      <c r="N232" s="1" t="s">
        <v>10</v>
      </c>
      <c r="O232" s="1">
        <v>2.1</v>
      </c>
    </row>
    <row r="233" spans="4:15" x14ac:dyDescent="0.3">
      <c r="D233" s="1">
        <v>13988</v>
      </c>
      <c r="E233" s="2">
        <v>43678</v>
      </c>
      <c r="F233" s="1" t="s">
        <v>11</v>
      </c>
      <c r="G233" s="1">
        <v>39</v>
      </c>
      <c r="H233" t="str">
        <f t="shared" si="19"/>
        <v>Extra Large</v>
      </c>
      <c r="I233" t="str">
        <f t="shared" si="15"/>
        <v>Extra Large</v>
      </c>
      <c r="J233" s="1">
        <v>670.85</v>
      </c>
      <c r="K233">
        <f t="shared" si="16"/>
        <v>0.01</v>
      </c>
      <c r="L233">
        <f t="shared" si="17"/>
        <v>664.14150000000006</v>
      </c>
      <c r="M233" s="1">
        <f t="shared" si="18"/>
        <v>662.65</v>
      </c>
      <c r="N233" s="1" t="s">
        <v>10</v>
      </c>
      <c r="O233" s="1">
        <v>8.1999999999999993</v>
      </c>
    </row>
    <row r="234" spans="4:15" x14ac:dyDescent="0.3">
      <c r="D234" s="1">
        <v>53024</v>
      </c>
      <c r="E234" s="2">
        <v>43597</v>
      </c>
      <c r="F234" s="1" t="s">
        <v>11</v>
      </c>
      <c r="G234" s="1">
        <v>46</v>
      </c>
      <c r="H234" t="str">
        <f t="shared" si="19"/>
        <v>XXX Large</v>
      </c>
      <c r="I234" t="str">
        <f t="shared" si="15"/>
        <v>XXX Large</v>
      </c>
      <c r="J234" s="1">
        <v>2413.06</v>
      </c>
      <c r="K234">
        <f t="shared" si="16"/>
        <v>0.01</v>
      </c>
      <c r="L234">
        <f t="shared" si="17"/>
        <v>2388.9294</v>
      </c>
      <c r="M234" s="1">
        <f t="shared" si="18"/>
        <v>2407.66</v>
      </c>
      <c r="N234" s="1" t="s">
        <v>10</v>
      </c>
      <c r="O234" s="1">
        <v>5.4</v>
      </c>
    </row>
    <row r="235" spans="4:15" x14ac:dyDescent="0.3">
      <c r="D235" s="1">
        <v>39938</v>
      </c>
      <c r="E235" s="2">
        <v>43626</v>
      </c>
      <c r="F235" s="1" t="s">
        <v>9</v>
      </c>
      <c r="G235" s="1">
        <v>5</v>
      </c>
      <c r="H235" t="str">
        <f t="shared" si="19"/>
        <v>Mini</v>
      </c>
      <c r="I235" t="str">
        <f t="shared" si="15"/>
        <v>Mini</v>
      </c>
      <c r="J235" s="1">
        <v>181.12</v>
      </c>
      <c r="K235">
        <f t="shared" si="16"/>
        <v>0</v>
      </c>
      <c r="L235">
        <f t="shared" si="17"/>
        <v>181.12</v>
      </c>
      <c r="M235" s="1">
        <f t="shared" si="18"/>
        <v>181.12</v>
      </c>
      <c r="N235" s="1" t="s">
        <v>10</v>
      </c>
      <c r="O235" s="1">
        <v>9.6</v>
      </c>
    </row>
    <row r="236" spans="4:15" x14ac:dyDescent="0.3">
      <c r="D236" s="1">
        <v>6373</v>
      </c>
      <c r="E236" s="2">
        <v>43487</v>
      </c>
      <c r="F236" s="1" t="s">
        <v>11</v>
      </c>
      <c r="G236" s="1">
        <v>1</v>
      </c>
      <c r="H236" t="str">
        <f t="shared" si="19"/>
        <v>Mini</v>
      </c>
      <c r="I236" t="str">
        <f t="shared" si="15"/>
        <v>Mini</v>
      </c>
      <c r="J236" s="1">
        <v>67.16</v>
      </c>
      <c r="K236">
        <f t="shared" si="16"/>
        <v>0</v>
      </c>
      <c r="L236">
        <f t="shared" si="17"/>
        <v>67.16</v>
      </c>
      <c r="M236" s="1">
        <f t="shared" si="18"/>
        <v>67.16</v>
      </c>
      <c r="N236" s="1" t="s">
        <v>10</v>
      </c>
      <c r="O236" s="1">
        <v>4.8</v>
      </c>
    </row>
    <row r="237" spans="4:15" x14ac:dyDescent="0.3">
      <c r="D237" s="1">
        <v>6182</v>
      </c>
      <c r="E237" s="2">
        <v>43667</v>
      </c>
      <c r="F237" s="1" t="s">
        <v>7</v>
      </c>
      <c r="G237" s="1">
        <v>40</v>
      </c>
      <c r="H237" t="str">
        <f t="shared" si="19"/>
        <v>Extra Large</v>
      </c>
      <c r="I237" t="str">
        <f t="shared" si="15"/>
        <v>Extra Large</v>
      </c>
      <c r="J237" s="1">
        <v>273.36</v>
      </c>
      <c r="K237">
        <f t="shared" si="16"/>
        <v>0.01</v>
      </c>
      <c r="L237">
        <f t="shared" si="17"/>
        <v>270.62639999999999</v>
      </c>
      <c r="M237" s="1">
        <f t="shared" si="18"/>
        <v>266.26</v>
      </c>
      <c r="N237" s="1" t="s">
        <v>10</v>
      </c>
      <c r="O237" s="1">
        <v>7.1</v>
      </c>
    </row>
    <row r="238" spans="4:15" x14ac:dyDescent="0.3">
      <c r="D238" s="1">
        <v>17953</v>
      </c>
      <c r="E238" s="2">
        <v>43697</v>
      </c>
      <c r="F238" s="1" t="s">
        <v>9</v>
      </c>
      <c r="G238" s="1">
        <v>21</v>
      </c>
      <c r="H238" t="str">
        <f t="shared" si="19"/>
        <v>Medium</v>
      </c>
      <c r="I238" t="str">
        <f t="shared" si="15"/>
        <v>Medium</v>
      </c>
      <c r="J238" s="1">
        <v>1594.9</v>
      </c>
      <c r="K238">
        <f t="shared" si="16"/>
        <v>0</v>
      </c>
      <c r="L238">
        <f t="shared" si="17"/>
        <v>1594.9</v>
      </c>
      <c r="M238" s="1">
        <f t="shared" si="18"/>
        <v>1594.9</v>
      </c>
      <c r="N238" s="1" t="s">
        <v>13</v>
      </c>
      <c r="O238" s="1">
        <v>64.2</v>
      </c>
    </row>
    <row r="239" spans="4:15" x14ac:dyDescent="0.3">
      <c r="D239" s="1">
        <v>23584</v>
      </c>
      <c r="E239" s="2">
        <v>43536</v>
      </c>
      <c r="F239" s="1" t="s">
        <v>12</v>
      </c>
      <c r="G239" s="1">
        <v>14</v>
      </c>
      <c r="H239" t="str">
        <f t="shared" si="19"/>
        <v>Small</v>
      </c>
      <c r="I239" t="str">
        <f t="shared" si="15"/>
        <v>Small</v>
      </c>
      <c r="J239" s="1">
        <v>2858.19</v>
      </c>
      <c r="K239">
        <f t="shared" si="16"/>
        <v>0</v>
      </c>
      <c r="L239">
        <f t="shared" si="17"/>
        <v>2858.19</v>
      </c>
      <c r="M239" s="1">
        <f t="shared" si="18"/>
        <v>2858.19</v>
      </c>
      <c r="N239" s="1" t="s">
        <v>13</v>
      </c>
      <c r="O239" s="1">
        <v>16.7</v>
      </c>
    </row>
    <row r="240" spans="4:15" x14ac:dyDescent="0.3">
      <c r="D240" s="1">
        <v>31393</v>
      </c>
      <c r="E240" s="2">
        <v>43596</v>
      </c>
      <c r="F240" s="1" t="s">
        <v>12</v>
      </c>
      <c r="G240" s="1">
        <v>31</v>
      </c>
      <c r="H240" t="str">
        <f t="shared" si="19"/>
        <v>Large</v>
      </c>
      <c r="I240" t="str">
        <f t="shared" si="15"/>
        <v>Large</v>
      </c>
      <c r="J240" s="1">
        <v>118.04</v>
      </c>
      <c r="K240">
        <f t="shared" si="16"/>
        <v>0</v>
      </c>
      <c r="L240">
        <f t="shared" si="17"/>
        <v>118.04</v>
      </c>
      <c r="M240" s="1">
        <f t="shared" si="18"/>
        <v>118.04</v>
      </c>
      <c r="N240" s="1" t="s">
        <v>10</v>
      </c>
      <c r="O240" s="1">
        <v>1.4</v>
      </c>
    </row>
    <row r="241" spans="4:15" x14ac:dyDescent="0.3">
      <c r="D241" s="1">
        <v>42054</v>
      </c>
      <c r="E241" s="2">
        <v>43722</v>
      </c>
      <c r="F241" s="1" t="s">
        <v>14</v>
      </c>
      <c r="G241" s="1">
        <v>32</v>
      </c>
      <c r="H241" t="str">
        <f t="shared" si="19"/>
        <v>Large</v>
      </c>
      <c r="I241" t="str">
        <f t="shared" si="15"/>
        <v>Large</v>
      </c>
      <c r="J241" s="1">
        <v>101.17</v>
      </c>
      <c r="K241">
        <f t="shared" si="16"/>
        <v>0</v>
      </c>
      <c r="L241">
        <f t="shared" si="17"/>
        <v>101.17</v>
      </c>
      <c r="M241" s="1">
        <f t="shared" si="18"/>
        <v>101.17</v>
      </c>
      <c r="N241" s="1" t="s">
        <v>10</v>
      </c>
      <c r="O241" s="1">
        <v>1.6</v>
      </c>
    </row>
    <row r="242" spans="4:15" x14ac:dyDescent="0.3">
      <c r="D242" s="1">
        <v>26912</v>
      </c>
      <c r="E242" s="2">
        <v>43582</v>
      </c>
      <c r="F242" s="1" t="s">
        <v>7</v>
      </c>
      <c r="G242" s="1">
        <v>18</v>
      </c>
      <c r="H242" t="str">
        <f t="shared" si="19"/>
        <v>Small-Medium</v>
      </c>
      <c r="I242" t="str">
        <f t="shared" si="15"/>
        <v>Small-Medium</v>
      </c>
      <c r="J242" s="1">
        <v>3355.74</v>
      </c>
      <c r="K242">
        <f t="shared" si="16"/>
        <v>0</v>
      </c>
      <c r="L242">
        <f t="shared" si="17"/>
        <v>3355.74</v>
      </c>
      <c r="M242" s="1">
        <f t="shared" si="18"/>
        <v>3355.74</v>
      </c>
      <c r="N242" s="1" t="s">
        <v>10</v>
      </c>
      <c r="O242" s="1">
        <v>5.6</v>
      </c>
    </row>
    <row r="243" spans="4:15" x14ac:dyDescent="0.3">
      <c r="D243" s="1">
        <v>9925</v>
      </c>
      <c r="E243" s="2">
        <v>43494</v>
      </c>
      <c r="F243" s="1" t="s">
        <v>12</v>
      </c>
      <c r="G243" s="1">
        <v>31</v>
      </c>
      <c r="H243" t="str">
        <f t="shared" si="19"/>
        <v>Large</v>
      </c>
      <c r="I243" t="str">
        <f t="shared" si="15"/>
        <v>Large</v>
      </c>
      <c r="J243" s="1">
        <v>732.42</v>
      </c>
      <c r="K243">
        <f t="shared" si="16"/>
        <v>0</v>
      </c>
      <c r="L243">
        <f t="shared" si="17"/>
        <v>732.42</v>
      </c>
      <c r="M243" s="1">
        <f t="shared" si="18"/>
        <v>732.42</v>
      </c>
      <c r="N243" s="1" t="s">
        <v>10</v>
      </c>
      <c r="O243" s="1">
        <v>9.6</v>
      </c>
    </row>
    <row r="244" spans="4:15" x14ac:dyDescent="0.3">
      <c r="D244" s="1">
        <v>48448</v>
      </c>
      <c r="E244" s="2">
        <v>43785</v>
      </c>
      <c r="F244" s="1" t="s">
        <v>7</v>
      </c>
      <c r="G244" s="1">
        <v>20</v>
      </c>
      <c r="H244" t="str">
        <f t="shared" si="19"/>
        <v>Small-Medium</v>
      </c>
      <c r="I244" t="str">
        <f t="shared" si="15"/>
        <v>Small-Medium</v>
      </c>
      <c r="J244" s="1">
        <v>364.82</v>
      </c>
      <c r="K244">
        <f t="shared" si="16"/>
        <v>0</v>
      </c>
      <c r="L244">
        <f t="shared" si="17"/>
        <v>364.82</v>
      </c>
      <c r="M244" s="1">
        <f t="shared" si="18"/>
        <v>364.82</v>
      </c>
      <c r="N244" s="1" t="s">
        <v>10</v>
      </c>
      <c r="O244" s="1">
        <v>1.1000000000000001</v>
      </c>
    </row>
    <row r="245" spans="4:15" x14ac:dyDescent="0.3">
      <c r="D245" s="1">
        <v>32386</v>
      </c>
      <c r="E245" s="2">
        <v>43573</v>
      </c>
      <c r="F245" s="1" t="s">
        <v>12</v>
      </c>
      <c r="G245" s="1">
        <v>1</v>
      </c>
      <c r="H245" t="str">
        <f t="shared" si="19"/>
        <v>Mini</v>
      </c>
      <c r="I245" t="str">
        <f t="shared" si="15"/>
        <v>Mini</v>
      </c>
      <c r="J245" s="1">
        <v>2135.89</v>
      </c>
      <c r="K245">
        <f t="shared" si="16"/>
        <v>0</v>
      </c>
      <c r="L245">
        <f t="shared" si="17"/>
        <v>2135.89</v>
      </c>
      <c r="M245" s="1">
        <f t="shared" si="18"/>
        <v>2135.89</v>
      </c>
      <c r="N245" s="1" t="s">
        <v>10</v>
      </c>
      <c r="O245" s="1">
        <v>15</v>
      </c>
    </row>
    <row r="246" spans="4:15" x14ac:dyDescent="0.3">
      <c r="D246" s="1">
        <v>7427</v>
      </c>
      <c r="E246" s="2">
        <v>43814</v>
      </c>
      <c r="F246" s="1" t="s">
        <v>11</v>
      </c>
      <c r="G246" s="1">
        <v>9</v>
      </c>
      <c r="H246" t="str">
        <f t="shared" si="19"/>
        <v>Extra Small</v>
      </c>
      <c r="I246" t="str">
        <f t="shared" si="15"/>
        <v>Extra Small</v>
      </c>
      <c r="J246" s="1">
        <v>195.02</v>
      </c>
      <c r="K246">
        <f t="shared" si="16"/>
        <v>0</v>
      </c>
      <c r="L246">
        <f t="shared" si="17"/>
        <v>195.02</v>
      </c>
      <c r="M246" s="1">
        <f t="shared" si="18"/>
        <v>195.02</v>
      </c>
      <c r="N246" s="1" t="s">
        <v>10</v>
      </c>
      <c r="O246" s="1">
        <v>1.6</v>
      </c>
    </row>
    <row r="247" spans="4:15" x14ac:dyDescent="0.3">
      <c r="D247" s="1">
        <v>27302</v>
      </c>
      <c r="E247" s="2">
        <v>43720</v>
      </c>
      <c r="F247" s="1" t="s">
        <v>7</v>
      </c>
      <c r="G247" s="1">
        <v>16</v>
      </c>
      <c r="H247" t="str">
        <f t="shared" si="19"/>
        <v>Small-Medium</v>
      </c>
      <c r="I247" t="str">
        <f t="shared" si="15"/>
        <v>Small-Medium</v>
      </c>
      <c r="J247" s="1">
        <v>254.17</v>
      </c>
      <c r="K247">
        <f t="shared" si="16"/>
        <v>0</v>
      </c>
      <c r="L247">
        <f t="shared" si="17"/>
        <v>254.17</v>
      </c>
      <c r="M247" s="1">
        <f t="shared" si="18"/>
        <v>254.17</v>
      </c>
      <c r="N247" s="1" t="s">
        <v>10</v>
      </c>
      <c r="O247" s="1">
        <v>9.4</v>
      </c>
    </row>
    <row r="248" spans="4:15" x14ac:dyDescent="0.3">
      <c r="D248" s="1">
        <v>52837</v>
      </c>
      <c r="E248" s="2">
        <v>43482</v>
      </c>
      <c r="F248" s="1" t="s">
        <v>12</v>
      </c>
      <c r="G248" s="1">
        <v>32</v>
      </c>
      <c r="H248" t="str">
        <f t="shared" si="19"/>
        <v>Large</v>
      </c>
      <c r="I248" t="str">
        <f t="shared" si="15"/>
        <v>Large</v>
      </c>
      <c r="J248" s="1">
        <v>6349.8</v>
      </c>
      <c r="K248">
        <f t="shared" si="16"/>
        <v>0</v>
      </c>
      <c r="L248">
        <f t="shared" si="17"/>
        <v>6349.8</v>
      </c>
      <c r="M248" s="1">
        <f t="shared" si="18"/>
        <v>6349.8</v>
      </c>
      <c r="N248" s="1" t="s">
        <v>10</v>
      </c>
      <c r="O248" s="1">
        <v>21.4</v>
      </c>
    </row>
    <row r="249" spans="4:15" x14ac:dyDescent="0.3">
      <c r="D249" s="1">
        <v>40388</v>
      </c>
      <c r="E249" s="2">
        <v>43670</v>
      </c>
      <c r="F249" s="1" t="s">
        <v>12</v>
      </c>
      <c r="G249" s="1">
        <v>17</v>
      </c>
      <c r="H249" t="str">
        <f t="shared" si="19"/>
        <v>Small-Medium</v>
      </c>
      <c r="I249" t="str">
        <f t="shared" si="15"/>
        <v>Small-Medium</v>
      </c>
      <c r="J249" s="1">
        <v>72.47</v>
      </c>
      <c r="K249">
        <f t="shared" si="16"/>
        <v>0</v>
      </c>
      <c r="L249">
        <f t="shared" si="17"/>
        <v>72.47</v>
      </c>
      <c r="M249" s="1">
        <f t="shared" si="18"/>
        <v>72.47</v>
      </c>
      <c r="N249" s="1" t="s">
        <v>10</v>
      </c>
      <c r="O249" s="1">
        <v>1</v>
      </c>
    </row>
    <row r="250" spans="4:15" x14ac:dyDescent="0.3">
      <c r="D250" s="1">
        <v>1991</v>
      </c>
      <c r="E250" s="2">
        <v>43714</v>
      </c>
      <c r="F250" s="1" t="s">
        <v>11</v>
      </c>
      <c r="G250" s="1">
        <v>27</v>
      </c>
      <c r="H250" t="str">
        <f t="shared" si="19"/>
        <v>Medium-Large</v>
      </c>
      <c r="I250" t="str">
        <f t="shared" si="15"/>
        <v>Medium-Large</v>
      </c>
      <c r="J250" s="1">
        <v>3735.43</v>
      </c>
      <c r="K250">
        <f t="shared" si="16"/>
        <v>0</v>
      </c>
      <c r="L250">
        <f t="shared" si="17"/>
        <v>3735.43</v>
      </c>
      <c r="M250" s="1">
        <f t="shared" si="18"/>
        <v>3735.43</v>
      </c>
      <c r="N250" s="1" t="s">
        <v>10</v>
      </c>
      <c r="O250" s="1">
        <v>26.2</v>
      </c>
    </row>
    <row r="251" spans="4:15" x14ac:dyDescent="0.3">
      <c r="D251" s="1">
        <v>33445</v>
      </c>
      <c r="E251" s="2">
        <v>43679</v>
      </c>
      <c r="F251" s="1" t="s">
        <v>7</v>
      </c>
      <c r="G251" s="1">
        <v>49</v>
      </c>
      <c r="H251" t="str">
        <f t="shared" si="19"/>
        <v>XXX Large</v>
      </c>
      <c r="I251" t="str">
        <f t="shared" si="15"/>
        <v>XXX Large</v>
      </c>
      <c r="J251" s="1">
        <v>3897.09</v>
      </c>
      <c r="K251">
        <f t="shared" si="16"/>
        <v>0.01</v>
      </c>
      <c r="L251">
        <f t="shared" si="17"/>
        <v>3858.1190999999999</v>
      </c>
      <c r="M251" s="1">
        <f t="shared" si="18"/>
        <v>3868.4900000000002</v>
      </c>
      <c r="N251" s="1" t="s">
        <v>13</v>
      </c>
      <c r="O251" s="1">
        <v>28.6</v>
      </c>
    </row>
    <row r="252" spans="4:15" x14ac:dyDescent="0.3">
      <c r="D252" s="1">
        <v>28294</v>
      </c>
      <c r="E252" s="2">
        <v>43607</v>
      </c>
      <c r="F252" s="1" t="s">
        <v>9</v>
      </c>
      <c r="G252" s="1">
        <v>47</v>
      </c>
      <c r="H252" t="str">
        <f t="shared" si="19"/>
        <v>XXX Large</v>
      </c>
      <c r="I252" t="str">
        <f t="shared" si="15"/>
        <v>XXX Large</v>
      </c>
      <c r="J252" s="1">
        <v>67.91</v>
      </c>
      <c r="K252">
        <f t="shared" si="16"/>
        <v>0.01</v>
      </c>
      <c r="L252">
        <f t="shared" si="17"/>
        <v>67.230899999999991</v>
      </c>
      <c r="M252" s="1">
        <f t="shared" si="18"/>
        <v>67.209999999999994</v>
      </c>
      <c r="N252" s="1" t="s">
        <v>10</v>
      </c>
      <c r="O252" s="1">
        <v>0.7</v>
      </c>
    </row>
    <row r="253" spans="4:15" x14ac:dyDescent="0.3">
      <c r="D253" s="1">
        <v>33184</v>
      </c>
      <c r="E253" s="2">
        <v>43508</v>
      </c>
      <c r="F253" s="1" t="s">
        <v>11</v>
      </c>
      <c r="G253" s="1">
        <v>32</v>
      </c>
      <c r="H253" t="str">
        <f t="shared" si="19"/>
        <v>Large</v>
      </c>
      <c r="I253" t="str">
        <f t="shared" si="15"/>
        <v>Large</v>
      </c>
      <c r="J253" s="1">
        <v>430.66</v>
      </c>
      <c r="K253">
        <f t="shared" si="16"/>
        <v>0</v>
      </c>
      <c r="L253">
        <f t="shared" si="17"/>
        <v>430.66</v>
      </c>
      <c r="M253" s="1">
        <f t="shared" si="18"/>
        <v>430.66</v>
      </c>
      <c r="N253" s="1" t="s">
        <v>10</v>
      </c>
      <c r="O253" s="1">
        <v>6</v>
      </c>
    </row>
    <row r="254" spans="4:15" x14ac:dyDescent="0.3">
      <c r="D254" s="1">
        <v>59878</v>
      </c>
      <c r="E254" s="2">
        <v>43613</v>
      </c>
      <c r="F254" s="1" t="s">
        <v>9</v>
      </c>
      <c r="G254" s="1">
        <v>23</v>
      </c>
      <c r="H254" t="str">
        <f t="shared" si="19"/>
        <v>Medium</v>
      </c>
      <c r="I254" t="str">
        <f t="shared" si="15"/>
        <v>Medium</v>
      </c>
      <c r="J254" s="1">
        <v>267.11</v>
      </c>
      <c r="K254">
        <f t="shared" si="16"/>
        <v>0</v>
      </c>
      <c r="L254">
        <f t="shared" si="17"/>
        <v>267.11</v>
      </c>
      <c r="M254" s="1">
        <f t="shared" si="18"/>
        <v>267.11</v>
      </c>
      <c r="N254" s="1" t="s">
        <v>10</v>
      </c>
      <c r="O254" s="1">
        <v>8</v>
      </c>
    </row>
    <row r="255" spans="4:15" x14ac:dyDescent="0.3">
      <c r="D255" s="1">
        <v>31555</v>
      </c>
      <c r="E255" s="2">
        <v>43468</v>
      </c>
      <c r="F255" s="1" t="s">
        <v>12</v>
      </c>
      <c r="G255" s="1">
        <v>38</v>
      </c>
      <c r="H255" t="str">
        <f t="shared" si="19"/>
        <v>Extra Large</v>
      </c>
      <c r="I255" t="str">
        <f t="shared" si="15"/>
        <v>Extra Large</v>
      </c>
      <c r="J255" s="1">
        <v>3778.97</v>
      </c>
      <c r="K255">
        <f t="shared" si="16"/>
        <v>0.01</v>
      </c>
      <c r="L255">
        <f t="shared" si="17"/>
        <v>3741.1803</v>
      </c>
      <c r="M255" s="1">
        <f t="shared" si="18"/>
        <v>3756.77</v>
      </c>
      <c r="N255" s="1" t="s">
        <v>10</v>
      </c>
      <c r="O255" s="1">
        <v>22.2</v>
      </c>
    </row>
    <row r="256" spans="4:15" x14ac:dyDescent="0.3">
      <c r="D256" s="1">
        <v>25986</v>
      </c>
      <c r="E256" s="2">
        <v>43638</v>
      </c>
      <c r="F256" s="1" t="s">
        <v>14</v>
      </c>
      <c r="G256" s="1">
        <v>48</v>
      </c>
      <c r="H256" t="str">
        <f t="shared" si="19"/>
        <v>XXX Large</v>
      </c>
      <c r="I256" t="str">
        <f t="shared" si="15"/>
        <v>XXX Large</v>
      </c>
      <c r="J256" s="1">
        <v>297.52999999999997</v>
      </c>
      <c r="K256">
        <f t="shared" si="16"/>
        <v>0.01</v>
      </c>
      <c r="L256">
        <f t="shared" si="17"/>
        <v>294.55469999999997</v>
      </c>
      <c r="M256" s="1">
        <f t="shared" si="18"/>
        <v>292.22999999999996</v>
      </c>
      <c r="N256" s="1" t="s">
        <v>10</v>
      </c>
      <c r="O256" s="1">
        <v>5.3</v>
      </c>
    </row>
    <row r="257" spans="4:15" x14ac:dyDescent="0.3">
      <c r="D257" s="1">
        <v>40672</v>
      </c>
      <c r="E257" s="2">
        <v>43767</v>
      </c>
      <c r="F257" s="1" t="s">
        <v>7</v>
      </c>
      <c r="G257" s="1">
        <v>16</v>
      </c>
      <c r="H257" t="str">
        <f t="shared" si="19"/>
        <v>Small-Medium</v>
      </c>
      <c r="I257" t="str">
        <f t="shared" si="15"/>
        <v>Small-Medium</v>
      </c>
      <c r="J257" s="1">
        <v>1731.16</v>
      </c>
      <c r="K257">
        <f t="shared" si="16"/>
        <v>0</v>
      </c>
      <c r="L257">
        <f t="shared" si="17"/>
        <v>1731.16</v>
      </c>
      <c r="M257" s="1">
        <f t="shared" si="18"/>
        <v>1731.16</v>
      </c>
      <c r="N257" s="1" t="s">
        <v>13</v>
      </c>
      <c r="O257" s="1">
        <v>38.299999999999997</v>
      </c>
    </row>
    <row r="258" spans="4:15" x14ac:dyDescent="0.3">
      <c r="D258" s="1">
        <v>2562</v>
      </c>
      <c r="E258" s="2">
        <v>43677</v>
      </c>
      <c r="F258" s="1" t="s">
        <v>12</v>
      </c>
      <c r="G258" s="1">
        <v>17</v>
      </c>
      <c r="H258" t="str">
        <f t="shared" si="19"/>
        <v>Small-Medium</v>
      </c>
      <c r="I258" t="str">
        <f t="shared" si="15"/>
        <v>Small-Medium</v>
      </c>
      <c r="J258" s="1">
        <v>878.66</v>
      </c>
      <c r="K258">
        <f t="shared" si="16"/>
        <v>0</v>
      </c>
      <c r="L258">
        <f t="shared" si="17"/>
        <v>878.66</v>
      </c>
      <c r="M258" s="1">
        <f t="shared" si="18"/>
        <v>878.66</v>
      </c>
      <c r="N258" s="1" t="s">
        <v>8</v>
      </c>
      <c r="O258" s="1">
        <v>6.2</v>
      </c>
    </row>
    <row r="259" spans="4:15" x14ac:dyDescent="0.3">
      <c r="D259" s="1">
        <v>16706</v>
      </c>
      <c r="E259" s="2">
        <v>43643</v>
      </c>
      <c r="F259" s="1" t="s">
        <v>9</v>
      </c>
      <c r="G259" s="1">
        <v>47</v>
      </c>
      <c r="H259" t="str">
        <f t="shared" si="19"/>
        <v>XXX Large</v>
      </c>
      <c r="I259" t="str">
        <f t="shared" ref="I259:I322" si="20">VLOOKUP(G259, $A$3:$B$12, 2, TRUE)</f>
        <v>XXX Large</v>
      </c>
      <c r="J259" s="1">
        <v>2079.7800000000002</v>
      </c>
      <c r="K259">
        <f t="shared" ref="K259:K322" si="21">IF(OR(I259="Extra Large", I259="XX Large", I259="XXX Large"), 0.01, 0)</f>
        <v>0.01</v>
      </c>
      <c r="L259">
        <f t="shared" ref="L259:L322" si="22">J259 * (1 - K259)</f>
        <v>2058.9822000000004</v>
      </c>
      <c r="M259" s="1">
        <f t="shared" ref="M259:M322" si="23">IF(OR(I259="Extra Large",I259="XX Large",I259="XXX Large"),J259-O259,J259)</f>
        <v>2043.1800000000003</v>
      </c>
      <c r="N259" s="1" t="s">
        <v>10</v>
      </c>
      <c r="O259" s="1">
        <v>36.6</v>
      </c>
    </row>
    <row r="260" spans="4:15" x14ac:dyDescent="0.3">
      <c r="D260" s="1">
        <v>53285</v>
      </c>
      <c r="E260" s="2">
        <v>43609</v>
      </c>
      <c r="F260" s="1" t="s">
        <v>12</v>
      </c>
      <c r="G260" s="1">
        <v>6</v>
      </c>
      <c r="H260" t="str">
        <f t="shared" si="19"/>
        <v>Extra Small</v>
      </c>
      <c r="I260" t="str">
        <f t="shared" si="20"/>
        <v>Extra Small</v>
      </c>
      <c r="J260" s="1">
        <v>1115.97</v>
      </c>
      <c r="K260">
        <f t="shared" si="21"/>
        <v>0</v>
      </c>
      <c r="L260">
        <f t="shared" si="22"/>
        <v>1115.97</v>
      </c>
      <c r="M260" s="1">
        <f t="shared" si="23"/>
        <v>1115.97</v>
      </c>
      <c r="N260" s="1" t="s">
        <v>10</v>
      </c>
      <c r="O260" s="1">
        <v>21.4</v>
      </c>
    </row>
    <row r="261" spans="4:15" x14ac:dyDescent="0.3">
      <c r="D261" s="1">
        <v>19044</v>
      </c>
      <c r="E261" s="2">
        <v>43566</v>
      </c>
      <c r="F261" s="1" t="s">
        <v>7</v>
      </c>
      <c r="G261" s="1">
        <v>32</v>
      </c>
      <c r="H261" t="str">
        <f t="shared" ref="H261:H324" si="24">VLOOKUP(G261, $A$3:$B$12, 2, TRUE)</f>
        <v>Large</v>
      </c>
      <c r="I261" t="str">
        <f t="shared" si="20"/>
        <v>Large</v>
      </c>
      <c r="J261" s="1">
        <v>5136.47</v>
      </c>
      <c r="K261">
        <f t="shared" si="21"/>
        <v>0</v>
      </c>
      <c r="L261">
        <f t="shared" si="22"/>
        <v>5136.47</v>
      </c>
      <c r="M261" s="1">
        <f t="shared" si="23"/>
        <v>5136.47</v>
      </c>
      <c r="N261" s="1" t="s">
        <v>10</v>
      </c>
      <c r="O261" s="1">
        <v>15</v>
      </c>
    </row>
    <row r="262" spans="4:15" x14ac:dyDescent="0.3">
      <c r="D262" s="1">
        <v>6117</v>
      </c>
      <c r="E262" s="2">
        <v>43820</v>
      </c>
      <c r="F262" s="1" t="s">
        <v>12</v>
      </c>
      <c r="G262" s="1">
        <v>7</v>
      </c>
      <c r="H262" t="str">
        <f t="shared" si="24"/>
        <v>Extra Small</v>
      </c>
      <c r="I262" t="str">
        <f t="shared" si="20"/>
        <v>Extra Small</v>
      </c>
      <c r="J262" s="1">
        <v>168.02</v>
      </c>
      <c r="K262">
        <f t="shared" si="21"/>
        <v>0</v>
      </c>
      <c r="L262">
        <f t="shared" si="22"/>
        <v>168.02</v>
      </c>
      <c r="M262" s="1">
        <f t="shared" si="23"/>
        <v>168.02</v>
      </c>
      <c r="N262" s="1" t="s">
        <v>10</v>
      </c>
      <c r="O262" s="1">
        <v>5.4</v>
      </c>
    </row>
    <row r="263" spans="4:15" x14ac:dyDescent="0.3">
      <c r="D263" s="1">
        <v>49255</v>
      </c>
      <c r="E263" s="2">
        <v>43638</v>
      </c>
      <c r="F263" s="1" t="s">
        <v>9</v>
      </c>
      <c r="G263" s="1">
        <v>20</v>
      </c>
      <c r="H263" t="str">
        <f t="shared" si="24"/>
        <v>Small-Medium</v>
      </c>
      <c r="I263" t="str">
        <f t="shared" si="20"/>
        <v>Small-Medium</v>
      </c>
      <c r="J263" s="1">
        <v>1452.46</v>
      </c>
      <c r="K263">
        <f t="shared" si="21"/>
        <v>0</v>
      </c>
      <c r="L263">
        <f t="shared" si="22"/>
        <v>1452.46</v>
      </c>
      <c r="M263" s="1">
        <f t="shared" si="23"/>
        <v>1452.46</v>
      </c>
      <c r="N263" s="1" t="s">
        <v>13</v>
      </c>
      <c r="O263" s="1">
        <v>28.7</v>
      </c>
    </row>
    <row r="264" spans="4:15" x14ac:dyDescent="0.3">
      <c r="D264" s="1">
        <v>48706</v>
      </c>
      <c r="E264" s="2">
        <v>43768</v>
      </c>
      <c r="F264" s="1" t="s">
        <v>7</v>
      </c>
      <c r="G264" s="1">
        <v>18</v>
      </c>
      <c r="H264" t="str">
        <f t="shared" si="24"/>
        <v>Small-Medium</v>
      </c>
      <c r="I264" t="str">
        <f t="shared" si="20"/>
        <v>Small-Medium</v>
      </c>
      <c r="J264" s="1">
        <v>142.07</v>
      </c>
      <c r="K264">
        <f t="shared" si="21"/>
        <v>0</v>
      </c>
      <c r="L264">
        <f t="shared" si="22"/>
        <v>142.07</v>
      </c>
      <c r="M264" s="1">
        <f t="shared" si="23"/>
        <v>142.07</v>
      </c>
      <c r="N264" s="1" t="s">
        <v>10</v>
      </c>
      <c r="O264" s="1">
        <v>11.9</v>
      </c>
    </row>
    <row r="265" spans="4:15" x14ac:dyDescent="0.3">
      <c r="D265" s="1">
        <v>25666</v>
      </c>
      <c r="E265" s="2">
        <v>43710</v>
      </c>
      <c r="F265" s="1" t="s">
        <v>12</v>
      </c>
      <c r="G265" s="1">
        <v>36</v>
      </c>
      <c r="H265" t="str">
        <f t="shared" si="24"/>
        <v>Extra Large</v>
      </c>
      <c r="I265" t="str">
        <f t="shared" si="20"/>
        <v>Extra Large</v>
      </c>
      <c r="J265" s="1">
        <v>5427.4</v>
      </c>
      <c r="K265">
        <f t="shared" si="21"/>
        <v>0.01</v>
      </c>
      <c r="L265">
        <f t="shared" si="22"/>
        <v>5373.1259999999993</v>
      </c>
      <c r="M265" s="1">
        <f t="shared" si="23"/>
        <v>5406</v>
      </c>
      <c r="N265" s="1" t="s">
        <v>10</v>
      </c>
      <c r="O265" s="1">
        <v>21.4</v>
      </c>
    </row>
    <row r="266" spans="4:15" x14ac:dyDescent="0.3">
      <c r="D266" s="1">
        <v>22182</v>
      </c>
      <c r="E266" s="2">
        <v>43713</v>
      </c>
      <c r="F266" s="1" t="s">
        <v>14</v>
      </c>
      <c r="G266" s="1">
        <v>4</v>
      </c>
      <c r="H266" t="str">
        <f t="shared" si="24"/>
        <v>Mini</v>
      </c>
      <c r="I266" t="str">
        <f t="shared" si="20"/>
        <v>Mini</v>
      </c>
      <c r="J266" s="1">
        <v>59.89</v>
      </c>
      <c r="K266">
        <f t="shared" si="21"/>
        <v>0</v>
      </c>
      <c r="L266">
        <f t="shared" si="22"/>
        <v>59.89</v>
      </c>
      <c r="M266" s="1">
        <f t="shared" si="23"/>
        <v>59.89</v>
      </c>
      <c r="N266" s="1" t="s">
        <v>10</v>
      </c>
      <c r="O266" s="1">
        <v>7.7</v>
      </c>
    </row>
    <row r="267" spans="4:15" x14ac:dyDescent="0.3">
      <c r="D267" s="1">
        <v>38052</v>
      </c>
      <c r="E267" s="2">
        <v>43510</v>
      </c>
      <c r="F267" s="1" t="s">
        <v>7</v>
      </c>
      <c r="G267" s="1">
        <v>13</v>
      </c>
      <c r="H267" t="str">
        <f t="shared" si="24"/>
        <v>Small</v>
      </c>
      <c r="I267" t="str">
        <f t="shared" si="20"/>
        <v>Small</v>
      </c>
      <c r="J267" s="1">
        <v>580.58000000000004</v>
      </c>
      <c r="K267">
        <f t="shared" si="21"/>
        <v>0</v>
      </c>
      <c r="L267">
        <f t="shared" si="22"/>
        <v>580.58000000000004</v>
      </c>
      <c r="M267" s="1">
        <f t="shared" si="23"/>
        <v>580.58000000000004</v>
      </c>
      <c r="N267" s="1" t="s">
        <v>10</v>
      </c>
      <c r="O267" s="1">
        <v>2.1</v>
      </c>
    </row>
    <row r="268" spans="4:15" x14ac:dyDescent="0.3">
      <c r="D268" s="1">
        <v>53477</v>
      </c>
      <c r="E268" s="2">
        <v>43590</v>
      </c>
      <c r="F268" s="1" t="s">
        <v>9</v>
      </c>
      <c r="G268" s="1">
        <v>36</v>
      </c>
      <c r="H268" t="str">
        <f t="shared" si="24"/>
        <v>Extra Large</v>
      </c>
      <c r="I268" t="str">
        <f t="shared" si="20"/>
        <v>Extra Large</v>
      </c>
      <c r="J268" s="1">
        <v>1406.68</v>
      </c>
      <c r="K268">
        <f t="shared" si="21"/>
        <v>0.01</v>
      </c>
      <c r="L268">
        <f t="shared" si="22"/>
        <v>1392.6132</v>
      </c>
      <c r="M268" s="1">
        <f t="shared" si="23"/>
        <v>1401.28</v>
      </c>
      <c r="N268" s="1" t="s">
        <v>10</v>
      </c>
      <c r="O268" s="1">
        <v>5.4</v>
      </c>
    </row>
    <row r="269" spans="4:15" x14ac:dyDescent="0.3">
      <c r="D269" s="1">
        <v>31270</v>
      </c>
      <c r="E269" s="2">
        <v>43792</v>
      </c>
      <c r="F269" s="1" t="s">
        <v>14</v>
      </c>
      <c r="G269" s="1">
        <v>3</v>
      </c>
      <c r="H269" t="str">
        <f t="shared" si="24"/>
        <v>Mini</v>
      </c>
      <c r="I269" t="str">
        <f t="shared" si="20"/>
        <v>Mini</v>
      </c>
      <c r="J269" s="1">
        <v>954.02</v>
      </c>
      <c r="K269">
        <f t="shared" si="21"/>
        <v>0</v>
      </c>
      <c r="L269">
        <f t="shared" si="22"/>
        <v>954.02</v>
      </c>
      <c r="M269" s="1">
        <f t="shared" si="23"/>
        <v>954.02</v>
      </c>
      <c r="N269" s="1" t="s">
        <v>13</v>
      </c>
      <c r="O269" s="1">
        <v>52.2</v>
      </c>
    </row>
    <row r="270" spans="4:15" x14ac:dyDescent="0.3">
      <c r="D270" s="1">
        <v>51202</v>
      </c>
      <c r="E270" s="2">
        <v>43568</v>
      </c>
      <c r="F270" s="1" t="s">
        <v>9</v>
      </c>
      <c r="G270" s="1">
        <v>34</v>
      </c>
      <c r="H270" t="str">
        <f t="shared" si="24"/>
        <v>Large</v>
      </c>
      <c r="I270" t="str">
        <f t="shared" si="20"/>
        <v>Large</v>
      </c>
      <c r="J270" s="1">
        <v>182.39</v>
      </c>
      <c r="K270">
        <f t="shared" si="21"/>
        <v>0</v>
      </c>
      <c r="L270">
        <f t="shared" si="22"/>
        <v>182.39</v>
      </c>
      <c r="M270" s="1">
        <f t="shared" si="23"/>
        <v>182.39</v>
      </c>
      <c r="N270" s="1" t="s">
        <v>10</v>
      </c>
      <c r="O270" s="1">
        <v>6.1</v>
      </c>
    </row>
    <row r="271" spans="4:15" x14ac:dyDescent="0.3">
      <c r="D271" s="1">
        <v>16036</v>
      </c>
      <c r="E271" s="2">
        <v>43469</v>
      </c>
      <c r="F271" s="1" t="s">
        <v>14</v>
      </c>
      <c r="G271" s="1">
        <v>10</v>
      </c>
      <c r="H271" t="str">
        <f t="shared" si="24"/>
        <v>Extra Small</v>
      </c>
      <c r="I271" t="str">
        <f t="shared" si="20"/>
        <v>Extra Small</v>
      </c>
      <c r="J271" s="1">
        <v>1411.78</v>
      </c>
      <c r="K271">
        <f t="shared" si="21"/>
        <v>0</v>
      </c>
      <c r="L271">
        <f t="shared" si="22"/>
        <v>1411.78</v>
      </c>
      <c r="M271" s="1">
        <f t="shared" si="23"/>
        <v>1411.78</v>
      </c>
      <c r="N271" s="1" t="s">
        <v>10</v>
      </c>
      <c r="O271" s="1">
        <v>8.6</v>
      </c>
    </row>
    <row r="272" spans="4:15" x14ac:dyDescent="0.3">
      <c r="D272" s="1">
        <v>17510</v>
      </c>
      <c r="E272" s="2">
        <v>43768</v>
      </c>
      <c r="F272" s="1" t="s">
        <v>12</v>
      </c>
      <c r="G272" s="1">
        <v>28</v>
      </c>
      <c r="H272" t="str">
        <f t="shared" si="24"/>
        <v>Medium-Large</v>
      </c>
      <c r="I272" t="str">
        <f t="shared" si="20"/>
        <v>Medium-Large</v>
      </c>
      <c r="J272" s="1">
        <v>494.47</v>
      </c>
      <c r="K272">
        <f t="shared" si="21"/>
        <v>0</v>
      </c>
      <c r="L272">
        <f t="shared" si="22"/>
        <v>494.47</v>
      </c>
      <c r="M272" s="1">
        <f t="shared" si="23"/>
        <v>494.47</v>
      </c>
      <c r="N272" s="1" t="s">
        <v>10</v>
      </c>
      <c r="O272" s="1">
        <v>1.5</v>
      </c>
    </row>
    <row r="273" spans="4:15" x14ac:dyDescent="0.3">
      <c r="D273" s="1">
        <v>10439</v>
      </c>
      <c r="E273" s="2">
        <v>43552</v>
      </c>
      <c r="F273" s="1" t="s">
        <v>11</v>
      </c>
      <c r="G273" s="1">
        <v>41</v>
      </c>
      <c r="H273" t="str">
        <f t="shared" si="24"/>
        <v>XX Large</v>
      </c>
      <c r="I273" t="str">
        <f t="shared" si="20"/>
        <v>XX Large</v>
      </c>
      <c r="J273" s="1">
        <v>880.7491</v>
      </c>
      <c r="K273">
        <f t="shared" si="21"/>
        <v>0.01</v>
      </c>
      <c r="L273">
        <f t="shared" si="22"/>
        <v>871.94160899999997</v>
      </c>
      <c r="M273" s="1">
        <f t="shared" si="23"/>
        <v>879.14909999999998</v>
      </c>
      <c r="N273" s="1" t="s">
        <v>10</v>
      </c>
      <c r="O273" s="1">
        <v>1.6</v>
      </c>
    </row>
    <row r="274" spans="4:15" x14ac:dyDescent="0.3">
      <c r="D274" s="1">
        <v>15399</v>
      </c>
      <c r="E274" s="2">
        <v>43598</v>
      </c>
      <c r="F274" s="1" t="s">
        <v>12</v>
      </c>
      <c r="G274" s="1">
        <v>38</v>
      </c>
      <c r="H274" t="str">
        <f t="shared" si="24"/>
        <v>Extra Large</v>
      </c>
      <c r="I274" t="str">
        <f t="shared" si="20"/>
        <v>Extra Large</v>
      </c>
      <c r="J274" s="1">
        <v>4267.26</v>
      </c>
      <c r="K274">
        <f t="shared" si="21"/>
        <v>0.01</v>
      </c>
      <c r="L274">
        <f t="shared" si="22"/>
        <v>4224.5874000000003</v>
      </c>
      <c r="M274" s="1">
        <f t="shared" si="23"/>
        <v>4262.76</v>
      </c>
      <c r="N274" s="1" t="s">
        <v>10</v>
      </c>
      <c r="O274" s="1">
        <v>4.5</v>
      </c>
    </row>
    <row r="275" spans="4:15" x14ac:dyDescent="0.3">
      <c r="D275" s="1">
        <v>48293</v>
      </c>
      <c r="E275" s="2">
        <v>43564</v>
      </c>
      <c r="F275" s="1" t="s">
        <v>12</v>
      </c>
      <c r="G275" s="1">
        <v>47</v>
      </c>
      <c r="H275" t="str">
        <f t="shared" si="24"/>
        <v>XXX Large</v>
      </c>
      <c r="I275" t="str">
        <f t="shared" si="20"/>
        <v>XXX Large</v>
      </c>
      <c r="J275" s="1">
        <v>396.54</v>
      </c>
      <c r="K275">
        <f t="shared" si="21"/>
        <v>0.01</v>
      </c>
      <c r="L275">
        <f t="shared" si="22"/>
        <v>392.57460000000003</v>
      </c>
      <c r="M275" s="1">
        <f t="shared" si="23"/>
        <v>395.04</v>
      </c>
      <c r="N275" s="1" t="s">
        <v>10</v>
      </c>
      <c r="O275" s="1">
        <v>1.5</v>
      </c>
    </row>
    <row r="276" spans="4:15" x14ac:dyDescent="0.3">
      <c r="D276" s="1">
        <v>15296</v>
      </c>
      <c r="E276" s="2">
        <v>43684</v>
      </c>
      <c r="F276" s="1" t="s">
        <v>11</v>
      </c>
      <c r="G276" s="1">
        <v>38</v>
      </c>
      <c r="H276" t="str">
        <f t="shared" si="24"/>
        <v>Extra Large</v>
      </c>
      <c r="I276" t="str">
        <f t="shared" si="20"/>
        <v>Extra Large</v>
      </c>
      <c r="J276" s="1">
        <v>6651.76</v>
      </c>
      <c r="K276">
        <f t="shared" si="21"/>
        <v>0.01</v>
      </c>
      <c r="L276">
        <f t="shared" si="22"/>
        <v>6585.2424000000001</v>
      </c>
      <c r="M276" s="1">
        <f t="shared" si="23"/>
        <v>6630.3600000000006</v>
      </c>
      <c r="N276" s="1" t="s">
        <v>10</v>
      </c>
      <c r="O276" s="1">
        <v>21.4</v>
      </c>
    </row>
    <row r="277" spans="4:15" x14ac:dyDescent="0.3">
      <c r="D277" s="1">
        <v>50818</v>
      </c>
      <c r="E277" s="2">
        <v>43744</v>
      </c>
      <c r="F277" s="1" t="s">
        <v>14</v>
      </c>
      <c r="G277" s="1">
        <v>34</v>
      </c>
      <c r="H277" t="str">
        <f t="shared" si="24"/>
        <v>Large</v>
      </c>
      <c r="I277" t="str">
        <f t="shared" si="20"/>
        <v>Large</v>
      </c>
      <c r="J277" s="1">
        <v>5904.83</v>
      </c>
      <c r="K277">
        <f t="shared" si="21"/>
        <v>0</v>
      </c>
      <c r="L277">
        <f t="shared" si="22"/>
        <v>5904.83</v>
      </c>
      <c r="M277" s="1">
        <f t="shared" si="23"/>
        <v>5904.83</v>
      </c>
      <c r="N277" s="1" t="s">
        <v>10</v>
      </c>
      <c r="O277" s="1">
        <v>9.6</v>
      </c>
    </row>
    <row r="278" spans="4:15" x14ac:dyDescent="0.3">
      <c r="D278" s="1">
        <v>41766</v>
      </c>
      <c r="E278" s="2">
        <v>43719</v>
      </c>
      <c r="F278" s="1" t="s">
        <v>12</v>
      </c>
      <c r="G278" s="1">
        <v>10</v>
      </c>
      <c r="H278" t="str">
        <f t="shared" si="24"/>
        <v>Extra Small</v>
      </c>
      <c r="I278" t="str">
        <f t="shared" si="20"/>
        <v>Extra Small</v>
      </c>
      <c r="J278" s="1">
        <v>5519.16</v>
      </c>
      <c r="K278">
        <f t="shared" si="21"/>
        <v>0</v>
      </c>
      <c r="L278">
        <f t="shared" si="22"/>
        <v>5519.16</v>
      </c>
      <c r="M278" s="1">
        <f t="shared" si="23"/>
        <v>5519.16</v>
      </c>
      <c r="N278" s="1" t="s">
        <v>13</v>
      </c>
      <c r="O278" s="1">
        <v>30.1</v>
      </c>
    </row>
    <row r="279" spans="4:15" x14ac:dyDescent="0.3">
      <c r="D279" s="1">
        <v>22980</v>
      </c>
      <c r="E279" s="2">
        <v>43739</v>
      </c>
      <c r="F279" s="1" t="s">
        <v>11</v>
      </c>
      <c r="G279" s="1">
        <v>10</v>
      </c>
      <c r="H279" t="str">
        <f t="shared" si="24"/>
        <v>Extra Small</v>
      </c>
      <c r="I279" t="str">
        <f t="shared" si="20"/>
        <v>Extra Small</v>
      </c>
      <c r="J279" s="1">
        <v>59.97</v>
      </c>
      <c r="K279">
        <f t="shared" si="21"/>
        <v>0</v>
      </c>
      <c r="L279">
        <f t="shared" si="22"/>
        <v>59.97</v>
      </c>
      <c r="M279" s="1">
        <f t="shared" si="23"/>
        <v>59.97</v>
      </c>
      <c r="N279" s="1" t="s">
        <v>10</v>
      </c>
      <c r="O279" s="1">
        <v>5.9</v>
      </c>
    </row>
    <row r="280" spans="4:15" x14ac:dyDescent="0.3">
      <c r="D280" s="1">
        <v>30976</v>
      </c>
      <c r="E280" s="2">
        <v>43762</v>
      </c>
      <c r="F280" s="1" t="s">
        <v>9</v>
      </c>
      <c r="G280" s="1">
        <v>10</v>
      </c>
      <c r="H280" t="str">
        <f t="shared" si="24"/>
        <v>Extra Small</v>
      </c>
      <c r="I280" t="str">
        <f t="shared" si="20"/>
        <v>Extra Small</v>
      </c>
      <c r="J280" s="1">
        <v>432.15159999999997</v>
      </c>
      <c r="K280">
        <f t="shared" si="21"/>
        <v>0</v>
      </c>
      <c r="L280">
        <f t="shared" si="22"/>
        <v>432.15159999999997</v>
      </c>
      <c r="M280" s="1">
        <f t="shared" si="23"/>
        <v>432.15159999999997</v>
      </c>
      <c r="N280" s="1" t="s">
        <v>10</v>
      </c>
      <c r="O280" s="1">
        <v>2.1</v>
      </c>
    </row>
    <row r="281" spans="4:15" x14ac:dyDescent="0.3">
      <c r="D281" s="1">
        <v>32449</v>
      </c>
      <c r="E281" s="2">
        <v>43808</v>
      </c>
      <c r="F281" s="1" t="s">
        <v>12</v>
      </c>
      <c r="G281" s="1">
        <v>12</v>
      </c>
      <c r="H281" t="str">
        <f t="shared" si="24"/>
        <v>Small</v>
      </c>
      <c r="I281" t="str">
        <f t="shared" si="20"/>
        <v>Small</v>
      </c>
      <c r="J281" s="1">
        <v>5229.24</v>
      </c>
      <c r="K281">
        <f t="shared" si="21"/>
        <v>0</v>
      </c>
      <c r="L281">
        <f t="shared" si="22"/>
        <v>5229.24</v>
      </c>
      <c r="M281" s="1">
        <f t="shared" si="23"/>
        <v>5229.24</v>
      </c>
      <c r="N281" s="1" t="s">
        <v>13</v>
      </c>
      <c r="O281" s="1">
        <v>117.9</v>
      </c>
    </row>
    <row r="282" spans="4:15" x14ac:dyDescent="0.3">
      <c r="D282" s="1">
        <v>48614</v>
      </c>
      <c r="E282" s="2">
        <v>43616</v>
      </c>
      <c r="F282" s="1" t="s">
        <v>12</v>
      </c>
      <c r="G282" s="1">
        <v>46</v>
      </c>
      <c r="H282" t="str">
        <f t="shared" si="24"/>
        <v>XXX Large</v>
      </c>
      <c r="I282" t="str">
        <f t="shared" si="20"/>
        <v>XXX Large</v>
      </c>
      <c r="J282" s="1">
        <v>8523.52</v>
      </c>
      <c r="K282">
        <f t="shared" si="21"/>
        <v>0.01</v>
      </c>
      <c r="L282">
        <f t="shared" si="22"/>
        <v>8438.2847999999994</v>
      </c>
      <c r="M282" s="1">
        <f t="shared" si="23"/>
        <v>8513.92</v>
      </c>
      <c r="N282" s="1" t="s">
        <v>10</v>
      </c>
      <c r="O282" s="1">
        <v>9.6</v>
      </c>
    </row>
    <row r="283" spans="4:15" x14ac:dyDescent="0.3">
      <c r="D283" s="1">
        <v>43653</v>
      </c>
      <c r="E283" s="2">
        <v>43768</v>
      </c>
      <c r="F283" s="1" t="s">
        <v>9</v>
      </c>
      <c r="G283" s="1">
        <v>10</v>
      </c>
      <c r="H283" t="str">
        <f t="shared" si="24"/>
        <v>Extra Small</v>
      </c>
      <c r="I283" t="str">
        <f t="shared" si="20"/>
        <v>Extra Small</v>
      </c>
      <c r="J283" s="1">
        <v>375.89</v>
      </c>
      <c r="K283">
        <f t="shared" si="21"/>
        <v>0</v>
      </c>
      <c r="L283">
        <f t="shared" si="22"/>
        <v>375.89</v>
      </c>
      <c r="M283" s="1">
        <f t="shared" si="23"/>
        <v>375.89</v>
      </c>
      <c r="N283" s="1" t="s">
        <v>10</v>
      </c>
      <c r="O283" s="1">
        <v>8.8000000000000007</v>
      </c>
    </row>
    <row r="284" spans="4:15" x14ac:dyDescent="0.3">
      <c r="D284" s="1">
        <v>32449</v>
      </c>
      <c r="E284" s="2">
        <v>43808</v>
      </c>
      <c r="F284" s="1" t="s">
        <v>12</v>
      </c>
      <c r="G284" s="1">
        <v>44</v>
      </c>
      <c r="H284" t="str">
        <f t="shared" si="24"/>
        <v>XX Large</v>
      </c>
      <c r="I284" t="str">
        <f t="shared" si="20"/>
        <v>XX Large</v>
      </c>
      <c r="J284" s="1">
        <v>7698.93</v>
      </c>
      <c r="K284">
        <f t="shared" si="21"/>
        <v>0.01</v>
      </c>
      <c r="L284">
        <f t="shared" si="22"/>
        <v>7621.9407000000001</v>
      </c>
      <c r="M284" s="1">
        <f t="shared" si="23"/>
        <v>7690.33</v>
      </c>
      <c r="N284" s="1" t="s">
        <v>8</v>
      </c>
      <c r="O284" s="1">
        <v>8.6</v>
      </c>
    </row>
    <row r="285" spans="4:15" x14ac:dyDescent="0.3">
      <c r="D285" s="1">
        <v>28198</v>
      </c>
      <c r="E285" s="2">
        <v>43503</v>
      </c>
      <c r="F285" s="1" t="s">
        <v>14</v>
      </c>
      <c r="G285" s="1">
        <v>50</v>
      </c>
      <c r="H285" t="str">
        <f t="shared" si="24"/>
        <v>XXX Large</v>
      </c>
      <c r="I285" t="str">
        <f t="shared" si="20"/>
        <v>XXX Large</v>
      </c>
      <c r="J285" s="1">
        <v>8243.24</v>
      </c>
      <c r="K285">
        <f t="shared" si="21"/>
        <v>0.01</v>
      </c>
      <c r="L285">
        <f t="shared" si="22"/>
        <v>8160.8076000000001</v>
      </c>
      <c r="M285" s="1">
        <f t="shared" si="23"/>
        <v>8233.64</v>
      </c>
      <c r="N285" s="1" t="s">
        <v>10</v>
      </c>
      <c r="O285" s="1">
        <v>9.6</v>
      </c>
    </row>
    <row r="286" spans="4:15" x14ac:dyDescent="0.3">
      <c r="D286" s="1">
        <v>20676</v>
      </c>
      <c r="E286" s="2">
        <v>43791</v>
      </c>
      <c r="F286" s="1" t="s">
        <v>7</v>
      </c>
      <c r="G286" s="1">
        <v>22</v>
      </c>
      <c r="H286" t="str">
        <f t="shared" si="24"/>
        <v>Medium</v>
      </c>
      <c r="I286" t="str">
        <f t="shared" si="20"/>
        <v>Medium</v>
      </c>
      <c r="J286" s="1">
        <v>47.05</v>
      </c>
      <c r="K286">
        <f t="shared" si="21"/>
        <v>0</v>
      </c>
      <c r="L286">
        <f t="shared" si="22"/>
        <v>47.05</v>
      </c>
      <c r="M286" s="1">
        <f t="shared" si="23"/>
        <v>47.05</v>
      </c>
      <c r="N286" s="1" t="s">
        <v>10</v>
      </c>
      <c r="O286" s="1">
        <v>1.6</v>
      </c>
    </row>
    <row r="287" spans="4:15" x14ac:dyDescent="0.3">
      <c r="D287" s="1">
        <v>51111</v>
      </c>
      <c r="E287" s="2">
        <v>43504</v>
      </c>
      <c r="F287" s="1" t="s">
        <v>11</v>
      </c>
      <c r="G287" s="1">
        <v>1</v>
      </c>
      <c r="H287" t="str">
        <f t="shared" si="24"/>
        <v>Mini</v>
      </c>
      <c r="I287" t="str">
        <f t="shared" si="20"/>
        <v>Mini</v>
      </c>
      <c r="J287" s="1">
        <v>65.37</v>
      </c>
      <c r="K287">
        <f t="shared" si="21"/>
        <v>0</v>
      </c>
      <c r="L287">
        <f t="shared" si="22"/>
        <v>65.37</v>
      </c>
      <c r="M287" s="1">
        <f t="shared" si="23"/>
        <v>65.37</v>
      </c>
      <c r="N287" s="1" t="s">
        <v>10</v>
      </c>
      <c r="O287" s="1">
        <v>6.3</v>
      </c>
    </row>
    <row r="288" spans="4:15" x14ac:dyDescent="0.3">
      <c r="D288" s="1">
        <v>53477</v>
      </c>
      <c r="E288" s="2">
        <v>43590</v>
      </c>
      <c r="F288" s="1" t="s">
        <v>9</v>
      </c>
      <c r="G288" s="1">
        <v>32</v>
      </c>
      <c r="H288" t="str">
        <f t="shared" si="24"/>
        <v>Large</v>
      </c>
      <c r="I288" t="str">
        <f t="shared" si="20"/>
        <v>Large</v>
      </c>
      <c r="J288" s="1">
        <v>3332.03</v>
      </c>
      <c r="K288">
        <f t="shared" si="21"/>
        <v>0</v>
      </c>
      <c r="L288">
        <f t="shared" si="22"/>
        <v>3332.03</v>
      </c>
      <c r="M288" s="1">
        <f t="shared" si="23"/>
        <v>3332.03</v>
      </c>
      <c r="N288" s="1" t="s">
        <v>13</v>
      </c>
      <c r="O288" s="1">
        <v>79.599999999999994</v>
      </c>
    </row>
    <row r="289" spans="4:15" x14ac:dyDescent="0.3">
      <c r="D289" s="1">
        <v>6885</v>
      </c>
      <c r="E289" s="2">
        <v>43635</v>
      </c>
      <c r="F289" s="1" t="s">
        <v>7</v>
      </c>
      <c r="G289" s="1">
        <v>4</v>
      </c>
      <c r="H289" t="str">
        <f t="shared" si="24"/>
        <v>Mini</v>
      </c>
      <c r="I289" t="str">
        <f t="shared" si="20"/>
        <v>Mini</v>
      </c>
      <c r="J289" s="1">
        <v>514.96</v>
      </c>
      <c r="K289">
        <f t="shared" si="21"/>
        <v>0</v>
      </c>
      <c r="L289">
        <f t="shared" si="22"/>
        <v>514.96</v>
      </c>
      <c r="M289" s="1">
        <f t="shared" si="23"/>
        <v>514.96</v>
      </c>
      <c r="N289" s="1" t="s">
        <v>13</v>
      </c>
      <c r="O289" s="1">
        <v>32.1</v>
      </c>
    </row>
    <row r="290" spans="4:15" x14ac:dyDescent="0.3">
      <c r="D290" s="1">
        <v>1537</v>
      </c>
      <c r="E290" s="2">
        <v>43509</v>
      </c>
      <c r="F290" s="1" t="s">
        <v>11</v>
      </c>
      <c r="G290" s="1">
        <v>5</v>
      </c>
      <c r="H290" t="str">
        <f t="shared" si="24"/>
        <v>Mini</v>
      </c>
      <c r="I290" t="str">
        <f t="shared" si="20"/>
        <v>Mini</v>
      </c>
      <c r="J290" s="1">
        <v>17.760000000000002</v>
      </c>
      <c r="K290">
        <f t="shared" si="21"/>
        <v>0</v>
      </c>
      <c r="L290">
        <f t="shared" si="22"/>
        <v>17.760000000000002</v>
      </c>
      <c r="M290" s="1">
        <f t="shared" si="23"/>
        <v>17.760000000000002</v>
      </c>
      <c r="N290" s="1" t="s">
        <v>10</v>
      </c>
      <c r="O290" s="1">
        <v>6.5</v>
      </c>
    </row>
    <row r="291" spans="4:15" x14ac:dyDescent="0.3">
      <c r="D291" s="1">
        <v>11362</v>
      </c>
      <c r="E291" s="2">
        <v>43718</v>
      </c>
      <c r="F291" s="1" t="s">
        <v>7</v>
      </c>
      <c r="G291" s="1">
        <v>32</v>
      </c>
      <c r="H291" t="str">
        <f t="shared" si="24"/>
        <v>Large</v>
      </c>
      <c r="I291" t="str">
        <f t="shared" si="20"/>
        <v>Large</v>
      </c>
      <c r="J291" s="1">
        <v>3472.93</v>
      </c>
      <c r="K291">
        <f t="shared" si="21"/>
        <v>0</v>
      </c>
      <c r="L291">
        <f t="shared" si="22"/>
        <v>3472.93</v>
      </c>
      <c r="M291" s="1">
        <f t="shared" si="23"/>
        <v>3472.93</v>
      </c>
      <c r="N291" s="1" t="s">
        <v>10</v>
      </c>
      <c r="O291" s="1">
        <v>15</v>
      </c>
    </row>
    <row r="292" spans="4:15" x14ac:dyDescent="0.3">
      <c r="D292" s="1">
        <v>54791</v>
      </c>
      <c r="E292" s="2">
        <v>43819</v>
      </c>
      <c r="F292" s="1" t="s">
        <v>9</v>
      </c>
      <c r="G292" s="1">
        <v>27</v>
      </c>
      <c r="H292" t="str">
        <f t="shared" si="24"/>
        <v>Medium-Large</v>
      </c>
      <c r="I292" t="str">
        <f t="shared" si="20"/>
        <v>Medium-Large</v>
      </c>
      <c r="J292" s="1">
        <v>1163.71</v>
      </c>
      <c r="K292">
        <f t="shared" si="21"/>
        <v>0</v>
      </c>
      <c r="L292">
        <f t="shared" si="22"/>
        <v>1163.71</v>
      </c>
      <c r="M292" s="1">
        <f t="shared" si="23"/>
        <v>1163.71</v>
      </c>
      <c r="N292" s="1" t="s">
        <v>10</v>
      </c>
      <c r="O292" s="1">
        <v>3.3</v>
      </c>
    </row>
    <row r="293" spans="4:15" x14ac:dyDescent="0.3">
      <c r="D293" s="1">
        <v>36512</v>
      </c>
      <c r="E293" s="2">
        <v>43552</v>
      </c>
      <c r="F293" s="1" t="s">
        <v>11</v>
      </c>
      <c r="G293" s="1">
        <v>3</v>
      </c>
      <c r="H293" t="str">
        <f t="shared" si="24"/>
        <v>Mini</v>
      </c>
      <c r="I293" t="str">
        <f t="shared" si="20"/>
        <v>Mini</v>
      </c>
      <c r="J293" s="1">
        <v>76.489999999999995</v>
      </c>
      <c r="K293">
        <f t="shared" si="21"/>
        <v>0</v>
      </c>
      <c r="L293">
        <f t="shared" si="22"/>
        <v>76.489999999999995</v>
      </c>
      <c r="M293" s="1">
        <f t="shared" si="23"/>
        <v>76.489999999999995</v>
      </c>
      <c r="N293" s="1" t="s">
        <v>10</v>
      </c>
      <c r="O293" s="1">
        <v>12</v>
      </c>
    </row>
    <row r="294" spans="4:15" x14ac:dyDescent="0.3">
      <c r="D294" s="1">
        <v>22914</v>
      </c>
      <c r="E294" s="2">
        <v>43477</v>
      </c>
      <c r="F294" s="1" t="s">
        <v>12</v>
      </c>
      <c r="G294" s="1">
        <v>30</v>
      </c>
      <c r="H294" t="str">
        <f t="shared" si="24"/>
        <v>Medium-Large</v>
      </c>
      <c r="I294" t="str">
        <f t="shared" si="20"/>
        <v>Medium-Large</v>
      </c>
      <c r="J294" s="1">
        <v>360.21550000000002</v>
      </c>
      <c r="K294">
        <f t="shared" si="21"/>
        <v>0</v>
      </c>
      <c r="L294">
        <f t="shared" si="22"/>
        <v>360.21550000000002</v>
      </c>
      <c r="M294" s="1">
        <f t="shared" si="23"/>
        <v>360.21550000000002</v>
      </c>
      <c r="N294" s="1" t="s">
        <v>10</v>
      </c>
      <c r="O294" s="1">
        <v>7.4</v>
      </c>
    </row>
    <row r="295" spans="4:15" x14ac:dyDescent="0.3">
      <c r="D295" s="1">
        <v>56224</v>
      </c>
      <c r="E295" s="2">
        <v>43763</v>
      </c>
      <c r="F295" s="1" t="s">
        <v>14</v>
      </c>
      <c r="G295" s="1">
        <v>35</v>
      </c>
      <c r="H295" t="str">
        <f t="shared" si="24"/>
        <v>Large</v>
      </c>
      <c r="I295" t="str">
        <f t="shared" si="20"/>
        <v>Large</v>
      </c>
      <c r="J295" s="1">
        <v>154.13999999999999</v>
      </c>
      <c r="K295">
        <f t="shared" si="21"/>
        <v>0</v>
      </c>
      <c r="L295">
        <f t="shared" si="22"/>
        <v>154.13999999999999</v>
      </c>
      <c r="M295" s="1">
        <f t="shared" si="23"/>
        <v>154.13999999999999</v>
      </c>
      <c r="N295" s="1" t="s">
        <v>10</v>
      </c>
      <c r="O295" s="1">
        <v>5.8</v>
      </c>
    </row>
    <row r="296" spans="4:15" x14ac:dyDescent="0.3">
      <c r="D296" s="1">
        <v>15872</v>
      </c>
      <c r="E296" s="2">
        <v>43768</v>
      </c>
      <c r="F296" s="1" t="s">
        <v>11</v>
      </c>
      <c r="G296" s="1">
        <v>19</v>
      </c>
      <c r="H296" t="str">
        <f t="shared" si="24"/>
        <v>Small-Medium</v>
      </c>
      <c r="I296" t="str">
        <f t="shared" si="20"/>
        <v>Small-Medium</v>
      </c>
      <c r="J296" s="1">
        <v>768.7</v>
      </c>
      <c r="K296">
        <f t="shared" si="21"/>
        <v>0</v>
      </c>
      <c r="L296">
        <f t="shared" si="22"/>
        <v>768.7</v>
      </c>
      <c r="M296" s="1">
        <f t="shared" si="23"/>
        <v>768.7</v>
      </c>
      <c r="N296" s="1" t="s">
        <v>10</v>
      </c>
      <c r="O296" s="1">
        <v>18.7</v>
      </c>
    </row>
    <row r="297" spans="4:15" x14ac:dyDescent="0.3">
      <c r="D297" s="1">
        <v>57537</v>
      </c>
      <c r="E297" s="2">
        <v>43726</v>
      </c>
      <c r="F297" s="1" t="s">
        <v>14</v>
      </c>
      <c r="G297" s="1">
        <v>13</v>
      </c>
      <c r="H297" t="str">
        <f t="shared" si="24"/>
        <v>Small</v>
      </c>
      <c r="I297" t="str">
        <f t="shared" si="20"/>
        <v>Small</v>
      </c>
      <c r="J297" s="1">
        <v>81.73</v>
      </c>
      <c r="K297">
        <f t="shared" si="21"/>
        <v>0</v>
      </c>
      <c r="L297">
        <f t="shared" si="22"/>
        <v>81.73</v>
      </c>
      <c r="M297" s="1">
        <f t="shared" si="23"/>
        <v>81.73</v>
      </c>
      <c r="N297" s="1" t="s">
        <v>8</v>
      </c>
      <c r="O297" s="1">
        <v>5.6</v>
      </c>
    </row>
    <row r="298" spans="4:15" x14ac:dyDescent="0.3">
      <c r="D298" s="1">
        <v>130</v>
      </c>
      <c r="E298" s="2">
        <v>43592</v>
      </c>
      <c r="F298" s="1" t="s">
        <v>9</v>
      </c>
      <c r="G298" s="1">
        <v>29</v>
      </c>
      <c r="H298" t="str">
        <f t="shared" si="24"/>
        <v>Medium-Large</v>
      </c>
      <c r="I298" t="str">
        <f t="shared" si="20"/>
        <v>Medium-Large</v>
      </c>
      <c r="J298" s="1">
        <v>615.37</v>
      </c>
      <c r="K298">
        <f t="shared" si="21"/>
        <v>0</v>
      </c>
      <c r="L298">
        <f t="shared" si="22"/>
        <v>615.37</v>
      </c>
      <c r="M298" s="1">
        <f t="shared" si="23"/>
        <v>615.37</v>
      </c>
      <c r="N298" s="1" t="s">
        <v>10</v>
      </c>
      <c r="O298" s="1">
        <v>9.6999999999999993</v>
      </c>
    </row>
    <row r="299" spans="4:15" x14ac:dyDescent="0.3">
      <c r="D299" s="1">
        <v>56708</v>
      </c>
      <c r="E299" s="2">
        <v>43801</v>
      </c>
      <c r="F299" s="1" t="s">
        <v>11</v>
      </c>
      <c r="G299" s="1">
        <v>36</v>
      </c>
      <c r="H299" t="str">
        <f t="shared" si="24"/>
        <v>Extra Large</v>
      </c>
      <c r="I299" t="str">
        <f t="shared" si="20"/>
        <v>Extra Large</v>
      </c>
      <c r="J299" s="1">
        <v>435.67</v>
      </c>
      <c r="K299">
        <f t="shared" si="21"/>
        <v>0.01</v>
      </c>
      <c r="L299">
        <f t="shared" si="22"/>
        <v>431.31330000000003</v>
      </c>
      <c r="M299" s="1">
        <f t="shared" si="23"/>
        <v>428.17</v>
      </c>
      <c r="N299" s="1" t="s">
        <v>10</v>
      </c>
      <c r="O299" s="1">
        <v>7.5</v>
      </c>
    </row>
    <row r="300" spans="4:15" x14ac:dyDescent="0.3">
      <c r="D300" s="1">
        <v>3810</v>
      </c>
      <c r="E300" s="2">
        <v>43724</v>
      </c>
      <c r="F300" s="1" t="s">
        <v>12</v>
      </c>
      <c r="G300" s="1">
        <v>25</v>
      </c>
      <c r="H300" t="str">
        <f t="shared" si="24"/>
        <v>Medium</v>
      </c>
      <c r="I300" t="str">
        <f t="shared" si="20"/>
        <v>Medium</v>
      </c>
      <c r="J300" s="1">
        <v>83.74</v>
      </c>
      <c r="K300">
        <f t="shared" si="21"/>
        <v>0</v>
      </c>
      <c r="L300">
        <f t="shared" si="22"/>
        <v>83.74</v>
      </c>
      <c r="M300" s="1">
        <f t="shared" si="23"/>
        <v>83.74</v>
      </c>
      <c r="N300" s="1" t="s">
        <v>8</v>
      </c>
      <c r="O300" s="1">
        <v>0.5</v>
      </c>
    </row>
    <row r="301" spans="4:15" x14ac:dyDescent="0.3">
      <c r="D301" s="1">
        <v>1154</v>
      </c>
      <c r="E301" s="2">
        <v>43509</v>
      </c>
      <c r="F301" s="1" t="s">
        <v>12</v>
      </c>
      <c r="G301" s="1">
        <v>44</v>
      </c>
      <c r="H301" t="str">
        <f t="shared" si="24"/>
        <v>XX Large</v>
      </c>
      <c r="I301" t="str">
        <f t="shared" si="20"/>
        <v>XX Large</v>
      </c>
      <c r="J301" s="1">
        <v>4774.59</v>
      </c>
      <c r="K301">
        <f t="shared" si="21"/>
        <v>0.01</v>
      </c>
      <c r="L301">
        <f t="shared" si="22"/>
        <v>4726.8441000000003</v>
      </c>
      <c r="M301" s="1">
        <f t="shared" si="23"/>
        <v>4746.49</v>
      </c>
      <c r="N301" s="1" t="s">
        <v>13</v>
      </c>
      <c r="O301" s="1">
        <v>28.1</v>
      </c>
    </row>
    <row r="302" spans="4:15" x14ac:dyDescent="0.3">
      <c r="D302" s="1">
        <v>52932</v>
      </c>
      <c r="E302" s="2">
        <v>43597</v>
      </c>
      <c r="F302" s="1" t="s">
        <v>7</v>
      </c>
      <c r="G302" s="1">
        <v>3</v>
      </c>
      <c r="H302" t="str">
        <f t="shared" si="24"/>
        <v>Mini</v>
      </c>
      <c r="I302" t="str">
        <f t="shared" si="20"/>
        <v>Mini</v>
      </c>
      <c r="J302" s="1">
        <v>28.07</v>
      </c>
      <c r="K302">
        <f t="shared" si="21"/>
        <v>0</v>
      </c>
      <c r="L302">
        <f t="shared" si="22"/>
        <v>28.07</v>
      </c>
      <c r="M302" s="1">
        <f t="shared" si="23"/>
        <v>28.07</v>
      </c>
      <c r="N302" s="1" t="s">
        <v>10</v>
      </c>
      <c r="O302" s="1">
        <v>7.1</v>
      </c>
    </row>
    <row r="303" spans="4:15" x14ac:dyDescent="0.3">
      <c r="D303" s="1">
        <v>10466</v>
      </c>
      <c r="E303" s="2">
        <v>43824</v>
      </c>
      <c r="F303" s="1" t="s">
        <v>9</v>
      </c>
      <c r="G303" s="1">
        <v>27</v>
      </c>
      <c r="H303" t="str">
        <f t="shared" si="24"/>
        <v>Medium-Large</v>
      </c>
      <c r="I303" t="str">
        <f t="shared" si="20"/>
        <v>Medium-Large</v>
      </c>
      <c r="J303" s="1">
        <v>122.9</v>
      </c>
      <c r="K303">
        <f t="shared" si="21"/>
        <v>0</v>
      </c>
      <c r="L303">
        <f t="shared" si="22"/>
        <v>122.9</v>
      </c>
      <c r="M303" s="1">
        <f t="shared" si="23"/>
        <v>122.9</v>
      </c>
      <c r="N303" s="1" t="s">
        <v>10</v>
      </c>
      <c r="O303" s="1">
        <v>1</v>
      </c>
    </row>
    <row r="304" spans="4:15" x14ac:dyDescent="0.3">
      <c r="D304" s="1">
        <v>27138</v>
      </c>
      <c r="E304" s="2">
        <v>43615</v>
      </c>
      <c r="F304" s="1" t="s">
        <v>9</v>
      </c>
      <c r="G304" s="1">
        <v>31</v>
      </c>
      <c r="H304" t="str">
        <f t="shared" si="24"/>
        <v>Large</v>
      </c>
      <c r="I304" t="str">
        <f t="shared" si="20"/>
        <v>Large</v>
      </c>
      <c r="J304" s="1">
        <v>3184.54</v>
      </c>
      <c r="K304">
        <f t="shared" si="21"/>
        <v>0</v>
      </c>
      <c r="L304">
        <f t="shared" si="22"/>
        <v>3184.54</v>
      </c>
      <c r="M304" s="1">
        <f t="shared" si="23"/>
        <v>3184.54</v>
      </c>
      <c r="N304" s="1" t="s">
        <v>13</v>
      </c>
      <c r="O304" s="1">
        <v>38.299999999999997</v>
      </c>
    </row>
    <row r="305" spans="4:15" x14ac:dyDescent="0.3">
      <c r="D305" s="1">
        <v>22819</v>
      </c>
      <c r="E305" s="2">
        <v>43779</v>
      </c>
      <c r="F305" s="1" t="s">
        <v>9</v>
      </c>
      <c r="G305" s="1">
        <v>1</v>
      </c>
      <c r="H305" t="str">
        <f t="shared" si="24"/>
        <v>Mini</v>
      </c>
      <c r="I305" t="str">
        <f t="shared" si="20"/>
        <v>Mini</v>
      </c>
      <c r="J305" s="1">
        <v>7.24</v>
      </c>
      <c r="K305">
        <f t="shared" si="21"/>
        <v>0</v>
      </c>
      <c r="L305">
        <f t="shared" si="22"/>
        <v>7.24</v>
      </c>
      <c r="M305" s="1">
        <f t="shared" si="23"/>
        <v>7.24</v>
      </c>
      <c r="N305" s="1" t="s">
        <v>10</v>
      </c>
      <c r="O305" s="1">
        <v>4.5999999999999996</v>
      </c>
    </row>
    <row r="306" spans="4:15" x14ac:dyDescent="0.3">
      <c r="D306" s="1">
        <v>10982</v>
      </c>
      <c r="E306" s="2">
        <v>43809</v>
      </c>
      <c r="F306" s="1" t="s">
        <v>11</v>
      </c>
      <c r="G306" s="1">
        <v>30</v>
      </c>
      <c r="H306" t="str">
        <f t="shared" si="24"/>
        <v>Medium-Large</v>
      </c>
      <c r="I306" t="str">
        <f t="shared" si="20"/>
        <v>Medium-Large</v>
      </c>
      <c r="J306" s="1">
        <v>3921.99</v>
      </c>
      <c r="K306">
        <f t="shared" si="21"/>
        <v>0</v>
      </c>
      <c r="L306">
        <f t="shared" si="22"/>
        <v>3921.99</v>
      </c>
      <c r="M306" s="1">
        <f t="shared" si="23"/>
        <v>3921.99</v>
      </c>
      <c r="N306" s="1" t="s">
        <v>10</v>
      </c>
      <c r="O306" s="1">
        <v>21.4</v>
      </c>
    </row>
    <row r="307" spans="4:15" x14ac:dyDescent="0.3">
      <c r="D307" s="1">
        <v>59585</v>
      </c>
      <c r="E307" s="2">
        <v>43730</v>
      </c>
      <c r="F307" s="1" t="s">
        <v>9</v>
      </c>
      <c r="G307" s="1">
        <v>45</v>
      </c>
      <c r="H307" t="str">
        <f t="shared" si="24"/>
        <v>XX Large</v>
      </c>
      <c r="I307" t="str">
        <f t="shared" si="20"/>
        <v>XX Large</v>
      </c>
      <c r="J307" s="1">
        <v>761.88</v>
      </c>
      <c r="K307">
        <f t="shared" si="21"/>
        <v>0.01</v>
      </c>
      <c r="L307">
        <f t="shared" si="22"/>
        <v>754.26120000000003</v>
      </c>
      <c r="M307" s="1">
        <f t="shared" si="23"/>
        <v>751.78</v>
      </c>
      <c r="N307" s="1" t="s">
        <v>10</v>
      </c>
      <c r="O307" s="1">
        <v>10.1</v>
      </c>
    </row>
    <row r="308" spans="4:15" x14ac:dyDescent="0.3">
      <c r="D308" s="1">
        <v>45440</v>
      </c>
      <c r="E308" s="2">
        <v>43686</v>
      </c>
      <c r="F308" s="1" t="s">
        <v>12</v>
      </c>
      <c r="G308" s="1">
        <v>5</v>
      </c>
      <c r="H308" t="str">
        <f t="shared" si="24"/>
        <v>Mini</v>
      </c>
      <c r="I308" t="str">
        <f t="shared" si="20"/>
        <v>Mini</v>
      </c>
      <c r="J308" s="1">
        <v>800.67</v>
      </c>
      <c r="K308">
        <f t="shared" si="21"/>
        <v>0</v>
      </c>
      <c r="L308">
        <f t="shared" si="22"/>
        <v>800.67</v>
      </c>
      <c r="M308" s="1">
        <f t="shared" si="23"/>
        <v>800.67</v>
      </c>
      <c r="N308" s="1" t="s">
        <v>13</v>
      </c>
      <c r="O308" s="1">
        <v>30.6</v>
      </c>
    </row>
    <row r="309" spans="4:15" x14ac:dyDescent="0.3">
      <c r="D309" s="1">
        <v>51872</v>
      </c>
      <c r="E309" s="2">
        <v>43578</v>
      </c>
      <c r="F309" s="1" t="s">
        <v>14</v>
      </c>
      <c r="G309" s="1">
        <v>10</v>
      </c>
      <c r="H309" t="str">
        <f t="shared" si="24"/>
        <v>Extra Small</v>
      </c>
      <c r="I309" t="str">
        <f t="shared" si="20"/>
        <v>Extra Small</v>
      </c>
      <c r="J309" s="1">
        <v>2347.5100000000002</v>
      </c>
      <c r="K309">
        <f t="shared" si="21"/>
        <v>0</v>
      </c>
      <c r="L309">
        <f t="shared" si="22"/>
        <v>2347.5100000000002</v>
      </c>
      <c r="M309" s="1">
        <f t="shared" si="23"/>
        <v>2347.5100000000002</v>
      </c>
      <c r="N309" s="1" t="s">
        <v>10</v>
      </c>
      <c r="O309" s="1">
        <v>26.2</v>
      </c>
    </row>
    <row r="310" spans="4:15" x14ac:dyDescent="0.3">
      <c r="D310" s="1">
        <v>8224</v>
      </c>
      <c r="E310" s="2">
        <v>43502</v>
      </c>
      <c r="F310" s="1" t="s">
        <v>11</v>
      </c>
      <c r="G310" s="1">
        <v>41</v>
      </c>
      <c r="H310" t="str">
        <f t="shared" si="24"/>
        <v>XX Large</v>
      </c>
      <c r="I310" t="str">
        <f t="shared" si="20"/>
        <v>XX Large</v>
      </c>
      <c r="J310" s="1">
        <v>96.05</v>
      </c>
      <c r="K310">
        <f t="shared" si="21"/>
        <v>0.01</v>
      </c>
      <c r="L310">
        <f t="shared" si="22"/>
        <v>95.089500000000001</v>
      </c>
      <c r="M310" s="1">
        <f t="shared" si="23"/>
        <v>94.95</v>
      </c>
      <c r="N310" s="1" t="s">
        <v>10</v>
      </c>
      <c r="O310" s="1">
        <v>1.1000000000000001</v>
      </c>
    </row>
    <row r="311" spans="4:15" x14ac:dyDescent="0.3">
      <c r="D311" s="1">
        <v>42848</v>
      </c>
      <c r="E311" s="2">
        <v>43744</v>
      </c>
      <c r="F311" s="1" t="s">
        <v>11</v>
      </c>
      <c r="G311" s="1">
        <v>50</v>
      </c>
      <c r="H311" t="str">
        <f t="shared" si="24"/>
        <v>XXX Large</v>
      </c>
      <c r="I311" t="str">
        <f t="shared" si="20"/>
        <v>XXX Large</v>
      </c>
      <c r="J311" s="1">
        <v>414.94</v>
      </c>
      <c r="K311">
        <f t="shared" si="21"/>
        <v>0.01</v>
      </c>
      <c r="L311">
        <f t="shared" si="22"/>
        <v>410.79059999999998</v>
      </c>
      <c r="M311" s="1">
        <f t="shared" si="23"/>
        <v>408.74</v>
      </c>
      <c r="N311" s="1" t="s">
        <v>10</v>
      </c>
      <c r="O311" s="1">
        <v>6.2</v>
      </c>
    </row>
    <row r="312" spans="4:15" x14ac:dyDescent="0.3">
      <c r="D312" s="1">
        <v>43010</v>
      </c>
      <c r="E312" s="2">
        <v>43747</v>
      </c>
      <c r="F312" s="1" t="s">
        <v>12</v>
      </c>
      <c r="G312" s="1">
        <v>24</v>
      </c>
      <c r="H312" t="str">
        <f t="shared" si="24"/>
        <v>Medium</v>
      </c>
      <c r="I312" t="str">
        <f t="shared" si="20"/>
        <v>Medium</v>
      </c>
      <c r="J312" s="1">
        <v>262.72000000000003</v>
      </c>
      <c r="K312">
        <f t="shared" si="21"/>
        <v>0</v>
      </c>
      <c r="L312">
        <f t="shared" si="22"/>
        <v>262.72000000000003</v>
      </c>
      <c r="M312" s="1">
        <f t="shared" si="23"/>
        <v>262.72000000000003</v>
      </c>
      <c r="N312" s="1" t="s">
        <v>10</v>
      </c>
      <c r="O312" s="1">
        <v>2.4</v>
      </c>
    </row>
    <row r="313" spans="4:15" x14ac:dyDescent="0.3">
      <c r="D313" s="1">
        <v>2562</v>
      </c>
      <c r="E313" s="2">
        <v>43677</v>
      </c>
      <c r="F313" s="1" t="s">
        <v>12</v>
      </c>
      <c r="G313" s="1">
        <v>28</v>
      </c>
      <c r="H313" t="str">
        <f t="shared" si="24"/>
        <v>Medium-Large</v>
      </c>
      <c r="I313" t="str">
        <f t="shared" si="20"/>
        <v>Medium-Large</v>
      </c>
      <c r="J313" s="1">
        <v>69.36</v>
      </c>
      <c r="K313">
        <f t="shared" si="21"/>
        <v>0</v>
      </c>
      <c r="L313">
        <f t="shared" si="22"/>
        <v>69.36</v>
      </c>
      <c r="M313" s="1">
        <f t="shared" si="23"/>
        <v>69.36</v>
      </c>
      <c r="N313" s="1" t="s">
        <v>10</v>
      </c>
      <c r="O313" s="1">
        <v>2.1</v>
      </c>
    </row>
    <row r="314" spans="4:15" x14ac:dyDescent="0.3">
      <c r="D314" s="1">
        <v>57671</v>
      </c>
      <c r="E314" s="2">
        <v>43776</v>
      </c>
      <c r="F314" s="1" t="s">
        <v>11</v>
      </c>
      <c r="G314" s="1">
        <v>6</v>
      </c>
      <c r="H314" t="str">
        <f t="shared" si="24"/>
        <v>Extra Small</v>
      </c>
      <c r="I314" t="str">
        <f t="shared" si="20"/>
        <v>Extra Small</v>
      </c>
      <c r="J314" s="1">
        <v>24.37</v>
      </c>
      <c r="K314">
        <f t="shared" si="21"/>
        <v>0</v>
      </c>
      <c r="L314">
        <f t="shared" si="22"/>
        <v>24.37</v>
      </c>
      <c r="M314" s="1">
        <f t="shared" si="23"/>
        <v>24.37</v>
      </c>
      <c r="N314" s="1" t="s">
        <v>10</v>
      </c>
      <c r="O314" s="1">
        <v>0.5</v>
      </c>
    </row>
    <row r="315" spans="4:15" x14ac:dyDescent="0.3">
      <c r="D315" s="1">
        <v>33924</v>
      </c>
      <c r="E315" s="2">
        <v>43756</v>
      </c>
      <c r="F315" s="1" t="s">
        <v>11</v>
      </c>
      <c r="G315" s="1">
        <v>12</v>
      </c>
      <c r="H315" t="str">
        <f t="shared" si="24"/>
        <v>Small</v>
      </c>
      <c r="I315" t="str">
        <f t="shared" si="20"/>
        <v>Small</v>
      </c>
      <c r="J315" s="1">
        <v>6599.83</v>
      </c>
      <c r="K315">
        <f t="shared" si="21"/>
        <v>0</v>
      </c>
      <c r="L315">
        <f t="shared" si="22"/>
        <v>6599.83</v>
      </c>
      <c r="M315" s="1">
        <f t="shared" si="23"/>
        <v>6599.83</v>
      </c>
      <c r="N315" s="1" t="s">
        <v>13</v>
      </c>
      <c r="O315" s="1">
        <v>30.1</v>
      </c>
    </row>
    <row r="316" spans="4:15" x14ac:dyDescent="0.3">
      <c r="D316" s="1">
        <v>24066</v>
      </c>
      <c r="E316" s="2">
        <v>43568</v>
      </c>
      <c r="F316" s="1" t="s">
        <v>9</v>
      </c>
      <c r="G316" s="1">
        <v>30</v>
      </c>
      <c r="H316" t="str">
        <f t="shared" si="24"/>
        <v>Medium-Large</v>
      </c>
      <c r="I316" t="str">
        <f t="shared" si="20"/>
        <v>Medium-Large</v>
      </c>
      <c r="J316" s="1">
        <v>4578.1126999999997</v>
      </c>
      <c r="K316">
        <f t="shared" si="21"/>
        <v>0</v>
      </c>
      <c r="L316">
        <f t="shared" si="22"/>
        <v>4578.1126999999997</v>
      </c>
      <c r="M316" s="1">
        <f t="shared" si="23"/>
        <v>4578.1126999999997</v>
      </c>
      <c r="N316" s="1" t="s">
        <v>13</v>
      </c>
      <c r="O316" s="1">
        <v>70.900000000000006</v>
      </c>
    </row>
    <row r="317" spans="4:15" x14ac:dyDescent="0.3">
      <c r="D317" s="1">
        <v>53024</v>
      </c>
      <c r="E317" s="2">
        <v>43597</v>
      </c>
      <c r="F317" s="1" t="s">
        <v>11</v>
      </c>
      <c r="G317" s="1">
        <v>9</v>
      </c>
      <c r="H317" t="str">
        <f t="shared" si="24"/>
        <v>Extra Small</v>
      </c>
      <c r="I317" t="str">
        <f t="shared" si="20"/>
        <v>Extra Small</v>
      </c>
      <c r="J317" s="1">
        <v>200.23</v>
      </c>
      <c r="K317">
        <f t="shared" si="21"/>
        <v>0</v>
      </c>
      <c r="L317">
        <f t="shared" si="22"/>
        <v>200.23</v>
      </c>
      <c r="M317" s="1">
        <f t="shared" si="23"/>
        <v>200.23</v>
      </c>
      <c r="N317" s="1" t="s">
        <v>10</v>
      </c>
      <c r="O317" s="1">
        <v>15.4</v>
      </c>
    </row>
    <row r="318" spans="4:15" x14ac:dyDescent="0.3">
      <c r="D318" s="1">
        <v>53378</v>
      </c>
      <c r="E318" s="2">
        <v>43659</v>
      </c>
      <c r="F318" s="1" t="s">
        <v>14</v>
      </c>
      <c r="G318" s="1">
        <v>49</v>
      </c>
      <c r="H318" t="str">
        <f t="shared" si="24"/>
        <v>XXX Large</v>
      </c>
      <c r="I318" t="str">
        <f t="shared" si="20"/>
        <v>XXX Large</v>
      </c>
      <c r="J318" s="1">
        <v>2543.69</v>
      </c>
      <c r="K318">
        <f t="shared" si="21"/>
        <v>0.01</v>
      </c>
      <c r="L318">
        <f t="shared" si="22"/>
        <v>2518.2530999999999</v>
      </c>
      <c r="M318" s="1">
        <f t="shared" si="23"/>
        <v>2538.29</v>
      </c>
      <c r="N318" s="1" t="s">
        <v>10</v>
      </c>
      <c r="O318" s="1">
        <v>5.4</v>
      </c>
    </row>
    <row r="319" spans="4:15" x14ac:dyDescent="0.3">
      <c r="D319" s="1">
        <v>21505</v>
      </c>
      <c r="E319" s="2">
        <v>43802</v>
      </c>
      <c r="F319" s="1" t="s">
        <v>7</v>
      </c>
      <c r="G319" s="1">
        <v>3</v>
      </c>
      <c r="H319" t="str">
        <f t="shared" si="24"/>
        <v>Mini</v>
      </c>
      <c r="I319" t="str">
        <f t="shared" si="20"/>
        <v>Mini</v>
      </c>
      <c r="J319" s="1">
        <v>976.21</v>
      </c>
      <c r="K319">
        <f t="shared" si="21"/>
        <v>0</v>
      </c>
      <c r="L319">
        <f t="shared" si="22"/>
        <v>976.21</v>
      </c>
      <c r="M319" s="1">
        <f t="shared" si="23"/>
        <v>976.21</v>
      </c>
      <c r="N319" s="1" t="s">
        <v>13</v>
      </c>
      <c r="O319" s="1">
        <v>74.400000000000006</v>
      </c>
    </row>
    <row r="320" spans="4:15" x14ac:dyDescent="0.3">
      <c r="D320" s="1">
        <v>42306</v>
      </c>
      <c r="E320" s="2">
        <v>43722</v>
      </c>
      <c r="F320" s="1" t="s">
        <v>9</v>
      </c>
      <c r="G320" s="1">
        <v>4</v>
      </c>
      <c r="H320" t="str">
        <f t="shared" si="24"/>
        <v>Mini</v>
      </c>
      <c r="I320" t="str">
        <f t="shared" si="20"/>
        <v>Mini</v>
      </c>
      <c r="J320" s="1">
        <v>39.01</v>
      </c>
      <c r="K320">
        <f t="shared" si="21"/>
        <v>0</v>
      </c>
      <c r="L320">
        <f t="shared" si="22"/>
        <v>39.01</v>
      </c>
      <c r="M320" s="1">
        <f t="shared" si="23"/>
        <v>39.01</v>
      </c>
      <c r="N320" s="1" t="s">
        <v>10</v>
      </c>
      <c r="O320" s="1">
        <v>3.2</v>
      </c>
    </row>
    <row r="321" spans="4:15" x14ac:dyDescent="0.3">
      <c r="D321" s="1">
        <v>8833</v>
      </c>
      <c r="E321" s="2">
        <v>43589</v>
      </c>
      <c r="F321" s="1" t="s">
        <v>7</v>
      </c>
      <c r="G321" s="1">
        <v>40</v>
      </c>
      <c r="H321" t="str">
        <f t="shared" si="24"/>
        <v>Extra Large</v>
      </c>
      <c r="I321" t="str">
        <f t="shared" si="20"/>
        <v>Extra Large</v>
      </c>
      <c r="J321" s="1">
        <v>3572.7085999999999</v>
      </c>
      <c r="K321">
        <f t="shared" si="21"/>
        <v>0.01</v>
      </c>
      <c r="L321">
        <f t="shared" si="22"/>
        <v>3536.9815140000001</v>
      </c>
      <c r="M321" s="1">
        <f t="shared" si="23"/>
        <v>3535.2085999999999</v>
      </c>
      <c r="N321" s="1" t="s">
        <v>10</v>
      </c>
      <c r="O321" s="1">
        <v>37.5</v>
      </c>
    </row>
    <row r="322" spans="4:15" x14ac:dyDescent="0.3">
      <c r="D322" s="1">
        <v>56224</v>
      </c>
      <c r="E322" s="2">
        <v>43763</v>
      </c>
      <c r="F322" s="1" t="s">
        <v>14</v>
      </c>
      <c r="G322" s="1">
        <v>32</v>
      </c>
      <c r="H322" t="str">
        <f t="shared" si="24"/>
        <v>Large</v>
      </c>
      <c r="I322" t="str">
        <f t="shared" si="20"/>
        <v>Large</v>
      </c>
      <c r="J322" s="1">
        <v>3429.61</v>
      </c>
      <c r="K322">
        <f t="shared" si="21"/>
        <v>0</v>
      </c>
      <c r="L322">
        <f t="shared" si="22"/>
        <v>3429.61</v>
      </c>
      <c r="M322" s="1">
        <f t="shared" si="23"/>
        <v>3429.61</v>
      </c>
      <c r="N322" s="1" t="s">
        <v>13</v>
      </c>
      <c r="O322" s="1">
        <v>79.599999999999994</v>
      </c>
    </row>
    <row r="323" spans="4:15" x14ac:dyDescent="0.3">
      <c r="D323" s="1">
        <v>8678</v>
      </c>
      <c r="E323" s="2">
        <v>43738</v>
      </c>
      <c r="F323" s="1" t="s">
        <v>7</v>
      </c>
      <c r="G323" s="1">
        <v>31</v>
      </c>
      <c r="H323" t="str">
        <f t="shared" si="24"/>
        <v>Large</v>
      </c>
      <c r="I323" t="str">
        <f t="shared" ref="I323:I386" si="25">VLOOKUP(G323, $A$3:$B$12, 2, TRUE)</f>
        <v>Large</v>
      </c>
      <c r="J323" s="1">
        <v>1003.45</v>
      </c>
      <c r="K323">
        <f t="shared" ref="K323:K386" si="26">IF(OR(I323="Extra Large", I323="XX Large", I323="XXX Large"), 0.01, 0)</f>
        <v>0</v>
      </c>
      <c r="L323">
        <f t="shared" ref="L323:L386" si="27">J323 * (1 - K323)</f>
        <v>1003.45</v>
      </c>
      <c r="M323" s="1">
        <f t="shared" ref="M323:M386" si="28">IF(OR(I323="Extra Large",I323="XX Large",I323="XXX Large"),J323-O323,J323)</f>
        <v>1003.45</v>
      </c>
      <c r="N323" s="1" t="s">
        <v>10</v>
      </c>
      <c r="O323" s="1">
        <v>7.1</v>
      </c>
    </row>
    <row r="324" spans="4:15" x14ac:dyDescent="0.3">
      <c r="D324" s="1">
        <v>37763</v>
      </c>
      <c r="E324" s="2">
        <v>43503</v>
      </c>
      <c r="F324" s="1" t="s">
        <v>11</v>
      </c>
      <c r="G324" s="1">
        <v>29</v>
      </c>
      <c r="H324" t="str">
        <f t="shared" si="24"/>
        <v>Medium-Large</v>
      </c>
      <c r="I324" t="str">
        <f t="shared" si="25"/>
        <v>Medium-Large</v>
      </c>
      <c r="J324" s="1">
        <v>181.48269999999999</v>
      </c>
      <c r="K324">
        <f t="shared" si="26"/>
        <v>0</v>
      </c>
      <c r="L324">
        <f t="shared" si="27"/>
        <v>181.48269999999999</v>
      </c>
      <c r="M324" s="1">
        <f t="shared" si="28"/>
        <v>181.48269999999999</v>
      </c>
      <c r="N324" s="1" t="s">
        <v>10</v>
      </c>
      <c r="O324" s="1">
        <v>10.6</v>
      </c>
    </row>
    <row r="325" spans="4:15" x14ac:dyDescent="0.3">
      <c r="D325" s="1">
        <v>12129</v>
      </c>
      <c r="E325" s="2">
        <v>43824</v>
      </c>
      <c r="F325" s="1" t="s">
        <v>14</v>
      </c>
      <c r="G325" s="1">
        <v>36</v>
      </c>
      <c r="H325" t="str">
        <f t="shared" ref="H325:H388" si="29">VLOOKUP(G325, $A$3:$B$12, 2, TRUE)</f>
        <v>Extra Large</v>
      </c>
      <c r="I325" t="str">
        <f t="shared" si="25"/>
        <v>Extra Large</v>
      </c>
      <c r="J325" s="1">
        <v>5191.6899999999996</v>
      </c>
      <c r="K325">
        <f t="shared" si="26"/>
        <v>0.01</v>
      </c>
      <c r="L325">
        <f t="shared" si="27"/>
        <v>5139.7730999999994</v>
      </c>
      <c r="M325" s="1">
        <f t="shared" si="28"/>
        <v>5116.5899999999992</v>
      </c>
      <c r="N325" s="1" t="s">
        <v>13</v>
      </c>
      <c r="O325" s="1">
        <v>75.099999999999994</v>
      </c>
    </row>
    <row r="326" spans="4:15" x14ac:dyDescent="0.3">
      <c r="D326" s="1">
        <v>36832</v>
      </c>
      <c r="E326" s="2">
        <v>43617</v>
      </c>
      <c r="F326" s="1" t="s">
        <v>7</v>
      </c>
      <c r="G326" s="1">
        <v>24</v>
      </c>
      <c r="H326" t="str">
        <f t="shared" si="29"/>
        <v>Medium</v>
      </c>
      <c r="I326" t="str">
        <f t="shared" si="25"/>
        <v>Medium</v>
      </c>
      <c r="J326" s="1">
        <v>64.938299999999998</v>
      </c>
      <c r="K326">
        <f t="shared" si="26"/>
        <v>0</v>
      </c>
      <c r="L326">
        <f t="shared" si="27"/>
        <v>64.938299999999998</v>
      </c>
      <c r="M326" s="1">
        <f t="shared" si="28"/>
        <v>64.938299999999998</v>
      </c>
      <c r="N326" s="1" t="s">
        <v>8</v>
      </c>
      <c r="O326" s="1">
        <v>2.1</v>
      </c>
    </row>
    <row r="327" spans="4:15" x14ac:dyDescent="0.3">
      <c r="D327" s="1">
        <v>13923</v>
      </c>
      <c r="E327" s="2">
        <v>43654</v>
      </c>
      <c r="F327" s="1" t="s">
        <v>9</v>
      </c>
      <c r="G327" s="1">
        <v>49</v>
      </c>
      <c r="H327" t="str">
        <f t="shared" si="29"/>
        <v>XXX Large</v>
      </c>
      <c r="I327" t="str">
        <f t="shared" si="25"/>
        <v>XXX Large</v>
      </c>
      <c r="J327" s="1">
        <v>1305.6500000000001</v>
      </c>
      <c r="K327">
        <f t="shared" si="26"/>
        <v>0.01</v>
      </c>
      <c r="L327">
        <f t="shared" si="27"/>
        <v>1292.5935000000002</v>
      </c>
      <c r="M327" s="1">
        <f t="shared" si="28"/>
        <v>1293.3500000000001</v>
      </c>
      <c r="N327" s="1" t="s">
        <v>10</v>
      </c>
      <c r="O327" s="1">
        <v>12.3</v>
      </c>
    </row>
    <row r="328" spans="4:15" x14ac:dyDescent="0.3">
      <c r="D328" s="1">
        <v>30375</v>
      </c>
      <c r="E328" s="2">
        <v>43588</v>
      </c>
      <c r="F328" s="1" t="s">
        <v>7</v>
      </c>
      <c r="G328" s="1">
        <v>20</v>
      </c>
      <c r="H328" t="str">
        <f t="shared" si="29"/>
        <v>Small-Medium</v>
      </c>
      <c r="I328" t="str">
        <f t="shared" si="25"/>
        <v>Small-Medium</v>
      </c>
      <c r="J328" s="1">
        <v>76.45</v>
      </c>
      <c r="K328">
        <f t="shared" si="26"/>
        <v>0</v>
      </c>
      <c r="L328">
        <f t="shared" si="27"/>
        <v>76.45</v>
      </c>
      <c r="M328" s="1">
        <f t="shared" si="28"/>
        <v>76.45</v>
      </c>
      <c r="N328" s="1" t="s">
        <v>10</v>
      </c>
      <c r="O328" s="1">
        <v>6.7</v>
      </c>
    </row>
    <row r="329" spans="4:15" x14ac:dyDescent="0.3">
      <c r="D329" s="1">
        <v>18918</v>
      </c>
      <c r="E329" s="2">
        <v>43765</v>
      </c>
      <c r="F329" s="1" t="s">
        <v>11</v>
      </c>
      <c r="G329" s="1">
        <v>7</v>
      </c>
      <c r="H329" t="str">
        <f t="shared" si="29"/>
        <v>Extra Small</v>
      </c>
      <c r="I329" t="str">
        <f t="shared" si="25"/>
        <v>Extra Small</v>
      </c>
      <c r="J329" s="1">
        <v>6808.3458000000001</v>
      </c>
      <c r="K329">
        <f t="shared" si="26"/>
        <v>0</v>
      </c>
      <c r="L329">
        <f t="shared" si="27"/>
        <v>6808.3458000000001</v>
      </c>
      <c r="M329" s="1">
        <f t="shared" si="28"/>
        <v>6808.3458000000001</v>
      </c>
      <c r="N329" s="1" t="s">
        <v>10</v>
      </c>
      <c r="O329" s="1">
        <v>15</v>
      </c>
    </row>
    <row r="330" spans="4:15" x14ac:dyDescent="0.3">
      <c r="D330" s="1">
        <v>36929</v>
      </c>
      <c r="E330" s="2">
        <v>43610</v>
      </c>
      <c r="F330" s="1" t="s">
        <v>7</v>
      </c>
      <c r="G330" s="1">
        <v>45</v>
      </c>
      <c r="H330" t="str">
        <f t="shared" si="29"/>
        <v>XX Large</v>
      </c>
      <c r="I330" t="str">
        <f t="shared" si="25"/>
        <v>XX Large</v>
      </c>
      <c r="J330" s="1">
        <v>3892.95</v>
      </c>
      <c r="K330">
        <f t="shared" si="26"/>
        <v>0.01</v>
      </c>
      <c r="L330">
        <f t="shared" si="27"/>
        <v>3854.0204999999996</v>
      </c>
      <c r="M330" s="1">
        <f t="shared" si="28"/>
        <v>3888.1499999999996</v>
      </c>
      <c r="N330" s="1" t="s">
        <v>10</v>
      </c>
      <c r="O330" s="1">
        <v>4.8</v>
      </c>
    </row>
    <row r="331" spans="4:15" x14ac:dyDescent="0.3">
      <c r="D331" s="1">
        <v>3654</v>
      </c>
      <c r="E331" s="2">
        <v>43618</v>
      </c>
      <c r="F331" s="1" t="s">
        <v>7</v>
      </c>
      <c r="G331" s="1">
        <v>39</v>
      </c>
      <c r="H331" t="str">
        <f t="shared" si="29"/>
        <v>Extra Large</v>
      </c>
      <c r="I331" t="str">
        <f t="shared" si="25"/>
        <v>Extra Large</v>
      </c>
      <c r="J331" s="1">
        <v>7852.51</v>
      </c>
      <c r="K331">
        <f t="shared" si="26"/>
        <v>0.01</v>
      </c>
      <c r="L331">
        <f t="shared" si="27"/>
        <v>7773.9849000000004</v>
      </c>
      <c r="M331" s="1">
        <f t="shared" si="28"/>
        <v>7837.51</v>
      </c>
      <c r="N331" s="1" t="s">
        <v>10</v>
      </c>
      <c r="O331" s="1">
        <v>15</v>
      </c>
    </row>
    <row r="332" spans="4:15" x14ac:dyDescent="0.3">
      <c r="D332" s="1">
        <v>39425</v>
      </c>
      <c r="E332" s="2">
        <v>43693</v>
      </c>
      <c r="F332" s="1" t="s">
        <v>12</v>
      </c>
      <c r="G332" s="1">
        <v>23</v>
      </c>
      <c r="H332" t="str">
        <f t="shared" si="29"/>
        <v>Medium</v>
      </c>
      <c r="I332" t="str">
        <f t="shared" si="25"/>
        <v>Medium</v>
      </c>
      <c r="J332" s="1">
        <v>1356.18</v>
      </c>
      <c r="K332">
        <f t="shared" si="26"/>
        <v>0</v>
      </c>
      <c r="L332">
        <f t="shared" si="27"/>
        <v>1356.18</v>
      </c>
      <c r="M332" s="1">
        <f t="shared" si="28"/>
        <v>1356.18</v>
      </c>
      <c r="N332" s="1" t="s">
        <v>10</v>
      </c>
      <c r="O332" s="1">
        <v>6.4</v>
      </c>
    </row>
    <row r="333" spans="4:15" x14ac:dyDescent="0.3">
      <c r="D333" s="1">
        <v>17797</v>
      </c>
      <c r="E333" s="2">
        <v>43656</v>
      </c>
      <c r="F333" s="1" t="s">
        <v>7</v>
      </c>
      <c r="G333" s="1">
        <v>10</v>
      </c>
      <c r="H333" t="str">
        <f t="shared" si="29"/>
        <v>Extra Small</v>
      </c>
      <c r="I333" t="str">
        <f t="shared" si="25"/>
        <v>Extra Small</v>
      </c>
      <c r="J333" s="1">
        <v>1152.69</v>
      </c>
      <c r="K333">
        <f t="shared" si="26"/>
        <v>0</v>
      </c>
      <c r="L333">
        <f t="shared" si="27"/>
        <v>1152.69</v>
      </c>
      <c r="M333" s="1">
        <f t="shared" si="28"/>
        <v>1152.69</v>
      </c>
      <c r="N333" s="1" t="s">
        <v>13</v>
      </c>
      <c r="O333" s="1">
        <v>61.4</v>
      </c>
    </row>
    <row r="334" spans="4:15" x14ac:dyDescent="0.3">
      <c r="D334" s="1">
        <v>55779</v>
      </c>
      <c r="E334" s="2">
        <v>43534</v>
      </c>
      <c r="F334" s="1" t="s">
        <v>12</v>
      </c>
      <c r="G334" s="1">
        <v>26</v>
      </c>
      <c r="H334" t="str">
        <f t="shared" si="29"/>
        <v>Medium-Large</v>
      </c>
      <c r="I334" t="str">
        <f t="shared" si="25"/>
        <v>Medium-Large</v>
      </c>
      <c r="J334" s="1">
        <v>4358.29</v>
      </c>
      <c r="K334">
        <f t="shared" si="26"/>
        <v>0</v>
      </c>
      <c r="L334">
        <f t="shared" si="27"/>
        <v>4358.29</v>
      </c>
      <c r="M334" s="1">
        <f t="shared" si="28"/>
        <v>4358.29</v>
      </c>
      <c r="N334" s="1" t="s">
        <v>13</v>
      </c>
      <c r="O334" s="1">
        <v>32.1</v>
      </c>
    </row>
    <row r="335" spans="4:15" x14ac:dyDescent="0.3">
      <c r="D335" s="1">
        <v>31302</v>
      </c>
      <c r="E335" s="2">
        <v>43678</v>
      </c>
      <c r="F335" s="1" t="s">
        <v>9</v>
      </c>
      <c r="G335" s="1">
        <v>41</v>
      </c>
      <c r="H335" t="str">
        <f t="shared" si="29"/>
        <v>XX Large</v>
      </c>
      <c r="I335" t="str">
        <f t="shared" si="25"/>
        <v>XX Large</v>
      </c>
      <c r="J335" s="1">
        <v>4974.04</v>
      </c>
      <c r="K335">
        <f t="shared" si="26"/>
        <v>0.01</v>
      </c>
      <c r="L335">
        <f t="shared" si="27"/>
        <v>4924.2996000000003</v>
      </c>
      <c r="M335" s="1">
        <f t="shared" si="28"/>
        <v>4971.9399999999996</v>
      </c>
      <c r="N335" s="1" t="s">
        <v>10</v>
      </c>
      <c r="O335" s="1">
        <v>2.1</v>
      </c>
    </row>
    <row r="336" spans="4:15" x14ac:dyDescent="0.3">
      <c r="D336" s="1">
        <v>10470</v>
      </c>
      <c r="E336" s="2">
        <v>43589</v>
      </c>
      <c r="F336" s="1" t="s">
        <v>7</v>
      </c>
      <c r="G336" s="1">
        <v>20</v>
      </c>
      <c r="H336" t="str">
        <f t="shared" si="29"/>
        <v>Small-Medium</v>
      </c>
      <c r="I336" t="str">
        <f t="shared" si="25"/>
        <v>Small-Medium</v>
      </c>
      <c r="J336" s="1">
        <v>3117.0657000000001</v>
      </c>
      <c r="K336">
        <f t="shared" si="26"/>
        <v>0</v>
      </c>
      <c r="L336">
        <f t="shared" si="27"/>
        <v>3117.0657000000001</v>
      </c>
      <c r="M336" s="1">
        <f t="shared" si="28"/>
        <v>3117.0657000000001</v>
      </c>
      <c r="N336" s="1" t="s">
        <v>10</v>
      </c>
      <c r="O336" s="1">
        <v>5.3</v>
      </c>
    </row>
    <row r="337" spans="4:15" x14ac:dyDescent="0.3">
      <c r="D337" s="1">
        <v>24613</v>
      </c>
      <c r="E337" s="2">
        <v>43662</v>
      </c>
      <c r="F337" s="1" t="s">
        <v>7</v>
      </c>
      <c r="G337" s="1">
        <v>39</v>
      </c>
      <c r="H337" t="str">
        <f t="shared" si="29"/>
        <v>Extra Large</v>
      </c>
      <c r="I337" t="str">
        <f t="shared" si="25"/>
        <v>Extra Large</v>
      </c>
      <c r="J337" s="1">
        <v>832.22</v>
      </c>
      <c r="K337">
        <f t="shared" si="26"/>
        <v>0.01</v>
      </c>
      <c r="L337">
        <f t="shared" si="27"/>
        <v>823.89780000000007</v>
      </c>
      <c r="M337" s="1">
        <f t="shared" si="28"/>
        <v>827.82</v>
      </c>
      <c r="N337" s="1" t="s">
        <v>10</v>
      </c>
      <c r="O337" s="1">
        <v>4.4000000000000004</v>
      </c>
    </row>
    <row r="338" spans="4:15" x14ac:dyDescent="0.3">
      <c r="D338" s="1">
        <v>8801</v>
      </c>
      <c r="E338" s="2">
        <v>43687</v>
      </c>
      <c r="F338" s="1" t="s">
        <v>7</v>
      </c>
      <c r="G338" s="1">
        <v>25</v>
      </c>
      <c r="H338" t="str">
        <f t="shared" si="29"/>
        <v>Medium</v>
      </c>
      <c r="I338" t="str">
        <f t="shared" si="25"/>
        <v>Medium</v>
      </c>
      <c r="J338" s="1">
        <v>2706.4537</v>
      </c>
      <c r="K338">
        <f t="shared" si="26"/>
        <v>0</v>
      </c>
      <c r="L338">
        <f t="shared" si="27"/>
        <v>2706.4537</v>
      </c>
      <c r="M338" s="1">
        <f t="shared" si="28"/>
        <v>2706.4537</v>
      </c>
      <c r="N338" s="1" t="s">
        <v>8</v>
      </c>
      <c r="O338" s="1">
        <v>3.2</v>
      </c>
    </row>
    <row r="339" spans="4:15" x14ac:dyDescent="0.3">
      <c r="D339" s="1">
        <v>614</v>
      </c>
      <c r="E339" s="2">
        <v>43799</v>
      </c>
      <c r="F339" s="1" t="s">
        <v>9</v>
      </c>
      <c r="G339" s="1">
        <v>24</v>
      </c>
      <c r="H339" t="str">
        <f t="shared" si="29"/>
        <v>Medium</v>
      </c>
      <c r="I339" t="str">
        <f t="shared" si="25"/>
        <v>Medium</v>
      </c>
      <c r="J339" s="1">
        <v>3601.73</v>
      </c>
      <c r="K339">
        <f t="shared" si="26"/>
        <v>0</v>
      </c>
      <c r="L339">
        <f t="shared" si="27"/>
        <v>3601.73</v>
      </c>
      <c r="M339" s="1">
        <f t="shared" si="28"/>
        <v>3601.73</v>
      </c>
      <c r="N339" s="1" t="s">
        <v>13</v>
      </c>
      <c r="O339" s="1">
        <v>56.1</v>
      </c>
    </row>
    <row r="340" spans="4:15" x14ac:dyDescent="0.3">
      <c r="D340" s="1">
        <v>32231</v>
      </c>
      <c r="E340" s="2">
        <v>43770</v>
      </c>
      <c r="F340" s="1" t="s">
        <v>7</v>
      </c>
      <c r="G340" s="1">
        <v>44</v>
      </c>
      <c r="H340" t="str">
        <f t="shared" si="29"/>
        <v>XX Large</v>
      </c>
      <c r="I340" t="str">
        <f t="shared" si="25"/>
        <v>XX Large</v>
      </c>
      <c r="J340" s="1">
        <v>205.79</v>
      </c>
      <c r="K340">
        <f t="shared" si="26"/>
        <v>0.01</v>
      </c>
      <c r="L340">
        <f t="shared" si="27"/>
        <v>203.7321</v>
      </c>
      <c r="M340" s="1">
        <f t="shared" si="28"/>
        <v>204.48999999999998</v>
      </c>
      <c r="N340" s="1" t="s">
        <v>10</v>
      </c>
      <c r="O340" s="1">
        <v>1.3</v>
      </c>
    </row>
    <row r="341" spans="4:15" x14ac:dyDescent="0.3">
      <c r="D341" s="1">
        <v>29893</v>
      </c>
      <c r="E341" s="2">
        <v>43632</v>
      </c>
      <c r="F341" s="1" t="s">
        <v>14</v>
      </c>
      <c r="G341" s="1">
        <v>24</v>
      </c>
      <c r="H341" t="str">
        <f t="shared" si="29"/>
        <v>Medium</v>
      </c>
      <c r="I341" t="str">
        <f t="shared" si="25"/>
        <v>Medium</v>
      </c>
      <c r="J341" s="1">
        <v>5834.6</v>
      </c>
      <c r="K341">
        <f t="shared" si="26"/>
        <v>0</v>
      </c>
      <c r="L341">
        <f t="shared" si="27"/>
        <v>5834.6</v>
      </c>
      <c r="M341" s="1">
        <f t="shared" si="28"/>
        <v>5834.6</v>
      </c>
      <c r="N341" s="1" t="s">
        <v>13</v>
      </c>
      <c r="O341" s="1">
        <v>30.7</v>
      </c>
    </row>
    <row r="342" spans="4:15" x14ac:dyDescent="0.3">
      <c r="D342" s="1">
        <v>22497</v>
      </c>
      <c r="E342" s="2">
        <v>43583</v>
      </c>
      <c r="F342" s="1" t="s">
        <v>14</v>
      </c>
      <c r="G342" s="1">
        <v>37</v>
      </c>
      <c r="H342" t="str">
        <f t="shared" si="29"/>
        <v>Extra Large</v>
      </c>
      <c r="I342" t="str">
        <f t="shared" si="25"/>
        <v>Extra Large</v>
      </c>
      <c r="J342" s="1">
        <v>3487.4</v>
      </c>
      <c r="K342">
        <f t="shared" si="26"/>
        <v>0.01</v>
      </c>
      <c r="L342">
        <f t="shared" si="27"/>
        <v>3452.5259999999998</v>
      </c>
      <c r="M342" s="1">
        <f t="shared" si="28"/>
        <v>3457.4</v>
      </c>
      <c r="N342" s="1" t="s">
        <v>13</v>
      </c>
      <c r="O342" s="1">
        <v>30</v>
      </c>
    </row>
    <row r="343" spans="4:15" x14ac:dyDescent="0.3">
      <c r="D343" s="1">
        <v>54371</v>
      </c>
      <c r="E343" s="2">
        <v>43510</v>
      </c>
      <c r="F343" s="1" t="s">
        <v>11</v>
      </c>
      <c r="G343" s="1">
        <v>7</v>
      </c>
      <c r="H343" t="str">
        <f t="shared" si="29"/>
        <v>Extra Small</v>
      </c>
      <c r="I343" t="str">
        <f t="shared" si="25"/>
        <v>Extra Small</v>
      </c>
      <c r="J343" s="1">
        <v>126.93</v>
      </c>
      <c r="K343">
        <f t="shared" si="26"/>
        <v>0</v>
      </c>
      <c r="L343">
        <f t="shared" si="27"/>
        <v>126.93</v>
      </c>
      <c r="M343" s="1">
        <f t="shared" si="28"/>
        <v>126.93</v>
      </c>
      <c r="N343" s="1" t="s">
        <v>10</v>
      </c>
      <c r="O343" s="1">
        <v>5.4</v>
      </c>
    </row>
    <row r="344" spans="4:15" x14ac:dyDescent="0.3">
      <c r="D344" s="1">
        <v>39808</v>
      </c>
      <c r="E344" s="2">
        <v>43710</v>
      </c>
      <c r="F344" s="1" t="s">
        <v>7</v>
      </c>
      <c r="G344" s="1">
        <v>50</v>
      </c>
      <c r="H344" t="str">
        <f t="shared" si="29"/>
        <v>XXX Large</v>
      </c>
      <c r="I344" t="str">
        <f t="shared" si="25"/>
        <v>XXX Large</v>
      </c>
      <c r="J344" s="1">
        <v>2168.27</v>
      </c>
      <c r="K344">
        <f t="shared" si="26"/>
        <v>0.01</v>
      </c>
      <c r="L344">
        <f t="shared" si="27"/>
        <v>2146.5873000000001</v>
      </c>
      <c r="M344" s="1">
        <f t="shared" si="28"/>
        <v>2157.77</v>
      </c>
      <c r="N344" s="1" t="s">
        <v>10</v>
      </c>
      <c r="O344" s="1">
        <v>10.5</v>
      </c>
    </row>
    <row r="345" spans="4:15" x14ac:dyDescent="0.3">
      <c r="D345" s="1">
        <v>32610</v>
      </c>
      <c r="E345" s="2">
        <v>43696</v>
      </c>
      <c r="F345" s="1" t="s">
        <v>11</v>
      </c>
      <c r="G345" s="1">
        <v>47</v>
      </c>
      <c r="H345" t="str">
        <f t="shared" si="29"/>
        <v>XXX Large</v>
      </c>
      <c r="I345" t="str">
        <f t="shared" si="25"/>
        <v>XXX Large</v>
      </c>
      <c r="J345" s="1">
        <v>339.18</v>
      </c>
      <c r="K345">
        <f t="shared" si="26"/>
        <v>0.01</v>
      </c>
      <c r="L345">
        <f t="shared" si="27"/>
        <v>335.78820000000002</v>
      </c>
      <c r="M345" s="1">
        <f t="shared" si="28"/>
        <v>330.18</v>
      </c>
      <c r="N345" s="1" t="s">
        <v>10</v>
      </c>
      <c r="O345" s="1">
        <v>9</v>
      </c>
    </row>
    <row r="346" spans="4:15" x14ac:dyDescent="0.3">
      <c r="D346" s="1">
        <v>54086</v>
      </c>
      <c r="E346" s="2">
        <v>43714</v>
      </c>
      <c r="F346" s="1" t="s">
        <v>7</v>
      </c>
      <c r="G346" s="1">
        <v>23</v>
      </c>
      <c r="H346" t="str">
        <f t="shared" si="29"/>
        <v>Medium</v>
      </c>
      <c r="I346" t="str">
        <f t="shared" si="25"/>
        <v>Medium</v>
      </c>
      <c r="J346" s="1">
        <v>5416.53</v>
      </c>
      <c r="K346">
        <f t="shared" si="26"/>
        <v>0</v>
      </c>
      <c r="L346">
        <f t="shared" si="27"/>
        <v>5416.53</v>
      </c>
      <c r="M346" s="1">
        <f t="shared" si="28"/>
        <v>5416.53</v>
      </c>
      <c r="N346" s="1" t="s">
        <v>13</v>
      </c>
      <c r="O346" s="1">
        <v>30</v>
      </c>
    </row>
    <row r="347" spans="4:15" x14ac:dyDescent="0.3">
      <c r="D347" s="1">
        <v>25733</v>
      </c>
      <c r="E347" s="2">
        <v>43597</v>
      </c>
      <c r="F347" s="1" t="s">
        <v>7</v>
      </c>
      <c r="G347" s="1">
        <v>24</v>
      </c>
      <c r="H347" t="str">
        <f t="shared" si="29"/>
        <v>Medium</v>
      </c>
      <c r="I347" t="str">
        <f t="shared" si="25"/>
        <v>Medium</v>
      </c>
      <c r="J347" s="1">
        <v>596.24</v>
      </c>
      <c r="K347">
        <f t="shared" si="26"/>
        <v>0</v>
      </c>
      <c r="L347">
        <f t="shared" si="27"/>
        <v>596.24</v>
      </c>
      <c r="M347" s="1">
        <f t="shared" si="28"/>
        <v>596.24</v>
      </c>
      <c r="N347" s="1" t="s">
        <v>10</v>
      </c>
      <c r="O347" s="1">
        <v>13.9</v>
      </c>
    </row>
    <row r="348" spans="4:15" x14ac:dyDescent="0.3">
      <c r="D348" s="1">
        <v>9281</v>
      </c>
      <c r="E348" s="2">
        <v>43518</v>
      </c>
      <c r="F348" s="1" t="s">
        <v>12</v>
      </c>
      <c r="G348" s="1">
        <v>31</v>
      </c>
      <c r="H348" t="str">
        <f t="shared" si="29"/>
        <v>Large</v>
      </c>
      <c r="I348" t="str">
        <f t="shared" si="25"/>
        <v>Large</v>
      </c>
      <c r="J348" s="1">
        <v>213.79</v>
      </c>
      <c r="K348">
        <f t="shared" si="26"/>
        <v>0</v>
      </c>
      <c r="L348">
        <f t="shared" si="27"/>
        <v>213.79</v>
      </c>
      <c r="M348" s="1">
        <f t="shared" si="28"/>
        <v>213.79</v>
      </c>
      <c r="N348" s="1" t="s">
        <v>8</v>
      </c>
      <c r="O348" s="1">
        <v>7.3</v>
      </c>
    </row>
    <row r="349" spans="4:15" x14ac:dyDescent="0.3">
      <c r="D349" s="1">
        <v>9602</v>
      </c>
      <c r="E349" s="2">
        <v>43779</v>
      </c>
      <c r="F349" s="1" t="s">
        <v>12</v>
      </c>
      <c r="G349" s="1">
        <v>16</v>
      </c>
      <c r="H349" t="str">
        <f t="shared" si="29"/>
        <v>Small-Medium</v>
      </c>
      <c r="I349" t="str">
        <f t="shared" si="25"/>
        <v>Small-Medium</v>
      </c>
      <c r="J349" s="1">
        <v>38.770000000000003</v>
      </c>
      <c r="K349">
        <f t="shared" si="26"/>
        <v>0</v>
      </c>
      <c r="L349">
        <f t="shared" si="27"/>
        <v>38.770000000000003</v>
      </c>
      <c r="M349" s="1">
        <f t="shared" si="28"/>
        <v>38.770000000000003</v>
      </c>
      <c r="N349" s="1" t="s">
        <v>10</v>
      </c>
      <c r="O349" s="1">
        <v>2.1</v>
      </c>
    </row>
    <row r="350" spans="4:15" x14ac:dyDescent="0.3">
      <c r="D350" s="1">
        <v>1796</v>
      </c>
      <c r="E350" s="2">
        <v>43789</v>
      </c>
      <c r="F350" s="1" t="s">
        <v>9</v>
      </c>
      <c r="G350" s="1">
        <v>43</v>
      </c>
      <c r="H350" t="str">
        <f t="shared" si="29"/>
        <v>XX Large</v>
      </c>
      <c r="I350" t="str">
        <f t="shared" si="25"/>
        <v>XX Large</v>
      </c>
      <c r="J350" s="1">
        <v>196.25</v>
      </c>
      <c r="K350">
        <f t="shared" si="26"/>
        <v>0.01</v>
      </c>
      <c r="L350">
        <f t="shared" si="27"/>
        <v>194.28749999999999</v>
      </c>
      <c r="M350" s="1">
        <f t="shared" si="28"/>
        <v>190.85</v>
      </c>
      <c r="N350" s="1" t="s">
        <v>10</v>
      </c>
      <c r="O350" s="1">
        <v>5.4</v>
      </c>
    </row>
    <row r="351" spans="4:15" x14ac:dyDescent="0.3">
      <c r="D351" s="1">
        <v>33444</v>
      </c>
      <c r="E351" s="2">
        <v>43744</v>
      </c>
      <c r="F351" s="1" t="s">
        <v>14</v>
      </c>
      <c r="G351" s="1">
        <v>11</v>
      </c>
      <c r="H351" t="str">
        <f t="shared" si="29"/>
        <v>Small</v>
      </c>
      <c r="I351" t="str">
        <f t="shared" si="25"/>
        <v>Small</v>
      </c>
      <c r="J351" s="1">
        <v>32.65</v>
      </c>
      <c r="K351">
        <f t="shared" si="26"/>
        <v>0</v>
      </c>
      <c r="L351">
        <f t="shared" si="27"/>
        <v>32.65</v>
      </c>
      <c r="M351" s="1">
        <f t="shared" si="28"/>
        <v>32.65</v>
      </c>
      <c r="N351" s="1" t="s">
        <v>10</v>
      </c>
      <c r="O351" s="1">
        <v>2.6</v>
      </c>
    </row>
    <row r="352" spans="4:15" x14ac:dyDescent="0.3">
      <c r="D352" s="1">
        <v>11398</v>
      </c>
      <c r="E352" s="2">
        <v>43683</v>
      </c>
      <c r="F352" s="1" t="s">
        <v>9</v>
      </c>
      <c r="G352" s="1">
        <v>16</v>
      </c>
      <c r="H352" t="str">
        <f t="shared" si="29"/>
        <v>Small-Medium</v>
      </c>
      <c r="I352" t="str">
        <f t="shared" si="25"/>
        <v>Small-Medium</v>
      </c>
      <c r="J352" s="1">
        <v>117.38</v>
      </c>
      <c r="K352">
        <f t="shared" si="26"/>
        <v>0</v>
      </c>
      <c r="L352">
        <f t="shared" si="27"/>
        <v>117.38</v>
      </c>
      <c r="M352" s="1">
        <f t="shared" si="28"/>
        <v>117.38</v>
      </c>
      <c r="N352" s="1" t="s">
        <v>10</v>
      </c>
      <c r="O352" s="1">
        <v>11.1</v>
      </c>
    </row>
    <row r="353" spans="4:15" x14ac:dyDescent="0.3">
      <c r="D353" s="1">
        <v>46626</v>
      </c>
      <c r="E353" s="2">
        <v>43643</v>
      </c>
      <c r="F353" s="1" t="s">
        <v>7</v>
      </c>
      <c r="G353" s="1">
        <v>8</v>
      </c>
      <c r="H353" t="str">
        <f t="shared" si="29"/>
        <v>Extra Small</v>
      </c>
      <c r="I353" t="str">
        <f t="shared" si="25"/>
        <v>Extra Small</v>
      </c>
      <c r="J353" s="1">
        <v>883.78</v>
      </c>
      <c r="K353">
        <f t="shared" si="26"/>
        <v>0</v>
      </c>
      <c r="L353">
        <f t="shared" si="27"/>
        <v>883.78</v>
      </c>
      <c r="M353" s="1">
        <f t="shared" si="28"/>
        <v>883.78</v>
      </c>
      <c r="N353" s="1" t="s">
        <v>13</v>
      </c>
      <c r="O353" s="1">
        <v>62.3</v>
      </c>
    </row>
    <row r="354" spans="4:15" x14ac:dyDescent="0.3">
      <c r="D354" s="1">
        <v>41634</v>
      </c>
      <c r="E354" s="2">
        <v>43807</v>
      </c>
      <c r="F354" s="1" t="s">
        <v>11</v>
      </c>
      <c r="G354" s="1">
        <v>7</v>
      </c>
      <c r="H354" t="str">
        <f t="shared" si="29"/>
        <v>Extra Small</v>
      </c>
      <c r="I354" t="str">
        <f t="shared" si="25"/>
        <v>Extra Small</v>
      </c>
      <c r="J354" s="1">
        <v>61.3645</v>
      </c>
      <c r="K354">
        <f t="shared" si="26"/>
        <v>0</v>
      </c>
      <c r="L354">
        <f t="shared" si="27"/>
        <v>61.3645</v>
      </c>
      <c r="M354" s="1">
        <f t="shared" si="28"/>
        <v>61.3645</v>
      </c>
      <c r="N354" s="1" t="s">
        <v>10</v>
      </c>
      <c r="O354" s="1">
        <v>2.1</v>
      </c>
    </row>
    <row r="355" spans="4:15" x14ac:dyDescent="0.3">
      <c r="D355" s="1">
        <v>42722</v>
      </c>
      <c r="E355" s="2">
        <v>43745</v>
      </c>
      <c r="F355" s="1" t="s">
        <v>11</v>
      </c>
      <c r="G355" s="1">
        <v>23</v>
      </c>
      <c r="H355" t="str">
        <f t="shared" si="29"/>
        <v>Medium</v>
      </c>
      <c r="I355" t="str">
        <f t="shared" si="25"/>
        <v>Medium</v>
      </c>
      <c r="J355" s="1">
        <v>1232.81</v>
      </c>
      <c r="K355">
        <f t="shared" si="26"/>
        <v>0</v>
      </c>
      <c r="L355">
        <f t="shared" si="27"/>
        <v>1232.81</v>
      </c>
      <c r="M355" s="1">
        <f t="shared" si="28"/>
        <v>1232.81</v>
      </c>
      <c r="N355" s="1" t="s">
        <v>10</v>
      </c>
      <c r="O355" s="1">
        <v>4.8</v>
      </c>
    </row>
    <row r="356" spans="4:15" x14ac:dyDescent="0.3">
      <c r="D356" s="1">
        <v>33444</v>
      </c>
      <c r="E356" s="2">
        <v>43744</v>
      </c>
      <c r="F356" s="1" t="s">
        <v>14</v>
      </c>
      <c r="G356" s="1">
        <v>8</v>
      </c>
      <c r="H356" t="str">
        <f t="shared" si="29"/>
        <v>Extra Small</v>
      </c>
      <c r="I356" t="str">
        <f t="shared" si="25"/>
        <v>Extra Small</v>
      </c>
      <c r="J356" s="1">
        <v>136.75</v>
      </c>
      <c r="K356">
        <f t="shared" si="26"/>
        <v>0</v>
      </c>
      <c r="L356">
        <f t="shared" si="27"/>
        <v>136.75</v>
      </c>
      <c r="M356" s="1">
        <f t="shared" si="28"/>
        <v>136.75</v>
      </c>
      <c r="N356" s="1" t="s">
        <v>10</v>
      </c>
      <c r="O356" s="1">
        <v>8</v>
      </c>
    </row>
    <row r="357" spans="4:15" x14ac:dyDescent="0.3">
      <c r="D357" s="1">
        <v>26818</v>
      </c>
      <c r="E357" s="2">
        <v>43472</v>
      </c>
      <c r="F357" s="1" t="s">
        <v>11</v>
      </c>
      <c r="G357" s="1">
        <v>36</v>
      </c>
      <c r="H357" t="str">
        <f t="shared" si="29"/>
        <v>Extra Large</v>
      </c>
      <c r="I357" t="str">
        <f t="shared" si="25"/>
        <v>Extra Large</v>
      </c>
      <c r="J357" s="1">
        <v>268.93</v>
      </c>
      <c r="K357">
        <f t="shared" si="26"/>
        <v>0.01</v>
      </c>
      <c r="L357">
        <f t="shared" si="27"/>
        <v>266.2407</v>
      </c>
      <c r="M357" s="1">
        <f t="shared" si="28"/>
        <v>260.63</v>
      </c>
      <c r="N357" s="1" t="s">
        <v>10</v>
      </c>
      <c r="O357" s="1">
        <v>8.3000000000000007</v>
      </c>
    </row>
    <row r="358" spans="4:15" x14ac:dyDescent="0.3">
      <c r="D358" s="1">
        <v>32449</v>
      </c>
      <c r="E358" s="2">
        <v>43808</v>
      </c>
      <c r="F358" s="1" t="s">
        <v>12</v>
      </c>
      <c r="G358" s="1">
        <v>39</v>
      </c>
      <c r="H358" t="str">
        <f t="shared" si="29"/>
        <v>Extra Large</v>
      </c>
      <c r="I358" t="str">
        <f t="shared" si="25"/>
        <v>Extra Large</v>
      </c>
      <c r="J358" s="1">
        <v>297.01</v>
      </c>
      <c r="K358">
        <f t="shared" si="26"/>
        <v>0.01</v>
      </c>
      <c r="L358">
        <f t="shared" si="27"/>
        <v>294.03989999999999</v>
      </c>
      <c r="M358" s="1">
        <f t="shared" si="28"/>
        <v>285.11</v>
      </c>
      <c r="N358" s="1" t="s">
        <v>10</v>
      </c>
      <c r="O358" s="1">
        <v>11.9</v>
      </c>
    </row>
    <row r="359" spans="4:15" x14ac:dyDescent="0.3">
      <c r="D359" s="1">
        <v>52225</v>
      </c>
      <c r="E359" s="2">
        <v>43567</v>
      </c>
      <c r="F359" s="1" t="s">
        <v>12</v>
      </c>
      <c r="G359" s="1">
        <v>10</v>
      </c>
      <c r="H359" t="str">
        <f t="shared" si="29"/>
        <v>Extra Small</v>
      </c>
      <c r="I359" t="str">
        <f t="shared" si="25"/>
        <v>Extra Small</v>
      </c>
      <c r="J359" s="1">
        <v>140.27000000000001</v>
      </c>
      <c r="K359">
        <f t="shared" si="26"/>
        <v>0</v>
      </c>
      <c r="L359">
        <f t="shared" si="27"/>
        <v>140.27000000000001</v>
      </c>
      <c r="M359" s="1">
        <f t="shared" si="28"/>
        <v>140.27000000000001</v>
      </c>
      <c r="N359" s="1" t="s">
        <v>10</v>
      </c>
      <c r="O359" s="1">
        <v>3</v>
      </c>
    </row>
    <row r="360" spans="4:15" x14ac:dyDescent="0.3">
      <c r="D360" s="1">
        <v>35590</v>
      </c>
      <c r="E360" s="2">
        <v>43801</v>
      </c>
      <c r="F360" s="1" t="s">
        <v>12</v>
      </c>
      <c r="G360" s="1">
        <v>4</v>
      </c>
      <c r="H360" t="str">
        <f t="shared" si="29"/>
        <v>Mini</v>
      </c>
      <c r="I360" t="str">
        <f t="shared" si="25"/>
        <v>Mini</v>
      </c>
      <c r="J360" s="1">
        <v>453.63</v>
      </c>
      <c r="K360">
        <f t="shared" si="26"/>
        <v>0</v>
      </c>
      <c r="L360">
        <f t="shared" si="27"/>
        <v>453.63</v>
      </c>
      <c r="M360" s="1">
        <f t="shared" si="28"/>
        <v>453.63</v>
      </c>
      <c r="N360" s="1" t="s">
        <v>10</v>
      </c>
      <c r="O360" s="1">
        <v>21.4</v>
      </c>
    </row>
    <row r="361" spans="4:15" x14ac:dyDescent="0.3">
      <c r="D361" s="1">
        <v>5382</v>
      </c>
      <c r="E361" s="2">
        <v>43476</v>
      </c>
      <c r="F361" s="1" t="s">
        <v>7</v>
      </c>
      <c r="G361" s="1">
        <v>30</v>
      </c>
      <c r="H361" t="str">
        <f t="shared" si="29"/>
        <v>Medium-Large</v>
      </c>
      <c r="I361" t="str">
        <f t="shared" si="25"/>
        <v>Medium-Large</v>
      </c>
      <c r="J361" s="1">
        <v>278.33</v>
      </c>
      <c r="K361">
        <f t="shared" si="26"/>
        <v>0</v>
      </c>
      <c r="L361">
        <f t="shared" si="27"/>
        <v>278.33</v>
      </c>
      <c r="M361" s="1">
        <f t="shared" si="28"/>
        <v>278.33</v>
      </c>
      <c r="N361" s="1" t="s">
        <v>10</v>
      </c>
      <c r="O361" s="1">
        <v>4.5</v>
      </c>
    </row>
    <row r="362" spans="4:15" x14ac:dyDescent="0.3">
      <c r="D362" s="1">
        <v>13543</v>
      </c>
      <c r="E362" s="2">
        <v>43685</v>
      </c>
      <c r="F362" s="1" t="s">
        <v>14</v>
      </c>
      <c r="G362" s="1">
        <v>2</v>
      </c>
      <c r="H362" t="str">
        <f t="shared" si="29"/>
        <v>Mini</v>
      </c>
      <c r="I362" t="str">
        <f t="shared" si="25"/>
        <v>Mini</v>
      </c>
      <c r="J362" s="1">
        <v>29.78</v>
      </c>
      <c r="K362">
        <f t="shared" si="26"/>
        <v>0</v>
      </c>
      <c r="L362">
        <f t="shared" si="27"/>
        <v>29.78</v>
      </c>
      <c r="M362" s="1">
        <f t="shared" si="28"/>
        <v>29.78</v>
      </c>
      <c r="N362" s="1" t="s">
        <v>10</v>
      </c>
      <c r="O362" s="1">
        <v>10.1</v>
      </c>
    </row>
    <row r="363" spans="4:15" x14ac:dyDescent="0.3">
      <c r="D363" s="1">
        <v>7106</v>
      </c>
      <c r="E363" s="2">
        <v>43595</v>
      </c>
      <c r="F363" s="1" t="s">
        <v>7</v>
      </c>
      <c r="G363" s="1">
        <v>31</v>
      </c>
      <c r="H363" t="str">
        <f t="shared" si="29"/>
        <v>Large</v>
      </c>
      <c r="I363" t="str">
        <f t="shared" si="25"/>
        <v>Large</v>
      </c>
      <c r="J363" s="1">
        <v>5253.8</v>
      </c>
      <c r="K363">
        <f t="shared" si="26"/>
        <v>0</v>
      </c>
      <c r="L363">
        <f t="shared" si="27"/>
        <v>5253.8</v>
      </c>
      <c r="M363" s="1">
        <f t="shared" si="28"/>
        <v>5253.8</v>
      </c>
      <c r="N363" s="1" t="s">
        <v>10</v>
      </c>
      <c r="O363" s="1">
        <v>5.9</v>
      </c>
    </row>
    <row r="364" spans="4:15" x14ac:dyDescent="0.3">
      <c r="D364" s="1">
        <v>58368</v>
      </c>
      <c r="E364" s="2">
        <v>43655</v>
      </c>
      <c r="F364" s="1" t="s">
        <v>9</v>
      </c>
      <c r="G364" s="1">
        <v>39</v>
      </c>
      <c r="H364" t="str">
        <f t="shared" si="29"/>
        <v>Extra Large</v>
      </c>
      <c r="I364" t="str">
        <f t="shared" si="25"/>
        <v>Extra Large</v>
      </c>
      <c r="J364" s="1">
        <v>291.11</v>
      </c>
      <c r="K364">
        <f t="shared" si="26"/>
        <v>0.01</v>
      </c>
      <c r="L364">
        <f t="shared" si="27"/>
        <v>288.19890000000004</v>
      </c>
      <c r="M364" s="1">
        <f t="shared" si="28"/>
        <v>280.91000000000003</v>
      </c>
      <c r="N364" s="1" t="s">
        <v>10</v>
      </c>
      <c r="O364" s="1">
        <v>10.199999999999999</v>
      </c>
    </row>
    <row r="365" spans="4:15" x14ac:dyDescent="0.3">
      <c r="D365" s="1">
        <v>11874</v>
      </c>
      <c r="E365" s="2">
        <v>43717</v>
      </c>
      <c r="F365" s="1" t="s">
        <v>14</v>
      </c>
      <c r="G365" s="1">
        <v>20</v>
      </c>
      <c r="H365" t="str">
        <f t="shared" si="29"/>
        <v>Small-Medium</v>
      </c>
      <c r="I365" t="str">
        <f t="shared" si="25"/>
        <v>Small-Medium</v>
      </c>
      <c r="J365" s="1">
        <v>830.07</v>
      </c>
      <c r="K365">
        <f t="shared" si="26"/>
        <v>0</v>
      </c>
      <c r="L365">
        <f t="shared" si="27"/>
        <v>830.07</v>
      </c>
      <c r="M365" s="1">
        <f t="shared" si="28"/>
        <v>830.07</v>
      </c>
      <c r="N365" s="1" t="s">
        <v>10</v>
      </c>
      <c r="O365" s="1">
        <v>10.5</v>
      </c>
    </row>
    <row r="366" spans="4:15" x14ac:dyDescent="0.3">
      <c r="D366" s="1">
        <v>17735</v>
      </c>
      <c r="E366" s="2">
        <v>43658</v>
      </c>
      <c r="F366" s="1" t="s">
        <v>7</v>
      </c>
      <c r="G366" s="1">
        <v>45</v>
      </c>
      <c r="H366" t="str">
        <f t="shared" si="29"/>
        <v>XX Large</v>
      </c>
      <c r="I366" t="str">
        <f t="shared" si="25"/>
        <v>XX Large</v>
      </c>
      <c r="J366" s="1">
        <v>333.47</v>
      </c>
      <c r="K366">
        <f t="shared" si="26"/>
        <v>0.01</v>
      </c>
      <c r="L366">
        <f t="shared" si="27"/>
        <v>330.13530000000003</v>
      </c>
      <c r="M366" s="1">
        <f t="shared" si="28"/>
        <v>327.57000000000005</v>
      </c>
      <c r="N366" s="1" t="s">
        <v>10</v>
      </c>
      <c r="O366" s="1">
        <v>5.9</v>
      </c>
    </row>
    <row r="367" spans="4:15" x14ac:dyDescent="0.3">
      <c r="D367" s="1">
        <v>33159</v>
      </c>
      <c r="E367" s="2">
        <v>43582</v>
      </c>
      <c r="F367" s="1" t="s">
        <v>14</v>
      </c>
      <c r="G367" s="1">
        <v>3</v>
      </c>
      <c r="H367" t="str">
        <f t="shared" si="29"/>
        <v>Mini</v>
      </c>
      <c r="I367" t="str">
        <f t="shared" si="25"/>
        <v>Mini</v>
      </c>
      <c r="J367" s="1">
        <v>60.66</v>
      </c>
      <c r="K367">
        <f t="shared" si="26"/>
        <v>0</v>
      </c>
      <c r="L367">
        <f t="shared" si="27"/>
        <v>60.66</v>
      </c>
      <c r="M367" s="1">
        <f t="shared" si="28"/>
        <v>60.66</v>
      </c>
      <c r="N367" s="1" t="s">
        <v>10</v>
      </c>
      <c r="O367" s="1">
        <v>1.1000000000000001</v>
      </c>
    </row>
    <row r="368" spans="4:15" x14ac:dyDescent="0.3">
      <c r="D368" s="1">
        <v>1346</v>
      </c>
      <c r="E368" s="2">
        <v>43633</v>
      </c>
      <c r="F368" s="1" t="s">
        <v>9</v>
      </c>
      <c r="G368" s="1">
        <v>48</v>
      </c>
      <c r="H368" t="str">
        <f t="shared" si="29"/>
        <v>XXX Large</v>
      </c>
      <c r="I368" t="str">
        <f t="shared" si="25"/>
        <v>XXX Large</v>
      </c>
      <c r="J368" s="1">
        <v>5125.18</v>
      </c>
      <c r="K368">
        <f t="shared" si="26"/>
        <v>0.01</v>
      </c>
      <c r="L368">
        <f t="shared" si="27"/>
        <v>5073.9282000000003</v>
      </c>
      <c r="M368" s="1">
        <f t="shared" si="28"/>
        <v>5097.08</v>
      </c>
      <c r="N368" s="1" t="s">
        <v>13</v>
      </c>
      <c r="O368" s="1">
        <v>28.1</v>
      </c>
    </row>
    <row r="369" spans="4:15" x14ac:dyDescent="0.3">
      <c r="D369" s="1">
        <v>47014</v>
      </c>
      <c r="E369" s="2">
        <v>43598</v>
      </c>
      <c r="F369" s="1" t="s">
        <v>12</v>
      </c>
      <c r="G369" s="1">
        <v>33</v>
      </c>
      <c r="H369" t="str">
        <f t="shared" si="29"/>
        <v>Large</v>
      </c>
      <c r="I369" t="str">
        <f t="shared" si="25"/>
        <v>Large</v>
      </c>
      <c r="J369" s="1">
        <v>859.33</v>
      </c>
      <c r="K369">
        <f t="shared" si="26"/>
        <v>0</v>
      </c>
      <c r="L369">
        <f t="shared" si="27"/>
        <v>859.33</v>
      </c>
      <c r="M369" s="1">
        <f t="shared" si="28"/>
        <v>859.33</v>
      </c>
      <c r="N369" s="1" t="s">
        <v>13</v>
      </c>
      <c r="O369" s="1">
        <v>15.4</v>
      </c>
    </row>
    <row r="370" spans="4:15" x14ac:dyDescent="0.3">
      <c r="D370" s="1">
        <v>47879</v>
      </c>
      <c r="E370" s="2">
        <v>43475</v>
      </c>
      <c r="F370" s="1" t="s">
        <v>12</v>
      </c>
      <c r="G370" s="1">
        <v>19</v>
      </c>
      <c r="H370" t="str">
        <f t="shared" si="29"/>
        <v>Small-Medium</v>
      </c>
      <c r="I370" t="str">
        <f t="shared" si="25"/>
        <v>Small-Medium</v>
      </c>
      <c r="J370" s="1">
        <v>184.61779999999999</v>
      </c>
      <c r="K370">
        <f t="shared" si="26"/>
        <v>0</v>
      </c>
      <c r="L370">
        <f t="shared" si="27"/>
        <v>184.61779999999999</v>
      </c>
      <c r="M370" s="1">
        <f t="shared" si="28"/>
        <v>184.61779999999999</v>
      </c>
      <c r="N370" s="1" t="s">
        <v>10</v>
      </c>
      <c r="O370" s="1">
        <v>2.2999999999999998</v>
      </c>
    </row>
    <row r="371" spans="4:15" x14ac:dyDescent="0.3">
      <c r="D371" s="1">
        <v>6757</v>
      </c>
      <c r="E371" s="2">
        <v>43496</v>
      </c>
      <c r="F371" s="1" t="s">
        <v>14</v>
      </c>
      <c r="G371" s="1">
        <v>11</v>
      </c>
      <c r="H371" t="str">
        <f t="shared" si="29"/>
        <v>Small</v>
      </c>
      <c r="I371" t="str">
        <f t="shared" si="25"/>
        <v>Small</v>
      </c>
      <c r="J371" s="1">
        <v>2678.22</v>
      </c>
      <c r="K371">
        <f t="shared" si="26"/>
        <v>0</v>
      </c>
      <c r="L371">
        <f t="shared" si="27"/>
        <v>2678.22</v>
      </c>
      <c r="M371" s="1">
        <f t="shared" si="28"/>
        <v>2678.22</v>
      </c>
      <c r="N371" s="1" t="s">
        <v>13</v>
      </c>
      <c r="O371" s="1">
        <v>66.099999999999994</v>
      </c>
    </row>
    <row r="372" spans="4:15" x14ac:dyDescent="0.3">
      <c r="D372" s="1">
        <v>55813</v>
      </c>
      <c r="E372" s="2">
        <v>43674</v>
      </c>
      <c r="F372" s="1" t="s">
        <v>7</v>
      </c>
      <c r="G372" s="1">
        <v>39</v>
      </c>
      <c r="H372" t="str">
        <f t="shared" si="29"/>
        <v>Extra Large</v>
      </c>
      <c r="I372" t="str">
        <f t="shared" si="25"/>
        <v>Extra Large</v>
      </c>
      <c r="J372" s="1">
        <v>2836.32</v>
      </c>
      <c r="K372">
        <f t="shared" si="26"/>
        <v>0.01</v>
      </c>
      <c r="L372">
        <f t="shared" si="27"/>
        <v>2807.9567999999999</v>
      </c>
      <c r="M372" s="1">
        <f t="shared" si="28"/>
        <v>2796.1200000000003</v>
      </c>
      <c r="N372" s="1" t="s">
        <v>10</v>
      </c>
      <c r="O372" s="1">
        <v>40.200000000000003</v>
      </c>
    </row>
    <row r="373" spans="4:15" x14ac:dyDescent="0.3">
      <c r="D373" s="1">
        <v>11745</v>
      </c>
      <c r="E373" s="2">
        <v>43665</v>
      </c>
      <c r="F373" s="1" t="s">
        <v>9</v>
      </c>
      <c r="G373" s="1">
        <v>17</v>
      </c>
      <c r="H373" t="str">
        <f t="shared" si="29"/>
        <v>Small-Medium</v>
      </c>
      <c r="I373" t="str">
        <f t="shared" si="25"/>
        <v>Small-Medium</v>
      </c>
      <c r="J373" s="1">
        <v>734.31</v>
      </c>
      <c r="K373">
        <f t="shared" si="26"/>
        <v>0</v>
      </c>
      <c r="L373">
        <f t="shared" si="27"/>
        <v>734.31</v>
      </c>
      <c r="M373" s="1">
        <f t="shared" si="28"/>
        <v>734.31</v>
      </c>
      <c r="N373" s="1" t="s">
        <v>10</v>
      </c>
      <c r="O373" s="1">
        <v>21.4</v>
      </c>
    </row>
    <row r="374" spans="4:15" x14ac:dyDescent="0.3">
      <c r="D374" s="1">
        <v>22980</v>
      </c>
      <c r="E374" s="2">
        <v>43739</v>
      </c>
      <c r="F374" s="1" t="s">
        <v>11</v>
      </c>
      <c r="G374" s="1">
        <v>17</v>
      </c>
      <c r="H374" t="str">
        <f t="shared" si="29"/>
        <v>Small-Medium</v>
      </c>
      <c r="I374" t="str">
        <f t="shared" si="25"/>
        <v>Small-Medium</v>
      </c>
      <c r="J374" s="1">
        <v>239.78</v>
      </c>
      <c r="K374">
        <f t="shared" si="26"/>
        <v>0</v>
      </c>
      <c r="L374">
        <f t="shared" si="27"/>
        <v>239.78</v>
      </c>
      <c r="M374" s="1">
        <f t="shared" si="28"/>
        <v>239.78</v>
      </c>
      <c r="N374" s="1" t="s">
        <v>10</v>
      </c>
      <c r="O374" s="1">
        <v>6.7</v>
      </c>
    </row>
    <row r="375" spans="4:15" x14ac:dyDescent="0.3">
      <c r="D375" s="1">
        <v>18757</v>
      </c>
      <c r="E375" s="2">
        <v>43607</v>
      </c>
      <c r="F375" s="1" t="s">
        <v>7</v>
      </c>
      <c r="G375" s="1">
        <v>9</v>
      </c>
      <c r="H375" t="str">
        <f t="shared" si="29"/>
        <v>Extra Small</v>
      </c>
      <c r="I375" t="str">
        <f t="shared" si="25"/>
        <v>Extra Small</v>
      </c>
      <c r="J375" s="1">
        <v>237.75</v>
      </c>
      <c r="K375">
        <f t="shared" si="26"/>
        <v>0</v>
      </c>
      <c r="L375">
        <f t="shared" si="27"/>
        <v>237.75</v>
      </c>
      <c r="M375" s="1">
        <f t="shared" si="28"/>
        <v>237.75</v>
      </c>
      <c r="N375" s="1" t="s">
        <v>10</v>
      </c>
      <c r="O375" s="1">
        <v>16.2</v>
      </c>
    </row>
    <row r="376" spans="4:15" x14ac:dyDescent="0.3">
      <c r="D376" s="1">
        <v>54183</v>
      </c>
      <c r="E376" s="2">
        <v>43570</v>
      </c>
      <c r="F376" s="1" t="s">
        <v>12</v>
      </c>
      <c r="G376" s="1">
        <v>32</v>
      </c>
      <c r="H376" t="str">
        <f t="shared" si="29"/>
        <v>Large</v>
      </c>
      <c r="I376" t="str">
        <f t="shared" si="25"/>
        <v>Large</v>
      </c>
      <c r="J376" s="1">
        <v>2967.87</v>
      </c>
      <c r="K376">
        <f t="shared" si="26"/>
        <v>0</v>
      </c>
      <c r="L376">
        <f t="shared" si="27"/>
        <v>2967.87</v>
      </c>
      <c r="M376" s="1">
        <f t="shared" si="28"/>
        <v>2967.87</v>
      </c>
      <c r="N376" s="1" t="s">
        <v>8</v>
      </c>
      <c r="O376" s="1">
        <v>5.9</v>
      </c>
    </row>
    <row r="377" spans="4:15" x14ac:dyDescent="0.3">
      <c r="D377" s="1">
        <v>16039</v>
      </c>
      <c r="E377" s="2">
        <v>43601</v>
      </c>
      <c r="F377" s="1" t="s">
        <v>9</v>
      </c>
      <c r="G377" s="1">
        <v>3</v>
      </c>
      <c r="H377" t="str">
        <f t="shared" si="29"/>
        <v>Mini</v>
      </c>
      <c r="I377" t="str">
        <f t="shared" si="25"/>
        <v>Mini</v>
      </c>
      <c r="J377" s="1">
        <v>129.6</v>
      </c>
      <c r="K377">
        <f t="shared" si="26"/>
        <v>0</v>
      </c>
      <c r="L377">
        <f t="shared" si="27"/>
        <v>129.6</v>
      </c>
      <c r="M377" s="1">
        <f t="shared" si="28"/>
        <v>129.6</v>
      </c>
      <c r="N377" s="1" t="s">
        <v>10</v>
      </c>
      <c r="O377" s="1">
        <v>2.1</v>
      </c>
    </row>
    <row r="378" spans="4:15" x14ac:dyDescent="0.3">
      <c r="D378" s="1">
        <v>12804</v>
      </c>
      <c r="E378" s="2">
        <v>43610</v>
      </c>
      <c r="F378" s="1" t="s">
        <v>14</v>
      </c>
      <c r="G378" s="1">
        <v>50</v>
      </c>
      <c r="H378" t="str">
        <f t="shared" si="29"/>
        <v>XXX Large</v>
      </c>
      <c r="I378" t="str">
        <f t="shared" si="25"/>
        <v>XXX Large</v>
      </c>
      <c r="J378" s="1">
        <v>89.89</v>
      </c>
      <c r="K378">
        <f t="shared" si="26"/>
        <v>0.01</v>
      </c>
      <c r="L378">
        <f t="shared" si="27"/>
        <v>88.991100000000003</v>
      </c>
      <c r="M378" s="1">
        <f t="shared" si="28"/>
        <v>89.09</v>
      </c>
      <c r="N378" s="1" t="s">
        <v>10</v>
      </c>
      <c r="O378" s="1">
        <v>0.8</v>
      </c>
    </row>
    <row r="379" spans="4:15" x14ac:dyDescent="0.3">
      <c r="D379" s="1">
        <v>4771</v>
      </c>
      <c r="E379" s="2">
        <v>43812</v>
      </c>
      <c r="F379" s="1" t="s">
        <v>12</v>
      </c>
      <c r="G379" s="1">
        <v>4</v>
      </c>
      <c r="H379" t="str">
        <f t="shared" si="29"/>
        <v>Mini</v>
      </c>
      <c r="I379" t="str">
        <f t="shared" si="25"/>
        <v>Mini</v>
      </c>
      <c r="J379" s="1">
        <v>145.44</v>
      </c>
      <c r="K379">
        <f t="shared" si="26"/>
        <v>0</v>
      </c>
      <c r="L379">
        <f t="shared" si="27"/>
        <v>145.44</v>
      </c>
      <c r="M379" s="1">
        <f t="shared" si="28"/>
        <v>145.44</v>
      </c>
      <c r="N379" s="1" t="s">
        <v>13</v>
      </c>
      <c r="O379" s="1">
        <v>48.7</v>
      </c>
    </row>
    <row r="380" spans="4:15" x14ac:dyDescent="0.3">
      <c r="D380" s="1">
        <v>44099</v>
      </c>
      <c r="E380" s="2">
        <v>43536</v>
      </c>
      <c r="F380" s="1" t="s">
        <v>14</v>
      </c>
      <c r="G380" s="1">
        <v>34</v>
      </c>
      <c r="H380" t="str">
        <f t="shared" si="29"/>
        <v>Large</v>
      </c>
      <c r="I380" t="str">
        <f t="shared" si="25"/>
        <v>Large</v>
      </c>
      <c r="J380" s="1">
        <v>12651.17</v>
      </c>
      <c r="K380">
        <f t="shared" si="26"/>
        <v>0</v>
      </c>
      <c r="L380">
        <f t="shared" si="27"/>
        <v>12651.17</v>
      </c>
      <c r="M380" s="1">
        <f t="shared" si="28"/>
        <v>12651.17</v>
      </c>
      <c r="N380" s="1" t="s">
        <v>10</v>
      </c>
      <c r="O380" s="1">
        <v>21.4</v>
      </c>
    </row>
    <row r="381" spans="4:15" x14ac:dyDescent="0.3">
      <c r="D381" s="1">
        <v>30886</v>
      </c>
      <c r="E381" s="2">
        <v>43597</v>
      </c>
      <c r="F381" s="1" t="s">
        <v>7</v>
      </c>
      <c r="G381" s="1">
        <v>28</v>
      </c>
      <c r="H381" t="str">
        <f t="shared" si="29"/>
        <v>Medium-Large</v>
      </c>
      <c r="I381" t="str">
        <f t="shared" si="25"/>
        <v>Medium-Large</v>
      </c>
      <c r="J381" s="1">
        <v>5693.01</v>
      </c>
      <c r="K381">
        <f t="shared" si="26"/>
        <v>0</v>
      </c>
      <c r="L381">
        <f t="shared" si="27"/>
        <v>5693.01</v>
      </c>
      <c r="M381" s="1">
        <f t="shared" si="28"/>
        <v>5693.01</v>
      </c>
      <c r="N381" s="1" t="s">
        <v>10</v>
      </c>
      <c r="O381" s="1">
        <v>21.4</v>
      </c>
    </row>
    <row r="382" spans="4:15" x14ac:dyDescent="0.3">
      <c r="D382" s="1">
        <v>42246</v>
      </c>
      <c r="E382" s="2">
        <v>43581</v>
      </c>
      <c r="F382" s="1" t="s">
        <v>11</v>
      </c>
      <c r="G382" s="1">
        <v>5</v>
      </c>
      <c r="H382" t="str">
        <f t="shared" si="29"/>
        <v>Mini</v>
      </c>
      <c r="I382" t="str">
        <f t="shared" si="25"/>
        <v>Mini</v>
      </c>
      <c r="J382" s="1">
        <v>27.08</v>
      </c>
      <c r="K382">
        <f t="shared" si="26"/>
        <v>0</v>
      </c>
      <c r="L382">
        <f t="shared" si="27"/>
        <v>27.08</v>
      </c>
      <c r="M382" s="1">
        <f t="shared" si="28"/>
        <v>27.08</v>
      </c>
      <c r="N382" s="1" t="s">
        <v>10</v>
      </c>
      <c r="O382" s="1">
        <v>0.8</v>
      </c>
    </row>
    <row r="383" spans="4:15" x14ac:dyDescent="0.3">
      <c r="D383" s="1">
        <v>42437</v>
      </c>
      <c r="E383" s="2">
        <v>43529</v>
      </c>
      <c r="F383" s="1" t="s">
        <v>12</v>
      </c>
      <c r="G383" s="1">
        <v>43</v>
      </c>
      <c r="H383" t="str">
        <f t="shared" si="29"/>
        <v>XX Large</v>
      </c>
      <c r="I383" t="str">
        <f t="shared" si="25"/>
        <v>XX Large</v>
      </c>
      <c r="J383" s="1">
        <v>20824.13</v>
      </c>
      <c r="K383">
        <f t="shared" si="26"/>
        <v>0.01</v>
      </c>
      <c r="L383">
        <f t="shared" si="27"/>
        <v>20615.8887</v>
      </c>
      <c r="M383" s="1">
        <f t="shared" si="28"/>
        <v>20771.73</v>
      </c>
      <c r="N383" s="1" t="s">
        <v>13</v>
      </c>
      <c r="O383" s="1">
        <v>52.4</v>
      </c>
    </row>
    <row r="384" spans="4:15" x14ac:dyDescent="0.3">
      <c r="D384" s="1">
        <v>10593</v>
      </c>
      <c r="E384" s="2">
        <v>43507</v>
      </c>
      <c r="F384" s="1" t="s">
        <v>9</v>
      </c>
      <c r="G384" s="1">
        <v>26</v>
      </c>
      <c r="H384" t="str">
        <f t="shared" si="29"/>
        <v>Medium-Large</v>
      </c>
      <c r="I384" t="str">
        <f t="shared" si="25"/>
        <v>Medium-Large</v>
      </c>
      <c r="J384" s="1">
        <v>774.49</v>
      </c>
      <c r="K384">
        <f t="shared" si="26"/>
        <v>0</v>
      </c>
      <c r="L384">
        <f t="shared" si="27"/>
        <v>774.49</v>
      </c>
      <c r="M384" s="1">
        <f t="shared" si="28"/>
        <v>774.49</v>
      </c>
      <c r="N384" s="1" t="s">
        <v>10</v>
      </c>
      <c r="O384" s="1">
        <v>20.8</v>
      </c>
    </row>
    <row r="385" spans="4:15" x14ac:dyDescent="0.3">
      <c r="D385" s="1">
        <v>34976</v>
      </c>
      <c r="E385" s="2">
        <v>43793</v>
      </c>
      <c r="F385" s="1" t="s">
        <v>14</v>
      </c>
      <c r="G385" s="1">
        <v>29</v>
      </c>
      <c r="H385" t="str">
        <f t="shared" si="29"/>
        <v>Medium-Large</v>
      </c>
      <c r="I385" t="str">
        <f t="shared" si="25"/>
        <v>Medium-Large</v>
      </c>
      <c r="J385" s="1">
        <v>179.97</v>
      </c>
      <c r="K385">
        <f t="shared" si="26"/>
        <v>0</v>
      </c>
      <c r="L385">
        <f t="shared" si="27"/>
        <v>179.97</v>
      </c>
      <c r="M385" s="1">
        <f t="shared" si="28"/>
        <v>179.97</v>
      </c>
      <c r="N385" s="1" t="s">
        <v>10</v>
      </c>
      <c r="O385" s="1">
        <v>5.8</v>
      </c>
    </row>
    <row r="386" spans="4:15" x14ac:dyDescent="0.3">
      <c r="D386" s="1">
        <v>34757</v>
      </c>
      <c r="E386" s="2">
        <v>43613</v>
      </c>
      <c r="F386" s="1" t="s">
        <v>9</v>
      </c>
      <c r="G386" s="1">
        <v>40</v>
      </c>
      <c r="H386" t="str">
        <f t="shared" si="29"/>
        <v>Extra Large</v>
      </c>
      <c r="I386" t="str">
        <f t="shared" si="25"/>
        <v>Extra Large</v>
      </c>
      <c r="J386" s="1">
        <v>268.14</v>
      </c>
      <c r="K386">
        <f t="shared" si="26"/>
        <v>0.01</v>
      </c>
      <c r="L386">
        <f t="shared" si="27"/>
        <v>265.45859999999999</v>
      </c>
      <c r="M386" s="1">
        <f t="shared" si="28"/>
        <v>261.44</v>
      </c>
      <c r="N386" s="1" t="s">
        <v>8</v>
      </c>
      <c r="O386" s="1">
        <v>6.7</v>
      </c>
    </row>
    <row r="387" spans="4:15" x14ac:dyDescent="0.3">
      <c r="D387" s="1">
        <v>16772</v>
      </c>
      <c r="E387" s="2">
        <v>43825</v>
      </c>
      <c r="F387" s="1" t="s">
        <v>9</v>
      </c>
      <c r="G387" s="1">
        <v>38</v>
      </c>
      <c r="H387" t="str">
        <f t="shared" si="29"/>
        <v>Extra Large</v>
      </c>
      <c r="I387" t="str">
        <f t="shared" ref="I387:I450" si="30">VLOOKUP(G387, $A$3:$B$12, 2, TRUE)</f>
        <v>Extra Large</v>
      </c>
      <c r="J387" s="1">
        <v>102.41</v>
      </c>
      <c r="K387">
        <f t="shared" ref="K387:K450" si="31">IF(OR(I387="Extra Large", I387="XX Large", I387="XXX Large"), 0.01, 0)</f>
        <v>0.01</v>
      </c>
      <c r="L387">
        <f t="shared" ref="L387:L450" si="32">J387 * (1 - K387)</f>
        <v>101.38589999999999</v>
      </c>
      <c r="M387" s="1">
        <f t="shared" ref="M387:M450" si="33">IF(OR(I387="Extra Large",I387="XX Large",I387="XXX Large"),J387-O387,J387)</f>
        <v>101.91</v>
      </c>
      <c r="N387" s="1" t="s">
        <v>10</v>
      </c>
      <c r="O387" s="1">
        <v>0.5</v>
      </c>
    </row>
    <row r="388" spans="4:15" x14ac:dyDescent="0.3">
      <c r="D388" s="1">
        <v>19905</v>
      </c>
      <c r="E388" s="2">
        <v>43689</v>
      </c>
      <c r="F388" s="1" t="s">
        <v>12</v>
      </c>
      <c r="G388" s="1">
        <v>25</v>
      </c>
      <c r="H388" t="str">
        <f t="shared" si="29"/>
        <v>Medium</v>
      </c>
      <c r="I388" t="str">
        <f t="shared" si="30"/>
        <v>Medium</v>
      </c>
      <c r="J388" s="1">
        <v>14660.44</v>
      </c>
      <c r="K388">
        <f t="shared" si="31"/>
        <v>0</v>
      </c>
      <c r="L388">
        <f t="shared" si="32"/>
        <v>14660.44</v>
      </c>
      <c r="M388" s="1">
        <f t="shared" si="33"/>
        <v>14660.44</v>
      </c>
      <c r="N388" s="1" t="s">
        <v>13</v>
      </c>
      <c r="O388" s="1">
        <v>69.099999999999994</v>
      </c>
    </row>
    <row r="389" spans="4:15" x14ac:dyDescent="0.3">
      <c r="D389" s="1">
        <v>13601</v>
      </c>
      <c r="E389" s="2">
        <v>43693</v>
      </c>
      <c r="F389" s="1" t="s">
        <v>7</v>
      </c>
      <c r="G389" s="1">
        <v>17</v>
      </c>
      <c r="H389" t="str">
        <f t="shared" ref="H389:H452" si="34">VLOOKUP(G389, $A$3:$B$12, 2, TRUE)</f>
        <v>Small-Medium</v>
      </c>
      <c r="I389" t="str">
        <f t="shared" si="30"/>
        <v>Small-Medium</v>
      </c>
      <c r="J389" s="1">
        <v>880.51369999999997</v>
      </c>
      <c r="K389">
        <f t="shared" si="31"/>
        <v>0</v>
      </c>
      <c r="L389">
        <f t="shared" si="32"/>
        <v>880.51369999999997</v>
      </c>
      <c r="M389" s="1">
        <f t="shared" si="33"/>
        <v>880.51369999999997</v>
      </c>
      <c r="N389" s="1" t="s">
        <v>10</v>
      </c>
      <c r="O389" s="1">
        <v>21.4</v>
      </c>
    </row>
    <row r="390" spans="4:15" x14ac:dyDescent="0.3">
      <c r="D390" s="1">
        <v>17826</v>
      </c>
      <c r="E390" s="2">
        <v>43646</v>
      </c>
      <c r="F390" s="1" t="s">
        <v>9</v>
      </c>
      <c r="G390" s="1">
        <v>18</v>
      </c>
      <c r="H390" t="str">
        <f t="shared" si="34"/>
        <v>Small-Medium</v>
      </c>
      <c r="I390" t="str">
        <f t="shared" si="30"/>
        <v>Small-Medium</v>
      </c>
      <c r="J390" s="1">
        <v>84.46</v>
      </c>
      <c r="K390">
        <f t="shared" si="31"/>
        <v>0</v>
      </c>
      <c r="L390">
        <f t="shared" si="32"/>
        <v>84.46</v>
      </c>
      <c r="M390" s="1">
        <f t="shared" si="33"/>
        <v>84.46</v>
      </c>
      <c r="N390" s="1" t="s">
        <v>10</v>
      </c>
      <c r="O390" s="1">
        <v>7.5</v>
      </c>
    </row>
    <row r="391" spans="4:15" x14ac:dyDescent="0.3">
      <c r="D391" s="1">
        <v>3556</v>
      </c>
      <c r="E391" s="2">
        <v>43730</v>
      </c>
      <c r="F391" s="1" t="s">
        <v>11</v>
      </c>
      <c r="G391" s="1">
        <v>48</v>
      </c>
      <c r="H391" t="str">
        <f t="shared" si="34"/>
        <v>XXX Large</v>
      </c>
      <c r="I391" t="str">
        <f t="shared" si="30"/>
        <v>XXX Large</v>
      </c>
      <c r="J391" s="1">
        <v>288.23</v>
      </c>
      <c r="K391">
        <f t="shared" si="31"/>
        <v>0.01</v>
      </c>
      <c r="L391">
        <f t="shared" si="32"/>
        <v>285.34770000000003</v>
      </c>
      <c r="M391" s="1">
        <f t="shared" si="33"/>
        <v>282.83000000000004</v>
      </c>
      <c r="N391" s="1" t="s">
        <v>10</v>
      </c>
      <c r="O391" s="1">
        <v>5.4</v>
      </c>
    </row>
    <row r="392" spans="4:15" x14ac:dyDescent="0.3">
      <c r="D392" s="1">
        <v>46276</v>
      </c>
      <c r="E392" s="2">
        <v>43808</v>
      </c>
      <c r="F392" s="1" t="s">
        <v>12</v>
      </c>
      <c r="G392" s="1">
        <v>4</v>
      </c>
      <c r="H392" t="str">
        <f t="shared" si="34"/>
        <v>Mini</v>
      </c>
      <c r="I392" t="str">
        <f t="shared" si="30"/>
        <v>Mini</v>
      </c>
      <c r="J392" s="1">
        <v>122.87</v>
      </c>
      <c r="K392">
        <f t="shared" si="31"/>
        <v>0</v>
      </c>
      <c r="L392">
        <f t="shared" si="32"/>
        <v>122.87</v>
      </c>
      <c r="M392" s="1">
        <f t="shared" si="33"/>
        <v>122.87</v>
      </c>
      <c r="N392" s="1" t="s">
        <v>10</v>
      </c>
      <c r="O392" s="1">
        <v>2.1</v>
      </c>
    </row>
    <row r="393" spans="4:15" x14ac:dyDescent="0.3">
      <c r="D393" s="1">
        <v>50466</v>
      </c>
      <c r="E393" s="2">
        <v>43644</v>
      </c>
      <c r="F393" s="1" t="s">
        <v>12</v>
      </c>
      <c r="G393" s="1">
        <v>32</v>
      </c>
      <c r="H393" t="str">
        <f t="shared" si="34"/>
        <v>Large</v>
      </c>
      <c r="I393" t="str">
        <f t="shared" si="30"/>
        <v>Large</v>
      </c>
      <c r="J393" s="1">
        <v>7374.51</v>
      </c>
      <c r="K393">
        <f t="shared" si="31"/>
        <v>0</v>
      </c>
      <c r="L393">
        <f t="shared" si="32"/>
        <v>7374.51</v>
      </c>
      <c r="M393" s="1">
        <f t="shared" si="33"/>
        <v>7374.51</v>
      </c>
      <c r="N393" s="1" t="s">
        <v>8</v>
      </c>
      <c r="O393" s="1">
        <v>16.100000000000001</v>
      </c>
    </row>
    <row r="394" spans="4:15" x14ac:dyDescent="0.3">
      <c r="D394" s="1">
        <v>4199</v>
      </c>
      <c r="E394" s="2">
        <v>43507</v>
      </c>
      <c r="F394" s="1" t="s">
        <v>12</v>
      </c>
      <c r="G394" s="1">
        <v>43</v>
      </c>
      <c r="H394" t="str">
        <f t="shared" si="34"/>
        <v>XX Large</v>
      </c>
      <c r="I394" t="str">
        <f t="shared" si="30"/>
        <v>XX Large</v>
      </c>
      <c r="J394" s="1">
        <v>684.49</v>
      </c>
      <c r="K394">
        <f t="shared" si="31"/>
        <v>0.01</v>
      </c>
      <c r="L394">
        <f t="shared" si="32"/>
        <v>677.64509999999996</v>
      </c>
      <c r="M394" s="1">
        <f t="shared" si="33"/>
        <v>678.79</v>
      </c>
      <c r="N394" s="1" t="s">
        <v>8</v>
      </c>
      <c r="O394" s="1">
        <v>5.7</v>
      </c>
    </row>
    <row r="395" spans="4:15" x14ac:dyDescent="0.3">
      <c r="D395" s="1">
        <v>3556</v>
      </c>
      <c r="E395" s="2">
        <v>43730</v>
      </c>
      <c r="F395" s="1" t="s">
        <v>11</v>
      </c>
      <c r="G395" s="1">
        <v>41</v>
      </c>
      <c r="H395" t="str">
        <f t="shared" si="34"/>
        <v>XX Large</v>
      </c>
      <c r="I395" t="str">
        <f t="shared" si="30"/>
        <v>XX Large</v>
      </c>
      <c r="J395" s="1">
        <v>5279.37</v>
      </c>
      <c r="K395">
        <f t="shared" si="31"/>
        <v>0.01</v>
      </c>
      <c r="L395">
        <f t="shared" si="32"/>
        <v>5226.5762999999997</v>
      </c>
      <c r="M395" s="1">
        <f t="shared" si="33"/>
        <v>5265.87</v>
      </c>
      <c r="N395" s="1" t="s">
        <v>10</v>
      </c>
      <c r="O395" s="1">
        <v>13.5</v>
      </c>
    </row>
    <row r="396" spans="4:15" x14ac:dyDescent="0.3">
      <c r="D396" s="1">
        <v>8546</v>
      </c>
      <c r="E396" s="2">
        <v>43556</v>
      </c>
      <c r="F396" s="1" t="s">
        <v>9</v>
      </c>
      <c r="G396" s="1">
        <v>4</v>
      </c>
      <c r="H396" t="str">
        <f t="shared" si="34"/>
        <v>Mini</v>
      </c>
      <c r="I396" t="str">
        <f t="shared" si="30"/>
        <v>Mini</v>
      </c>
      <c r="J396" s="1">
        <v>55.58</v>
      </c>
      <c r="K396">
        <f t="shared" si="31"/>
        <v>0</v>
      </c>
      <c r="L396">
        <f t="shared" si="32"/>
        <v>55.58</v>
      </c>
      <c r="M396" s="1">
        <f t="shared" si="33"/>
        <v>55.58</v>
      </c>
      <c r="N396" s="1" t="s">
        <v>8</v>
      </c>
      <c r="O396" s="1">
        <v>2.1</v>
      </c>
    </row>
    <row r="397" spans="4:15" x14ac:dyDescent="0.3">
      <c r="D397" s="1">
        <v>39943</v>
      </c>
      <c r="E397" s="2">
        <v>43623</v>
      </c>
      <c r="F397" s="1" t="s">
        <v>9</v>
      </c>
      <c r="G397" s="1">
        <v>16</v>
      </c>
      <c r="H397" t="str">
        <f t="shared" si="34"/>
        <v>Small-Medium</v>
      </c>
      <c r="I397" t="str">
        <f t="shared" si="30"/>
        <v>Small-Medium</v>
      </c>
      <c r="J397" s="1">
        <v>30.66</v>
      </c>
      <c r="K397">
        <f t="shared" si="31"/>
        <v>0</v>
      </c>
      <c r="L397">
        <f t="shared" si="32"/>
        <v>30.66</v>
      </c>
      <c r="M397" s="1">
        <f t="shared" si="33"/>
        <v>30.66</v>
      </c>
      <c r="N397" s="1" t="s">
        <v>10</v>
      </c>
      <c r="O397" s="1">
        <v>2.1</v>
      </c>
    </row>
    <row r="398" spans="4:15" x14ac:dyDescent="0.3">
      <c r="D398" s="1">
        <v>54501</v>
      </c>
      <c r="E398" s="2">
        <v>43798</v>
      </c>
      <c r="F398" s="1" t="s">
        <v>12</v>
      </c>
      <c r="G398" s="1">
        <v>36</v>
      </c>
      <c r="H398" t="str">
        <f t="shared" si="34"/>
        <v>Extra Large</v>
      </c>
      <c r="I398" t="str">
        <f t="shared" si="30"/>
        <v>Extra Large</v>
      </c>
      <c r="J398" s="1">
        <v>2181.8200000000002</v>
      </c>
      <c r="K398">
        <f t="shared" si="31"/>
        <v>0.01</v>
      </c>
      <c r="L398">
        <f t="shared" si="32"/>
        <v>2160.0018</v>
      </c>
      <c r="M398" s="1">
        <f t="shared" si="33"/>
        <v>2176.52</v>
      </c>
      <c r="N398" s="1" t="s">
        <v>10</v>
      </c>
      <c r="O398" s="1">
        <v>5.3</v>
      </c>
    </row>
    <row r="399" spans="4:15" x14ac:dyDescent="0.3">
      <c r="D399" s="1">
        <v>13282</v>
      </c>
      <c r="E399" s="2">
        <v>43594</v>
      </c>
      <c r="F399" s="1" t="s">
        <v>7</v>
      </c>
      <c r="G399" s="1">
        <v>22</v>
      </c>
      <c r="H399" t="str">
        <f t="shared" si="34"/>
        <v>Medium</v>
      </c>
      <c r="I399" t="str">
        <f t="shared" si="30"/>
        <v>Medium</v>
      </c>
      <c r="J399" s="1">
        <v>817.32</v>
      </c>
      <c r="K399">
        <f t="shared" si="31"/>
        <v>0</v>
      </c>
      <c r="L399">
        <f t="shared" si="32"/>
        <v>817.32</v>
      </c>
      <c r="M399" s="1">
        <f t="shared" si="33"/>
        <v>817.32</v>
      </c>
      <c r="N399" s="1" t="s">
        <v>10</v>
      </c>
      <c r="O399" s="1">
        <v>8.1</v>
      </c>
    </row>
    <row r="400" spans="4:15" x14ac:dyDescent="0.3">
      <c r="D400" s="1">
        <v>20451</v>
      </c>
      <c r="E400" s="2">
        <v>43610</v>
      </c>
      <c r="F400" s="1" t="s">
        <v>12</v>
      </c>
      <c r="G400" s="1">
        <v>6</v>
      </c>
      <c r="H400" t="str">
        <f t="shared" si="34"/>
        <v>Extra Small</v>
      </c>
      <c r="I400" t="str">
        <f t="shared" si="30"/>
        <v>Extra Small</v>
      </c>
      <c r="J400" s="1">
        <v>57.48</v>
      </c>
      <c r="K400">
        <f t="shared" si="31"/>
        <v>0</v>
      </c>
      <c r="L400">
        <f t="shared" si="32"/>
        <v>57.48</v>
      </c>
      <c r="M400" s="1">
        <f t="shared" si="33"/>
        <v>57.48</v>
      </c>
      <c r="N400" s="1" t="s">
        <v>10</v>
      </c>
      <c r="O400" s="1">
        <v>2.2000000000000002</v>
      </c>
    </row>
    <row r="401" spans="4:15" x14ac:dyDescent="0.3">
      <c r="D401" s="1">
        <v>24451</v>
      </c>
      <c r="E401" s="2">
        <v>43802</v>
      </c>
      <c r="F401" s="1" t="s">
        <v>12</v>
      </c>
      <c r="G401" s="1">
        <v>24</v>
      </c>
      <c r="H401" t="str">
        <f t="shared" si="34"/>
        <v>Medium</v>
      </c>
      <c r="I401" t="str">
        <f t="shared" si="30"/>
        <v>Medium</v>
      </c>
      <c r="J401" s="1">
        <v>1808.27</v>
      </c>
      <c r="K401">
        <f t="shared" si="31"/>
        <v>0</v>
      </c>
      <c r="L401">
        <f t="shared" si="32"/>
        <v>1808.27</v>
      </c>
      <c r="M401" s="1">
        <f t="shared" si="33"/>
        <v>1808.27</v>
      </c>
      <c r="N401" s="1" t="s">
        <v>13</v>
      </c>
      <c r="O401" s="1">
        <v>64.2</v>
      </c>
    </row>
    <row r="402" spans="4:15" x14ac:dyDescent="0.3">
      <c r="D402" s="1">
        <v>324</v>
      </c>
      <c r="E402" s="2">
        <v>43543</v>
      </c>
      <c r="F402" s="1" t="s">
        <v>12</v>
      </c>
      <c r="G402" s="1">
        <v>25</v>
      </c>
      <c r="H402" t="str">
        <f t="shared" si="34"/>
        <v>Medium</v>
      </c>
      <c r="I402" t="str">
        <f t="shared" si="30"/>
        <v>Medium</v>
      </c>
      <c r="J402" s="1">
        <v>4143.72</v>
      </c>
      <c r="K402">
        <f t="shared" si="31"/>
        <v>0</v>
      </c>
      <c r="L402">
        <f t="shared" si="32"/>
        <v>4143.72</v>
      </c>
      <c r="M402" s="1">
        <f t="shared" si="33"/>
        <v>4143.72</v>
      </c>
      <c r="N402" s="1" t="s">
        <v>10</v>
      </c>
      <c r="O402" s="1">
        <v>15</v>
      </c>
    </row>
    <row r="403" spans="4:15" x14ac:dyDescent="0.3">
      <c r="D403" s="1">
        <v>24672</v>
      </c>
      <c r="E403" s="2">
        <v>43541</v>
      </c>
      <c r="F403" s="1" t="s">
        <v>14</v>
      </c>
      <c r="G403" s="1">
        <v>37</v>
      </c>
      <c r="H403" t="str">
        <f t="shared" si="34"/>
        <v>Extra Large</v>
      </c>
      <c r="I403" t="str">
        <f t="shared" si="30"/>
        <v>Extra Large</v>
      </c>
      <c r="J403" s="1">
        <v>11270.25</v>
      </c>
      <c r="K403">
        <f t="shared" si="31"/>
        <v>0.01</v>
      </c>
      <c r="L403">
        <f t="shared" si="32"/>
        <v>11157.547500000001</v>
      </c>
      <c r="M403" s="1">
        <f t="shared" si="33"/>
        <v>11232.75</v>
      </c>
      <c r="N403" s="1" t="s">
        <v>10</v>
      </c>
      <c r="O403" s="1">
        <v>37.5</v>
      </c>
    </row>
    <row r="404" spans="4:15" x14ac:dyDescent="0.3">
      <c r="D404" s="1">
        <v>56261</v>
      </c>
      <c r="E404" s="2">
        <v>43522</v>
      </c>
      <c r="F404" s="1" t="s">
        <v>12</v>
      </c>
      <c r="G404" s="1">
        <v>43</v>
      </c>
      <c r="H404" t="str">
        <f t="shared" si="34"/>
        <v>XX Large</v>
      </c>
      <c r="I404" t="str">
        <f t="shared" si="30"/>
        <v>XX Large</v>
      </c>
      <c r="J404" s="1">
        <v>18068.830000000002</v>
      </c>
      <c r="K404">
        <f t="shared" si="31"/>
        <v>0.01</v>
      </c>
      <c r="L404">
        <f t="shared" si="32"/>
        <v>17888.1417</v>
      </c>
      <c r="M404" s="1">
        <f t="shared" si="33"/>
        <v>17977.230000000003</v>
      </c>
      <c r="N404" s="1" t="s">
        <v>13</v>
      </c>
      <c r="O404" s="1">
        <v>91.6</v>
      </c>
    </row>
    <row r="405" spans="4:15" x14ac:dyDescent="0.3">
      <c r="D405" s="1">
        <v>21510</v>
      </c>
      <c r="E405" s="2">
        <v>43593</v>
      </c>
      <c r="F405" s="1" t="s">
        <v>9</v>
      </c>
      <c r="G405" s="1">
        <v>16</v>
      </c>
      <c r="H405" t="str">
        <f t="shared" si="34"/>
        <v>Small-Medium</v>
      </c>
      <c r="I405" t="str">
        <f t="shared" si="30"/>
        <v>Small-Medium</v>
      </c>
      <c r="J405" s="1">
        <v>398.14</v>
      </c>
      <c r="K405">
        <f t="shared" si="31"/>
        <v>0</v>
      </c>
      <c r="L405">
        <f t="shared" si="32"/>
        <v>398.14</v>
      </c>
      <c r="M405" s="1">
        <f t="shared" si="33"/>
        <v>398.14</v>
      </c>
      <c r="N405" s="1" t="s">
        <v>8</v>
      </c>
      <c r="O405" s="1">
        <v>2.1</v>
      </c>
    </row>
    <row r="406" spans="4:15" x14ac:dyDescent="0.3">
      <c r="D406" s="1">
        <v>39876</v>
      </c>
      <c r="E406" s="2">
        <v>43568</v>
      </c>
      <c r="F406" s="1" t="s">
        <v>9</v>
      </c>
      <c r="G406" s="1">
        <v>46</v>
      </c>
      <c r="H406" t="str">
        <f t="shared" si="34"/>
        <v>XXX Large</v>
      </c>
      <c r="I406" t="str">
        <f t="shared" si="30"/>
        <v>XXX Large</v>
      </c>
      <c r="J406" s="1">
        <v>937.95</v>
      </c>
      <c r="K406">
        <f t="shared" si="31"/>
        <v>0.01</v>
      </c>
      <c r="L406">
        <f t="shared" si="32"/>
        <v>928.57050000000004</v>
      </c>
      <c r="M406" s="1">
        <f t="shared" si="33"/>
        <v>932.35</v>
      </c>
      <c r="N406" s="1" t="s">
        <v>10</v>
      </c>
      <c r="O406" s="1">
        <v>5.6</v>
      </c>
    </row>
    <row r="407" spans="4:15" x14ac:dyDescent="0.3">
      <c r="D407" s="1">
        <v>36929</v>
      </c>
      <c r="E407" s="2">
        <v>43610</v>
      </c>
      <c r="F407" s="1" t="s">
        <v>7</v>
      </c>
      <c r="G407" s="1">
        <v>37</v>
      </c>
      <c r="H407" t="str">
        <f t="shared" si="34"/>
        <v>Extra Large</v>
      </c>
      <c r="I407" t="str">
        <f t="shared" si="30"/>
        <v>Extra Large</v>
      </c>
      <c r="J407" s="1">
        <v>1419.56</v>
      </c>
      <c r="K407">
        <f t="shared" si="31"/>
        <v>0.01</v>
      </c>
      <c r="L407">
        <f t="shared" si="32"/>
        <v>1405.3643999999999</v>
      </c>
      <c r="M407" s="1">
        <f t="shared" si="33"/>
        <v>1410.1599999999999</v>
      </c>
      <c r="N407" s="1" t="s">
        <v>10</v>
      </c>
      <c r="O407" s="1">
        <v>9.4</v>
      </c>
    </row>
    <row r="408" spans="4:15" x14ac:dyDescent="0.3">
      <c r="D408" s="1">
        <v>29507</v>
      </c>
      <c r="E408" s="2">
        <v>43504</v>
      </c>
      <c r="F408" s="1" t="s">
        <v>7</v>
      </c>
      <c r="G408" s="1">
        <v>14</v>
      </c>
      <c r="H408" t="str">
        <f t="shared" si="34"/>
        <v>Small</v>
      </c>
      <c r="I408" t="str">
        <f t="shared" si="30"/>
        <v>Small</v>
      </c>
      <c r="J408" s="1">
        <v>3263.11</v>
      </c>
      <c r="K408">
        <f t="shared" si="31"/>
        <v>0</v>
      </c>
      <c r="L408">
        <f t="shared" si="32"/>
        <v>3263.11</v>
      </c>
      <c r="M408" s="1">
        <f t="shared" si="33"/>
        <v>3263.11</v>
      </c>
      <c r="N408" s="1" t="s">
        <v>13</v>
      </c>
      <c r="O408" s="1">
        <v>38.200000000000003</v>
      </c>
    </row>
    <row r="409" spans="4:15" x14ac:dyDescent="0.3">
      <c r="D409" s="1">
        <v>30727</v>
      </c>
      <c r="E409" s="2">
        <v>43671</v>
      </c>
      <c r="F409" s="1" t="s">
        <v>14</v>
      </c>
      <c r="G409" s="1">
        <v>28</v>
      </c>
      <c r="H409" t="str">
        <f t="shared" si="34"/>
        <v>Medium-Large</v>
      </c>
      <c r="I409" t="str">
        <f t="shared" si="30"/>
        <v>Medium-Large</v>
      </c>
      <c r="J409" s="1">
        <v>1247.93</v>
      </c>
      <c r="K409">
        <f t="shared" si="31"/>
        <v>0</v>
      </c>
      <c r="L409">
        <f t="shared" si="32"/>
        <v>1247.93</v>
      </c>
      <c r="M409" s="1">
        <f t="shared" si="33"/>
        <v>1247.93</v>
      </c>
      <c r="N409" s="1" t="s">
        <v>8</v>
      </c>
      <c r="O409" s="1">
        <v>4.8</v>
      </c>
    </row>
    <row r="410" spans="4:15" x14ac:dyDescent="0.3">
      <c r="D410" s="1">
        <v>50055</v>
      </c>
      <c r="E410" s="2">
        <v>43756</v>
      </c>
      <c r="F410" s="1" t="s">
        <v>14</v>
      </c>
      <c r="G410" s="1">
        <v>11</v>
      </c>
      <c r="H410" t="str">
        <f t="shared" si="34"/>
        <v>Small</v>
      </c>
      <c r="I410" t="str">
        <f t="shared" si="30"/>
        <v>Small</v>
      </c>
      <c r="J410" s="1">
        <v>81.099999999999994</v>
      </c>
      <c r="K410">
        <f t="shared" si="31"/>
        <v>0</v>
      </c>
      <c r="L410">
        <f t="shared" si="32"/>
        <v>81.099999999999994</v>
      </c>
      <c r="M410" s="1">
        <f t="shared" si="33"/>
        <v>81.099999999999994</v>
      </c>
      <c r="N410" s="1" t="s">
        <v>10</v>
      </c>
      <c r="O410" s="1">
        <v>5.3</v>
      </c>
    </row>
    <row r="411" spans="4:15" x14ac:dyDescent="0.3">
      <c r="D411" s="1">
        <v>6501</v>
      </c>
      <c r="E411" s="2">
        <v>43477</v>
      </c>
      <c r="F411" s="1" t="s">
        <v>9</v>
      </c>
      <c r="G411" s="1">
        <v>46</v>
      </c>
      <c r="H411" t="str">
        <f t="shared" si="34"/>
        <v>XXX Large</v>
      </c>
      <c r="I411" t="str">
        <f t="shared" si="30"/>
        <v>XXX Large</v>
      </c>
      <c r="J411" s="1">
        <v>4940.5495000000001</v>
      </c>
      <c r="K411">
        <f t="shared" si="31"/>
        <v>0.01</v>
      </c>
      <c r="L411">
        <f t="shared" si="32"/>
        <v>4891.1440050000001</v>
      </c>
      <c r="M411" s="1">
        <f t="shared" si="33"/>
        <v>4932.3495000000003</v>
      </c>
      <c r="N411" s="1" t="s">
        <v>10</v>
      </c>
      <c r="O411" s="1">
        <v>8.1999999999999993</v>
      </c>
    </row>
    <row r="412" spans="4:15" x14ac:dyDescent="0.3">
      <c r="D412" s="1">
        <v>49381</v>
      </c>
      <c r="E412" s="2">
        <v>43812</v>
      </c>
      <c r="F412" s="1" t="s">
        <v>11</v>
      </c>
      <c r="G412" s="1">
        <v>21</v>
      </c>
      <c r="H412" t="str">
        <f t="shared" si="34"/>
        <v>Medium</v>
      </c>
      <c r="I412" t="str">
        <f t="shared" si="30"/>
        <v>Medium</v>
      </c>
      <c r="J412" s="1">
        <v>1645.13</v>
      </c>
      <c r="K412">
        <f t="shared" si="31"/>
        <v>0</v>
      </c>
      <c r="L412">
        <f t="shared" si="32"/>
        <v>1645.13</v>
      </c>
      <c r="M412" s="1">
        <f t="shared" si="33"/>
        <v>1645.13</v>
      </c>
      <c r="N412" s="1" t="s">
        <v>10</v>
      </c>
      <c r="O412" s="1">
        <v>37.5</v>
      </c>
    </row>
    <row r="413" spans="4:15" x14ac:dyDescent="0.3">
      <c r="D413" s="1">
        <v>48003</v>
      </c>
      <c r="E413" s="2">
        <v>43490</v>
      </c>
      <c r="F413" s="1" t="s">
        <v>14</v>
      </c>
      <c r="G413" s="1">
        <v>30</v>
      </c>
      <c r="H413" t="str">
        <f t="shared" si="34"/>
        <v>Medium-Large</v>
      </c>
      <c r="I413" t="str">
        <f t="shared" si="30"/>
        <v>Medium-Large</v>
      </c>
      <c r="J413" s="1">
        <v>196.16</v>
      </c>
      <c r="K413">
        <f t="shared" si="31"/>
        <v>0</v>
      </c>
      <c r="L413">
        <f t="shared" si="32"/>
        <v>196.16</v>
      </c>
      <c r="M413" s="1">
        <f t="shared" si="33"/>
        <v>196.16</v>
      </c>
      <c r="N413" s="1" t="s">
        <v>10</v>
      </c>
      <c r="O413" s="1">
        <v>4.7</v>
      </c>
    </row>
    <row r="414" spans="4:15" x14ac:dyDescent="0.3">
      <c r="D414" s="1">
        <v>28871</v>
      </c>
      <c r="E414" s="2">
        <v>43570</v>
      </c>
      <c r="F414" s="1" t="s">
        <v>9</v>
      </c>
      <c r="G414" s="1">
        <v>10</v>
      </c>
      <c r="H414" t="str">
        <f t="shared" si="34"/>
        <v>Extra Small</v>
      </c>
      <c r="I414" t="str">
        <f t="shared" si="30"/>
        <v>Extra Small</v>
      </c>
      <c r="J414" s="1">
        <v>58.87</v>
      </c>
      <c r="K414">
        <f t="shared" si="31"/>
        <v>0</v>
      </c>
      <c r="L414">
        <f t="shared" si="32"/>
        <v>58.87</v>
      </c>
      <c r="M414" s="1">
        <f t="shared" si="33"/>
        <v>58.87</v>
      </c>
      <c r="N414" s="1" t="s">
        <v>10</v>
      </c>
      <c r="O414" s="1">
        <v>5.5</v>
      </c>
    </row>
    <row r="415" spans="4:15" x14ac:dyDescent="0.3">
      <c r="D415" s="1">
        <v>50144</v>
      </c>
      <c r="E415" s="2">
        <v>43623</v>
      </c>
      <c r="F415" s="1" t="s">
        <v>12</v>
      </c>
      <c r="G415" s="1">
        <v>36</v>
      </c>
      <c r="H415" t="str">
        <f t="shared" si="34"/>
        <v>Extra Large</v>
      </c>
      <c r="I415" t="str">
        <f t="shared" si="30"/>
        <v>Extra Large</v>
      </c>
      <c r="J415" s="1">
        <v>4461.83</v>
      </c>
      <c r="K415">
        <f t="shared" si="31"/>
        <v>0.01</v>
      </c>
      <c r="L415">
        <f t="shared" si="32"/>
        <v>4417.2116999999998</v>
      </c>
      <c r="M415" s="1">
        <f t="shared" si="33"/>
        <v>4452.13</v>
      </c>
      <c r="N415" s="1" t="s">
        <v>8</v>
      </c>
      <c r="O415" s="1">
        <v>9.6999999999999993</v>
      </c>
    </row>
    <row r="416" spans="4:15" x14ac:dyDescent="0.3">
      <c r="D416" s="1">
        <v>39972</v>
      </c>
      <c r="E416" s="2">
        <v>43733</v>
      </c>
      <c r="F416" s="1" t="s">
        <v>11</v>
      </c>
      <c r="G416" s="1">
        <v>35</v>
      </c>
      <c r="H416" t="str">
        <f t="shared" si="34"/>
        <v>Large</v>
      </c>
      <c r="I416" t="str">
        <f t="shared" si="30"/>
        <v>Large</v>
      </c>
      <c r="J416" s="1">
        <v>240.3</v>
      </c>
      <c r="K416">
        <f t="shared" si="31"/>
        <v>0</v>
      </c>
      <c r="L416">
        <f t="shared" si="32"/>
        <v>240.3</v>
      </c>
      <c r="M416" s="1">
        <f t="shared" si="33"/>
        <v>240.3</v>
      </c>
      <c r="N416" s="1" t="s">
        <v>10</v>
      </c>
      <c r="O416" s="1">
        <v>0.5</v>
      </c>
    </row>
    <row r="417" spans="4:15" x14ac:dyDescent="0.3">
      <c r="D417" s="1">
        <v>41286</v>
      </c>
      <c r="E417" s="2">
        <v>43724</v>
      </c>
      <c r="F417" s="1" t="s">
        <v>14</v>
      </c>
      <c r="G417" s="1">
        <v>40</v>
      </c>
      <c r="H417" t="str">
        <f t="shared" si="34"/>
        <v>Extra Large</v>
      </c>
      <c r="I417" t="str">
        <f t="shared" si="30"/>
        <v>Extra Large</v>
      </c>
      <c r="J417" s="1">
        <v>279.23</v>
      </c>
      <c r="K417">
        <f t="shared" si="31"/>
        <v>0.01</v>
      </c>
      <c r="L417">
        <f t="shared" si="32"/>
        <v>276.43770000000001</v>
      </c>
      <c r="M417" s="1">
        <f t="shared" si="33"/>
        <v>272.53000000000003</v>
      </c>
      <c r="N417" s="1" t="s">
        <v>10</v>
      </c>
      <c r="O417" s="1">
        <v>6.7</v>
      </c>
    </row>
    <row r="418" spans="4:15" x14ac:dyDescent="0.3">
      <c r="D418" s="1">
        <v>21796</v>
      </c>
      <c r="E418" s="2">
        <v>43591</v>
      </c>
      <c r="F418" s="1" t="s">
        <v>7</v>
      </c>
      <c r="G418" s="1">
        <v>41</v>
      </c>
      <c r="H418" t="str">
        <f t="shared" si="34"/>
        <v>XX Large</v>
      </c>
      <c r="I418" t="str">
        <f t="shared" si="30"/>
        <v>XX Large</v>
      </c>
      <c r="J418" s="1">
        <v>649.63</v>
      </c>
      <c r="K418">
        <f t="shared" si="31"/>
        <v>0.01</v>
      </c>
      <c r="L418">
        <f t="shared" si="32"/>
        <v>643.13369999999998</v>
      </c>
      <c r="M418" s="1">
        <f t="shared" si="33"/>
        <v>648.13</v>
      </c>
      <c r="N418" s="1" t="s">
        <v>10</v>
      </c>
      <c r="O418" s="1">
        <v>1.5</v>
      </c>
    </row>
    <row r="419" spans="4:15" x14ac:dyDescent="0.3">
      <c r="D419" s="1">
        <v>23174</v>
      </c>
      <c r="E419" s="2">
        <v>43672</v>
      </c>
      <c r="F419" s="1" t="s">
        <v>7</v>
      </c>
      <c r="G419" s="1">
        <v>8</v>
      </c>
      <c r="H419" t="str">
        <f t="shared" si="34"/>
        <v>Extra Small</v>
      </c>
      <c r="I419" t="str">
        <f t="shared" si="30"/>
        <v>Extra Small</v>
      </c>
      <c r="J419" s="1">
        <v>147.91999999999999</v>
      </c>
      <c r="K419">
        <f t="shared" si="31"/>
        <v>0</v>
      </c>
      <c r="L419">
        <f t="shared" si="32"/>
        <v>147.91999999999999</v>
      </c>
      <c r="M419" s="1">
        <f t="shared" si="33"/>
        <v>147.91999999999999</v>
      </c>
      <c r="N419" s="1" t="s">
        <v>10</v>
      </c>
      <c r="O419" s="1">
        <v>7.5</v>
      </c>
    </row>
    <row r="420" spans="4:15" x14ac:dyDescent="0.3">
      <c r="D420" s="1">
        <v>13345</v>
      </c>
      <c r="E420" s="2">
        <v>43710</v>
      </c>
      <c r="F420" s="1" t="s">
        <v>11</v>
      </c>
      <c r="G420" s="1">
        <v>45</v>
      </c>
      <c r="H420" t="str">
        <f t="shared" si="34"/>
        <v>XX Large</v>
      </c>
      <c r="I420" t="str">
        <f t="shared" si="30"/>
        <v>XX Large</v>
      </c>
      <c r="J420" s="1">
        <v>517.49</v>
      </c>
      <c r="K420">
        <f t="shared" si="31"/>
        <v>0.01</v>
      </c>
      <c r="L420">
        <f t="shared" si="32"/>
        <v>512.31510000000003</v>
      </c>
      <c r="M420" s="1">
        <f t="shared" si="33"/>
        <v>513.89</v>
      </c>
      <c r="N420" s="1" t="s">
        <v>10</v>
      </c>
      <c r="O420" s="1">
        <v>3.6</v>
      </c>
    </row>
    <row r="421" spans="4:15" x14ac:dyDescent="0.3">
      <c r="D421" s="1">
        <v>58368</v>
      </c>
      <c r="E421" s="2">
        <v>43655</v>
      </c>
      <c r="F421" s="1" t="s">
        <v>9</v>
      </c>
      <c r="G421" s="1">
        <v>5</v>
      </c>
      <c r="H421" t="str">
        <f t="shared" si="34"/>
        <v>Mini</v>
      </c>
      <c r="I421" t="str">
        <f t="shared" si="30"/>
        <v>Mini</v>
      </c>
      <c r="J421" s="1">
        <v>348.21010000000001</v>
      </c>
      <c r="K421">
        <f t="shared" si="31"/>
        <v>0</v>
      </c>
      <c r="L421">
        <f t="shared" si="32"/>
        <v>348.21010000000001</v>
      </c>
      <c r="M421" s="1">
        <f t="shared" si="33"/>
        <v>348.21010000000001</v>
      </c>
      <c r="N421" s="1" t="s">
        <v>8</v>
      </c>
      <c r="O421" s="1">
        <v>7.4</v>
      </c>
    </row>
    <row r="422" spans="4:15" x14ac:dyDescent="0.3">
      <c r="D422" s="1">
        <v>29030</v>
      </c>
      <c r="E422" s="2">
        <v>43466</v>
      </c>
      <c r="F422" s="1" t="s">
        <v>14</v>
      </c>
      <c r="G422" s="1">
        <v>10</v>
      </c>
      <c r="H422" t="str">
        <f t="shared" si="34"/>
        <v>Extra Small</v>
      </c>
      <c r="I422" t="str">
        <f t="shared" si="30"/>
        <v>Extra Small</v>
      </c>
      <c r="J422" s="1">
        <v>206.06</v>
      </c>
      <c r="K422">
        <f t="shared" si="31"/>
        <v>0</v>
      </c>
      <c r="L422">
        <f t="shared" si="32"/>
        <v>206.06</v>
      </c>
      <c r="M422" s="1">
        <f t="shared" si="33"/>
        <v>206.06</v>
      </c>
      <c r="N422" s="1" t="s">
        <v>10</v>
      </c>
      <c r="O422" s="1">
        <v>4.4000000000000004</v>
      </c>
    </row>
    <row r="423" spans="4:15" x14ac:dyDescent="0.3">
      <c r="D423" s="1">
        <v>19394</v>
      </c>
      <c r="E423" s="2">
        <v>43824</v>
      </c>
      <c r="F423" s="1" t="s">
        <v>14</v>
      </c>
      <c r="G423" s="1">
        <v>16</v>
      </c>
      <c r="H423" t="str">
        <f t="shared" si="34"/>
        <v>Small-Medium</v>
      </c>
      <c r="I423" t="str">
        <f t="shared" si="30"/>
        <v>Small-Medium</v>
      </c>
      <c r="J423" s="1">
        <v>298.87990000000002</v>
      </c>
      <c r="K423">
        <f t="shared" si="31"/>
        <v>0</v>
      </c>
      <c r="L423">
        <f t="shared" si="32"/>
        <v>298.87990000000002</v>
      </c>
      <c r="M423" s="1">
        <f t="shared" si="33"/>
        <v>298.87990000000002</v>
      </c>
      <c r="N423" s="1" t="s">
        <v>10</v>
      </c>
      <c r="O423" s="1">
        <v>1.1000000000000001</v>
      </c>
    </row>
    <row r="424" spans="4:15" x14ac:dyDescent="0.3">
      <c r="D424" s="1">
        <v>46726</v>
      </c>
      <c r="E424" s="2">
        <v>43651</v>
      </c>
      <c r="F424" s="1" t="s">
        <v>11</v>
      </c>
      <c r="G424" s="1">
        <v>46</v>
      </c>
      <c r="H424" t="str">
        <f t="shared" si="34"/>
        <v>XXX Large</v>
      </c>
      <c r="I424" t="str">
        <f t="shared" si="30"/>
        <v>XXX Large</v>
      </c>
      <c r="J424" s="1">
        <v>348.79</v>
      </c>
      <c r="K424">
        <f t="shared" si="31"/>
        <v>0.01</v>
      </c>
      <c r="L424">
        <f t="shared" si="32"/>
        <v>345.3021</v>
      </c>
      <c r="M424" s="1">
        <f t="shared" si="33"/>
        <v>339.79</v>
      </c>
      <c r="N424" s="1" t="s">
        <v>10</v>
      </c>
      <c r="O424" s="1">
        <v>9</v>
      </c>
    </row>
    <row r="425" spans="4:15" x14ac:dyDescent="0.3">
      <c r="D425" s="1">
        <v>52999</v>
      </c>
      <c r="E425" s="2">
        <v>43580</v>
      </c>
      <c r="F425" s="1" t="s">
        <v>11</v>
      </c>
      <c r="G425" s="1">
        <v>7</v>
      </c>
      <c r="H425" t="str">
        <f t="shared" si="34"/>
        <v>Extra Small</v>
      </c>
      <c r="I425" t="str">
        <f t="shared" si="30"/>
        <v>Extra Small</v>
      </c>
      <c r="J425" s="1">
        <v>47.75</v>
      </c>
      <c r="K425">
        <f t="shared" si="31"/>
        <v>0</v>
      </c>
      <c r="L425">
        <f t="shared" si="32"/>
        <v>47.75</v>
      </c>
      <c r="M425" s="1">
        <f t="shared" si="33"/>
        <v>47.75</v>
      </c>
      <c r="N425" s="1" t="s">
        <v>10</v>
      </c>
      <c r="O425" s="1">
        <v>6.1</v>
      </c>
    </row>
    <row r="426" spans="4:15" x14ac:dyDescent="0.3">
      <c r="D426" s="1">
        <v>56672</v>
      </c>
      <c r="E426" s="2">
        <v>43597</v>
      </c>
      <c r="F426" s="1" t="s">
        <v>9</v>
      </c>
      <c r="G426" s="1">
        <v>8</v>
      </c>
      <c r="H426" t="str">
        <f t="shared" si="34"/>
        <v>Extra Small</v>
      </c>
      <c r="I426" t="str">
        <f t="shared" si="30"/>
        <v>Extra Small</v>
      </c>
      <c r="J426" s="1">
        <v>635.19000000000005</v>
      </c>
      <c r="K426">
        <f t="shared" si="31"/>
        <v>0</v>
      </c>
      <c r="L426">
        <f t="shared" si="32"/>
        <v>635.19000000000005</v>
      </c>
      <c r="M426" s="1">
        <f t="shared" si="33"/>
        <v>635.19000000000005</v>
      </c>
      <c r="N426" s="1" t="s">
        <v>13</v>
      </c>
      <c r="O426" s="1">
        <v>64.2</v>
      </c>
    </row>
    <row r="427" spans="4:15" x14ac:dyDescent="0.3">
      <c r="D427" s="1">
        <v>53188</v>
      </c>
      <c r="E427" s="2">
        <v>43774</v>
      </c>
      <c r="F427" s="1" t="s">
        <v>9</v>
      </c>
      <c r="G427" s="1">
        <v>22</v>
      </c>
      <c r="H427" t="str">
        <f t="shared" si="34"/>
        <v>Medium</v>
      </c>
      <c r="I427" t="str">
        <f t="shared" si="30"/>
        <v>Medium</v>
      </c>
      <c r="J427" s="1">
        <v>664.69</v>
      </c>
      <c r="K427">
        <f t="shared" si="31"/>
        <v>0</v>
      </c>
      <c r="L427">
        <f t="shared" si="32"/>
        <v>664.69</v>
      </c>
      <c r="M427" s="1">
        <f t="shared" si="33"/>
        <v>664.69</v>
      </c>
      <c r="N427" s="1" t="s">
        <v>10</v>
      </c>
      <c r="O427" s="1">
        <v>7.1</v>
      </c>
    </row>
    <row r="428" spans="4:15" x14ac:dyDescent="0.3">
      <c r="D428" s="1">
        <v>52999</v>
      </c>
      <c r="E428" s="2">
        <v>43580</v>
      </c>
      <c r="F428" s="1" t="s">
        <v>11</v>
      </c>
      <c r="G428" s="1">
        <v>5</v>
      </c>
      <c r="H428" t="str">
        <f t="shared" si="34"/>
        <v>Mini</v>
      </c>
      <c r="I428" t="str">
        <f t="shared" si="30"/>
        <v>Mini</v>
      </c>
      <c r="J428" s="1">
        <v>46.66</v>
      </c>
      <c r="K428">
        <f t="shared" si="31"/>
        <v>0</v>
      </c>
      <c r="L428">
        <f t="shared" si="32"/>
        <v>46.66</v>
      </c>
      <c r="M428" s="1">
        <f t="shared" si="33"/>
        <v>46.66</v>
      </c>
      <c r="N428" s="1" t="s">
        <v>8</v>
      </c>
      <c r="O428" s="1">
        <v>4.3</v>
      </c>
    </row>
    <row r="429" spans="4:15" x14ac:dyDescent="0.3">
      <c r="D429" s="1">
        <v>52673</v>
      </c>
      <c r="E429" s="2">
        <v>43593</v>
      </c>
      <c r="F429" s="1" t="s">
        <v>14</v>
      </c>
      <c r="G429" s="1">
        <v>14</v>
      </c>
      <c r="H429" t="str">
        <f t="shared" si="34"/>
        <v>Small</v>
      </c>
      <c r="I429" t="str">
        <f t="shared" si="30"/>
        <v>Small</v>
      </c>
      <c r="J429" s="1">
        <v>2188.2199999999998</v>
      </c>
      <c r="K429">
        <f t="shared" si="31"/>
        <v>0</v>
      </c>
      <c r="L429">
        <f t="shared" si="32"/>
        <v>2188.2199999999998</v>
      </c>
      <c r="M429" s="1">
        <f t="shared" si="33"/>
        <v>2188.2199999999998</v>
      </c>
      <c r="N429" s="1" t="s">
        <v>10</v>
      </c>
      <c r="O429" s="1">
        <v>9.6</v>
      </c>
    </row>
    <row r="430" spans="4:15" x14ac:dyDescent="0.3">
      <c r="D430" s="1">
        <v>54886</v>
      </c>
      <c r="E430" s="2">
        <v>43681</v>
      </c>
      <c r="F430" s="1" t="s">
        <v>12</v>
      </c>
      <c r="G430" s="1">
        <v>39</v>
      </c>
      <c r="H430" t="str">
        <f t="shared" si="34"/>
        <v>Extra Large</v>
      </c>
      <c r="I430" t="str">
        <f t="shared" si="30"/>
        <v>Extra Large</v>
      </c>
      <c r="J430" s="1">
        <v>449.35</v>
      </c>
      <c r="K430">
        <f t="shared" si="31"/>
        <v>0.01</v>
      </c>
      <c r="L430">
        <f t="shared" si="32"/>
        <v>444.85650000000004</v>
      </c>
      <c r="M430" s="1">
        <f t="shared" si="33"/>
        <v>443.85</v>
      </c>
      <c r="N430" s="1" t="s">
        <v>10</v>
      </c>
      <c r="O430" s="1">
        <v>5.5</v>
      </c>
    </row>
    <row r="431" spans="4:15" x14ac:dyDescent="0.3">
      <c r="D431" s="1">
        <v>40994</v>
      </c>
      <c r="E431" s="2">
        <v>43747</v>
      </c>
      <c r="F431" s="1" t="s">
        <v>9</v>
      </c>
      <c r="G431" s="1">
        <v>42</v>
      </c>
      <c r="H431" t="str">
        <f t="shared" si="34"/>
        <v>XX Large</v>
      </c>
      <c r="I431" t="str">
        <f t="shared" si="30"/>
        <v>XX Large</v>
      </c>
      <c r="J431" s="1">
        <v>848.55</v>
      </c>
      <c r="K431">
        <f t="shared" si="31"/>
        <v>0.01</v>
      </c>
      <c r="L431">
        <f t="shared" si="32"/>
        <v>840.06449999999995</v>
      </c>
      <c r="M431" s="1">
        <f t="shared" si="33"/>
        <v>846.94999999999993</v>
      </c>
      <c r="N431" s="1" t="s">
        <v>10</v>
      </c>
      <c r="O431" s="1">
        <v>1.6</v>
      </c>
    </row>
    <row r="432" spans="4:15" x14ac:dyDescent="0.3">
      <c r="D432" s="1">
        <v>8388</v>
      </c>
      <c r="E432" s="2">
        <v>43518</v>
      </c>
      <c r="F432" s="1" t="s">
        <v>7</v>
      </c>
      <c r="G432" s="1">
        <v>39</v>
      </c>
      <c r="H432" t="str">
        <f t="shared" si="34"/>
        <v>Extra Large</v>
      </c>
      <c r="I432" t="str">
        <f t="shared" si="30"/>
        <v>Extra Large</v>
      </c>
      <c r="J432" s="1">
        <v>310.62</v>
      </c>
      <c r="K432">
        <f t="shared" si="31"/>
        <v>0.01</v>
      </c>
      <c r="L432">
        <f t="shared" si="32"/>
        <v>307.5138</v>
      </c>
      <c r="M432" s="1">
        <f t="shared" si="33"/>
        <v>306.32</v>
      </c>
      <c r="N432" s="1" t="s">
        <v>10</v>
      </c>
      <c r="O432" s="1">
        <v>4.3</v>
      </c>
    </row>
    <row r="433" spans="4:15" x14ac:dyDescent="0.3">
      <c r="D433" s="1">
        <v>13670</v>
      </c>
      <c r="E433" s="2">
        <v>43608</v>
      </c>
      <c r="F433" s="1" t="s">
        <v>12</v>
      </c>
      <c r="G433" s="1">
        <v>27</v>
      </c>
      <c r="H433" t="str">
        <f t="shared" si="34"/>
        <v>Medium-Large</v>
      </c>
      <c r="I433" t="str">
        <f t="shared" si="30"/>
        <v>Medium-Large</v>
      </c>
      <c r="J433" s="1">
        <v>124.52</v>
      </c>
      <c r="K433">
        <f t="shared" si="31"/>
        <v>0</v>
      </c>
      <c r="L433">
        <f t="shared" si="32"/>
        <v>124.52</v>
      </c>
      <c r="M433" s="1">
        <f t="shared" si="33"/>
        <v>124.52</v>
      </c>
      <c r="N433" s="1" t="s">
        <v>8</v>
      </c>
      <c r="O433" s="1">
        <v>0.5</v>
      </c>
    </row>
    <row r="434" spans="4:15" x14ac:dyDescent="0.3">
      <c r="D434" s="1">
        <v>51237</v>
      </c>
      <c r="E434" s="2">
        <v>43534</v>
      </c>
      <c r="F434" s="1" t="s">
        <v>14</v>
      </c>
      <c r="G434" s="1">
        <v>26</v>
      </c>
      <c r="H434" t="str">
        <f t="shared" si="34"/>
        <v>Medium-Large</v>
      </c>
      <c r="I434" t="str">
        <f t="shared" si="30"/>
        <v>Medium-Large</v>
      </c>
      <c r="J434" s="1">
        <v>5102.8999999999996</v>
      </c>
      <c r="K434">
        <f t="shared" si="31"/>
        <v>0</v>
      </c>
      <c r="L434">
        <f t="shared" si="32"/>
        <v>5102.8999999999996</v>
      </c>
      <c r="M434" s="1">
        <f t="shared" si="33"/>
        <v>5102.8999999999996</v>
      </c>
      <c r="N434" s="1" t="s">
        <v>10</v>
      </c>
      <c r="O434" s="1">
        <v>6.4</v>
      </c>
    </row>
    <row r="435" spans="4:15" x14ac:dyDescent="0.3">
      <c r="D435" s="1">
        <v>42306</v>
      </c>
      <c r="E435" s="2">
        <v>43722</v>
      </c>
      <c r="F435" s="1" t="s">
        <v>9</v>
      </c>
      <c r="G435" s="1">
        <v>19</v>
      </c>
      <c r="H435" t="str">
        <f t="shared" si="34"/>
        <v>Small-Medium</v>
      </c>
      <c r="I435" t="str">
        <f t="shared" si="30"/>
        <v>Small-Medium</v>
      </c>
      <c r="J435" s="1">
        <v>828</v>
      </c>
      <c r="K435">
        <f t="shared" si="31"/>
        <v>0</v>
      </c>
      <c r="L435">
        <f t="shared" si="32"/>
        <v>828</v>
      </c>
      <c r="M435" s="1">
        <f t="shared" si="33"/>
        <v>828</v>
      </c>
      <c r="N435" s="1" t="s">
        <v>10</v>
      </c>
      <c r="O435" s="1">
        <v>5.7</v>
      </c>
    </row>
    <row r="436" spans="4:15" x14ac:dyDescent="0.3">
      <c r="D436" s="1">
        <v>15236</v>
      </c>
      <c r="E436" s="2">
        <v>43564</v>
      </c>
      <c r="F436" s="1" t="s">
        <v>11</v>
      </c>
      <c r="G436" s="1">
        <v>33</v>
      </c>
      <c r="H436" t="str">
        <f t="shared" si="34"/>
        <v>Large</v>
      </c>
      <c r="I436" t="str">
        <f t="shared" si="30"/>
        <v>Large</v>
      </c>
      <c r="J436" s="1">
        <v>365.32</v>
      </c>
      <c r="K436">
        <f t="shared" si="31"/>
        <v>0</v>
      </c>
      <c r="L436">
        <f t="shared" si="32"/>
        <v>365.32</v>
      </c>
      <c r="M436" s="1">
        <f t="shared" si="33"/>
        <v>365.32</v>
      </c>
      <c r="N436" s="1" t="s">
        <v>10</v>
      </c>
      <c r="O436" s="1">
        <v>3.2</v>
      </c>
    </row>
    <row r="437" spans="4:15" x14ac:dyDescent="0.3">
      <c r="D437" s="1">
        <v>37831</v>
      </c>
      <c r="E437" s="2">
        <v>43672</v>
      </c>
      <c r="F437" s="1" t="s">
        <v>11</v>
      </c>
      <c r="G437" s="1">
        <v>30</v>
      </c>
      <c r="H437" t="str">
        <f t="shared" si="34"/>
        <v>Medium-Large</v>
      </c>
      <c r="I437" t="str">
        <f t="shared" si="30"/>
        <v>Medium-Large</v>
      </c>
      <c r="J437" s="1">
        <v>485.64</v>
      </c>
      <c r="K437">
        <f t="shared" si="31"/>
        <v>0</v>
      </c>
      <c r="L437">
        <f t="shared" si="32"/>
        <v>485.64</v>
      </c>
      <c r="M437" s="1">
        <f t="shared" si="33"/>
        <v>485.64</v>
      </c>
      <c r="N437" s="1" t="s">
        <v>10</v>
      </c>
      <c r="O437" s="1">
        <v>4.3</v>
      </c>
    </row>
    <row r="438" spans="4:15" x14ac:dyDescent="0.3">
      <c r="D438" s="1">
        <v>33031</v>
      </c>
      <c r="E438" s="2">
        <v>43701</v>
      </c>
      <c r="F438" s="1" t="s">
        <v>9</v>
      </c>
      <c r="G438" s="1">
        <v>24</v>
      </c>
      <c r="H438" t="str">
        <f t="shared" si="34"/>
        <v>Medium</v>
      </c>
      <c r="I438" t="str">
        <f t="shared" si="30"/>
        <v>Medium</v>
      </c>
      <c r="J438" s="1">
        <v>589.23</v>
      </c>
      <c r="K438">
        <f t="shared" si="31"/>
        <v>0</v>
      </c>
      <c r="L438">
        <f t="shared" si="32"/>
        <v>589.23</v>
      </c>
      <c r="M438" s="1">
        <f t="shared" si="33"/>
        <v>589.23</v>
      </c>
      <c r="N438" s="1" t="s">
        <v>13</v>
      </c>
      <c r="O438" s="1">
        <v>16.8</v>
      </c>
    </row>
    <row r="439" spans="4:15" x14ac:dyDescent="0.3">
      <c r="D439" s="1">
        <v>51044</v>
      </c>
      <c r="E439" s="2">
        <v>43482</v>
      </c>
      <c r="F439" s="1" t="s">
        <v>7</v>
      </c>
      <c r="G439" s="1">
        <v>19</v>
      </c>
      <c r="H439" t="str">
        <f t="shared" si="34"/>
        <v>Small-Medium</v>
      </c>
      <c r="I439" t="str">
        <f t="shared" si="30"/>
        <v>Small-Medium</v>
      </c>
      <c r="J439" s="1">
        <v>125.48</v>
      </c>
      <c r="K439">
        <f t="shared" si="31"/>
        <v>0</v>
      </c>
      <c r="L439">
        <f t="shared" si="32"/>
        <v>125.48</v>
      </c>
      <c r="M439" s="1">
        <f t="shared" si="33"/>
        <v>125.48</v>
      </c>
      <c r="N439" s="1" t="s">
        <v>10</v>
      </c>
      <c r="O439" s="1">
        <v>0.9</v>
      </c>
    </row>
    <row r="440" spans="4:15" x14ac:dyDescent="0.3">
      <c r="D440" s="1">
        <v>32000</v>
      </c>
      <c r="E440" s="2">
        <v>43721</v>
      </c>
      <c r="F440" s="1" t="s">
        <v>7</v>
      </c>
      <c r="G440" s="1">
        <v>26</v>
      </c>
      <c r="H440" t="str">
        <f t="shared" si="34"/>
        <v>Medium-Large</v>
      </c>
      <c r="I440" t="str">
        <f t="shared" si="30"/>
        <v>Medium-Large</v>
      </c>
      <c r="J440" s="1">
        <v>16230.6374</v>
      </c>
      <c r="K440">
        <f t="shared" si="31"/>
        <v>0</v>
      </c>
      <c r="L440">
        <f t="shared" si="32"/>
        <v>16230.6374</v>
      </c>
      <c r="M440" s="1">
        <f t="shared" si="33"/>
        <v>16230.6374</v>
      </c>
      <c r="N440" s="1" t="s">
        <v>13</v>
      </c>
      <c r="O440" s="1">
        <v>157.4</v>
      </c>
    </row>
    <row r="441" spans="4:15" x14ac:dyDescent="0.3">
      <c r="D441" s="1">
        <v>15872</v>
      </c>
      <c r="E441" s="2">
        <v>43768</v>
      </c>
      <c r="F441" s="1" t="s">
        <v>11</v>
      </c>
      <c r="G441" s="1">
        <v>48</v>
      </c>
      <c r="H441" t="str">
        <f t="shared" si="34"/>
        <v>XXX Large</v>
      </c>
      <c r="I441" t="str">
        <f t="shared" si="30"/>
        <v>XXX Large</v>
      </c>
      <c r="J441" s="1">
        <v>5561.99</v>
      </c>
      <c r="K441">
        <f t="shared" si="31"/>
        <v>0.01</v>
      </c>
      <c r="L441">
        <f t="shared" si="32"/>
        <v>5506.3701000000001</v>
      </c>
      <c r="M441" s="1">
        <f t="shared" si="33"/>
        <v>5545.19</v>
      </c>
      <c r="N441" s="1" t="s">
        <v>13</v>
      </c>
      <c r="O441" s="1">
        <v>16.8</v>
      </c>
    </row>
    <row r="442" spans="4:15" x14ac:dyDescent="0.3">
      <c r="D442" s="1">
        <v>19586</v>
      </c>
      <c r="E442" s="2">
        <v>43770</v>
      </c>
      <c r="F442" s="1" t="s">
        <v>11</v>
      </c>
      <c r="G442" s="1">
        <v>36</v>
      </c>
      <c r="H442" t="str">
        <f t="shared" si="34"/>
        <v>Extra Large</v>
      </c>
      <c r="I442" t="str">
        <f t="shared" si="30"/>
        <v>Extra Large</v>
      </c>
      <c r="J442" s="1">
        <v>75.574100000000001</v>
      </c>
      <c r="K442">
        <f t="shared" si="31"/>
        <v>0.01</v>
      </c>
      <c r="L442">
        <f t="shared" si="32"/>
        <v>74.818359000000001</v>
      </c>
      <c r="M442" s="1">
        <f t="shared" si="33"/>
        <v>72.874099999999999</v>
      </c>
      <c r="N442" s="1" t="s">
        <v>10</v>
      </c>
      <c r="O442" s="1">
        <v>2.7</v>
      </c>
    </row>
    <row r="443" spans="4:15" x14ac:dyDescent="0.3">
      <c r="D443" s="1">
        <v>54501</v>
      </c>
      <c r="E443" s="2">
        <v>43798</v>
      </c>
      <c r="F443" s="1" t="s">
        <v>12</v>
      </c>
      <c r="G443" s="1">
        <v>38</v>
      </c>
      <c r="H443" t="str">
        <f t="shared" si="34"/>
        <v>Extra Large</v>
      </c>
      <c r="I443" t="str">
        <f t="shared" si="30"/>
        <v>Extra Large</v>
      </c>
      <c r="J443" s="1">
        <v>838.84</v>
      </c>
      <c r="K443">
        <f t="shared" si="31"/>
        <v>0.01</v>
      </c>
      <c r="L443">
        <f t="shared" si="32"/>
        <v>830.45159999999998</v>
      </c>
      <c r="M443" s="1">
        <f t="shared" si="33"/>
        <v>801.34</v>
      </c>
      <c r="N443" s="1" t="s">
        <v>10</v>
      </c>
      <c r="O443" s="1">
        <v>37.5</v>
      </c>
    </row>
    <row r="444" spans="4:15" x14ac:dyDescent="0.3">
      <c r="D444" s="1">
        <v>44422</v>
      </c>
      <c r="E444" s="2">
        <v>43568</v>
      </c>
      <c r="F444" s="1" t="s">
        <v>14</v>
      </c>
      <c r="G444" s="1">
        <v>1</v>
      </c>
      <c r="H444" t="str">
        <f t="shared" si="34"/>
        <v>Mini</v>
      </c>
      <c r="I444" t="str">
        <f t="shared" si="30"/>
        <v>Mini</v>
      </c>
      <c r="J444" s="1">
        <v>16.82</v>
      </c>
      <c r="K444">
        <f t="shared" si="31"/>
        <v>0</v>
      </c>
      <c r="L444">
        <f t="shared" si="32"/>
        <v>16.82</v>
      </c>
      <c r="M444" s="1">
        <f t="shared" si="33"/>
        <v>16.82</v>
      </c>
      <c r="N444" s="1" t="s">
        <v>10</v>
      </c>
      <c r="O444" s="1">
        <v>4.8</v>
      </c>
    </row>
    <row r="445" spans="4:15" x14ac:dyDescent="0.3">
      <c r="D445" s="1">
        <v>12356</v>
      </c>
      <c r="E445" s="2">
        <v>43756</v>
      </c>
      <c r="F445" s="1" t="s">
        <v>12</v>
      </c>
      <c r="G445" s="1">
        <v>39</v>
      </c>
      <c r="H445" t="str">
        <f t="shared" si="34"/>
        <v>Extra Large</v>
      </c>
      <c r="I445" t="str">
        <f t="shared" si="30"/>
        <v>Extra Large</v>
      </c>
      <c r="J445" s="1">
        <v>260.06</v>
      </c>
      <c r="K445">
        <f t="shared" si="31"/>
        <v>0.01</v>
      </c>
      <c r="L445">
        <f t="shared" si="32"/>
        <v>257.45940000000002</v>
      </c>
      <c r="M445" s="1">
        <f t="shared" si="33"/>
        <v>254.36</v>
      </c>
      <c r="N445" s="1" t="s">
        <v>10</v>
      </c>
      <c r="O445" s="1">
        <v>5.7</v>
      </c>
    </row>
    <row r="446" spans="4:15" x14ac:dyDescent="0.3">
      <c r="D446" s="1">
        <v>35012</v>
      </c>
      <c r="E446" s="2">
        <v>43624</v>
      </c>
      <c r="F446" s="1" t="s">
        <v>14</v>
      </c>
      <c r="G446" s="1">
        <v>10</v>
      </c>
      <c r="H446" t="str">
        <f t="shared" si="34"/>
        <v>Extra Small</v>
      </c>
      <c r="I446" t="str">
        <f t="shared" si="30"/>
        <v>Extra Small</v>
      </c>
      <c r="J446" s="1">
        <v>135.66999999999999</v>
      </c>
      <c r="K446">
        <f t="shared" si="31"/>
        <v>0</v>
      </c>
      <c r="L446">
        <f t="shared" si="32"/>
        <v>135.66999999999999</v>
      </c>
      <c r="M446" s="1">
        <f t="shared" si="33"/>
        <v>135.66999999999999</v>
      </c>
      <c r="N446" s="1" t="s">
        <v>10</v>
      </c>
      <c r="O446" s="1">
        <v>5.3</v>
      </c>
    </row>
    <row r="447" spans="4:15" x14ac:dyDescent="0.3">
      <c r="D447" s="1">
        <v>42982</v>
      </c>
      <c r="E447" s="2">
        <v>43673</v>
      </c>
      <c r="F447" s="1" t="s">
        <v>7</v>
      </c>
      <c r="G447" s="1">
        <v>42</v>
      </c>
      <c r="H447" t="str">
        <f t="shared" si="34"/>
        <v>XX Large</v>
      </c>
      <c r="I447" t="str">
        <f t="shared" si="30"/>
        <v>XX Large</v>
      </c>
      <c r="J447" s="1">
        <v>1698.72</v>
      </c>
      <c r="K447">
        <f t="shared" si="31"/>
        <v>0.01</v>
      </c>
      <c r="L447">
        <f t="shared" si="32"/>
        <v>1681.7328</v>
      </c>
      <c r="M447" s="1">
        <f t="shared" si="33"/>
        <v>1695.42</v>
      </c>
      <c r="N447" s="1" t="s">
        <v>10</v>
      </c>
      <c r="O447" s="1">
        <v>3.3</v>
      </c>
    </row>
    <row r="448" spans="4:15" x14ac:dyDescent="0.3">
      <c r="D448" s="1">
        <v>51297</v>
      </c>
      <c r="E448" s="2">
        <v>43780</v>
      </c>
      <c r="F448" s="1" t="s">
        <v>7</v>
      </c>
      <c r="G448" s="1">
        <v>41</v>
      </c>
      <c r="H448" t="str">
        <f t="shared" si="34"/>
        <v>XX Large</v>
      </c>
      <c r="I448" t="str">
        <f t="shared" si="30"/>
        <v>XX Large</v>
      </c>
      <c r="J448" s="1">
        <v>381.22</v>
      </c>
      <c r="K448">
        <f t="shared" si="31"/>
        <v>0.01</v>
      </c>
      <c r="L448">
        <f t="shared" si="32"/>
        <v>377.40780000000001</v>
      </c>
      <c r="M448" s="1">
        <f t="shared" si="33"/>
        <v>378.02000000000004</v>
      </c>
      <c r="N448" s="1" t="s">
        <v>8</v>
      </c>
      <c r="O448" s="1">
        <v>3.2</v>
      </c>
    </row>
    <row r="449" spans="4:15" x14ac:dyDescent="0.3">
      <c r="D449" s="1">
        <v>388</v>
      </c>
      <c r="E449" s="2">
        <v>43814</v>
      </c>
      <c r="F449" s="1" t="s">
        <v>11</v>
      </c>
      <c r="G449" s="1">
        <v>46</v>
      </c>
      <c r="H449" t="str">
        <f t="shared" si="34"/>
        <v>XXX Large</v>
      </c>
      <c r="I449" t="str">
        <f t="shared" si="30"/>
        <v>XXX Large</v>
      </c>
      <c r="J449" s="1">
        <v>554.19000000000005</v>
      </c>
      <c r="K449">
        <f t="shared" si="31"/>
        <v>0.01</v>
      </c>
      <c r="L449">
        <f t="shared" si="32"/>
        <v>548.6481</v>
      </c>
      <c r="M449" s="1">
        <f t="shared" si="33"/>
        <v>546.79000000000008</v>
      </c>
      <c r="N449" s="1" t="s">
        <v>10</v>
      </c>
      <c r="O449" s="1">
        <v>7.4</v>
      </c>
    </row>
    <row r="450" spans="4:15" x14ac:dyDescent="0.3">
      <c r="D450" s="1">
        <v>11269</v>
      </c>
      <c r="E450" s="2">
        <v>43611</v>
      </c>
      <c r="F450" s="1" t="s">
        <v>7</v>
      </c>
      <c r="G450" s="1">
        <v>39</v>
      </c>
      <c r="H450" t="str">
        <f t="shared" si="34"/>
        <v>Extra Large</v>
      </c>
      <c r="I450" t="str">
        <f t="shared" si="30"/>
        <v>Extra Large</v>
      </c>
      <c r="J450" s="1">
        <v>2228.87</v>
      </c>
      <c r="K450">
        <f t="shared" si="31"/>
        <v>0.01</v>
      </c>
      <c r="L450">
        <f t="shared" si="32"/>
        <v>2206.5812999999998</v>
      </c>
      <c r="M450" s="1">
        <f t="shared" si="33"/>
        <v>2222.4699999999998</v>
      </c>
      <c r="N450" s="1" t="s">
        <v>8</v>
      </c>
      <c r="O450" s="1">
        <v>6.4</v>
      </c>
    </row>
    <row r="451" spans="4:15" x14ac:dyDescent="0.3">
      <c r="D451" s="1">
        <v>36484</v>
      </c>
      <c r="E451" s="2">
        <v>43492</v>
      </c>
      <c r="F451" s="1" t="s">
        <v>12</v>
      </c>
      <c r="G451" s="1">
        <v>41</v>
      </c>
      <c r="H451" t="str">
        <f t="shared" si="34"/>
        <v>XX Large</v>
      </c>
      <c r="I451" t="str">
        <f t="shared" ref="I451:I514" si="35">VLOOKUP(G451, $A$3:$B$12, 2, TRUE)</f>
        <v>XX Large</v>
      </c>
      <c r="J451" s="1">
        <v>2547.2094000000002</v>
      </c>
      <c r="K451">
        <f t="shared" ref="K451:K514" si="36">IF(OR(I451="Extra Large", I451="XX Large", I451="XXX Large"), 0.01, 0)</f>
        <v>0.01</v>
      </c>
      <c r="L451">
        <f t="shared" ref="L451:L514" si="37">J451 * (1 - K451)</f>
        <v>2521.737306</v>
      </c>
      <c r="M451" s="1">
        <f t="shared" ref="M451:M514" si="38">IF(OR(I451="Extra Large",I451="XX Large",I451="XXX Large"),J451-O451,J451)</f>
        <v>2543.0094000000004</v>
      </c>
      <c r="N451" s="1" t="s">
        <v>8</v>
      </c>
      <c r="O451" s="1">
        <v>4.2</v>
      </c>
    </row>
    <row r="452" spans="4:15" x14ac:dyDescent="0.3">
      <c r="D452" s="1">
        <v>3361</v>
      </c>
      <c r="E452" s="2">
        <v>43699</v>
      </c>
      <c r="F452" s="1" t="s">
        <v>11</v>
      </c>
      <c r="G452" s="1">
        <v>23</v>
      </c>
      <c r="H452" t="str">
        <f t="shared" si="34"/>
        <v>Medium</v>
      </c>
      <c r="I452" t="str">
        <f t="shared" si="35"/>
        <v>Medium</v>
      </c>
      <c r="J452" s="1">
        <v>143.02000000000001</v>
      </c>
      <c r="K452">
        <f t="shared" si="36"/>
        <v>0</v>
      </c>
      <c r="L452">
        <f t="shared" si="37"/>
        <v>143.02000000000001</v>
      </c>
      <c r="M452" s="1">
        <f t="shared" si="38"/>
        <v>143.02000000000001</v>
      </c>
      <c r="N452" s="1" t="s">
        <v>10</v>
      </c>
      <c r="O452" s="1">
        <v>2.4</v>
      </c>
    </row>
    <row r="453" spans="4:15" x14ac:dyDescent="0.3">
      <c r="D453" s="1">
        <v>49344</v>
      </c>
      <c r="E453" s="2">
        <v>43829</v>
      </c>
      <c r="F453" s="1" t="s">
        <v>7</v>
      </c>
      <c r="G453" s="1">
        <v>1</v>
      </c>
      <c r="H453" t="str">
        <f t="shared" ref="H453:H516" si="39">VLOOKUP(G453, $A$3:$B$12, 2, TRUE)</f>
        <v>Mini</v>
      </c>
      <c r="I453" t="str">
        <f t="shared" si="35"/>
        <v>Mini</v>
      </c>
      <c r="J453" s="1">
        <v>859.56309999999996</v>
      </c>
      <c r="K453">
        <f t="shared" si="36"/>
        <v>0</v>
      </c>
      <c r="L453">
        <f t="shared" si="37"/>
        <v>859.56309999999996</v>
      </c>
      <c r="M453" s="1">
        <f t="shared" si="38"/>
        <v>859.56309999999996</v>
      </c>
      <c r="N453" s="1" t="s">
        <v>10</v>
      </c>
      <c r="O453" s="1">
        <v>26.2</v>
      </c>
    </row>
    <row r="454" spans="4:15" x14ac:dyDescent="0.3">
      <c r="D454" s="1">
        <v>9473</v>
      </c>
      <c r="E454" s="2">
        <v>43749</v>
      </c>
      <c r="F454" s="1" t="s">
        <v>11</v>
      </c>
      <c r="G454" s="1">
        <v>34</v>
      </c>
      <c r="H454" t="str">
        <f t="shared" si="39"/>
        <v>Large</v>
      </c>
      <c r="I454" t="str">
        <f t="shared" si="35"/>
        <v>Large</v>
      </c>
      <c r="J454" s="1">
        <v>603.28740000000005</v>
      </c>
      <c r="K454">
        <f t="shared" si="36"/>
        <v>0</v>
      </c>
      <c r="L454">
        <f t="shared" si="37"/>
        <v>603.28740000000005</v>
      </c>
      <c r="M454" s="1">
        <f t="shared" si="38"/>
        <v>603.28740000000005</v>
      </c>
      <c r="N454" s="1" t="s">
        <v>10</v>
      </c>
      <c r="O454" s="1">
        <v>3.2</v>
      </c>
    </row>
    <row r="455" spans="4:15" x14ac:dyDescent="0.3">
      <c r="D455" s="1">
        <v>21220</v>
      </c>
      <c r="E455" s="2">
        <v>43821</v>
      </c>
      <c r="F455" s="1" t="s">
        <v>11</v>
      </c>
      <c r="G455" s="1">
        <v>4</v>
      </c>
      <c r="H455" t="str">
        <f t="shared" si="39"/>
        <v>Mini</v>
      </c>
      <c r="I455" t="str">
        <f t="shared" si="35"/>
        <v>Mini</v>
      </c>
      <c r="J455" s="1">
        <v>509.65</v>
      </c>
      <c r="K455">
        <f t="shared" si="36"/>
        <v>0</v>
      </c>
      <c r="L455">
        <f t="shared" si="37"/>
        <v>509.65</v>
      </c>
      <c r="M455" s="1">
        <f t="shared" si="38"/>
        <v>509.65</v>
      </c>
      <c r="N455" s="1" t="s">
        <v>13</v>
      </c>
      <c r="O455" s="1">
        <v>28.1</v>
      </c>
    </row>
    <row r="456" spans="4:15" x14ac:dyDescent="0.3">
      <c r="D456" s="1">
        <v>4096</v>
      </c>
      <c r="E456" s="2">
        <v>43648</v>
      </c>
      <c r="F456" s="1" t="s">
        <v>11</v>
      </c>
      <c r="G456" s="1">
        <v>21</v>
      </c>
      <c r="H456" t="str">
        <f t="shared" si="39"/>
        <v>Medium</v>
      </c>
      <c r="I456" t="str">
        <f t="shared" si="35"/>
        <v>Medium</v>
      </c>
      <c r="J456" s="1">
        <v>137.26</v>
      </c>
      <c r="K456">
        <f t="shared" si="36"/>
        <v>0</v>
      </c>
      <c r="L456">
        <f t="shared" si="37"/>
        <v>137.26</v>
      </c>
      <c r="M456" s="1">
        <f t="shared" si="38"/>
        <v>137.26</v>
      </c>
      <c r="N456" s="1" t="s">
        <v>10</v>
      </c>
      <c r="O456" s="1">
        <v>0.5</v>
      </c>
    </row>
    <row r="457" spans="4:15" x14ac:dyDescent="0.3">
      <c r="D457" s="1">
        <v>38310</v>
      </c>
      <c r="E457" s="2">
        <v>43569</v>
      </c>
      <c r="F457" s="1" t="s">
        <v>9</v>
      </c>
      <c r="G457" s="1">
        <v>4</v>
      </c>
      <c r="H457" t="str">
        <f t="shared" si="39"/>
        <v>Mini</v>
      </c>
      <c r="I457" t="str">
        <f t="shared" si="35"/>
        <v>Mini</v>
      </c>
      <c r="J457" s="1">
        <v>66.819999999999993</v>
      </c>
      <c r="K457">
        <f t="shared" si="36"/>
        <v>0</v>
      </c>
      <c r="L457">
        <f t="shared" si="37"/>
        <v>66.819999999999993</v>
      </c>
      <c r="M457" s="1">
        <f t="shared" si="38"/>
        <v>66.819999999999993</v>
      </c>
      <c r="N457" s="1" t="s">
        <v>10</v>
      </c>
      <c r="O457" s="1">
        <v>52.4</v>
      </c>
    </row>
    <row r="458" spans="4:15" x14ac:dyDescent="0.3">
      <c r="D458" s="1">
        <v>8832</v>
      </c>
      <c r="E458" s="2">
        <v>43497</v>
      </c>
      <c r="F458" s="1" t="s">
        <v>7</v>
      </c>
      <c r="G458" s="1">
        <v>39</v>
      </c>
      <c r="H458" t="str">
        <f t="shared" si="39"/>
        <v>Extra Large</v>
      </c>
      <c r="I458" t="str">
        <f t="shared" si="35"/>
        <v>Extra Large</v>
      </c>
      <c r="J458" s="1">
        <v>693.16</v>
      </c>
      <c r="K458">
        <f t="shared" si="36"/>
        <v>0.01</v>
      </c>
      <c r="L458">
        <f t="shared" si="37"/>
        <v>686.22839999999997</v>
      </c>
      <c r="M458" s="1">
        <f t="shared" si="38"/>
        <v>683.56</v>
      </c>
      <c r="N458" s="1" t="s">
        <v>10</v>
      </c>
      <c r="O458" s="1">
        <v>9.6</v>
      </c>
    </row>
    <row r="459" spans="4:15" x14ac:dyDescent="0.3">
      <c r="D459" s="1">
        <v>40933</v>
      </c>
      <c r="E459" s="2">
        <v>43612</v>
      </c>
      <c r="F459" s="1" t="s">
        <v>9</v>
      </c>
      <c r="G459" s="1">
        <v>37</v>
      </c>
      <c r="H459" t="str">
        <f t="shared" si="39"/>
        <v>Extra Large</v>
      </c>
      <c r="I459" t="str">
        <f t="shared" si="35"/>
        <v>Extra Large</v>
      </c>
      <c r="J459" s="1">
        <v>102.11</v>
      </c>
      <c r="K459">
        <f t="shared" si="36"/>
        <v>0.01</v>
      </c>
      <c r="L459">
        <f t="shared" si="37"/>
        <v>101.0889</v>
      </c>
      <c r="M459" s="1">
        <f t="shared" si="38"/>
        <v>97.51</v>
      </c>
      <c r="N459" s="1" t="s">
        <v>10</v>
      </c>
      <c r="O459" s="1">
        <v>4.5999999999999996</v>
      </c>
    </row>
    <row r="460" spans="4:15" x14ac:dyDescent="0.3">
      <c r="D460" s="1">
        <v>47620</v>
      </c>
      <c r="E460" s="2">
        <v>43642</v>
      </c>
      <c r="F460" s="1" t="s">
        <v>7</v>
      </c>
      <c r="G460" s="1">
        <v>27</v>
      </c>
      <c r="H460" t="str">
        <f t="shared" si="39"/>
        <v>Medium-Large</v>
      </c>
      <c r="I460" t="str">
        <f t="shared" si="35"/>
        <v>Medium-Large</v>
      </c>
      <c r="J460" s="1">
        <v>323.35000000000002</v>
      </c>
      <c r="K460">
        <f t="shared" si="36"/>
        <v>0</v>
      </c>
      <c r="L460">
        <f t="shared" si="37"/>
        <v>323.35000000000002</v>
      </c>
      <c r="M460" s="1">
        <f t="shared" si="38"/>
        <v>323.35000000000002</v>
      </c>
      <c r="N460" s="1" t="s">
        <v>10</v>
      </c>
      <c r="O460" s="1">
        <v>3.6</v>
      </c>
    </row>
    <row r="461" spans="4:15" x14ac:dyDescent="0.3">
      <c r="D461" s="1">
        <v>57600</v>
      </c>
      <c r="E461" s="2">
        <v>43780</v>
      </c>
      <c r="F461" s="1" t="s">
        <v>12</v>
      </c>
      <c r="G461" s="1">
        <v>12</v>
      </c>
      <c r="H461" t="str">
        <f t="shared" si="39"/>
        <v>Small</v>
      </c>
      <c r="I461" t="str">
        <f t="shared" si="35"/>
        <v>Small</v>
      </c>
      <c r="J461" s="1">
        <v>435.7</v>
      </c>
      <c r="K461">
        <f t="shared" si="36"/>
        <v>0</v>
      </c>
      <c r="L461">
        <f t="shared" si="37"/>
        <v>435.7</v>
      </c>
      <c r="M461" s="1">
        <f t="shared" si="38"/>
        <v>435.7</v>
      </c>
      <c r="N461" s="1" t="s">
        <v>10</v>
      </c>
      <c r="O461" s="1">
        <v>18.3</v>
      </c>
    </row>
    <row r="462" spans="4:15" x14ac:dyDescent="0.3">
      <c r="D462" s="1">
        <v>32230</v>
      </c>
      <c r="E462" s="2">
        <v>43696</v>
      </c>
      <c r="F462" s="1" t="s">
        <v>9</v>
      </c>
      <c r="G462" s="1">
        <v>46</v>
      </c>
      <c r="H462" t="str">
        <f t="shared" si="39"/>
        <v>XXX Large</v>
      </c>
      <c r="I462" t="str">
        <f t="shared" si="35"/>
        <v>XXX Large</v>
      </c>
      <c r="J462" s="1">
        <v>1876.51</v>
      </c>
      <c r="K462">
        <f t="shared" si="36"/>
        <v>0.01</v>
      </c>
      <c r="L462">
        <f t="shared" si="37"/>
        <v>1857.7448999999999</v>
      </c>
      <c r="M462" s="1">
        <f t="shared" si="38"/>
        <v>1866.71</v>
      </c>
      <c r="N462" s="1" t="s">
        <v>10</v>
      </c>
      <c r="O462" s="1">
        <v>9.8000000000000007</v>
      </c>
    </row>
    <row r="463" spans="4:15" x14ac:dyDescent="0.3">
      <c r="D463" s="1">
        <v>44386</v>
      </c>
      <c r="E463" s="2">
        <v>43564</v>
      </c>
      <c r="F463" s="1" t="s">
        <v>14</v>
      </c>
      <c r="G463" s="1">
        <v>27</v>
      </c>
      <c r="H463" t="str">
        <f t="shared" si="39"/>
        <v>Medium-Large</v>
      </c>
      <c r="I463" t="str">
        <f t="shared" si="35"/>
        <v>Medium-Large</v>
      </c>
      <c r="J463" s="1">
        <v>138.09</v>
      </c>
      <c r="K463">
        <f t="shared" si="36"/>
        <v>0</v>
      </c>
      <c r="L463">
        <f t="shared" si="37"/>
        <v>138.09</v>
      </c>
      <c r="M463" s="1">
        <f t="shared" si="38"/>
        <v>138.09</v>
      </c>
      <c r="N463" s="1" t="s">
        <v>10</v>
      </c>
      <c r="O463" s="1">
        <v>5.3</v>
      </c>
    </row>
    <row r="464" spans="4:15" x14ac:dyDescent="0.3">
      <c r="D464" s="1">
        <v>32608</v>
      </c>
      <c r="E464" s="2">
        <v>43607</v>
      </c>
      <c r="F464" s="1" t="s">
        <v>9</v>
      </c>
      <c r="G464" s="1">
        <v>20</v>
      </c>
      <c r="H464" t="str">
        <f t="shared" si="39"/>
        <v>Small-Medium</v>
      </c>
      <c r="I464" t="str">
        <f t="shared" si="35"/>
        <v>Small-Medium</v>
      </c>
      <c r="J464" s="1">
        <v>1457.24</v>
      </c>
      <c r="K464">
        <f t="shared" si="36"/>
        <v>0</v>
      </c>
      <c r="L464">
        <f t="shared" si="37"/>
        <v>1457.24</v>
      </c>
      <c r="M464" s="1">
        <f t="shared" si="38"/>
        <v>1457.24</v>
      </c>
      <c r="N464" s="1" t="s">
        <v>10</v>
      </c>
      <c r="O464" s="1">
        <v>3.7</v>
      </c>
    </row>
    <row r="465" spans="4:15" x14ac:dyDescent="0.3">
      <c r="D465" s="1">
        <v>13668</v>
      </c>
      <c r="E465" s="2">
        <v>43519</v>
      </c>
      <c r="F465" s="1" t="s">
        <v>12</v>
      </c>
      <c r="G465" s="1">
        <v>42</v>
      </c>
      <c r="H465" t="str">
        <f t="shared" si="39"/>
        <v>XX Large</v>
      </c>
      <c r="I465" t="str">
        <f t="shared" si="35"/>
        <v>XX Large</v>
      </c>
      <c r="J465" s="1">
        <v>302.39</v>
      </c>
      <c r="K465">
        <f t="shared" si="36"/>
        <v>0.01</v>
      </c>
      <c r="L465">
        <f t="shared" si="37"/>
        <v>299.36609999999996</v>
      </c>
      <c r="M465" s="1">
        <f t="shared" si="38"/>
        <v>296.78999999999996</v>
      </c>
      <c r="N465" s="1" t="s">
        <v>10</v>
      </c>
      <c r="O465" s="1">
        <v>5.6</v>
      </c>
    </row>
    <row r="466" spans="4:15" x14ac:dyDescent="0.3">
      <c r="D466" s="1">
        <v>39972</v>
      </c>
      <c r="E466" s="2">
        <v>43733</v>
      </c>
      <c r="F466" s="1" t="s">
        <v>11</v>
      </c>
      <c r="G466" s="1">
        <v>36</v>
      </c>
      <c r="H466" t="str">
        <f t="shared" si="39"/>
        <v>Extra Large</v>
      </c>
      <c r="I466" t="str">
        <f t="shared" si="35"/>
        <v>Extra Large</v>
      </c>
      <c r="J466" s="1">
        <v>148.29</v>
      </c>
      <c r="K466">
        <f t="shared" si="36"/>
        <v>0.01</v>
      </c>
      <c r="L466">
        <f t="shared" si="37"/>
        <v>146.80709999999999</v>
      </c>
      <c r="M466" s="1">
        <f t="shared" si="38"/>
        <v>147.79</v>
      </c>
      <c r="N466" s="1" t="s">
        <v>10</v>
      </c>
      <c r="O466" s="1">
        <v>0.5</v>
      </c>
    </row>
    <row r="467" spans="4:15" x14ac:dyDescent="0.3">
      <c r="D467" s="1">
        <v>933</v>
      </c>
      <c r="E467" s="2">
        <v>43681</v>
      </c>
      <c r="F467" s="1" t="s">
        <v>11</v>
      </c>
      <c r="G467" s="1">
        <v>15</v>
      </c>
      <c r="H467" t="str">
        <f t="shared" si="39"/>
        <v>Small</v>
      </c>
      <c r="I467" t="str">
        <f t="shared" si="35"/>
        <v>Small</v>
      </c>
      <c r="J467" s="1">
        <v>86.25</v>
      </c>
      <c r="K467">
        <f t="shared" si="36"/>
        <v>0</v>
      </c>
      <c r="L467">
        <f t="shared" si="37"/>
        <v>86.25</v>
      </c>
      <c r="M467" s="1">
        <f t="shared" si="38"/>
        <v>86.25</v>
      </c>
      <c r="N467" s="1" t="s">
        <v>10</v>
      </c>
      <c r="O467" s="1">
        <v>3.2</v>
      </c>
    </row>
    <row r="468" spans="4:15" x14ac:dyDescent="0.3">
      <c r="D468" s="1">
        <v>4578</v>
      </c>
      <c r="E468" s="2">
        <v>43720</v>
      </c>
      <c r="F468" s="1" t="s">
        <v>7</v>
      </c>
      <c r="G468" s="1">
        <v>48</v>
      </c>
      <c r="H468" t="str">
        <f t="shared" si="39"/>
        <v>XXX Large</v>
      </c>
      <c r="I468" t="str">
        <f t="shared" si="35"/>
        <v>XXX Large</v>
      </c>
      <c r="J468" s="1">
        <v>774.82</v>
      </c>
      <c r="K468">
        <f t="shared" si="36"/>
        <v>0.01</v>
      </c>
      <c r="L468">
        <f t="shared" si="37"/>
        <v>767.07180000000005</v>
      </c>
      <c r="M468" s="1">
        <f t="shared" si="38"/>
        <v>760.5200000000001</v>
      </c>
      <c r="N468" s="1" t="s">
        <v>10</v>
      </c>
      <c r="O468" s="1">
        <v>14.3</v>
      </c>
    </row>
    <row r="469" spans="4:15" x14ac:dyDescent="0.3">
      <c r="D469" s="1">
        <v>44768</v>
      </c>
      <c r="E469" s="2">
        <v>43611</v>
      </c>
      <c r="F469" s="1" t="s">
        <v>11</v>
      </c>
      <c r="G469" s="1">
        <v>45</v>
      </c>
      <c r="H469" t="str">
        <f t="shared" si="39"/>
        <v>XX Large</v>
      </c>
      <c r="I469" t="str">
        <f t="shared" si="35"/>
        <v>XX Large</v>
      </c>
      <c r="J469" s="1">
        <v>17868.53</v>
      </c>
      <c r="K469">
        <f t="shared" si="36"/>
        <v>0.01</v>
      </c>
      <c r="L469">
        <f t="shared" si="37"/>
        <v>17689.844699999998</v>
      </c>
      <c r="M469" s="1">
        <f t="shared" si="38"/>
        <v>17805.53</v>
      </c>
      <c r="N469" s="1" t="s">
        <v>13</v>
      </c>
      <c r="O469" s="1">
        <v>63</v>
      </c>
    </row>
    <row r="470" spans="4:15" x14ac:dyDescent="0.3">
      <c r="D470" s="1">
        <v>10593</v>
      </c>
      <c r="E470" s="2">
        <v>43507</v>
      </c>
      <c r="F470" s="1" t="s">
        <v>9</v>
      </c>
      <c r="G470" s="1">
        <v>27</v>
      </c>
      <c r="H470" t="str">
        <f t="shared" si="39"/>
        <v>Medium-Large</v>
      </c>
      <c r="I470" t="str">
        <f t="shared" si="35"/>
        <v>Medium-Large</v>
      </c>
      <c r="J470" s="1">
        <v>465.74</v>
      </c>
      <c r="K470">
        <f t="shared" si="36"/>
        <v>0</v>
      </c>
      <c r="L470">
        <f t="shared" si="37"/>
        <v>465.74</v>
      </c>
      <c r="M470" s="1">
        <f t="shared" si="38"/>
        <v>465.74</v>
      </c>
      <c r="N470" s="1" t="s">
        <v>10</v>
      </c>
      <c r="O470" s="1">
        <v>9.6</v>
      </c>
    </row>
    <row r="471" spans="4:15" x14ac:dyDescent="0.3">
      <c r="D471" s="1">
        <v>30720</v>
      </c>
      <c r="E471" s="2">
        <v>43735</v>
      </c>
      <c r="F471" s="1" t="s">
        <v>7</v>
      </c>
      <c r="G471" s="1">
        <v>27</v>
      </c>
      <c r="H471" t="str">
        <f t="shared" si="39"/>
        <v>Medium-Large</v>
      </c>
      <c r="I471" t="str">
        <f t="shared" si="35"/>
        <v>Medium-Large</v>
      </c>
      <c r="J471" s="1">
        <v>2566.8200000000002</v>
      </c>
      <c r="K471">
        <f t="shared" si="36"/>
        <v>0</v>
      </c>
      <c r="L471">
        <f t="shared" si="37"/>
        <v>2566.8200000000002</v>
      </c>
      <c r="M471" s="1">
        <f t="shared" si="38"/>
        <v>2566.8200000000002</v>
      </c>
      <c r="N471" s="1" t="s">
        <v>8</v>
      </c>
      <c r="O471" s="1">
        <v>19.399999999999999</v>
      </c>
    </row>
    <row r="472" spans="4:15" x14ac:dyDescent="0.3">
      <c r="D472" s="1">
        <v>41927</v>
      </c>
      <c r="E472" s="2">
        <v>43659</v>
      </c>
      <c r="F472" s="1" t="s">
        <v>11</v>
      </c>
      <c r="G472" s="1">
        <v>46</v>
      </c>
      <c r="H472" t="str">
        <f t="shared" si="39"/>
        <v>XXX Large</v>
      </c>
      <c r="I472" t="str">
        <f t="shared" si="35"/>
        <v>XXX Large</v>
      </c>
      <c r="J472" s="1">
        <v>2495.4899999999998</v>
      </c>
      <c r="K472">
        <f t="shared" si="36"/>
        <v>0.01</v>
      </c>
      <c r="L472">
        <f t="shared" si="37"/>
        <v>2470.5350999999996</v>
      </c>
      <c r="M472" s="1">
        <f t="shared" si="38"/>
        <v>2487.79</v>
      </c>
      <c r="N472" s="1" t="s">
        <v>8</v>
      </c>
      <c r="O472" s="1">
        <v>7.7</v>
      </c>
    </row>
    <row r="473" spans="4:15" x14ac:dyDescent="0.3">
      <c r="D473" s="1">
        <v>39168</v>
      </c>
      <c r="E473" s="2">
        <v>43602</v>
      </c>
      <c r="F473" s="1" t="s">
        <v>9</v>
      </c>
      <c r="G473" s="1">
        <v>22</v>
      </c>
      <c r="H473" t="str">
        <f t="shared" si="39"/>
        <v>Medium</v>
      </c>
      <c r="I473" t="str">
        <f t="shared" si="35"/>
        <v>Medium</v>
      </c>
      <c r="J473" s="1">
        <v>866.6</v>
      </c>
      <c r="K473">
        <f t="shared" si="36"/>
        <v>0</v>
      </c>
      <c r="L473">
        <f t="shared" si="37"/>
        <v>866.6</v>
      </c>
      <c r="M473" s="1">
        <f t="shared" si="38"/>
        <v>866.6</v>
      </c>
      <c r="N473" s="1" t="s">
        <v>10</v>
      </c>
      <c r="O473" s="1">
        <v>3.2</v>
      </c>
    </row>
    <row r="474" spans="4:15" x14ac:dyDescent="0.3">
      <c r="D474" s="1">
        <v>35938</v>
      </c>
      <c r="E474" s="2">
        <v>43786</v>
      </c>
      <c r="F474" s="1" t="s">
        <v>11</v>
      </c>
      <c r="G474" s="1">
        <v>6</v>
      </c>
      <c r="H474" t="str">
        <f t="shared" si="39"/>
        <v>Extra Small</v>
      </c>
      <c r="I474" t="str">
        <f t="shared" si="35"/>
        <v>Extra Small</v>
      </c>
      <c r="J474" s="1">
        <v>1894.65</v>
      </c>
      <c r="K474">
        <f t="shared" si="36"/>
        <v>0</v>
      </c>
      <c r="L474">
        <f t="shared" si="37"/>
        <v>1894.65</v>
      </c>
      <c r="M474" s="1">
        <f t="shared" si="38"/>
        <v>1894.65</v>
      </c>
      <c r="N474" s="1" t="s">
        <v>13</v>
      </c>
      <c r="O474" s="1">
        <v>61</v>
      </c>
    </row>
    <row r="475" spans="4:15" x14ac:dyDescent="0.3">
      <c r="D475" s="1">
        <v>26309</v>
      </c>
      <c r="E475" s="2">
        <v>43514</v>
      </c>
      <c r="F475" s="1" t="s">
        <v>7</v>
      </c>
      <c r="G475" s="1">
        <v>42</v>
      </c>
      <c r="H475" t="str">
        <f t="shared" si="39"/>
        <v>XX Large</v>
      </c>
      <c r="I475" t="str">
        <f t="shared" si="35"/>
        <v>XX Large</v>
      </c>
      <c r="J475" s="1">
        <v>137.1</v>
      </c>
      <c r="K475">
        <f t="shared" si="36"/>
        <v>0.01</v>
      </c>
      <c r="L475">
        <f t="shared" si="37"/>
        <v>135.72899999999998</v>
      </c>
      <c r="M475" s="1">
        <f t="shared" si="38"/>
        <v>136</v>
      </c>
      <c r="N475" s="1" t="s">
        <v>10</v>
      </c>
      <c r="O475" s="1">
        <v>1.1000000000000001</v>
      </c>
    </row>
    <row r="476" spans="4:15" x14ac:dyDescent="0.3">
      <c r="D476" s="1">
        <v>15491</v>
      </c>
      <c r="E476" s="2">
        <v>43482</v>
      </c>
      <c r="F476" s="1" t="s">
        <v>14</v>
      </c>
      <c r="G476" s="1">
        <v>5</v>
      </c>
      <c r="H476" t="str">
        <f t="shared" si="39"/>
        <v>Mini</v>
      </c>
      <c r="I476" t="str">
        <f t="shared" si="35"/>
        <v>Mini</v>
      </c>
      <c r="J476" s="1">
        <v>964.47</v>
      </c>
      <c r="K476">
        <f t="shared" si="36"/>
        <v>0</v>
      </c>
      <c r="L476">
        <f t="shared" si="37"/>
        <v>964.47</v>
      </c>
      <c r="M476" s="1">
        <f t="shared" si="38"/>
        <v>964.47</v>
      </c>
      <c r="N476" s="1" t="s">
        <v>10</v>
      </c>
      <c r="O476" s="1">
        <v>2.7</v>
      </c>
    </row>
    <row r="477" spans="4:15" x14ac:dyDescent="0.3">
      <c r="D477" s="1">
        <v>28454</v>
      </c>
      <c r="E477" s="2">
        <v>43683</v>
      </c>
      <c r="F477" s="1" t="s">
        <v>14</v>
      </c>
      <c r="G477" s="1">
        <v>25</v>
      </c>
      <c r="H477" t="str">
        <f t="shared" si="39"/>
        <v>Medium</v>
      </c>
      <c r="I477" t="str">
        <f t="shared" si="35"/>
        <v>Medium</v>
      </c>
      <c r="J477" s="1">
        <v>168.42</v>
      </c>
      <c r="K477">
        <f t="shared" si="36"/>
        <v>0</v>
      </c>
      <c r="L477">
        <f t="shared" si="37"/>
        <v>168.42</v>
      </c>
      <c r="M477" s="1">
        <f t="shared" si="38"/>
        <v>168.42</v>
      </c>
      <c r="N477" s="1" t="s">
        <v>10</v>
      </c>
      <c r="O477" s="1">
        <v>7.2</v>
      </c>
    </row>
    <row r="478" spans="4:15" x14ac:dyDescent="0.3">
      <c r="D478" s="1">
        <v>16807</v>
      </c>
      <c r="E478" s="2">
        <v>43479</v>
      </c>
      <c r="F478" s="1" t="s">
        <v>14</v>
      </c>
      <c r="G478" s="1">
        <v>48</v>
      </c>
      <c r="H478" t="str">
        <f t="shared" si="39"/>
        <v>XXX Large</v>
      </c>
      <c r="I478" t="str">
        <f t="shared" si="35"/>
        <v>XXX Large</v>
      </c>
      <c r="J478" s="1">
        <v>1696.59</v>
      </c>
      <c r="K478">
        <f t="shared" si="36"/>
        <v>0.01</v>
      </c>
      <c r="L478">
        <f t="shared" si="37"/>
        <v>1679.6241</v>
      </c>
      <c r="M478" s="1">
        <f t="shared" si="38"/>
        <v>1691.29</v>
      </c>
      <c r="N478" s="1" t="s">
        <v>10</v>
      </c>
      <c r="O478" s="1">
        <v>5.3</v>
      </c>
    </row>
    <row r="479" spans="4:15" x14ac:dyDescent="0.3">
      <c r="D479" s="1">
        <v>37762</v>
      </c>
      <c r="E479" s="2">
        <v>43622</v>
      </c>
      <c r="F479" s="1" t="s">
        <v>14</v>
      </c>
      <c r="G479" s="1">
        <v>20</v>
      </c>
      <c r="H479" t="str">
        <f t="shared" si="39"/>
        <v>Small-Medium</v>
      </c>
      <c r="I479" t="str">
        <f t="shared" si="35"/>
        <v>Small-Medium</v>
      </c>
      <c r="J479" s="1">
        <v>144.47</v>
      </c>
      <c r="K479">
        <f t="shared" si="36"/>
        <v>0</v>
      </c>
      <c r="L479">
        <f t="shared" si="37"/>
        <v>144.47</v>
      </c>
      <c r="M479" s="1">
        <f t="shared" si="38"/>
        <v>144.47</v>
      </c>
      <c r="N479" s="1" t="s">
        <v>10</v>
      </c>
      <c r="O479" s="1">
        <v>7.2</v>
      </c>
    </row>
    <row r="480" spans="4:15" x14ac:dyDescent="0.3">
      <c r="D480" s="1">
        <v>33893</v>
      </c>
      <c r="E480" s="2">
        <v>43728</v>
      </c>
      <c r="F480" s="1" t="s">
        <v>11</v>
      </c>
      <c r="G480" s="1">
        <v>16</v>
      </c>
      <c r="H480" t="str">
        <f t="shared" si="39"/>
        <v>Small-Medium</v>
      </c>
      <c r="I480" t="str">
        <f t="shared" si="35"/>
        <v>Small-Medium</v>
      </c>
      <c r="J480" s="1">
        <v>94.48</v>
      </c>
      <c r="K480">
        <f t="shared" si="36"/>
        <v>0</v>
      </c>
      <c r="L480">
        <f t="shared" si="37"/>
        <v>94.48</v>
      </c>
      <c r="M480" s="1">
        <f t="shared" si="38"/>
        <v>94.48</v>
      </c>
      <c r="N480" s="1" t="s">
        <v>10</v>
      </c>
      <c r="O480" s="1">
        <v>2.4</v>
      </c>
    </row>
    <row r="481" spans="4:15" x14ac:dyDescent="0.3">
      <c r="D481" s="1">
        <v>3907</v>
      </c>
      <c r="E481" s="2">
        <v>43695</v>
      </c>
      <c r="F481" s="1" t="s">
        <v>14</v>
      </c>
      <c r="G481" s="1">
        <v>34</v>
      </c>
      <c r="H481" t="str">
        <f t="shared" si="39"/>
        <v>Large</v>
      </c>
      <c r="I481" t="str">
        <f t="shared" si="35"/>
        <v>Large</v>
      </c>
      <c r="J481" s="1">
        <v>780.92</v>
      </c>
      <c r="K481">
        <f t="shared" si="36"/>
        <v>0</v>
      </c>
      <c r="L481">
        <f t="shared" si="37"/>
        <v>780.92</v>
      </c>
      <c r="M481" s="1">
        <f t="shared" si="38"/>
        <v>780.92</v>
      </c>
      <c r="N481" s="1" t="s">
        <v>10</v>
      </c>
      <c r="O481" s="1">
        <v>16.2</v>
      </c>
    </row>
    <row r="482" spans="4:15" x14ac:dyDescent="0.3">
      <c r="D482" s="1">
        <v>51109</v>
      </c>
      <c r="E482" s="2">
        <v>43777</v>
      </c>
      <c r="F482" s="1" t="s">
        <v>9</v>
      </c>
      <c r="G482" s="1">
        <v>28</v>
      </c>
      <c r="H482" t="str">
        <f t="shared" si="39"/>
        <v>Medium-Large</v>
      </c>
      <c r="I482" t="str">
        <f t="shared" si="35"/>
        <v>Medium-Large</v>
      </c>
      <c r="J482" s="1">
        <v>119.89</v>
      </c>
      <c r="K482">
        <f t="shared" si="36"/>
        <v>0</v>
      </c>
      <c r="L482">
        <f t="shared" si="37"/>
        <v>119.89</v>
      </c>
      <c r="M482" s="1">
        <f t="shared" si="38"/>
        <v>119.89</v>
      </c>
      <c r="N482" s="1" t="s">
        <v>10</v>
      </c>
      <c r="O482" s="1">
        <v>1.4</v>
      </c>
    </row>
    <row r="483" spans="4:15" x14ac:dyDescent="0.3">
      <c r="D483" s="1">
        <v>18500</v>
      </c>
      <c r="E483" s="2">
        <v>43506</v>
      </c>
      <c r="F483" s="1" t="s">
        <v>14</v>
      </c>
      <c r="G483" s="1">
        <v>30</v>
      </c>
      <c r="H483" t="str">
        <f t="shared" si="39"/>
        <v>Medium-Large</v>
      </c>
      <c r="I483" t="str">
        <f t="shared" si="35"/>
        <v>Medium-Large</v>
      </c>
      <c r="J483" s="1">
        <v>1126.3699999999999</v>
      </c>
      <c r="K483">
        <f t="shared" si="36"/>
        <v>0</v>
      </c>
      <c r="L483">
        <f t="shared" si="37"/>
        <v>1126.3699999999999</v>
      </c>
      <c r="M483" s="1">
        <f t="shared" si="38"/>
        <v>1126.3699999999999</v>
      </c>
      <c r="N483" s="1" t="s">
        <v>10</v>
      </c>
      <c r="O483" s="1">
        <v>5.9</v>
      </c>
    </row>
    <row r="484" spans="4:15" x14ac:dyDescent="0.3">
      <c r="D484" s="1">
        <v>31684</v>
      </c>
      <c r="E484" s="2">
        <v>43724</v>
      </c>
      <c r="F484" s="1" t="s">
        <v>12</v>
      </c>
      <c r="G484" s="1">
        <v>28</v>
      </c>
      <c r="H484" t="str">
        <f t="shared" si="39"/>
        <v>Medium-Large</v>
      </c>
      <c r="I484" t="str">
        <f t="shared" si="35"/>
        <v>Medium-Large</v>
      </c>
      <c r="J484" s="1">
        <v>488.89</v>
      </c>
      <c r="K484">
        <f t="shared" si="36"/>
        <v>0</v>
      </c>
      <c r="L484">
        <f t="shared" si="37"/>
        <v>488.89</v>
      </c>
      <c r="M484" s="1">
        <f t="shared" si="38"/>
        <v>488.89</v>
      </c>
      <c r="N484" s="1" t="s">
        <v>8</v>
      </c>
      <c r="O484" s="1">
        <v>19</v>
      </c>
    </row>
    <row r="485" spans="4:15" x14ac:dyDescent="0.3">
      <c r="D485" s="1">
        <v>16197</v>
      </c>
      <c r="E485" s="2">
        <v>43764</v>
      </c>
      <c r="F485" s="1" t="s">
        <v>12</v>
      </c>
      <c r="G485" s="1">
        <v>23</v>
      </c>
      <c r="H485" t="str">
        <f t="shared" si="39"/>
        <v>Medium</v>
      </c>
      <c r="I485" t="str">
        <f t="shared" si="35"/>
        <v>Medium</v>
      </c>
      <c r="J485" s="1">
        <v>234.02</v>
      </c>
      <c r="K485">
        <f t="shared" si="36"/>
        <v>0</v>
      </c>
      <c r="L485">
        <f t="shared" si="37"/>
        <v>234.02</v>
      </c>
      <c r="M485" s="1">
        <f t="shared" si="38"/>
        <v>234.02</v>
      </c>
      <c r="N485" s="1" t="s">
        <v>8</v>
      </c>
      <c r="O485" s="1">
        <v>2.2999999999999998</v>
      </c>
    </row>
    <row r="486" spans="4:15" x14ac:dyDescent="0.3">
      <c r="D486" s="1">
        <v>44647</v>
      </c>
      <c r="E486" s="2">
        <v>43488</v>
      </c>
      <c r="F486" s="1" t="s">
        <v>7</v>
      </c>
      <c r="G486" s="1">
        <v>24</v>
      </c>
      <c r="H486" t="str">
        <f t="shared" si="39"/>
        <v>Medium</v>
      </c>
      <c r="I486" t="str">
        <f t="shared" si="35"/>
        <v>Medium</v>
      </c>
      <c r="J486" s="1">
        <v>324.11</v>
      </c>
      <c r="K486">
        <f t="shared" si="36"/>
        <v>0</v>
      </c>
      <c r="L486">
        <f t="shared" si="37"/>
        <v>324.11</v>
      </c>
      <c r="M486" s="1">
        <f t="shared" si="38"/>
        <v>324.11</v>
      </c>
      <c r="N486" s="1" t="s">
        <v>10</v>
      </c>
      <c r="O486" s="1">
        <v>6.6</v>
      </c>
    </row>
    <row r="487" spans="4:15" x14ac:dyDescent="0.3">
      <c r="D487" s="1">
        <v>13157</v>
      </c>
      <c r="E487" s="2">
        <v>43506</v>
      </c>
      <c r="F487" s="1" t="s">
        <v>14</v>
      </c>
      <c r="G487" s="1">
        <v>2</v>
      </c>
      <c r="H487" t="str">
        <f t="shared" si="39"/>
        <v>Mini</v>
      </c>
      <c r="I487" t="str">
        <f t="shared" si="35"/>
        <v>Mini</v>
      </c>
      <c r="J487" s="1">
        <v>41.66</v>
      </c>
      <c r="K487">
        <f t="shared" si="36"/>
        <v>0</v>
      </c>
      <c r="L487">
        <f t="shared" si="37"/>
        <v>41.66</v>
      </c>
      <c r="M487" s="1">
        <f t="shared" si="38"/>
        <v>41.66</v>
      </c>
      <c r="N487" s="1" t="s">
        <v>10</v>
      </c>
      <c r="O487" s="1">
        <v>5.0999999999999996</v>
      </c>
    </row>
    <row r="488" spans="4:15" x14ac:dyDescent="0.3">
      <c r="D488" s="1">
        <v>8034</v>
      </c>
      <c r="E488" s="2">
        <v>43483</v>
      </c>
      <c r="F488" s="1" t="s">
        <v>9</v>
      </c>
      <c r="G488" s="1">
        <v>13</v>
      </c>
      <c r="H488" t="str">
        <f t="shared" si="39"/>
        <v>Small</v>
      </c>
      <c r="I488" t="str">
        <f t="shared" si="35"/>
        <v>Small</v>
      </c>
      <c r="J488" s="1">
        <v>255.12</v>
      </c>
      <c r="K488">
        <f t="shared" si="36"/>
        <v>0</v>
      </c>
      <c r="L488">
        <f t="shared" si="37"/>
        <v>255.12</v>
      </c>
      <c r="M488" s="1">
        <f t="shared" si="38"/>
        <v>255.12</v>
      </c>
      <c r="N488" s="1" t="s">
        <v>10</v>
      </c>
      <c r="O488" s="1">
        <v>9.6</v>
      </c>
    </row>
    <row r="489" spans="4:15" x14ac:dyDescent="0.3">
      <c r="D489" s="1">
        <v>30599</v>
      </c>
      <c r="E489" s="2">
        <v>43505</v>
      </c>
      <c r="F489" s="1" t="s">
        <v>11</v>
      </c>
      <c r="G489" s="1">
        <v>23</v>
      </c>
      <c r="H489" t="str">
        <f t="shared" si="39"/>
        <v>Medium</v>
      </c>
      <c r="I489" t="str">
        <f t="shared" si="35"/>
        <v>Medium</v>
      </c>
      <c r="J489" s="1">
        <v>113.35</v>
      </c>
      <c r="K489">
        <f t="shared" si="36"/>
        <v>0</v>
      </c>
      <c r="L489">
        <f t="shared" si="37"/>
        <v>113.35</v>
      </c>
      <c r="M489" s="1">
        <f t="shared" si="38"/>
        <v>113.35</v>
      </c>
      <c r="N489" s="1" t="s">
        <v>10</v>
      </c>
      <c r="O489" s="1">
        <v>0.9</v>
      </c>
    </row>
    <row r="490" spans="4:15" x14ac:dyDescent="0.3">
      <c r="D490" s="1">
        <v>50148</v>
      </c>
      <c r="E490" s="2">
        <v>43496</v>
      </c>
      <c r="F490" s="1" t="s">
        <v>14</v>
      </c>
      <c r="G490" s="1">
        <v>9</v>
      </c>
      <c r="H490" t="str">
        <f t="shared" si="39"/>
        <v>Extra Small</v>
      </c>
      <c r="I490" t="str">
        <f t="shared" si="35"/>
        <v>Extra Small</v>
      </c>
      <c r="J490" s="1">
        <v>19223.03</v>
      </c>
      <c r="K490">
        <f t="shared" si="36"/>
        <v>0</v>
      </c>
      <c r="L490">
        <f t="shared" si="37"/>
        <v>19223.03</v>
      </c>
      <c r="M490" s="1">
        <f t="shared" si="38"/>
        <v>19223.03</v>
      </c>
      <c r="N490" s="1" t="s">
        <v>10</v>
      </c>
      <c r="O490" s="1">
        <v>15</v>
      </c>
    </row>
    <row r="491" spans="4:15" x14ac:dyDescent="0.3">
      <c r="D491" s="1">
        <v>52003</v>
      </c>
      <c r="E491" s="2">
        <v>43513</v>
      </c>
      <c r="F491" s="1" t="s">
        <v>7</v>
      </c>
      <c r="G491" s="1">
        <v>2</v>
      </c>
      <c r="H491" t="str">
        <f t="shared" si="39"/>
        <v>Mini</v>
      </c>
      <c r="I491" t="str">
        <f t="shared" si="35"/>
        <v>Mini</v>
      </c>
      <c r="J491" s="1">
        <v>99.87</v>
      </c>
      <c r="K491">
        <f t="shared" si="36"/>
        <v>0</v>
      </c>
      <c r="L491">
        <f t="shared" si="37"/>
        <v>99.87</v>
      </c>
      <c r="M491" s="1">
        <f t="shared" si="38"/>
        <v>99.87</v>
      </c>
      <c r="N491" s="1" t="s">
        <v>10</v>
      </c>
      <c r="O491" s="1">
        <v>5.4</v>
      </c>
    </row>
    <row r="492" spans="4:15" x14ac:dyDescent="0.3">
      <c r="D492" s="1">
        <v>15399</v>
      </c>
      <c r="E492" s="2">
        <v>43598</v>
      </c>
      <c r="F492" s="1" t="s">
        <v>12</v>
      </c>
      <c r="G492" s="1">
        <v>7</v>
      </c>
      <c r="H492" t="str">
        <f t="shared" si="39"/>
        <v>Extra Small</v>
      </c>
      <c r="I492" t="str">
        <f t="shared" si="35"/>
        <v>Extra Small</v>
      </c>
      <c r="J492" s="1">
        <v>2356.62</v>
      </c>
      <c r="K492">
        <f t="shared" si="36"/>
        <v>0</v>
      </c>
      <c r="L492">
        <f t="shared" si="37"/>
        <v>2356.62</v>
      </c>
      <c r="M492" s="1">
        <f t="shared" si="38"/>
        <v>2356.62</v>
      </c>
      <c r="N492" s="1" t="s">
        <v>13</v>
      </c>
      <c r="O492" s="1">
        <v>74.400000000000006</v>
      </c>
    </row>
    <row r="493" spans="4:15" x14ac:dyDescent="0.3">
      <c r="D493" s="1">
        <v>36163</v>
      </c>
      <c r="E493" s="2">
        <v>43774</v>
      </c>
      <c r="F493" s="1" t="s">
        <v>7</v>
      </c>
      <c r="G493" s="1">
        <v>32</v>
      </c>
      <c r="H493" t="str">
        <f t="shared" si="39"/>
        <v>Large</v>
      </c>
      <c r="I493" t="str">
        <f t="shared" si="35"/>
        <v>Large</v>
      </c>
      <c r="J493" s="1">
        <v>495.41</v>
      </c>
      <c r="K493">
        <f t="shared" si="36"/>
        <v>0</v>
      </c>
      <c r="L493">
        <f t="shared" si="37"/>
        <v>495.41</v>
      </c>
      <c r="M493" s="1">
        <f t="shared" si="38"/>
        <v>495.41</v>
      </c>
      <c r="N493" s="1" t="s">
        <v>10</v>
      </c>
      <c r="O493" s="1">
        <v>7.7</v>
      </c>
    </row>
    <row r="494" spans="4:15" x14ac:dyDescent="0.3">
      <c r="D494" s="1">
        <v>51239</v>
      </c>
      <c r="E494" s="2">
        <v>43518</v>
      </c>
      <c r="F494" s="1" t="s">
        <v>7</v>
      </c>
      <c r="G494" s="1">
        <v>48</v>
      </c>
      <c r="H494" t="str">
        <f t="shared" si="39"/>
        <v>XXX Large</v>
      </c>
      <c r="I494" t="str">
        <f t="shared" si="35"/>
        <v>XXX Large</v>
      </c>
      <c r="J494" s="1">
        <v>4329.49</v>
      </c>
      <c r="K494">
        <f t="shared" si="36"/>
        <v>0.01</v>
      </c>
      <c r="L494">
        <f t="shared" si="37"/>
        <v>4286.1950999999999</v>
      </c>
      <c r="M494" s="1">
        <f t="shared" si="38"/>
        <v>4265.29</v>
      </c>
      <c r="N494" s="1" t="s">
        <v>13</v>
      </c>
      <c r="O494" s="1">
        <v>64.2</v>
      </c>
    </row>
    <row r="495" spans="4:15" x14ac:dyDescent="0.3">
      <c r="D495" s="1">
        <v>44805</v>
      </c>
      <c r="E495" s="2">
        <v>43722</v>
      </c>
      <c r="F495" s="1" t="s">
        <v>9</v>
      </c>
      <c r="G495" s="1">
        <v>40</v>
      </c>
      <c r="H495" t="str">
        <f t="shared" si="39"/>
        <v>Extra Large</v>
      </c>
      <c r="I495" t="str">
        <f t="shared" si="35"/>
        <v>Extra Large</v>
      </c>
      <c r="J495" s="1">
        <v>1830.4</v>
      </c>
      <c r="K495">
        <f t="shared" si="36"/>
        <v>0.01</v>
      </c>
      <c r="L495">
        <f t="shared" si="37"/>
        <v>1812.096</v>
      </c>
      <c r="M495" s="1">
        <f t="shared" si="38"/>
        <v>1827.2</v>
      </c>
      <c r="N495" s="1" t="s">
        <v>10</v>
      </c>
      <c r="O495" s="1">
        <v>3.2</v>
      </c>
    </row>
    <row r="496" spans="4:15" x14ac:dyDescent="0.3">
      <c r="D496" s="1">
        <v>5767</v>
      </c>
      <c r="E496" s="2">
        <v>43583</v>
      </c>
      <c r="F496" s="1" t="s">
        <v>9</v>
      </c>
      <c r="G496" s="1">
        <v>31</v>
      </c>
      <c r="H496" t="str">
        <f t="shared" si="39"/>
        <v>Large</v>
      </c>
      <c r="I496" t="str">
        <f t="shared" si="35"/>
        <v>Large</v>
      </c>
      <c r="J496" s="1">
        <v>2557.88</v>
      </c>
      <c r="K496">
        <f t="shared" si="36"/>
        <v>0</v>
      </c>
      <c r="L496">
        <f t="shared" si="37"/>
        <v>2557.88</v>
      </c>
      <c r="M496" s="1">
        <f t="shared" si="38"/>
        <v>2557.88</v>
      </c>
      <c r="N496" s="1" t="s">
        <v>10</v>
      </c>
      <c r="O496" s="1">
        <v>5.9</v>
      </c>
    </row>
    <row r="497" spans="4:15" x14ac:dyDescent="0.3">
      <c r="D497" s="1">
        <v>23745</v>
      </c>
      <c r="E497" s="2">
        <v>43804</v>
      </c>
      <c r="F497" s="1" t="s">
        <v>7</v>
      </c>
      <c r="G497" s="1">
        <v>12</v>
      </c>
      <c r="H497" t="str">
        <f t="shared" si="39"/>
        <v>Small</v>
      </c>
      <c r="I497" t="str">
        <f t="shared" si="35"/>
        <v>Small</v>
      </c>
      <c r="J497" s="1">
        <v>765.91</v>
      </c>
      <c r="K497">
        <f t="shared" si="36"/>
        <v>0</v>
      </c>
      <c r="L497">
        <f t="shared" si="37"/>
        <v>765.91</v>
      </c>
      <c r="M497" s="1">
        <f t="shared" si="38"/>
        <v>765.91</v>
      </c>
      <c r="N497" s="1" t="s">
        <v>10</v>
      </c>
      <c r="O497" s="1">
        <v>55.9</v>
      </c>
    </row>
    <row r="498" spans="4:15" x14ac:dyDescent="0.3">
      <c r="D498" s="1">
        <v>33666</v>
      </c>
      <c r="E498" s="2">
        <v>43662</v>
      </c>
      <c r="F498" s="1" t="s">
        <v>11</v>
      </c>
      <c r="G498" s="1">
        <v>17</v>
      </c>
      <c r="H498" t="str">
        <f t="shared" si="39"/>
        <v>Small-Medium</v>
      </c>
      <c r="I498" t="str">
        <f t="shared" si="35"/>
        <v>Small-Medium</v>
      </c>
      <c r="J498" s="1">
        <v>4067.36</v>
      </c>
      <c r="K498">
        <f t="shared" si="36"/>
        <v>0</v>
      </c>
      <c r="L498">
        <f t="shared" si="37"/>
        <v>4067.36</v>
      </c>
      <c r="M498" s="1">
        <f t="shared" si="38"/>
        <v>4067.36</v>
      </c>
      <c r="N498" s="1" t="s">
        <v>10</v>
      </c>
      <c r="O498" s="1">
        <v>73.8</v>
      </c>
    </row>
    <row r="499" spans="4:15" x14ac:dyDescent="0.3">
      <c r="D499" s="1">
        <v>34723</v>
      </c>
      <c r="E499" s="2">
        <v>43808</v>
      </c>
      <c r="F499" s="1" t="s">
        <v>14</v>
      </c>
      <c r="G499" s="1">
        <v>4</v>
      </c>
      <c r="H499" t="str">
        <f t="shared" si="39"/>
        <v>Mini</v>
      </c>
      <c r="I499" t="str">
        <f t="shared" si="35"/>
        <v>Mini</v>
      </c>
      <c r="J499" s="1">
        <v>6521.7997999999998</v>
      </c>
      <c r="K499">
        <f t="shared" si="36"/>
        <v>0</v>
      </c>
      <c r="L499">
        <f t="shared" si="37"/>
        <v>6521.7997999999998</v>
      </c>
      <c r="M499" s="1">
        <f t="shared" si="38"/>
        <v>6521.7997999999998</v>
      </c>
      <c r="N499" s="1" t="s">
        <v>13</v>
      </c>
      <c r="O499" s="1">
        <v>31.8</v>
      </c>
    </row>
    <row r="500" spans="4:15" x14ac:dyDescent="0.3">
      <c r="D500" s="1">
        <v>49380</v>
      </c>
      <c r="E500" s="2">
        <v>43589</v>
      </c>
      <c r="F500" s="1" t="s">
        <v>14</v>
      </c>
      <c r="G500" s="1">
        <v>11</v>
      </c>
      <c r="H500" t="str">
        <f t="shared" si="39"/>
        <v>Small</v>
      </c>
      <c r="I500" t="str">
        <f t="shared" si="35"/>
        <v>Small</v>
      </c>
      <c r="J500" s="1">
        <v>23695.55</v>
      </c>
      <c r="K500">
        <f t="shared" si="36"/>
        <v>0</v>
      </c>
      <c r="L500">
        <f t="shared" si="37"/>
        <v>23695.55</v>
      </c>
      <c r="M500" s="1">
        <f t="shared" si="38"/>
        <v>23695.55</v>
      </c>
      <c r="N500" s="1" t="s">
        <v>10</v>
      </c>
      <c r="O500" s="1">
        <v>15</v>
      </c>
    </row>
    <row r="501" spans="4:15" x14ac:dyDescent="0.3">
      <c r="D501" s="1">
        <v>52676</v>
      </c>
      <c r="E501" s="2">
        <v>43705</v>
      </c>
      <c r="F501" s="1" t="s">
        <v>9</v>
      </c>
      <c r="G501" s="1">
        <v>46</v>
      </c>
      <c r="H501" t="str">
        <f t="shared" si="39"/>
        <v>XXX Large</v>
      </c>
      <c r="I501" t="str">
        <f t="shared" si="35"/>
        <v>XXX Large</v>
      </c>
      <c r="J501" s="1">
        <v>1048</v>
      </c>
      <c r="K501">
        <f t="shared" si="36"/>
        <v>0.01</v>
      </c>
      <c r="L501">
        <f t="shared" si="37"/>
        <v>1037.52</v>
      </c>
      <c r="M501" s="1">
        <f t="shared" si="38"/>
        <v>1041.7</v>
      </c>
      <c r="N501" s="1" t="s">
        <v>10</v>
      </c>
      <c r="O501" s="1">
        <v>6.3</v>
      </c>
    </row>
    <row r="502" spans="4:15" x14ac:dyDescent="0.3">
      <c r="D502" s="1">
        <v>25348</v>
      </c>
      <c r="E502" s="2">
        <v>43594</v>
      </c>
      <c r="F502" s="1" t="s">
        <v>12</v>
      </c>
      <c r="G502" s="1">
        <v>7</v>
      </c>
      <c r="H502" t="str">
        <f t="shared" si="39"/>
        <v>Extra Small</v>
      </c>
      <c r="I502" t="str">
        <f t="shared" si="35"/>
        <v>Extra Small</v>
      </c>
      <c r="J502" s="1">
        <v>330.87</v>
      </c>
      <c r="K502">
        <f t="shared" si="36"/>
        <v>0</v>
      </c>
      <c r="L502">
        <f t="shared" si="37"/>
        <v>330.87</v>
      </c>
      <c r="M502" s="1">
        <f t="shared" si="38"/>
        <v>330.87</v>
      </c>
      <c r="N502" s="1" t="s">
        <v>10</v>
      </c>
      <c r="O502" s="1">
        <v>1.3</v>
      </c>
    </row>
    <row r="503" spans="4:15" x14ac:dyDescent="0.3">
      <c r="D503" s="1">
        <v>33570</v>
      </c>
      <c r="E503" s="2">
        <v>43815</v>
      </c>
      <c r="F503" s="1" t="s">
        <v>11</v>
      </c>
      <c r="G503" s="1">
        <v>1</v>
      </c>
      <c r="H503" t="str">
        <f t="shared" si="39"/>
        <v>Mini</v>
      </c>
      <c r="I503" t="str">
        <f t="shared" si="35"/>
        <v>Mini</v>
      </c>
      <c r="J503" s="1">
        <v>1605.88</v>
      </c>
      <c r="K503">
        <f t="shared" si="36"/>
        <v>0</v>
      </c>
      <c r="L503">
        <f t="shared" si="37"/>
        <v>1605.88</v>
      </c>
      <c r="M503" s="1">
        <f t="shared" si="38"/>
        <v>1605.88</v>
      </c>
      <c r="N503" s="1" t="s">
        <v>13</v>
      </c>
      <c r="O503" s="1">
        <v>31.8</v>
      </c>
    </row>
    <row r="504" spans="4:15" x14ac:dyDescent="0.3">
      <c r="D504" s="1">
        <v>59905</v>
      </c>
      <c r="E504" s="2">
        <v>43569</v>
      </c>
      <c r="F504" s="1" t="s">
        <v>9</v>
      </c>
      <c r="G504" s="1">
        <v>6</v>
      </c>
      <c r="H504" t="str">
        <f t="shared" si="39"/>
        <v>Extra Small</v>
      </c>
      <c r="I504" t="str">
        <f t="shared" si="35"/>
        <v>Extra Small</v>
      </c>
      <c r="J504" s="1">
        <v>52.18</v>
      </c>
      <c r="K504">
        <f t="shared" si="36"/>
        <v>0</v>
      </c>
      <c r="L504">
        <f t="shared" si="37"/>
        <v>52.18</v>
      </c>
      <c r="M504" s="1">
        <f t="shared" si="38"/>
        <v>52.18</v>
      </c>
      <c r="N504" s="1" t="s">
        <v>10</v>
      </c>
      <c r="O504" s="1">
        <v>1.8</v>
      </c>
    </row>
    <row r="505" spans="4:15" x14ac:dyDescent="0.3">
      <c r="D505" s="1">
        <v>21796</v>
      </c>
      <c r="E505" s="2">
        <v>43591</v>
      </c>
      <c r="F505" s="1" t="s">
        <v>7</v>
      </c>
      <c r="G505" s="1">
        <v>31</v>
      </c>
      <c r="H505" t="str">
        <f t="shared" si="39"/>
        <v>Large</v>
      </c>
      <c r="I505" t="str">
        <f t="shared" si="35"/>
        <v>Large</v>
      </c>
      <c r="J505" s="1">
        <v>36.615400000000001</v>
      </c>
      <c r="K505">
        <f t="shared" si="36"/>
        <v>0</v>
      </c>
      <c r="L505">
        <f t="shared" si="37"/>
        <v>36.615400000000001</v>
      </c>
      <c r="M505" s="1">
        <f t="shared" si="38"/>
        <v>36.615400000000001</v>
      </c>
      <c r="N505" s="1" t="s">
        <v>10</v>
      </c>
      <c r="O505" s="1">
        <v>0.7</v>
      </c>
    </row>
    <row r="506" spans="4:15" x14ac:dyDescent="0.3">
      <c r="D506" s="1">
        <v>6183</v>
      </c>
      <c r="E506" s="2">
        <v>43631</v>
      </c>
      <c r="F506" s="1" t="s">
        <v>14</v>
      </c>
      <c r="G506" s="1">
        <v>41</v>
      </c>
      <c r="H506" t="str">
        <f t="shared" si="39"/>
        <v>XX Large</v>
      </c>
      <c r="I506" t="str">
        <f t="shared" si="35"/>
        <v>XX Large</v>
      </c>
      <c r="J506" s="1">
        <v>2131.37</v>
      </c>
      <c r="K506">
        <f t="shared" si="36"/>
        <v>0.01</v>
      </c>
      <c r="L506">
        <f t="shared" si="37"/>
        <v>2110.0562999999997</v>
      </c>
      <c r="M506" s="1">
        <f t="shared" si="38"/>
        <v>2125.0699999999997</v>
      </c>
      <c r="N506" s="1" t="s">
        <v>10</v>
      </c>
      <c r="O506" s="1">
        <v>6.3</v>
      </c>
    </row>
    <row r="507" spans="4:15" x14ac:dyDescent="0.3">
      <c r="D507" s="1">
        <v>59234</v>
      </c>
      <c r="E507" s="2">
        <v>43675</v>
      </c>
      <c r="F507" s="1" t="s">
        <v>7</v>
      </c>
      <c r="G507" s="1">
        <v>16</v>
      </c>
      <c r="H507" t="str">
        <f t="shared" si="39"/>
        <v>Small-Medium</v>
      </c>
      <c r="I507" t="str">
        <f t="shared" si="35"/>
        <v>Small-Medium</v>
      </c>
      <c r="J507" s="1">
        <v>853.05</v>
      </c>
      <c r="K507">
        <f t="shared" si="36"/>
        <v>0</v>
      </c>
      <c r="L507">
        <f t="shared" si="37"/>
        <v>853.05</v>
      </c>
      <c r="M507" s="1">
        <f t="shared" si="38"/>
        <v>853.05</v>
      </c>
      <c r="N507" s="1" t="s">
        <v>13</v>
      </c>
      <c r="O507" s="1">
        <v>15.2</v>
      </c>
    </row>
    <row r="508" spans="4:15" x14ac:dyDescent="0.3">
      <c r="D508" s="1">
        <v>56967</v>
      </c>
      <c r="E508" s="2">
        <v>43526</v>
      </c>
      <c r="F508" s="1" t="s">
        <v>7</v>
      </c>
      <c r="G508" s="1">
        <v>17</v>
      </c>
      <c r="H508" t="str">
        <f t="shared" si="39"/>
        <v>Small-Medium</v>
      </c>
      <c r="I508" t="str">
        <f t="shared" si="35"/>
        <v>Small-Medium</v>
      </c>
      <c r="J508" s="1">
        <v>1480.77</v>
      </c>
      <c r="K508">
        <f t="shared" si="36"/>
        <v>0</v>
      </c>
      <c r="L508">
        <f t="shared" si="37"/>
        <v>1480.77</v>
      </c>
      <c r="M508" s="1">
        <f t="shared" si="38"/>
        <v>1480.77</v>
      </c>
      <c r="N508" s="1" t="s">
        <v>8</v>
      </c>
      <c r="O508" s="1">
        <v>6.6</v>
      </c>
    </row>
    <row r="509" spans="4:15" x14ac:dyDescent="0.3">
      <c r="D509" s="1">
        <v>50567</v>
      </c>
      <c r="E509" s="2">
        <v>43500</v>
      </c>
      <c r="F509" s="1" t="s">
        <v>14</v>
      </c>
      <c r="G509" s="1">
        <v>22</v>
      </c>
      <c r="H509" t="str">
        <f t="shared" si="39"/>
        <v>Medium</v>
      </c>
      <c r="I509" t="str">
        <f t="shared" si="35"/>
        <v>Medium</v>
      </c>
      <c r="J509" s="1">
        <v>1611.07</v>
      </c>
      <c r="K509">
        <f t="shared" si="36"/>
        <v>0</v>
      </c>
      <c r="L509">
        <f t="shared" si="37"/>
        <v>1611.07</v>
      </c>
      <c r="M509" s="1">
        <f t="shared" si="38"/>
        <v>1611.07</v>
      </c>
      <c r="N509" s="1" t="s">
        <v>13</v>
      </c>
      <c r="O509" s="1">
        <v>32.1</v>
      </c>
    </row>
    <row r="510" spans="4:15" x14ac:dyDescent="0.3">
      <c r="D510" s="1">
        <v>27109</v>
      </c>
      <c r="E510" s="2">
        <v>43503</v>
      </c>
      <c r="F510" s="1" t="s">
        <v>12</v>
      </c>
      <c r="G510" s="1">
        <v>48</v>
      </c>
      <c r="H510" t="str">
        <f t="shared" si="39"/>
        <v>XXX Large</v>
      </c>
      <c r="I510" t="str">
        <f t="shared" si="35"/>
        <v>XXX Large</v>
      </c>
      <c r="J510" s="1">
        <v>575.9</v>
      </c>
      <c r="K510">
        <f t="shared" si="36"/>
        <v>0.01</v>
      </c>
      <c r="L510">
        <f t="shared" si="37"/>
        <v>570.14099999999996</v>
      </c>
      <c r="M510" s="1">
        <f t="shared" si="38"/>
        <v>568.9</v>
      </c>
      <c r="N510" s="1" t="s">
        <v>10</v>
      </c>
      <c r="O510" s="1">
        <v>7</v>
      </c>
    </row>
    <row r="511" spans="4:15" x14ac:dyDescent="0.3">
      <c r="D511" s="1">
        <v>2755</v>
      </c>
      <c r="E511" s="2">
        <v>43501</v>
      </c>
      <c r="F511" s="1" t="s">
        <v>11</v>
      </c>
      <c r="G511" s="1">
        <v>30</v>
      </c>
      <c r="H511" t="str">
        <f t="shared" si="39"/>
        <v>Medium-Large</v>
      </c>
      <c r="I511" t="str">
        <f t="shared" si="35"/>
        <v>Medium-Large</v>
      </c>
      <c r="J511" s="1">
        <v>787.84</v>
      </c>
      <c r="K511">
        <f t="shared" si="36"/>
        <v>0</v>
      </c>
      <c r="L511">
        <f t="shared" si="37"/>
        <v>787.84</v>
      </c>
      <c r="M511" s="1">
        <f t="shared" si="38"/>
        <v>787.84</v>
      </c>
      <c r="N511" s="1" t="s">
        <v>10</v>
      </c>
      <c r="O511" s="1">
        <v>3.2</v>
      </c>
    </row>
    <row r="512" spans="4:15" x14ac:dyDescent="0.3">
      <c r="D512" s="1">
        <v>46977</v>
      </c>
      <c r="E512" s="2">
        <v>43592</v>
      </c>
      <c r="F512" s="1" t="s">
        <v>14</v>
      </c>
      <c r="G512" s="1">
        <v>19</v>
      </c>
      <c r="H512" t="str">
        <f t="shared" si="39"/>
        <v>Small-Medium</v>
      </c>
      <c r="I512" t="str">
        <f t="shared" si="35"/>
        <v>Small-Medium</v>
      </c>
      <c r="J512" s="1">
        <v>3189</v>
      </c>
      <c r="K512">
        <f t="shared" si="36"/>
        <v>0</v>
      </c>
      <c r="L512">
        <f t="shared" si="37"/>
        <v>3189</v>
      </c>
      <c r="M512" s="1">
        <f t="shared" si="38"/>
        <v>3189</v>
      </c>
      <c r="N512" s="1" t="s">
        <v>10</v>
      </c>
      <c r="O512" s="1">
        <v>9.6</v>
      </c>
    </row>
    <row r="513" spans="4:15" x14ac:dyDescent="0.3">
      <c r="D513" s="1">
        <v>2560</v>
      </c>
      <c r="E513" s="2">
        <v>43712</v>
      </c>
      <c r="F513" s="1" t="s">
        <v>12</v>
      </c>
      <c r="G513" s="1">
        <v>23</v>
      </c>
      <c r="H513" t="str">
        <f t="shared" si="39"/>
        <v>Medium</v>
      </c>
      <c r="I513" t="str">
        <f t="shared" si="35"/>
        <v>Medium</v>
      </c>
      <c r="J513" s="1">
        <v>122.13</v>
      </c>
      <c r="K513">
        <f t="shared" si="36"/>
        <v>0</v>
      </c>
      <c r="L513">
        <f t="shared" si="37"/>
        <v>122.13</v>
      </c>
      <c r="M513" s="1">
        <f t="shared" si="38"/>
        <v>122.13</v>
      </c>
      <c r="N513" s="1" t="s">
        <v>10</v>
      </c>
      <c r="O513" s="1">
        <v>5.9</v>
      </c>
    </row>
    <row r="514" spans="4:15" x14ac:dyDescent="0.3">
      <c r="D514" s="1">
        <v>11969</v>
      </c>
      <c r="E514" s="2">
        <v>43483</v>
      </c>
      <c r="F514" s="1" t="s">
        <v>11</v>
      </c>
      <c r="G514" s="1">
        <v>42</v>
      </c>
      <c r="H514" t="str">
        <f t="shared" si="39"/>
        <v>XX Large</v>
      </c>
      <c r="I514" t="str">
        <f t="shared" si="35"/>
        <v>XX Large</v>
      </c>
      <c r="J514" s="1">
        <v>12263.013199999999</v>
      </c>
      <c r="K514">
        <f t="shared" si="36"/>
        <v>0.01</v>
      </c>
      <c r="L514">
        <f t="shared" si="37"/>
        <v>12140.383067999999</v>
      </c>
      <c r="M514" s="1">
        <f t="shared" si="38"/>
        <v>12198.813199999999</v>
      </c>
      <c r="N514" s="1" t="s">
        <v>13</v>
      </c>
      <c r="O514" s="1">
        <v>64.2</v>
      </c>
    </row>
    <row r="515" spans="4:15" x14ac:dyDescent="0.3">
      <c r="D515" s="1">
        <v>38656</v>
      </c>
      <c r="E515" s="2">
        <v>43687</v>
      </c>
      <c r="F515" s="1" t="s">
        <v>7</v>
      </c>
      <c r="G515" s="1">
        <v>41</v>
      </c>
      <c r="H515" t="str">
        <f t="shared" si="39"/>
        <v>XX Large</v>
      </c>
      <c r="I515" t="str">
        <f t="shared" ref="I515:I578" si="40">VLOOKUP(G515, $A$3:$B$12, 2, TRUE)</f>
        <v>XX Large</v>
      </c>
      <c r="J515" s="1">
        <v>173.89</v>
      </c>
      <c r="K515">
        <f t="shared" ref="K515:K578" si="41">IF(OR(I515="Extra Large", I515="XX Large", I515="XXX Large"), 0.01, 0)</f>
        <v>0.01</v>
      </c>
      <c r="L515">
        <f t="shared" ref="L515:L578" si="42">J515 * (1 - K515)</f>
        <v>172.15109999999999</v>
      </c>
      <c r="M515" s="1">
        <f t="shared" ref="M515:M578" si="43">IF(OR(I515="Extra Large",I515="XX Large",I515="XXX Large"),J515-O515,J515)</f>
        <v>168.19</v>
      </c>
      <c r="N515" s="1" t="s">
        <v>10</v>
      </c>
      <c r="O515" s="1">
        <v>5.7</v>
      </c>
    </row>
    <row r="516" spans="4:15" x14ac:dyDescent="0.3">
      <c r="D516" s="1">
        <v>32835</v>
      </c>
      <c r="E516" s="2">
        <v>43653</v>
      </c>
      <c r="F516" s="1" t="s">
        <v>14</v>
      </c>
      <c r="G516" s="1">
        <v>15</v>
      </c>
      <c r="H516" t="str">
        <f t="shared" si="39"/>
        <v>Small</v>
      </c>
      <c r="I516" t="str">
        <f t="shared" si="40"/>
        <v>Small</v>
      </c>
      <c r="J516" s="1">
        <v>612.50279999999998</v>
      </c>
      <c r="K516">
        <f t="shared" si="41"/>
        <v>0</v>
      </c>
      <c r="L516">
        <f t="shared" si="42"/>
        <v>612.50279999999998</v>
      </c>
      <c r="M516" s="1">
        <f t="shared" si="43"/>
        <v>612.50279999999998</v>
      </c>
      <c r="N516" s="1" t="s">
        <v>10</v>
      </c>
      <c r="O516" s="1">
        <v>5.3</v>
      </c>
    </row>
    <row r="517" spans="4:15" x14ac:dyDescent="0.3">
      <c r="D517" s="1">
        <v>34723</v>
      </c>
      <c r="E517" s="2">
        <v>43808</v>
      </c>
      <c r="F517" s="1" t="s">
        <v>14</v>
      </c>
      <c r="G517" s="1">
        <v>29</v>
      </c>
      <c r="H517" t="str">
        <f t="shared" ref="H517:H580" si="44">VLOOKUP(G517, $A$3:$B$12, 2, TRUE)</f>
        <v>Medium-Large</v>
      </c>
      <c r="I517" t="str">
        <f t="shared" si="40"/>
        <v>Medium-Large</v>
      </c>
      <c r="J517" s="1">
        <v>1592.05</v>
      </c>
      <c r="K517">
        <f t="shared" si="41"/>
        <v>0</v>
      </c>
      <c r="L517">
        <f t="shared" si="42"/>
        <v>1592.05</v>
      </c>
      <c r="M517" s="1">
        <f t="shared" si="43"/>
        <v>1592.05</v>
      </c>
      <c r="N517" s="1" t="s">
        <v>10</v>
      </c>
      <c r="O517" s="1">
        <v>9.6</v>
      </c>
    </row>
    <row r="518" spans="4:15" x14ac:dyDescent="0.3">
      <c r="D518" s="1">
        <v>51872</v>
      </c>
      <c r="E518" s="2">
        <v>43578</v>
      </c>
      <c r="F518" s="1" t="s">
        <v>14</v>
      </c>
      <c r="G518" s="1">
        <v>37</v>
      </c>
      <c r="H518" t="str">
        <f t="shared" si="44"/>
        <v>Extra Large</v>
      </c>
      <c r="I518" t="str">
        <f t="shared" si="40"/>
        <v>Extra Large</v>
      </c>
      <c r="J518" s="1">
        <v>4983.6871000000001</v>
      </c>
      <c r="K518">
        <f t="shared" si="41"/>
        <v>0.01</v>
      </c>
      <c r="L518">
        <f t="shared" si="42"/>
        <v>4933.8502289999997</v>
      </c>
      <c r="M518" s="1">
        <f t="shared" si="43"/>
        <v>4979.4871000000003</v>
      </c>
      <c r="N518" s="1" t="s">
        <v>10</v>
      </c>
      <c r="O518" s="1">
        <v>4.2</v>
      </c>
    </row>
    <row r="519" spans="4:15" x14ac:dyDescent="0.3">
      <c r="D519" s="1">
        <v>43653</v>
      </c>
      <c r="E519" s="2">
        <v>43768</v>
      </c>
      <c r="F519" s="1" t="s">
        <v>9</v>
      </c>
      <c r="G519" s="1">
        <v>3</v>
      </c>
      <c r="H519" t="str">
        <f t="shared" si="44"/>
        <v>Mini</v>
      </c>
      <c r="I519" t="str">
        <f t="shared" si="40"/>
        <v>Mini</v>
      </c>
      <c r="J519" s="1">
        <v>11.36</v>
      </c>
      <c r="K519">
        <f t="shared" si="41"/>
        <v>0</v>
      </c>
      <c r="L519">
        <f t="shared" si="42"/>
        <v>11.36</v>
      </c>
      <c r="M519" s="1">
        <f t="shared" si="43"/>
        <v>11.36</v>
      </c>
      <c r="N519" s="1" t="s">
        <v>10</v>
      </c>
      <c r="O519" s="1">
        <v>1.4</v>
      </c>
    </row>
    <row r="520" spans="4:15" x14ac:dyDescent="0.3">
      <c r="D520" s="1">
        <v>10917</v>
      </c>
      <c r="E520" s="2">
        <v>43505</v>
      </c>
      <c r="F520" s="1" t="s">
        <v>12</v>
      </c>
      <c r="G520" s="1">
        <v>14</v>
      </c>
      <c r="H520" t="str">
        <f t="shared" si="44"/>
        <v>Small</v>
      </c>
      <c r="I520" t="str">
        <f t="shared" si="40"/>
        <v>Small</v>
      </c>
      <c r="J520" s="1">
        <v>1371.05</v>
      </c>
      <c r="K520">
        <f t="shared" si="41"/>
        <v>0</v>
      </c>
      <c r="L520">
        <f t="shared" si="42"/>
        <v>1371.05</v>
      </c>
      <c r="M520" s="1">
        <f t="shared" si="43"/>
        <v>1371.05</v>
      </c>
      <c r="N520" s="1" t="s">
        <v>8</v>
      </c>
      <c r="O520" s="1">
        <v>6.4</v>
      </c>
    </row>
    <row r="521" spans="4:15" x14ac:dyDescent="0.3">
      <c r="D521" s="1">
        <v>11969</v>
      </c>
      <c r="E521" s="2">
        <v>43483</v>
      </c>
      <c r="F521" s="1" t="s">
        <v>11</v>
      </c>
      <c r="G521" s="1">
        <v>16</v>
      </c>
      <c r="H521" t="str">
        <f t="shared" si="44"/>
        <v>Small-Medium</v>
      </c>
      <c r="I521" t="str">
        <f t="shared" si="40"/>
        <v>Small-Medium</v>
      </c>
      <c r="J521" s="1">
        <v>1802.9072000000001</v>
      </c>
      <c r="K521">
        <f t="shared" si="41"/>
        <v>0</v>
      </c>
      <c r="L521">
        <f t="shared" si="42"/>
        <v>1802.9072000000001</v>
      </c>
      <c r="M521" s="1">
        <f t="shared" si="43"/>
        <v>1802.9072000000001</v>
      </c>
      <c r="N521" s="1" t="s">
        <v>10</v>
      </c>
      <c r="O521" s="1">
        <v>37.5</v>
      </c>
    </row>
    <row r="522" spans="4:15" x14ac:dyDescent="0.3">
      <c r="D522" s="1">
        <v>18757</v>
      </c>
      <c r="E522" s="2">
        <v>43607</v>
      </c>
      <c r="F522" s="1" t="s">
        <v>7</v>
      </c>
      <c r="G522" s="1">
        <v>43</v>
      </c>
      <c r="H522" t="str">
        <f t="shared" si="44"/>
        <v>XX Large</v>
      </c>
      <c r="I522" t="str">
        <f t="shared" si="40"/>
        <v>XX Large</v>
      </c>
      <c r="J522" s="1">
        <v>342.36</v>
      </c>
      <c r="K522">
        <f t="shared" si="41"/>
        <v>0.01</v>
      </c>
      <c r="L522">
        <f t="shared" si="42"/>
        <v>338.93639999999999</v>
      </c>
      <c r="M522" s="1">
        <f t="shared" si="43"/>
        <v>340.66</v>
      </c>
      <c r="N522" s="1" t="s">
        <v>8</v>
      </c>
      <c r="O522" s="1">
        <v>1.7</v>
      </c>
    </row>
    <row r="523" spans="4:15" x14ac:dyDescent="0.3">
      <c r="D523" s="1">
        <v>49953</v>
      </c>
      <c r="E523" s="2">
        <v>43541</v>
      </c>
      <c r="F523" s="1" t="s">
        <v>11</v>
      </c>
      <c r="G523" s="1">
        <v>18</v>
      </c>
      <c r="H523" t="str">
        <f t="shared" si="44"/>
        <v>Small-Medium</v>
      </c>
      <c r="I523" t="str">
        <f t="shared" si="40"/>
        <v>Small-Medium</v>
      </c>
      <c r="J523" s="1">
        <v>303.35000000000002</v>
      </c>
      <c r="K523">
        <f t="shared" si="41"/>
        <v>0</v>
      </c>
      <c r="L523">
        <f t="shared" si="42"/>
        <v>303.35000000000002</v>
      </c>
      <c r="M523" s="1">
        <f t="shared" si="43"/>
        <v>303.35000000000002</v>
      </c>
      <c r="N523" s="1" t="s">
        <v>10</v>
      </c>
      <c r="O523" s="1">
        <v>7</v>
      </c>
    </row>
    <row r="524" spans="4:15" x14ac:dyDescent="0.3">
      <c r="D524" s="1">
        <v>8388</v>
      </c>
      <c r="E524" s="2">
        <v>43518</v>
      </c>
      <c r="F524" s="1" t="s">
        <v>7</v>
      </c>
      <c r="G524" s="1">
        <v>37</v>
      </c>
      <c r="H524" t="str">
        <f t="shared" si="44"/>
        <v>Extra Large</v>
      </c>
      <c r="I524" t="str">
        <f t="shared" si="40"/>
        <v>Extra Large</v>
      </c>
      <c r="J524" s="1">
        <v>464.5</v>
      </c>
      <c r="K524">
        <f t="shared" si="41"/>
        <v>0.01</v>
      </c>
      <c r="L524">
        <f t="shared" si="42"/>
        <v>459.85500000000002</v>
      </c>
      <c r="M524" s="1">
        <f t="shared" si="43"/>
        <v>458.5</v>
      </c>
      <c r="N524" s="1" t="s">
        <v>10</v>
      </c>
      <c r="O524" s="1">
        <v>6</v>
      </c>
    </row>
    <row r="525" spans="4:15" x14ac:dyDescent="0.3">
      <c r="D525" s="1">
        <v>28582</v>
      </c>
      <c r="E525" s="2">
        <v>43486</v>
      </c>
      <c r="F525" s="1" t="s">
        <v>11</v>
      </c>
      <c r="G525" s="1">
        <v>40</v>
      </c>
      <c r="H525" t="str">
        <f t="shared" si="44"/>
        <v>Extra Large</v>
      </c>
      <c r="I525" t="str">
        <f t="shared" si="40"/>
        <v>Extra Large</v>
      </c>
      <c r="J525" s="1">
        <v>1605.18</v>
      </c>
      <c r="K525">
        <f t="shared" si="41"/>
        <v>0.01</v>
      </c>
      <c r="L525">
        <f t="shared" si="42"/>
        <v>1589.1282000000001</v>
      </c>
      <c r="M525" s="1">
        <f t="shared" si="43"/>
        <v>1603.0800000000002</v>
      </c>
      <c r="N525" s="1" t="s">
        <v>8</v>
      </c>
      <c r="O525" s="1">
        <v>2.1</v>
      </c>
    </row>
    <row r="526" spans="4:15" x14ac:dyDescent="0.3">
      <c r="D526" s="1">
        <v>27616</v>
      </c>
      <c r="E526" s="2">
        <v>43676</v>
      </c>
      <c r="F526" s="1" t="s">
        <v>7</v>
      </c>
      <c r="G526" s="1">
        <v>3</v>
      </c>
      <c r="H526" t="str">
        <f t="shared" si="44"/>
        <v>Mini</v>
      </c>
      <c r="I526" t="str">
        <f t="shared" si="40"/>
        <v>Mini</v>
      </c>
      <c r="J526" s="1">
        <v>657.13</v>
      </c>
      <c r="K526">
        <f t="shared" si="41"/>
        <v>0</v>
      </c>
      <c r="L526">
        <f t="shared" si="42"/>
        <v>657.13</v>
      </c>
      <c r="M526" s="1">
        <f t="shared" si="43"/>
        <v>657.13</v>
      </c>
      <c r="N526" s="1" t="s">
        <v>10</v>
      </c>
      <c r="O526" s="1">
        <v>26.2</v>
      </c>
    </row>
    <row r="527" spans="4:15" x14ac:dyDescent="0.3">
      <c r="D527" s="1">
        <v>47777</v>
      </c>
      <c r="E527" s="2">
        <v>43794</v>
      </c>
      <c r="F527" s="1" t="s">
        <v>7</v>
      </c>
      <c r="G527" s="1">
        <v>13</v>
      </c>
      <c r="H527" t="str">
        <f t="shared" si="44"/>
        <v>Small</v>
      </c>
      <c r="I527" t="str">
        <f t="shared" si="40"/>
        <v>Small</v>
      </c>
      <c r="J527" s="1">
        <v>94.06</v>
      </c>
      <c r="K527">
        <f t="shared" si="41"/>
        <v>0</v>
      </c>
      <c r="L527">
        <f t="shared" si="42"/>
        <v>94.06</v>
      </c>
      <c r="M527" s="1">
        <f t="shared" si="43"/>
        <v>94.06</v>
      </c>
      <c r="N527" s="1" t="s">
        <v>10</v>
      </c>
      <c r="O527" s="1">
        <v>5.8</v>
      </c>
    </row>
    <row r="528" spans="4:15" x14ac:dyDescent="0.3">
      <c r="D528" s="1">
        <v>18849</v>
      </c>
      <c r="E528" s="2">
        <v>43682</v>
      </c>
      <c r="F528" s="1" t="s">
        <v>9</v>
      </c>
      <c r="G528" s="1">
        <v>6</v>
      </c>
      <c r="H528" t="str">
        <f t="shared" si="44"/>
        <v>Extra Small</v>
      </c>
      <c r="I528" t="str">
        <f t="shared" si="40"/>
        <v>Extra Small</v>
      </c>
      <c r="J528" s="1">
        <v>804.33</v>
      </c>
      <c r="K528">
        <f t="shared" si="41"/>
        <v>0</v>
      </c>
      <c r="L528">
        <f t="shared" si="42"/>
        <v>804.33</v>
      </c>
      <c r="M528" s="1">
        <f t="shared" si="43"/>
        <v>804.33</v>
      </c>
      <c r="N528" s="1" t="s">
        <v>10</v>
      </c>
      <c r="O528" s="1">
        <v>1.1000000000000001</v>
      </c>
    </row>
    <row r="529" spans="4:15" x14ac:dyDescent="0.3">
      <c r="D529" s="1">
        <v>54020</v>
      </c>
      <c r="E529" s="2">
        <v>43495</v>
      </c>
      <c r="F529" s="1" t="s">
        <v>7</v>
      </c>
      <c r="G529" s="1">
        <v>35</v>
      </c>
      <c r="H529" t="str">
        <f t="shared" si="44"/>
        <v>Large</v>
      </c>
      <c r="I529" t="str">
        <f t="shared" si="40"/>
        <v>Large</v>
      </c>
      <c r="J529" s="1">
        <v>693.98</v>
      </c>
      <c r="K529">
        <f t="shared" si="41"/>
        <v>0</v>
      </c>
      <c r="L529">
        <f t="shared" si="42"/>
        <v>693.98</v>
      </c>
      <c r="M529" s="1">
        <f t="shared" si="43"/>
        <v>693.98</v>
      </c>
      <c r="N529" s="1" t="s">
        <v>10</v>
      </c>
      <c r="O529" s="1">
        <v>5.6</v>
      </c>
    </row>
    <row r="530" spans="4:15" x14ac:dyDescent="0.3">
      <c r="D530" s="1">
        <v>42115</v>
      </c>
      <c r="E530" s="2">
        <v>43513</v>
      </c>
      <c r="F530" s="1" t="s">
        <v>12</v>
      </c>
      <c r="G530" s="1">
        <v>21</v>
      </c>
      <c r="H530" t="str">
        <f t="shared" si="44"/>
        <v>Medium</v>
      </c>
      <c r="I530" t="str">
        <f t="shared" si="40"/>
        <v>Medium</v>
      </c>
      <c r="J530" s="1">
        <v>721.09439999999995</v>
      </c>
      <c r="K530">
        <f t="shared" si="41"/>
        <v>0</v>
      </c>
      <c r="L530">
        <f t="shared" si="42"/>
        <v>721.09439999999995</v>
      </c>
      <c r="M530" s="1">
        <f t="shared" si="43"/>
        <v>721.09439999999995</v>
      </c>
      <c r="N530" s="1" t="s">
        <v>10</v>
      </c>
      <c r="O530" s="1">
        <v>2.1</v>
      </c>
    </row>
    <row r="531" spans="4:15" x14ac:dyDescent="0.3">
      <c r="D531" s="1">
        <v>18500</v>
      </c>
      <c r="E531" s="2">
        <v>43506</v>
      </c>
      <c r="F531" s="1" t="s">
        <v>14</v>
      </c>
      <c r="G531" s="1">
        <v>30</v>
      </c>
      <c r="H531" t="str">
        <f t="shared" si="44"/>
        <v>Medium-Large</v>
      </c>
      <c r="I531" t="str">
        <f t="shared" si="40"/>
        <v>Medium-Large</v>
      </c>
      <c r="J531" s="1">
        <v>2713.85</v>
      </c>
      <c r="K531">
        <f t="shared" si="41"/>
        <v>0</v>
      </c>
      <c r="L531">
        <f t="shared" si="42"/>
        <v>2713.85</v>
      </c>
      <c r="M531" s="1">
        <f t="shared" si="43"/>
        <v>2713.85</v>
      </c>
      <c r="N531" s="1" t="s">
        <v>10</v>
      </c>
      <c r="O531" s="1">
        <v>37.5</v>
      </c>
    </row>
    <row r="532" spans="4:15" x14ac:dyDescent="0.3">
      <c r="D532" s="1">
        <v>14695</v>
      </c>
      <c r="E532" s="2">
        <v>43713</v>
      </c>
      <c r="F532" s="1" t="s">
        <v>9</v>
      </c>
      <c r="G532" s="1">
        <v>40</v>
      </c>
      <c r="H532" t="str">
        <f t="shared" si="44"/>
        <v>Extra Large</v>
      </c>
      <c r="I532" t="str">
        <f t="shared" si="40"/>
        <v>Extra Large</v>
      </c>
      <c r="J532" s="1">
        <v>2131.92</v>
      </c>
      <c r="K532">
        <f t="shared" si="41"/>
        <v>0.01</v>
      </c>
      <c r="L532">
        <f t="shared" si="42"/>
        <v>2110.6008000000002</v>
      </c>
      <c r="M532" s="1">
        <f t="shared" si="43"/>
        <v>2074.02</v>
      </c>
      <c r="N532" s="1" t="s">
        <v>13</v>
      </c>
      <c r="O532" s="1">
        <v>57.9</v>
      </c>
    </row>
    <row r="533" spans="4:15" x14ac:dyDescent="0.3">
      <c r="D533" s="1">
        <v>38279</v>
      </c>
      <c r="E533" s="2">
        <v>43584</v>
      </c>
      <c r="F533" s="1" t="s">
        <v>14</v>
      </c>
      <c r="G533" s="1">
        <v>1</v>
      </c>
      <c r="H533" t="str">
        <f t="shared" si="44"/>
        <v>Mini</v>
      </c>
      <c r="I533" t="str">
        <f t="shared" si="40"/>
        <v>Mini</v>
      </c>
      <c r="J533" s="1">
        <v>12.45</v>
      </c>
      <c r="K533">
        <f t="shared" si="41"/>
        <v>0</v>
      </c>
      <c r="L533">
        <f t="shared" si="42"/>
        <v>12.45</v>
      </c>
      <c r="M533" s="1">
        <f t="shared" si="43"/>
        <v>12.45</v>
      </c>
      <c r="N533" s="1" t="s">
        <v>10</v>
      </c>
      <c r="O533" s="1">
        <v>4.3</v>
      </c>
    </row>
    <row r="534" spans="4:15" x14ac:dyDescent="0.3">
      <c r="D534" s="1">
        <v>14215</v>
      </c>
      <c r="E534" s="2">
        <v>43659</v>
      </c>
      <c r="F534" s="1" t="s">
        <v>14</v>
      </c>
      <c r="G534" s="1">
        <v>44</v>
      </c>
      <c r="H534" t="str">
        <f t="shared" si="44"/>
        <v>XX Large</v>
      </c>
      <c r="I534" t="str">
        <f t="shared" si="40"/>
        <v>XX Large</v>
      </c>
      <c r="J534" s="1">
        <v>2436.42</v>
      </c>
      <c r="K534">
        <f t="shared" si="41"/>
        <v>0.01</v>
      </c>
      <c r="L534">
        <f t="shared" si="42"/>
        <v>2412.0558000000001</v>
      </c>
      <c r="M534" s="1">
        <f t="shared" si="43"/>
        <v>2429.12</v>
      </c>
      <c r="N534" s="1" t="s">
        <v>10</v>
      </c>
      <c r="O534" s="1">
        <v>7.3</v>
      </c>
    </row>
    <row r="535" spans="4:15" x14ac:dyDescent="0.3">
      <c r="D535" s="1">
        <v>15872</v>
      </c>
      <c r="E535" s="2">
        <v>43768</v>
      </c>
      <c r="F535" s="1" t="s">
        <v>11</v>
      </c>
      <c r="G535" s="1">
        <v>23</v>
      </c>
      <c r="H535" t="str">
        <f t="shared" si="44"/>
        <v>Medium</v>
      </c>
      <c r="I535" t="str">
        <f t="shared" si="40"/>
        <v>Medium</v>
      </c>
      <c r="J535" s="1">
        <v>201.73</v>
      </c>
      <c r="K535">
        <f t="shared" si="41"/>
        <v>0</v>
      </c>
      <c r="L535">
        <f t="shared" si="42"/>
        <v>201.73</v>
      </c>
      <c r="M535" s="1">
        <f t="shared" si="43"/>
        <v>201.73</v>
      </c>
      <c r="N535" s="1" t="s">
        <v>10</v>
      </c>
      <c r="O535" s="1">
        <v>6.4</v>
      </c>
    </row>
    <row r="536" spans="4:15" x14ac:dyDescent="0.3">
      <c r="D536" s="1">
        <v>51269</v>
      </c>
      <c r="E536" s="2">
        <v>43476</v>
      </c>
      <c r="F536" s="1" t="s">
        <v>12</v>
      </c>
      <c r="G536" s="1">
        <v>20</v>
      </c>
      <c r="H536" t="str">
        <f t="shared" si="44"/>
        <v>Small-Medium</v>
      </c>
      <c r="I536" t="str">
        <f t="shared" si="40"/>
        <v>Small-Medium</v>
      </c>
      <c r="J536" s="1">
        <v>460.54</v>
      </c>
      <c r="K536">
        <f t="shared" si="41"/>
        <v>0</v>
      </c>
      <c r="L536">
        <f t="shared" si="42"/>
        <v>460.54</v>
      </c>
      <c r="M536" s="1">
        <f t="shared" si="43"/>
        <v>460.54</v>
      </c>
      <c r="N536" s="1" t="s">
        <v>10</v>
      </c>
      <c r="O536" s="1">
        <v>8.1</v>
      </c>
    </row>
    <row r="537" spans="4:15" x14ac:dyDescent="0.3">
      <c r="D537" s="1">
        <v>39783</v>
      </c>
      <c r="E537" s="2">
        <v>43728</v>
      </c>
      <c r="F537" s="1" t="s">
        <v>11</v>
      </c>
      <c r="G537" s="1">
        <v>19</v>
      </c>
      <c r="H537" t="str">
        <f t="shared" si="44"/>
        <v>Small-Medium</v>
      </c>
      <c r="I537" t="str">
        <f t="shared" si="40"/>
        <v>Small-Medium</v>
      </c>
      <c r="J537" s="1">
        <v>88.2</v>
      </c>
      <c r="K537">
        <f t="shared" si="41"/>
        <v>0</v>
      </c>
      <c r="L537">
        <f t="shared" si="42"/>
        <v>88.2</v>
      </c>
      <c r="M537" s="1">
        <f t="shared" si="43"/>
        <v>88.2</v>
      </c>
      <c r="N537" s="1" t="s">
        <v>10</v>
      </c>
      <c r="O537" s="1">
        <v>7.4</v>
      </c>
    </row>
    <row r="538" spans="4:15" x14ac:dyDescent="0.3">
      <c r="D538" s="1">
        <v>50822</v>
      </c>
      <c r="E538" s="2">
        <v>43502</v>
      </c>
      <c r="F538" s="1" t="s">
        <v>14</v>
      </c>
      <c r="G538" s="1">
        <v>6</v>
      </c>
      <c r="H538" t="str">
        <f t="shared" si="44"/>
        <v>Extra Small</v>
      </c>
      <c r="I538" t="str">
        <f t="shared" si="40"/>
        <v>Extra Small</v>
      </c>
      <c r="J538" s="1">
        <v>1749.76</v>
      </c>
      <c r="K538">
        <f t="shared" si="41"/>
        <v>0</v>
      </c>
      <c r="L538">
        <f t="shared" si="42"/>
        <v>1749.76</v>
      </c>
      <c r="M538" s="1">
        <f t="shared" si="43"/>
        <v>1749.76</v>
      </c>
      <c r="N538" s="1" t="s">
        <v>10</v>
      </c>
      <c r="O538" s="1">
        <v>26.2</v>
      </c>
    </row>
    <row r="539" spans="4:15" x14ac:dyDescent="0.3">
      <c r="D539" s="1">
        <v>2688</v>
      </c>
      <c r="E539" s="2">
        <v>43487</v>
      </c>
      <c r="F539" s="1" t="s">
        <v>9</v>
      </c>
      <c r="G539" s="1">
        <v>7</v>
      </c>
      <c r="H539" t="str">
        <f t="shared" si="44"/>
        <v>Extra Small</v>
      </c>
      <c r="I539" t="str">
        <f t="shared" si="40"/>
        <v>Extra Small</v>
      </c>
      <c r="J539" s="1">
        <v>155.6</v>
      </c>
      <c r="K539">
        <f t="shared" si="41"/>
        <v>0</v>
      </c>
      <c r="L539">
        <f t="shared" si="42"/>
        <v>155.6</v>
      </c>
      <c r="M539" s="1">
        <f t="shared" si="43"/>
        <v>155.6</v>
      </c>
      <c r="N539" s="1" t="s">
        <v>10</v>
      </c>
      <c r="O539" s="1">
        <v>7</v>
      </c>
    </row>
    <row r="540" spans="4:15" x14ac:dyDescent="0.3">
      <c r="D540" s="1">
        <v>14727</v>
      </c>
      <c r="E540" s="2">
        <v>43665</v>
      </c>
      <c r="F540" s="1" t="s">
        <v>14</v>
      </c>
      <c r="G540" s="1">
        <v>33</v>
      </c>
      <c r="H540" t="str">
        <f t="shared" si="44"/>
        <v>Large</v>
      </c>
      <c r="I540" t="str">
        <f t="shared" si="40"/>
        <v>Large</v>
      </c>
      <c r="J540" s="1">
        <v>2428.27</v>
      </c>
      <c r="K540">
        <f t="shared" si="41"/>
        <v>0</v>
      </c>
      <c r="L540">
        <f t="shared" si="42"/>
        <v>2428.27</v>
      </c>
      <c r="M540" s="1">
        <f t="shared" si="43"/>
        <v>2428.27</v>
      </c>
      <c r="N540" s="1" t="s">
        <v>10</v>
      </c>
      <c r="O540" s="1">
        <v>3.7</v>
      </c>
    </row>
    <row r="541" spans="4:15" x14ac:dyDescent="0.3">
      <c r="D541" s="1">
        <v>39365</v>
      </c>
      <c r="E541" s="2">
        <v>43599</v>
      </c>
      <c r="F541" s="1" t="s">
        <v>9</v>
      </c>
      <c r="G541" s="1">
        <v>32</v>
      </c>
      <c r="H541" t="str">
        <f t="shared" si="44"/>
        <v>Large</v>
      </c>
      <c r="I541" t="str">
        <f t="shared" si="40"/>
        <v>Large</v>
      </c>
      <c r="J541" s="1">
        <v>996.26</v>
      </c>
      <c r="K541">
        <f t="shared" si="41"/>
        <v>0</v>
      </c>
      <c r="L541">
        <f t="shared" si="42"/>
        <v>996.26</v>
      </c>
      <c r="M541" s="1">
        <f t="shared" si="43"/>
        <v>996.26</v>
      </c>
      <c r="N541" s="1" t="s">
        <v>8</v>
      </c>
      <c r="O541" s="1">
        <v>2.1</v>
      </c>
    </row>
    <row r="542" spans="4:15" x14ac:dyDescent="0.3">
      <c r="D542" s="1">
        <v>55239</v>
      </c>
      <c r="E542" s="2">
        <v>43802</v>
      </c>
      <c r="F542" s="1" t="s">
        <v>12</v>
      </c>
      <c r="G542" s="1">
        <v>6</v>
      </c>
      <c r="H542" t="str">
        <f t="shared" si="44"/>
        <v>Extra Small</v>
      </c>
      <c r="I542" t="str">
        <f t="shared" si="40"/>
        <v>Extra Small</v>
      </c>
      <c r="J542" s="1">
        <v>1079.49</v>
      </c>
      <c r="K542">
        <f t="shared" si="41"/>
        <v>0</v>
      </c>
      <c r="L542">
        <f t="shared" si="42"/>
        <v>1079.49</v>
      </c>
      <c r="M542" s="1">
        <f t="shared" si="43"/>
        <v>1079.49</v>
      </c>
      <c r="N542" s="1" t="s">
        <v>8</v>
      </c>
      <c r="O542" s="1">
        <v>73.8</v>
      </c>
    </row>
    <row r="543" spans="4:15" x14ac:dyDescent="0.3">
      <c r="D543" s="1">
        <v>48672</v>
      </c>
      <c r="E543" s="2">
        <v>43825</v>
      </c>
      <c r="F543" s="1" t="s">
        <v>9</v>
      </c>
      <c r="G543" s="1">
        <v>43</v>
      </c>
      <c r="H543" t="str">
        <f t="shared" si="44"/>
        <v>XX Large</v>
      </c>
      <c r="I543" t="str">
        <f t="shared" si="40"/>
        <v>XX Large</v>
      </c>
      <c r="J543" s="1">
        <v>273.60000000000002</v>
      </c>
      <c r="K543">
        <f t="shared" si="41"/>
        <v>0.01</v>
      </c>
      <c r="L543">
        <f t="shared" si="42"/>
        <v>270.86400000000003</v>
      </c>
      <c r="M543" s="1">
        <f t="shared" si="43"/>
        <v>270</v>
      </c>
      <c r="N543" s="1" t="s">
        <v>10</v>
      </c>
      <c r="O543" s="1">
        <v>3.6</v>
      </c>
    </row>
    <row r="544" spans="4:15" x14ac:dyDescent="0.3">
      <c r="D544" s="1">
        <v>40032</v>
      </c>
      <c r="E544" s="2">
        <v>43799</v>
      </c>
      <c r="F544" s="1" t="s">
        <v>7</v>
      </c>
      <c r="G544" s="1">
        <v>9</v>
      </c>
      <c r="H544" t="str">
        <f t="shared" si="44"/>
        <v>Extra Small</v>
      </c>
      <c r="I544" t="str">
        <f t="shared" si="40"/>
        <v>Extra Small</v>
      </c>
      <c r="J544" s="1">
        <v>24931.13</v>
      </c>
      <c r="K544">
        <f t="shared" si="41"/>
        <v>0</v>
      </c>
      <c r="L544">
        <f t="shared" si="42"/>
        <v>24931.13</v>
      </c>
      <c r="M544" s="1">
        <f t="shared" si="43"/>
        <v>24931.13</v>
      </c>
      <c r="N544" s="1" t="s">
        <v>13</v>
      </c>
      <c r="O544" s="1">
        <v>31.8</v>
      </c>
    </row>
    <row r="545" spans="4:15" x14ac:dyDescent="0.3">
      <c r="D545" s="1">
        <v>44549</v>
      </c>
      <c r="E545" s="2">
        <v>43486</v>
      </c>
      <c r="F545" s="1" t="s">
        <v>14</v>
      </c>
      <c r="G545" s="1">
        <v>5</v>
      </c>
      <c r="H545" t="str">
        <f t="shared" si="44"/>
        <v>Mini</v>
      </c>
      <c r="I545" t="str">
        <f t="shared" si="40"/>
        <v>Mini</v>
      </c>
      <c r="J545" s="1">
        <v>12.04</v>
      </c>
      <c r="K545">
        <f t="shared" si="41"/>
        <v>0</v>
      </c>
      <c r="L545">
        <f t="shared" si="42"/>
        <v>12.04</v>
      </c>
      <c r="M545" s="1">
        <f t="shared" si="43"/>
        <v>12.04</v>
      </c>
      <c r="N545" s="1" t="s">
        <v>10</v>
      </c>
      <c r="O545" s="1">
        <v>1.6</v>
      </c>
    </row>
    <row r="546" spans="4:15" x14ac:dyDescent="0.3">
      <c r="D546" s="1">
        <v>30403</v>
      </c>
      <c r="E546" s="2">
        <v>43656</v>
      </c>
      <c r="F546" s="1" t="s">
        <v>9</v>
      </c>
      <c r="G546" s="1">
        <v>41</v>
      </c>
      <c r="H546" t="str">
        <f t="shared" si="44"/>
        <v>XX Large</v>
      </c>
      <c r="I546" t="str">
        <f t="shared" si="40"/>
        <v>XX Large</v>
      </c>
      <c r="J546" s="1">
        <v>326.36</v>
      </c>
      <c r="K546">
        <f t="shared" si="41"/>
        <v>0.01</v>
      </c>
      <c r="L546">
        <f t="shared" si="42"/>
        <v>323.09640000000002</v>
      </c>
      <c r="M546" s="1">
        <f t="shared" si="43"/>
        <v>318.06</v>
      </c>
      <c r="N546" s="1" t="s">
        <v>8</v>
      </c>
      <c r="O546" s="1">
        <v>8.3000000000000007</v>
      </c>
    </row>
    <row r="547" spans="4:15" x14ac:dyDescent="0.3">
      <c r="D547" s="1">
        <v>35040</v>
      </c>
      <c r="E547" s="2">
        <v>43573</v>
      </c>
      <c r="F547" s="1" t="s">
        <v>11</v>
      </c>
      <c r="G547" s="1">
        <v>44</v>
      </c>
      <c r="H547" t="str">
        <f t="shared" si="44"/>
        <v>XX Large</v>
      </c>
      <c r="I547" t="str">
        <f t="shared" si="40"/>
        <v>XX Large</v>
      </c>
      <c r="J547" s="1">
        <v>520.69410000000005</v>
      </c>
      <c r="K547">
        <f t="shared" si="41"/>
        <v>0.01</v>
      </c>
      <c r="L547">
        <f t="shared" si="42"/>
        <v>515.48715900000002</v>
      </c>
      <c r="M547" s="1">
        <f t="shared" si="43"/>
        <v>512.69410000000005</v>
      </c>
      <c r="N547" s="1" t="s">
        <v>10</v>
      </c>
      <c r="O547" s="1">
        <v>8</v>
      </c>
    </row>
    <row r="548" spans="4:15" x14ac:dyDescent="0.3">
      <c r="D548" s="1">
        <v>58978</v>
      </c>
      <c r="E548" s="2">
        <v>43501</v>
      </c>
      <c r="F548" s="1" t="s">
        <v>7</v>
      </c>
      <c r="G548" s="1">
        <v>13</v>
      </c>
      <c r="H548" t="str">
        <f t="shared" si="44"/>
        <v>Small</v>
      </c>
      <c r="I548" t="str">
        <f t="shared" si="40"/>
        <v>Small</v>
      </c>
      <c r="J548" s="1">
        <v>81.2</v>
      </c>
      <c r="K548">
        <f t="shared" si="41"/>
        <v>0</v>
      </c>
      <c r="L548">
        <f t="shared" si="42"/>
        <v>81.2</v>
      </c>
      <c r="M548" s="1">
        <f t="shared" si="43"/>
        <v>81.2</v>
      </c>
      <c r="N548" s="1" t="s">
        <v>10</v>
      </c>
      <c r="O548" s="1">
        <v>5.5</v>
      </c>
    </row>
    <row r="549" spans="4:15" x14ac:dyDescent="0.3">
      <c r="D549" s="1">
        <v>26116</v>
      </c>
      <c r="E549" s="2">
        <v>43767</v>
      </c>
      <c r="F549" s="1" t="s">
        <v>12</v>
      </c>
      <c r="G549" s="1">
        <v>36</v>
      </c>
      <c r="H549" t="str">
        <f t="shared" si="44"/>
        <v>Extra Large</v>
      </c>
      <c r="I549" t="str">
        <f t="shared" si="40"/>
        <v>Extra Large</v>
      </c>
      <c r="J549" s="1">
        <v>746.23</v>
      </c>
      <c r="K549">
        <f t="shared" si="41"/>
        <v>0.01</v>
      </c>
      <c r="L549">
        <f t="shared" si="42"/>
        <v>738.76769999999999</v>
      </c>
      <c r="M549" s="1">
        <f t="shared" si="43"/>
        <v>736.53</v>
      </c>
      <c r="N549" s="1" t="s">
        <v>10</v>
      </c>
      <c r="O549" s="1">
        <v>9.6999999999999993</v>
      </c>
    </row>
    <row r="550" spans="4:15" x14ac:dyDescent="0.3">
      <c r="D550" s="1">
        <v>16775</v>
      </c>
      <c r="E550" s="2">
        <v>43791</v>
      </c>
      <c r="F550" s="1" t="s">
        <v>7</v>
      </c>
      <c r="G550" s="1">
        <v>49</v>
      </c>
      <c r="H550" t="str">
        <f t="shared" si="44"/>
        <v>XXX Large</v>
      </c>
      <c r="I550" t="str">
        <f t="shared" si="40"/>
        <v>XXX Large</v>
      </c>
      <c r="J550" s="1">
        <v>2641.99</v>
      </c>
      <c r="K550">
        <f t="shared" si="41"/>
        <v>0.01</v>
      </c>
      <c r="L550">
        <f t="shared" si="42"/>
        <v>2615.5700999999999</v>
      </c>
      <c r="M550" s="1">
        <f t="shared" si="43"/>
        <v>2635.6899999999996</v>
      </c>
      <c r="N550" s="1" t="s">
        <v>10</v>
      </c>
      <c r="O550" s="1">
        <v>6.3</v>
      </c>
    </row>
    <row r="551" spans="4:15" x14ac:dyDescent="0.3">
      <c r="D551" s="1">
        <v>34117</v>
      </c>
      <c r="E551" s="2">
        <v>43502</v>
      </c>
      <c r="F551" s="1" t="s">
        <v>9</v>
      </c>
      <c r="G551" s="1">
        <v>45</v>
      </c>
      <c r="H551" t="str">
        <f t="shared" si="44"/>
        <v>XX Large</v>
      </c>
      <c r="I551" t="str">
        <f t="shared" si="40"/>
        <v>XX Large</v>
      </c>
      <c r="J551" s="1">
        <v>320.94</v>
      </c>
      <c r="K551">
        <f t="shared" si="41"/>
        <v>0.01</v>
      </c>
      <c r="L551">
        <f t="shared" si="42"/>
        <v>317.73059999999998</v>
      </c>
      <c r="M551" s="1">
        <f t="shared" si="43"/>
        <v>317.74</v>
      </c>
      <c r="N551" s="1" t="s">
        <v>10</v>
      </c>
      <c r="O551" s="1">
        <v>3.2</v>
      </c>
    </row>
    <row r="552" spans="4:15" x14ac:dyDescent="0.3">
      <c r="D552" s="1">
        <v>31106</v>
      </c>
      <c r="E552" s="2">
        <v>43511</v>
      </c>
      <c r="F552" s="1" t="s">
        <v>7</v>
      </c>
      <c r="G552" s="1">
        <v>37</v>
      </c>
      <c r="H552" t="str">
        <f t="shared" si="44"/>
        <v>Extra Large</v>
      </c>
      <c r="I552" t="str">
        <f t="shared" si="40"/>
        <v>Extra Large</v>
      </c>
      <c r="J552" s="1">
        <v>109.033</v>
      </c>
      <c r="K552">
        <f t="shared" si="41"/>
        <v>0.01</v>
      </c>
      <c r="L552">
        <f t="shared" si="42"/>
        <v>107.94267000000001</v>
      </c>
      <c r="M552" s="1">
        <f t="shared" si="43"/>
        <v>108.533</v>
      </c>
      <c r="N552" s="1" t="s">
        <v>10</v>
      </c>
      <c r="O552" s="1">
        <v>0.5</v>
      </c>
    </row>
    <row r="553" spans="4:15" x14ac:dyDescent="0.3">
      <c r="D553" s="1">
        <v>28224</v>
      </c>
      <c r="E553" s="2">
        <v>43818</v>
      </c>
      <c r="F553" s="1" t="s">
        <v>12</v>
      </c>
      <c r="G553" s="1">
        <v>25</v>
      </c>
      <c r="H553" t="str">
        <f t="shared" si="44"/>
        <v>Medium</v>
      </c>
      <c r="I553" t="str">
        <f t="shared" si="40"/>
        <v>Medium</v>
      </c>
      <c r="J553" s="1">
        <v>174.84870000000001</v>
      </c>
      <c r="K553">
        <f t="shared" si="41"/>
        <v>0</v>
      </c>
      <c r="L553">
        <f t="shared" si="42"/>
        <v>174.84870000000001</v>
      </c>
      <c r="M553" s="1">
        <f t="shared" si="43"/>
        <v>174.84870000000001</v>
      </c>
      <c r="N553" s="1" t="s">
        <v>10</v>
      </c>
      <c r="O553" s="1">
        <v>7.5</v>
      </c>
    </row>
    <row r="554" spans="4:15" x14ac:dyDescent="0.3">
      <c r="D554" s="1">
        <v>27557</v>
      </c>
      <c r="E554" s="2">
        <v>43503</v>
      </c>
      <c r="F554" s="1" t="s">
        <v>7</v>
      </c>
      <c r="G554" s="1">
        <v>18</v>
      </c>
      <c r="H554" t="str">
        <f t="shared" si="44"/>
        <v>Small-Medium</v>
      </c>
      <c r="I554" t="str">
        <f t="shared" si="40"/>
        <v>Small-Medium</v>
      </c>
      <c r="J554" s="1">
        <v>60.06</v>
      </c>
      <c r="K554">
        <f t="shared" si="41"/>
        <v>0</v>
      </c>
      <c r="L554">
        <f t="shared" si="42"/>
        <v>60.06</v>
      </c>
      <c r="M554" s="1">
        <f t="shared" si="43"/>
        <v>60.06</v>
      </c>
      <c r="N554" s="1" t="s">
        <v>10</v>
      </c>
      <c r="O554" s="1">
        <v>5.7</v>
      </c>
    </row>
    <row r="555" spans="4:15" x14ac:dyDescent="0.3">
      <c r="D555" s="1">
        <v>54721</v>
      </c>
      <c r="E555" s="2">
        <v>43756</v>
      </c>
      <c r="F555" s="1" t="s">
        <v>11</v>
      </c>
      <c r="G555" s="1">
        <v>19</v>
      </c>
      <c r="H555" t="str">
        <f t="shared" si="44"/>
        <v>Small-Medium</v>
      </c>
      <c r="I555" t="str">
        <f t="shared" si="40"/>
        <v>Small-Medium</v>
      </c>
      <c r="J555" s="1">
        <v>2142.5700000000002</v>
      </c>
      <c r="K555">
        <f t="shared" si="41"/>
        <v>0</v>
      </c>
      <c r="L555">
        <f t="shared" si="42"/>
        <v>2142.5700000000002</v>
      </c>
      <c r="M555" s="1">
        <f t="shared" si="43"/>
        <v>2142.5700000000002</v>
      </c>
      <c r="N555" s="1" t="s">
        <v>13</v>
      </c>
      <c r="O555" s="1">
        <v>28.1</v>
      </c>
    </row>
    <row r="556" spans="4:15" x14ac:dyDescent="0.3">
      <c r="D556" s="1">
        <v>11011</v>
      </c>
      <c r="E556" s="2">
        <v>43598</v>
      </c>
      <c r="F556" s="1" t="s">
        <v>9</v>
      </c>
      <c r="G556" s="1">
        <v>36</v>
      </c>
      <c r="H556" t="str">
        <f t="shared" si="44"/>
        <v>Extra Large</v>
      </c>
      <c r="I556" t="str">
        <f t="shared" si="40"/>
        <v>Extra Large</v>
      </c>
      <c r="J556" s="1">
        <v>327.01</v>
      </c>
      <c r="K556">
        <f t="shared" si="41"/>
        <v>0.01</v>
      </c>
      <c r="L556">
        <f t="shared" si="42"/>
        <v>323.73989999999998</v>
      </c>
      <c r="M556" s="1">
        <f t="shared" si="43"/>
        <v>318.11</v>
      </c>
      <c r="N556" s="1" t="s">
        <v>10</v>
      </c>
      <c r="O556" s="1">
        <v>8.9</v>
      </c>
    </row>
    <row r="557" spans="4:15" x14ac:dyDescent="0.3">
      <c r="D557" s="1">
        <v>16866</v>
      </c>
      <c r="E557" s="2">
        <v>43501</v>
      </c>
      <c r="F557" s="1" t="s">
        <v>11</v>
      </c>
      <c r="G557" s="1">
        <v>43</v>
      </c>
      <c r="H557" t="str">
        <f t="shared" si="44"/>
        <v>XX Large</v>
      </c>
      <c r="I557" t="str">
        <f t="shared" si="40"/>
        <v>XX Large</v>
      </c>
      <c r="J557" s="1">
        <v>2522.9621000000002</v>
      </c>
      <c r="K557">
        <f t="shared" si="41"/>
        <v>0.01</v>
      </c>
      <c r="L557">
        <f t="shared" si="42"/>
        <v>2497.7324790000002</v>
      </c>
      <c r="M557" s="1">
        <f t="shared" si="43"/>
        <v>2518.6621</v>
      </c>
      <c r="N557" s="1" t="s">
        <v>10</v>
      </c>
      <c r="O557" s="1">
        <v>4.3</v>
      </c>
    </row>
    <row r="558" spans="4:15" x14ac:dyDescent="0.3">
      <c r="D558" s="1">
        <v>1088</v>
      </c>
      <c r="E558" s="2">
        <v>43605</v>
      </c>
      <c r="F558" s="1" t="s">
        <v>7</v>
      </c>
      <c r="G558" s="1">
        <v>13</v>
      </c>
      <c r="H558" t="str">
        <f t="shared" si="44"/>
        <v>Small</v>
      </c>
      <c r="I558" t="str">
        <f t="shared" si="40"/>
        <v>Small</v>
      </c>
      <c r="J558" s="1">
        <v>287.85000000000002</v>
      </c>
      <c r="K558">
        <f t="shared" si="41"/>
        <v>0</v>
      </c>
      <c r="L558">
        <f t="shared" si="42"/>
        <v>287.85000000000002</v>
      </c>
      <c r="M558" s="1">
        <f t="shared" si="43"/>
        <v>287.85000000000002</v>
      </c>
      <c r="N558" s="1" t="s">
        <v>10</v>
      </c>
      <c r="O558" s="1">
        <v>7</v>
      </c>
    </row>
    <row r="559" spans="4:15" x14ac:dyDescent="0.3">
      <c r="D559" s="1">
        <v>44071</v>
      </c>
      <c r="E559" s="2">
        <v>43570</v>
      </c>
      <c r="F559" s="1" t="s">
        <v>11</v>
      </c>
      <c r="G559" s="1">
        <v>19</v>
      </c>
      <c r="H559" t="str">
        <f t="shared" si="44"/>
        <v>Small-Medium</v>
      </c>
      <c r="I559" t="str">
        <f t="shared" si="40"/>
        <v>Small-Medium</v>
      </c>
      <c r="J559" s="1">
        <v>118.42</v>
      </c>
      <c r="K559">
        <f t="shared" si="41"/>
        <v>0</v>
      </c>
      <c r="L559">
        <f t="shared" si="42"/>
        <v>118.42</v>
      </c>
      <c r="M559" s="1">
        <f t="shared" si="43"/>
        <v>118.42</v>
      </c>
      <c r="N559" s="1" t="s">
        <v>10</v>
      </c>
      <c r="O559" s="1">
        <v>5.3</v>
      </c>
    </row>
    <row r="560" spans="4:15" x14ac:dyDescent="0.3">
      <c r="D560" s="1">
        <v>18849</v>
      </c>
      <c r="E560" s="2">
        <v>43682</v>
      </c>
      <c r="F560" s="1" t="s">
        <v>9</v>
      </c>
      <c r="G560" s="1">
        <v>39</v>
      </c>
      <c r="H560" t="str">
        <f t="shared" si="44"/>
        <v>Extra Large</v>
      </c>
      <c r="I560" t="str">
        <f t="shared" si="40"/>
        <v>Extra Large</v>
      </c>
      <c r="J560" s="1">
        <v>577.37</v>
      </c>
      <c r="K560">
        <f t="shared" si="41"/>
        <v>0.01</v>
      </c>
      <c r="L560">
        <f t="shared" si="42"/>
        <v>571.59630000000004</v>
      </c>
      <c r="M560" s="1">
        <f t="shared" si="43"/>
        <v>567.97</v>
      </c>
      <c r="N560" s="1" t="s">
        <v>10</v>
      </c>
      <c r="O560" s="1">
        <v>9.4</v>
      </c>
    </row>
    <row r="561" spans="4:15" x14ac:dyDescent="0.3">
      <c r="D561" s="1">
        <v>13027</v>
      </c>
      <c r="E561" s="2">
        <v>43479</v>
      </c>
      <c r="F561" s="1" t="s">
        <v>12</v>
      </c>
      <c r="G561" s="1">
        <v>42</v>
      </c>
      <c r="H561" t="str">
        <f t="shared" si="44"/>
        <v>XX Large</v>
      </c>
      <c r="I561" t="str">
        <f t="shared" si="40"/>
        <v>XX Large</v>
      </c>
      <c r="J561" s="1">
        <v>311.02999999999997</v>
      </c>
      <c r="K561">
        <f t="shared" si="41"/>
        <v>0.01</v>
      </c>
      <c r="L561">
        <f t="shared" si="42"/>
        <v>307.91969999999998</v>
      </c>
      <c r="M561" s="1">
        <f t="shared" si="43"/>
        <v>304.42999999999995</v>
      </c>
      <c r="N561" s="1" t="s">
        <v>10</v>
      </c>
      <c r="O561" s="1">
        <v>6.6</v>
      </c>
    </row>
    <row r="562" spans="4:15" x14ac:dyDescent="0.3">
      <c r="D562" s="1">
        <v>23585</v>
      </c>
      <c r="E562" s="2">
        <v>43769</v>
      </c>
      <c r="F562" s="1" t="s">
        <v>12</v>
      </c>
      <c r="G562" s="1">
        <v>44</v>
      </c>
      <c r="H562" t="str">
        <f t="shared" si="44"/>
        <v>XX Large</v>
      </c>
      <c r="I562" t="str">
        <f t="shared" si="40"/>
        <v>XX Large</v>
      </c>
      <c r="J562" s="1">
        <v>206.27</v>
      </c>
      <c r="K562">
        <f t="shared" si="41"/>
        <v>0.01</v>
      </c>
      <c r="L562">
        <f t="shared" si="42"/>
        <v>204.2073</v>
      </c>
      <c r="M562" s="1">
        <f t="shared" si="43"/>
        <v>204.57000000000002</v>
      </c>
      <c r="N562" s="1" t="s">
        <v>10</v>
      </c>
      <c r="O562" s="1">
        <v>1.7</v>
      </c>
    </row>
    <row r="563" spans="4:15" x14ac:dyDescent="0.3">
      <c r="D563" s="1">
        <v>4103</v>
      </c>
      <c r="E563" s="2">
        <v>43648</v>
      </c>
      <c r="F563" s="1" t="s">
        <v>7</v>
      </c>
      <c r="G563" s="1">
        <v>3</v>
      </c>
      <c r="H563" t="str">
        <f t="shared" si="44"/>
        <v>Mini</v>
      </c>
      <c r="I563" t="str">
        <f t="shared" si="40"/>
        <v>Mini</v>
      </c>
      <c r="J563" s="1">
        <v>45.48</v>
      </c>
      <c r="K563">
        <f t="shared" si="41"/>
        <v>0</v>
      </c>
      <c r="L563">
        <f t="shared" si="42"/>
        <v>45.48</v>
      </c>
      <c r="M563" s="1">
        <f t="shared" si="43"/>
        <v>45.48</v>
      </c>
      <c r="N563" s="1" t="s">
        <v>10</v>
      </c>
      <c r="O563" s="1">
        <v>9.6</v>
      </c>
    </row>
    <row r="564" spans="4:15" x14ac:dyDescent="0.3">
      <c r="D564" s="1">
        <v>27780</v>
      </c>
      <c r="E564" s="2">
        <v>43758</v>
      </c>
      <c r="F564" s="1" t="s">
        <v>12</v>
      </c>
      <c r="G564" s="1">
        <v>39</v>
      </c>
      <c r="H564" t="str">
        <f t="shared" si="44"/>
        <v>Extra Large</v>
      </c>
      <c r="I564" t="str">
        <f t="shared" si="40"/>
        <v>Extra Large</v>
      </c>
      <c r="J564" s="1">
        <v>158.05000000000001</v>
      </c>
      <c r="K564">
        <f t="shared" si="41"/>
        <v>0.01</v>
      </c>
      <c r="L564">
        <f t="shared" si="42"/>
        <v>156.46950000000001</v>
      </c>
      <c r="M564" s="1">
        <f t="shared" si="43"/>
        <v>156.65</v>
      </c>
      <c r="N564" s="1" t="s">
        <v>10</v>
      </c>
      <c r="O564" s="1">
        <v>1.4</v>
      </c>
    </row>
    <row r="565" spans="4:15" x14ac:dyDescent="0.3">
      <c r="D565" s="1">
        <v>24098</v>
      </c>
      <c r="E565" s="2">
        <v>43572</v>
      </c>
      <c r="F565" s="1" t="s">
        <v>12</v>
      </c>
      <c r="G565" s="1">
        <v>32</v>
      </c>
      <c r="H565" t="str">
        <f t="shared" si="44"/>
        <v>Large</v>
      </c>
      <c r="I565" t="str">
        <f t="shared" si="40"/>
        <v>Large</v>
      </c>
      <c r="J565" s="1">
        <v>4449.1400000000003</v>
      </c>
      <c r="K565">
        <f t="shared" si="41"/>
        <v>0</v>
      </c>
      <c r="L565">
        <f t="shared" si="42"/>
        <v>4449.1400000000003</v>
      </c>
      <c r="M565" s="1">
        <f t="shared" si="43"/>
        <v>4449.1400000000003</v>
      </c>
      <c r="N565" s="1" t="s">
        <v>10</v>
      </c>
      <c r="O565" s="1">
        <v>9.6</v>
      </c>
    </row>
    <row r="566" spans="4:15" x14ac:dyDescent="0.3">
      <c r="D566" s="1">
        <v>39168</v>
      </c>
      <c r="E566" s="2">
        <v>43602</v>
      </c>
      <c r="F566" s="1" t="s">
        <v>9</v>
      </c>
      <c r="G566" s="1">
        <v>50</v>
      </c>
      <c r="H566" t="str">
        <f t="shared" si="44"/>
        <v>XXX Large</v>
      </c>
      <c r="I566" t="str">
        <f t="shared" si="40"/>
        <v>XXX Large</v>
      </c>
      <c r="J566" s="1">
        <v>1099.5999999999999</v>
      </c>
      <c r="K566">
        <f t="shared" si="41"/>
        <v>0.01</v>
      </c>
      <c r="L566">
        <f t="shared" si="42"/>
        <v>1088.6039999999998</v>
      </c>
      <c r="M566" s="1">
        <f t="shared" si="43"/>
        <v>1090.3</v>
      </c>
      <c r="N566" s="1" t="s">
        <v>10</v>
      </c>
      <c r="O566" s="1">
        <v>9.3000000000000007</v>
      </c>
    </row>
    <row r="567" spans="4:15" x14ac:dyDescent="0.3">
      <c r="D567" s="1">
        <v>55683</v>
      </c>
      <c r="E567" s="2">
        <v>43661</v>
      </c>
      <c r="F567" s="1" t="s">
        <v>9</v>
      </c>
      <c r="G567" s="1">
        <v>23</v>
      </c>
      <c r="H567" t="str">
        <f t="shared" si="44"/>
        <v>Medium</v>
      </c>
      <c r="I567" t="str">
        <f t="shared" si="40"/>
        <v>Medium</v>
      </c>
      <c r="J567" s="1">
        <v>1281.97</v>
      </c>
      <c r="K567">
        <f t="shared" si="41"/>
        <v>0</v>
      </c>
      <c r="L567">
        <f t="shared" si="42"/>
        <v>1281.97</v>
      </c>
      <c r="M567" s="1">
        <f t="shared" si="43"/>
        <v>1281.97</v>
      </c>
      <c r="N567" s="1" t="s">
        <v>10</v>
      </c>
      <c r="O567" s="1">
        <v>21.4</v>
      </c>
    </row>
    <row r="568" spans="4:15" x14ac:dyDescent="0.3">
      <c r="D568" s="1">
        <v>35392</v>
      </c>
      <c r="E568" s="2">
        <v>43518</v>
      </c>
      <c r="F568" s="1" t="s">
        <v>9</v>
      </c>
      <c r="G568" s="1">
        <v>9</v>
      </c>
      <c r="H568" t="str">
        <f t="shared" si="44"/>
        <v>Extra Small</v>
      </c>
      <c r="I568" t="str">
        <f t="shared" si="40"/>
        <v>Extra Small</v>
      </c>
      <c r="J568" s="1">
        <v>75.8416</v>
      </c>
      <c r="K568">
        <f t="shared" si="41"/>
        <v>0</v>
      </c>
      <c r="L568">
        <f t="shared" si="42"/>
        <v>75.8416</v>
      </c>
      <c r="M568" s="1">
        <f t="shared" si="43"/>
        <v>75.8416</v>
      </c>
      <c r="N568" s="1" t="s">
        <v>10</v>
      </c>
      <c r="O568" s="1">
        <v>10.4</v>
      </c>
    </row>
    <row r="569" spans="4:15" x14ac:dyDescent="0.3">
      <c r="D569" s="1">
        <v>4800</v>
      </c>
      <c r="E569" s="2">
        <v>43469</v>
      </c>
      <c r="F569" s="1" t="s">
        <v>7</v>
      </c>
      <c r="G569" s="1">
        <v>4</v>
      </c>
      <c r="H569" t="str">
        <f t="shared" si="44"/>
        <v>Mini</v>
      </c>
      <c r="I569" t="str">
        <f t="shared" si="40"/>
        <v>Mini</v>
      </c>
      <c r="J569" s="1">
        <v>44.88</v>
      </c>
      <c r="K569">
        <f t="shared" si="41"/>
        <v>0</v>
      </c>
      <c r="L569">
        <f t="shared" si="42"/>
        <v>44.88</v>
      </c>
      <c r="M569" s="1">
        <f t="shared" si="43"/>
        <v>44.88</v>
      </c>
      <c r="N569" s="1" t="s">
        <v>10</v>
      </c>
      <c r="O569" s="1">
        <v>9.6</v>
      </c>
    </row>
    <row r="570" spans="4:15" x14ac:dyDescent="0.3">
      <c r="D570" s="1">
        <v>52197</v>
      </c>
      <c r="E570" s="2">
        <v>43681</v>
      </c>
      <c r="F570" s="1" t="s">
        <v>12</v>
      </c>
      <c r="G570" s="1">
        <v>6</v>
      </c>
      <c r="H570" t="str">
        <f t="shared" si="44"/>
        <v>Extra Small</v>
      </c>
      <c r="I570" t="str">
        <f t="shared" si="40"/>
        <v>Extra Small</v>
      </c>
      <c r="J570" s="1">
        <v>403.42</v>
      </c>
      <c r="K570">
        <f t="shared" si="41"/>
        <v>0</v>
      </c>
      <c r="L570">
        <f t="shared" si="42"/>
        <v>403.42</v>
      </c>
      <c r="M570" s="1">
        <f t="shared" si="43"/>
        <v>403.42</v>
      </c>
      <c r="N570" s="1" t="s">
        <v>10</v>
      </c>
      <c r="O570" s="1">
        <v>7.4</v>
      </c>
    </row>
    <row r="571" spans="4:15" x14ac:dyDescent="0.3">
      <c r="D571" s="1">
        <v>32165</v>
      </c>
      <c r="E571" s="2">
        <v>43752</v>
      </c>
      <c r="F571" s="1" t="s">
        <v>11</v>
      </c>
      <c r="G571" s="1">
        <v>38</v>
      </c>
      <c r="H571" t="str">
        <f t="shared" si="44"/>
        <v>Extra Large</v>
      </c>
      <c r="I571" t="str">
        <f t="shared" si="40"/>
        <v>Extra Large</v>
      </c>
      <c r="J571" s="1">
        <v>3145.46</v>
      </c>
      <c r="K571">
        <f t="shared" si="41"/>
        <v>0.01</v>
      </c>
      <c r="L571">
        <f t="shared" si="42"/>
        <v>3114.0054</v>
      </c>
      <c r="M571" s="1">
        <f t="shared" si="43"/>
        <v>3144.36</v>
      </c>
      <c r="N571" s="1" t="s">
        <v>10</v>
      </c>
      <c r="O571" s="1">
        <v>1.1000000000000001</v>
      </c>
    </row>
    <row r="572" spans="4:15" x14ac:dyDescent="0.3">
      <c r="D572" s="1">
        <v>52995</v>
      </c>
      <c r="E572" s="2">
        <v>43539</v>
      </c>
      <c r="F572" s="1" t="s">
        <v>11</v>
      </c>
      <c r="G572" s="1">
        <v>8</v>
      </c>
      <c r="H572" t="str">
        <f t="shared" si="44"/>
        <v>Extra Small</v>
      </c>
      <c r="I572" t="str">
        <f t="shared" si="40"/>
        <v>Extra Small</v>
      </c>
      <c r="J572" s="1">
        <v>35.729999999999997</v>
      </c>
      <c r="K572">
        <f t="shared" si="41"/>
        <v>0</v>
      </c>
      <c r="L572">
        <f t="shared" si="42"/>
        <v>35.729999999999997</v>
      </c>
      <c r="M572" s="1">
        <f t="shared" si="43"/>
        <v>35.729999999999997</v>
      </c>
      <c r="N572" s="1" t="s">
        <v>10</v>
      </c>
      <c r="O572" s="1">
        <v>6.7</v>
      </c>
    </row>
    <row r="573" spans="4:15" x14ac:dyDescent="0.3">
      <c r="D573" s="1">
        <v>2848</v>
      </c>
      <c r="E573" s="2">
        <v>43533</v>
      </c>
      <c r="F573" s="1" t="s">
        <v>12</v>
      </c>
      <c r="G573" s="1">
        <v>35</v>
      </c>
      <c r="H573" t="str">
        <f t="shared" si="44"/>
        <v>Large</v>
      </c>
      <c r="I573" t="str">
        <f t="shared" si="40"/>
        <v>Large</v>
      </c>
      <c r="J573" s="1">
        <v>1579.74</v>
      </c>
      <c r="K573">
        <f t="shared" si="41"/>
        <v>0</v>
      </c>
      <c r="L573">
        <f t="shared" si="42"/>
        <v>1579.74</v>
      </c>
      <c r="M573" s="1">
        <f t="shared" si="43"/>
        <v>1579.74</v>
      </c>
      <c r="N573" s="1" t="s">
        <v>8</v>
      </c>
      <c r="O573" s="1">
        <v>17</v>
      </c>
    </row>
    <row r="574" spans="4:15" x14ac:dyDescent="0.3">
      <c r="D574" s="1">
        <v>17216</v>
      </c>
      <c r="E574" s="2">
        <v>43612</v>
      </c>
      <c r="F574" s="1" t="s">
        <v>14</v>
      </c>
      <c r="G574" s="1">
        <v>7</v>
      </c>
      <c r="H574" t="str">
        <f t="shared" si="44"/>
        <v>Extra Small</v>
      </c>
      <c r="I574" t="str">
        <f t="shared" si="40"/>
        <v>Extra Small</v>
      </c>
      <c r="J574" s="1">
        <v>2392.69</v>
      </c>
      <c r="K574">
        <f t="shared" si="41"/>
        <v>0</v>
      </c>
      <c r="L574">
        <f t="shared" si="42"/>
        <v>2392.69</v>
      </c>
      <c r="M574" s="1">
        <f t="shared" si="43"/>
        <v>2392.69</v>
      </c>
      <c r="N574" s="1" t="s">
        <v>13</v>
      </c>
      <c r="O574" s="1">
        <v>63.1</v>
      </c>
    </row>
    <row r="575" spans="4:15" x14ac:dyDescent="0.3">
      <c r="D575" s="1">
        <v>42177</v>
      </c>
      <c r="E575" s="2">
        <v>43615</v>
      </c>
      <c r="F575" s="1" t="s">
        <v>11</v>
      </c>
      <c r="G575" s="1">
        <v>38</v>
      </c>
      <c r="H575" t="str">
        <f t="shared" si="44"/>
        <v>Extra Large</v>
      </c>
      <c r="I575" t="str">
        <f t="shared" si="40"/>
        <v>Extra Large</v>
      </c>
      <c r="J575" s="1">
        <v>423.55</v>
      </c>
      <c r="K575">
        <f t="shared" si="41"/>
        <v>0.01</v>
      </c>
      <c r="L575">
        <f t="shared" si="42"/>
        <v>419.31450000000001</v>
      </c>
      <c r="M575" s="1">
        <f t="shared" si="43"/>
        <v>417.15000000000003</v>
      </c>
      <c r="N575" s="1" t="s">
        <v>10</v>
      </c>
      <c r="O575" s="1">
        <v>6.4</v>
      </c>
    </row>
    <row r="576" spans="4:15" x14ac:dyDescent="0.3">
      <c r="D576" s="1">
        <v>32871</v>
      </c>
      <c r="E576" s="2">
        <v>43764</v>
      </c>
      <c r="F576" s="1" t="s">
        <v>9</v>
      </c>
      <c r="G576" s="1">
        <v>9</v>
      </c>
      <c r="H576" t="str">
        <f t="shared" si="44"/>
        <v>Extra Small</v>
      </c>
      <c r="I576" t="str">
        <f t="shared" si="40"/>
        <v>Extra Small</v>
      </c>
      <c r="J576" s="1">
        <v>115.47</v>
      </c>
      <c r="K576">
        <f t="shared" si="41"/>
        <v>0</v>
      </c>
      <c r="L576">
        <f t="shared" si="42"/>
        <v>115.47</v>
      </c>
      <c r="M576" s="1">
        <f t="shared" si="43"/>
        <v>115.47</v>
      </c>
      <c r="N576" s="1" t="s">
        <v>10</v>
      </c>
      <c r="O576" s="1">
        <v>7</v>
      </c>
    </row>
    <row r="577" spans="4:15" x14ac:dyDescent="0.3">
      <c r="D577" s="1">
        <v>46023</v>
      </c>
      <c r="E577" s="2">
        <v>43548</v>
      </c>
      <c r="F577" s="1" t="s">
        <v>11</v>
      </c>
      <c r="G577" s="1">
        <v>50</v>
      </c>
      <c r="H577" t="str">
        <f t="shared" si="44"/>
        <v>XXX Large</v>
      </c>
      <c r="I577" t="str">
        <f t="shared" si="40"/>
        <v>XXX Large</v>
      </c>
      <c r="J577" s="1">
        <v>1178.8832</v>
      </c>
      <c r="K577">
        <f t="shared" si="41"/>
        <v>0.01</v>
      </c>
      <c r="L577">
        <f t="shared" si="42"/>
        <v>1167.094368</v>
      </c>
      <c r="M577" s="1">
        <f t="shared" si="43"/>
        <v>1163.8832</v>
      </c>
      <c r="N577" s="1" t="s">
        <v>10</v>
      </c>
      <c r="O577" s="1">
        <v>15</v>
      </c>
    </row>
    <row r="578" spans="4:15" x14ac:dyDescent="0.3">
      <c r="D578" s="1">
        <v>17698</v>
      </c>
      <c r="E578" s="2">
        <v>43598</v>
      </c>
      <c r="F578" s="1" t="s">
        <v>9</v>
      </c>
      <c r="G578" s="1">
        <v>22</v>
      </c>
      <c r="H578" t="str">
        <f t="shared" si="44"/>
        <v>Medium</v>
      </c>
      <c r="I578" t="str">
        <f t="shared" si="40"/>
        <v>Medium</v>
      </c>
      <c r="J578" s="1">
        <v>1196.53</v>
      </c>
      <c r="K578">
        <f t="shared" si="41"/>
        <v>0</v>
      </c>
      <c r="L578">
        <f t="shared" si="42"/>
        <v>1196.53</v>
      </c>
      <c r="M578" s="1">
        <f t="shared" si="43"/>
        <v>1196.53</v>
      </c>
      <c r="N578" s="1" t="s">
        <v>10</v>
      </c>
      <c r="O578" s="1">
        <v>9.6</v>
      </c>
    </row>
    <row r="579" spans="4:15" x14ac:dyDescent="0.3">
      <c r="D579" s="1">
        <v>40772</v>
      </c>
      <c r="E579" s="2">
        <v>43508</v>
      </c>
      <c r="F579" s="1" t="s">
        <v>12</v>
      </c>
      <c r="G579" s="1">
        <v>15</v>
      </c>
      <c r="H579" t="str">
        <f t="shared" si="44"/>
        <v>Small</v>
      </c>
      <c r="I579" t="str">
        <f t="shared" ref="I579:I642" si="45">VLOOKUP(G579, $A$3:$B$12, 2, TRUE)</f>
        <v>Small</v>
      </c>
      <c r="J579" s="1">
        <v>137.25</v>
      </c>
      <c r="K579">
        <f t="shared" ref="K579:K642" si="46">IF(OR(I579="Extra Large", I579="XX Large", I579="XXX Large"), 0.01, 0)</f>
        <v>0</v>
      </c>
      <c r="L579">
        <f t="shared" ref="L579:L642" si="47">J579 * (1 - K579)</f>
        <v>137.25</v>
      </c>
      <c r="M579" s="1">
        <f t="shared" ref="M579:M642" si="48">IF(OR(I579="Extra Large",I579="XX Large",I579="XXX Large"),J579-O579,J579)</f>
        <v>137.25</v>
      </c>
      <c r="N579" s="1" t="s">
        <v>10</v>
      </c>
      <c r="O579" s="1">
        <v>3</v>
      </c>
    </row>
    <row r="580" spans="4:15" x14ac:dyDescent="0.3">
      <c r="D580" s="1">
        <v>36709</v>
      </c>
      <c r="E580" s="2">
        <v>43700</v>
      </c>
      <c r="F580" s="1" t="s">
        <v>12</v>
      </c>
      <c r="G580" s="1">
        <v>42</v>
      </c>
      <c r="H580" t="str">
        <f t="shared" si="44"/>
        <v>XX Large</v>
      </c>
      <c r="I580" t="str">
        <f t="shared" si="45"/>
        <v>XX Large</v>
      </c>
      <c r="J580" s="1">
        <v>2402.89</v>
      </c>
      <c r="K580">
        <f t="shared" si="46"/>
        <v>0.01</v>
      </c>
      <c r="L580">
        <f t="shared" si="47"/>
        <v>2378.8611000000001</v>
      </c>
      <c r="M580" s="1">
        <f t="shared" si="48"/>
        <v>2393.29</v>
      </c>
      <c r="N580" s="1" t="s">
        <v>10</v>
      </c>
      <c r="O580" s="1">
        <v>9.6</v>
      </c>
    </row>
    <row r="581" spans="4:15" x14ac:dyDescent="0.3">
      <c r="D581" s="1">
        <v>13984</v>
      </c>
      <c r="E581" s="2">
        <v>43732</v>
      </c>
      <c r="F581" s="1" t="s">
        <v>12</v>
      </c>
      <c r="G581" s="1">
        <v>30</v>
      </c>
      <c r="H581" t="str">
        <f t="shared" ref="H581:H644" si="49">VLOOKUP(G581, $A$3:$B$12, 2, TRUE)</f>
        <v>Medium-Large</v>
      </c>
      <c r="I581" t="str">
        <f t="shared" si="45"/>
        <v>Medium-Large</v>
      </c>
      <c r="J581" s="1">
        <v>2196.52</v>
      </c>
      <c r="K581">
        <f t="shared" si="46"/>
        <v>0</v>
      </c>
      <c r="L581">
        <f t="shared" si="47"/>
        <v>2196.52</v>
      </c>
      <c r="M581" s="1">
        <f t="shared" si="48"/>
        <v>2196.52</v>
      </c>
      <c r="N581" s="1" t="s">
        <v>10</v>
      </c>
      <c r="O581" s="1">
        <v>40.200000000000003</v>
      </c>
    </row>
    <row r="582" spans="4:15" x14ac:dyDescent="0.3">
      <c r="D582" s="1">
        <v>51205</v>
      </c>
      <c r="E582" s="2">
        <v>43809</v>
      </c>
      <c r="F582" s="1" t="s">
        <v>9</v>
      </c>
      <c r="G582" s="1">
        <v>17</v>
      </c>
      <c r="H582" t="str">
        <f t="shared" si="49"/>
        <v>Small-Medium</v>
      </c>
      <c r="I582" t="str">
        <f t="shared" si="45"/>
        <v>Small-Medium</v>
      </c>
      <c r="J582" s="1">
        <v>249.32</v>
      </c>
      <c r="K582">
        <f t="shared" si="46"/>
        <v>0</v>
      </c>
      <c r="L582">
        <f t="shared" si="47"/>
        <v>249.32</v>
      </c>
      <c r="M582" s="1">
        <f t="shared" si="48"/>
        <v>249.32</v>
      </c>
      <c r="N582" s="1" t="s">
        <v>8</v>
      </c>
      <c r="O582" s="1">
        <v>1.6</v>
      </c>
    </row>
    <row r="583" spans="4:15" x14ac:dyDescent="0.3">
      <c r="D583" s="1">
        <v>50849</v>
      </c>
      <c r="E583" s="2">
        <v>43742</v>
      </c>
      <c r="F583" s="1" t="s">
        <v>7</v>
      </c>
      <c r="G583" s="1">
        <v>47</v>
      </c>
      <c r="H583" t="str">
        <f t="shared" si="49"/>
        <v>XXX Large</v>
      </c>
      <c r="I583" t="str">
        <f t="shared" si="45"/>
        <v>XXX Large</v>
      </c>
      <c r="J583" s="1">
        <v>328.89</v>
      </c>
      <c r="K583">
        <f t="shared" si="46"/>
        <v>0.01</v>
      </c>
      <c r="L583">
        <f t="shared" si="47"/>
        <v>325.60109999999997</v>
      </c>
      <c r="M583" s="1">
        <f t="shared" si="48"/>
        <v>319.08999999999997</v>
      </c>
      <c r="N583" s="1" t="s">
        <v>8</v>
      </c>
      <c r="O583" s="1">
        <v>9.8000000000000007</v>
      </c>
    </row>
    <row r="584" spans="4:15" x14ac:dyDescent="0.3">
      <c r="D584" s="1">
        <v>5601</v>
      </c>
      <c r="E584" s="2">
        <v>43469</v>
      </c>
      <c r="F584" s="1" t="s">
        <v>9</v>
      </c>
      <c r="G584" s="1">
        <v>10</v>
      </c>
      <c r="H584" t="str">
        <f t="shared" si="49"/>
        <v>Extra Small</v>
      </c>
      <c r="I584" t="str">
        <f t="shared" si="45"/>
        <v>Extra Small</v>
      </c>
      <c r="J584" s="1">
        <v>128.97</v>
      </c>
      <c r="K584">
        <f t="shared" si="46"/>
        <v>0</v>
      </c>
      <c r="L584">
        <f t="shared" si="47"/>
        <v>128.97</v>
      </c>
      <c r="M584" s="1">
        <f t="shared" si="48"/>
        <v>128.97</v>
      </c>
      <c r="N584" s="1" t="s">
        <v>10</v>
      </c>
      <c r="O584" s="1">
        <v>3</v>
      </c>
    </row>
    <row r="585" spans="4:15" x14ac:dyDescent="0.3">
      <c r="D585" s="1">
        <v>37798</v>
      </c>
      <c r="E585" s="2">
        <v>43773</v>
      </c>
      <c r="F585" s="1" t="s">
        <v>9</v>
      </c>
      <c r="G585" s="1">
        <v>23</v>
      </c>
      <c r="H585" t="str">
        <f t="shared" si="49"/>
        <v>Medium</v>
      </c>
      <c r="I585" t="str">
        <f t="shared" si="45"/>
        <v>Medium</v>
      </c>
      <c r="J585" s="1">
        <v>6716.21</v>
      </c>
      <c r="K585">
        <f t="shared" si="46"/>
        <v>0</v>
      </c>
      <c r="L585">
        <f t="shared" si="47"/>
        <v>6716.21</v>
      </c>
      <c r="M585" s="1">
        <f t="shared" si="48"/>
        <v>6716.21</v>
      </c>
      <c r="N585" s="1" t="s">
        <v>13</v>
      </c>
      <c r="O585" s="1">
        <v>52.2</v>
      </c>
    </row>
    <row r="586" spans="4:15" x14ac:dyDescent="0.3">
      <c r="D586" s="1">
        <v>9602</v>
      </c>
      <c r="E586" s="2">
        <v>43779</v>
      </c>
      <c r="F586" s="1" t="s">
        <v>12</v>
      </c>
      <c r="G586" s="1">
        <v>27</v>
      </c>
      <c r="H586" t="str">
        <f t="shared" si="49"/>
        <v>Medium-Large</v>
      </c>
      <c r="I586" t="str">
        <f t="shared" si="45"/>
        <v>Medium-Large</v>
      </c>
      <c r="J586" s="1">
        <v>2839.95</v>
      </c>
      <c r="K586">
        <f t="shared" si="46"/>
        <v>0</v>
      </c>
      <c r="L586">
        <f t="shared" si="47"/>
        <v>2839.95</v>
      </c>
      <c r="M586" s="1">
        <f t="shared" si="48"/>
        <v>2839.95</v>
      </c>
      <c r="N586" s="1" t="s">
        <v>13</v>
      </c>
      <c r="O586" s="1">
        <v>30</v>
      </c>
    </row>
    <row r="587" spans="4:15" x14ac:dyDescent="0.3">
      <c r="D587" s="1">
        <v>39813</v>
      </c>
      <c r="E587" s="2">
        <v>43497</v>
      </c>
      <c r="F587" s="1" t="s">
        <v>12</v>
      </c>
      <c r="G587" s="1">
        <v>48</v>
      </c>
      <c r="H587" t="str">
        <f t="shared" si="49"/>
        <v>XXX Large</v>
      </c>
      <c r="I587" t="str">
        <f t="shared" si="45"/>
        <v>XXX Large</v>
      </c>
      <c r="J587" s="1">
        <v>336.34</v>
      </c>
      <c r="K587">
        <f t="shared" si="46"/>
        <v>0.01</v>
      </c>
      <c r="L587">
        <f t="shared" si="47"/>
        <v>332.97659999999996</v>
      </c>
      <c r="M587" s="1">
        <f t="shared" si="48"/>
        <v>329.23999999999995</v>
      </c>
      <c r="N587" s="1" t="s">
        <v>10</v>
      </c>
      <c r="O587" s="1">
        <v>7.1</v>
      </c>
    </row>
    <row r="588" spans="4:15" x14ac:dyDescent="0.3">
      <c r="D588" s="1">
        <v>32327</v>
      </c>
      <c r="E588" s="2">
        <v>43684</v>
      </c>
      <c r="F588" s="1" t="s">
        <v>7</v>
      </c>
      <c r="G588" s="1">
        <v>45</v>
      </c>
      <c r="H588" t="str">
        <f t="shared" si="49"/>
        <v>XX Large</v>
      </c>
      <c r="I588" t="str">
        <f t="shared" si="45"/>
        <v>XX Large</v>
      </c>
      <c r="J588" s="1">
        <v>21757.18</v>
      </c>
      <c r="K588">
        <f t="shared" si="46"/>
        <v>0.01</v>
      </c>
      <c r="L588">
        <f t="shared" si="47"/>
        <v>21539.608199999999</v>
      </c>
      <c r="M588" s="1">
        <f t="shared" si="48"/>
        <v>21599.78</v>
      </c>
      <c r="N588" s="1" t="s">
        <v>13</v>
      </c>
      <c r="O588" s="1">
        <v>157.4</v>
      </c>
    </row>
    <row r="589" spans="4:15" x14ac:dyDescent="0.3">
      <c r="D589" s="1">
        <v>6500</v>
      </c>
      <c r="E589" s="2">
        <v>43750</v>
      </c>
      <c r="F589" s="1" t="s">
        <v>12</v>
      </c>
      <c r="G589" s="1">
        <v>15</v>
      </c>
      <c r="H589" t="str">
        <f t="shared" si="49"/>
        <v>Small</v>
      </c>
      <c r="I589" t="str">
        <f t="shared" si="45"/>
        <v>Small</v>
      </c>
      <c r="J589" s="1">
        <v>479.43</v>
      </c>
      <c r="K589">
        <f t="shared" si="46"/>
        <v>0</v>
      </c>
      <c r="L589">
        <f t="shared" si="47"/>
        <v>479.43</v>
      </c>
      <c r="M589" s="1">
        <f t="shared" si="48"/>
        <v>479.43</v>
      </c>
      <c r="N589" s="1" t="s">
        <v>10</v>
      </c>
      <c r="O589" s="1">
        <v>9.3000000000000007</v>
      </c>
    </row>
    <row r="590" spans="4:15" x14ac:dyDescent="0.3">
      <c r="D590" s="1">
        <v>33956</v>
      </c>
      <c r="E590" s="2">
        <v>43483</v>
      </c>
      <c r="F590" s="1" t="s">
        <v>7</v>
      </c>
      <c r="G590" s="1">
        <v>13</v>
      </c>
      <c r="H590" t="str">
        <f t="shared" si="49"/>
        <v>Small</v>
      </c>
      <c r="I590" t="str">
        <f t="shared" si="45"/>
        <v>Small</v>
      </c>
      <c r="J590" s="1">
        <v>117.25</v>
      </c>
      <c r="K590">
        <f t="shared" si="46"/>
        <v>0</v>
      </c>
      <c r="L590">
        <f t="shared" si="47"/>
        <v>117.25</v>
      </c>
      <c r="M590" s="1">
        <f t="shared" si="48"/>
        <v>117.25</v>
      </c>
      <c r="N590" s="1" t="s">
        <v>10</v>
      </c>
      <c r="O590" s="1">
        <v>4.3</v>
      </c>
    </row>
    <row r="591" spans="4:15" x14ac:dyDescent="0.3">
      <c r="D591" s="1">
        <v>25348</v>
      </c>
      <c r="E591" s="2">
        <v>43594</v>
      </c>
      <c r="F591" s="1" t="s">
        <v>12</v>
      </c>
      <c r="G591" s="1">
        <v>6</v>
      </c>
      <c r="H591" t="str">
        <f t="shared" si="49"/>
        <v>Extra Small</v>
      </c>
      <c r="I591" t="str">
        <f t="shared" si="45"/>
        <v>Extra Small</v>
      </c>
      <c r="J591" s="1">
        <v>367.4</v>
      </c>
      <c r="K591">
        <f t="shared" si="46"/>
        <v>0</v>
      </c>
      <c r="L591">
        <f t="shared" si="47"/>
        <v>367.4</v>
      </c>
      <c r="M591" s="1">
        <f t="shared" si="48"/>
        <v>367.4</v>
      </c>
      <c r="N591" s="1" t="s">
        <v>10</v>
      </c>
      <c r="O591" s="1">
        <v>14.1</v>
      </c>
    </row>
    <row r="592" spans="4:15" x14ac:dyDescent="0.3">
      <c r="D592" s="1">
        <v>59781</v>
      </c>
      <c r="E592" s="2">
        <v>43811</v>
      </c>
      <c r="F592" s="1" t="s">
        <v>11</v>
      </c>
      <c r="G592" s="1">
        <v>28</v>
      </c>
      <c r="H592" t="str">
        <f t="shared" si="49"/>
        <v>Medium-Large</v>
      </c>
      <c r="I592" t="str">
        <f t="shared" si="45"/>
        <v>Medium-Large</v>
      </c>
      <c r="J592" s="1">
        <v>26098.54</v>
      </c>
      <c r="K592">
        <f t="shared" si="46"/>
        <v>0</v>
      </c>
      <c r="L592">
        <f t="shared" si="47"/>
        <v>26098.54</v>
      </c>
      <c r="M592" s="1">
        <f t="shared" si="48"/>
        <v>26098.54</v>
      </c>
      <c r="N592" s="1" t="s">
        <v>13</v>
      </c>
      <c r="O592" s="1">
        <v>47.7</v>
      </c>
    </row>
    <row r="593" spans="4:15" x14ac:dyDescent="0.3">
      <c r="D593" s="1">
        <v>28934</v>
      </c>
      <c r="E593" s="2">
        <v>43797</v>
      </c>
      <c r="F593" s="1" t="s">
        <v>14</v>
      </c>
      <c r="G593" s="1">
        <v>26</v>
      </c>
      <c r="H593" t="str">
        <f t="shared" si="49"/>
        <v>Medium-Large</v>
      </c>
      <c r="I593" t="str">
        <f t="shared" si="45"/>
        <v>Medium-Large</v>
      </c>
      <c r="J593" s="1">
        <v>4280.37</v>
      </c>
      <c r="K593">
        <f t="shared" si="46"/>
        <v>0</v>
      </c>
      <c r="L593">
        <f t="shared" si="47"/>
        <v>4280.37</v>
      </c>
      <c r="M593" s="1">
        <f t="shared" si="48"/>
        <v>4280.37</v>
      </c>
      <c r="N593" s="1" t="s">
        <v>13</v>
      </c>
      <c r="O593" s="1">
        <v>32.1</v>
      </c>
    </row>
    <row r="594" spans="4:15" x14ac:dyDescent="0.3">
      <c r="D594" s="1">
        <v>19718</v>
      </c>
      <c r="E594" s="2">
        <v>43640</v>
      </c>
      <c r="F594" s="1" t="s">
        <v>7</v>
      </c>
      <c r="G594" s="1">
        <v>6</v>
      </c>
      <c r="H594" t="str">
        <f t="shared" si="49"/>
        <v>Extra Small</v>
      </c>
      <c r="I594" t="str">
        <f t="shared" si="45"/>
        <v>Extra Small</v>
      </c>
      <c r="J594" s="1">
        <v>96.03</v>
      </c>
      <c r="K594">
        <f t="shared" si="46"/>
        <v>0</v>
      </c>
      <c r="L594">
        <f t="shared" si="47"/>
        <v>96.03</v>
      </c>
      <c r="M594" s="1">
        <f t="shared" si="48"/>
        <v>96.03</v>
      </c>
      <c r="N594" s="1" t="s">
        <v>10</v>
      </c>
      <c r="O594" s="1">
        <v>8</v>
      </c>
    </row>
    <row r="595" spans="4:15" x14ac:dyDescent="0.3">
      <c r="D595" s="1">
        <v>41056</v>
      </c>
      <c r="E595" s="2">
        <v>43550</v>
      </c>
      <c r="F595" s="1" t="s">
        <v>12</v>
      </c>
      <c r="G595" s="1">
        <v>4</v>
      </c>
      <c r="H595" t="str">
        <f t="shared" si="49"/>
        <v>Mini</v>
      </c>
      <c r="I595" t="str">
        <f t="shared" si="45"/>
        <v>Mini</v>
      </c>
      <c r="J595" s="1">
        <v>147.16999999999999</v>
      </c>
      <c r="K595">
        <f t="shared" si="46"/>
        <v>0</v>
      </c>
      <c r="L595">
        <f t="shared" si="47"/>
        <v>147.16999999999999</v>
      </c>
      <c r="M595" s="1">
        <f t="shared" si="48"/>
        <v>147.16999999999999</v>
      </c>
      <c r="N595" s="1" t="s">
        <v>10</v>
      </c>
      <c r="O595" s="1">
        <v>8.1</v>
      </c>
    </row>
    <row r="596" spans="4:15" x14ac:dyDescent="0.3">
      <c r="D596" s="1">
        <v>32356</v>
      </c>
      <c r="E596" s="2">
        <v>43748</v>
      </c>
      <c r="F596" s="1" t="s">
        <v>11</v>
      </c>
      <c r="G596" s="1">
        <v>47</v>
      </c>
      <c r="H596" t="str">
        <f t="shared" si="49"/>
        <v>XXX Large</v>
      </c>
      <c r="I596" t="str">
        <f t="shared" si="45"/>
        <v>XXX Large</v>
      </c>
      <c r="J596" s="1">
        <v>5604.87</v>
      </c>
      <c r="K596">
        <f t="shared" si="46"/>
        <v>0.01</v>
      </c>
      <c r="L596">
        <f t="shared" si="47"/>
        <v>5548.8212999999996</v>
      </c>
      <c r="M596" s="1">
        <f t="shared" si="48"/>
        <v>5555.47</v>
      </c>
      <c r="N596" s="1" t="s">
        <v>13</v>
      </c>
      <c r="O596" s="1">
        <v>49.4</v>
      </c>
    </row>
    <row r="597" spans="4:15" x14ac:dyDescent="0.3">
      <c r="D597" s="1">
        <v>49602</v>
      </c>
      <c r="E597" s="2">
        <v>43532</v>
      </c>
      <c r="F597" s="1" t="s">
        <v>11</v>
      </c>
      <c r="G597" s="1">
        <v>31</v>
      </c>
      <c r="H597" t="str">
        <f t="shared" si="49"/>
        <v>Large</v>
      </c>
      <c r="I597" t="str">
        <f t="shared" si="45"/>
        <v>Large</v>
      </c>
      <c r="J597" s="1">
        <v>5220.1400000000003</v>
      </c>
      <c r="K597">
        <f t="shared" si="46"/>
        <v>0</v>
      </c>
      <c r="L597">
        <f t="shared" si="47"/>
        <v>5220.1400000000003</v>
      </c>
      <c r="M597" s="1">
        <f t="shared" si="48"/>
        <v>5220.1400000000003</v>
      </c>
      <c r="N597" s="1" t="s">
        <v>13</v>
      </c>
      <c r="O597" s="1">
        <v>70.900000000000006</v>
      </c>
    </row>
    <row r="598" spans="4:15" x14ac:dyDescent="0.3">
      <c r="D598" s="1">
        <v>4162</v>
      </c>
      <c r="E598" s="2">
        <v>43504</v>
      </c>
      <c r="F598" s="1" t="s">
        <v>7</v>
      </c>
      <c r="G598" s="1">
        <v>2</v>
      </c>
      <c r="H598" t="str">
        <f t="shared" si="49"/>
        <v>Mini</v>
      </c>
      <c r="I598" t="str">
        <f t="shared" si="45"/>
        <v>Mini</v>
      </c>
      <c r="J598" s="1">
        <v>408.31</v>
      </c>
      <c r="K598">
        <f t="shared" si="46"/>
        <v>0</v>
      </c>
      <c r="L598">
        <f t="shared" si="47"/>
        <v>408.31</v>
      </c>
      <c r="M598" s="1">
        <f t="shared" si="48"/>
        <v>408.31</v>
      </c>
      <c r="N598" s="1" t="s">
        <v>10</v>
      </c>
      <c r="O598" s="1">
        <v>21.4</v>
      </c>
    </row>
    <row r="599" spans="4:15" x14ac:dyDescent="0.3">
      <c r="D599" s="1">
        <v>3205</v>
      </c>
      <c r="E599" s="2">
        <v>43565</v>
      </c>
      <c r="F599" s="1" t="s">
        <v>7</v>
      </c>
      <c r="G599" s="1">
        <v>8</v>
      </c>
      <c r="H599" t="str">
        <f t="shared" si="49"/>
        <v>Extra Small</v>
      </c>
      <c r="I599" t="str">
        <f t="shared" si="45"/>
        <v>Extra Small</v>
      </c>
      <c r="J599" s="1">
        <v>146.16999999999999</v>
      </c>
      <c r="K599">
        <f t="shared" si="46"/>
        <v>0</v>
      </c>
      <c r="L599">
        <f t="shared" si="47"/>
        <v>146.16999999999999</v>
      </c>
      <c r="M599" s="1">
        <f t="shared" si="48"/>
        <v>146.16999999999999</v>
      </c>
      <c r="N599" s="1" t="s">
        <v>10</v>
      </c>
      <c r="O599" s="1">
        <v>4</v>
      </c>
    </row>
    <row r="600" spans="4:15" x14ac:dyDescent="0.3">
      <c r="D600" s="1">
        <v>31586</v>
      </c>
      <c r="E600" s="2">
        <v>43545</v>
      </c>
      <c r="F600" s="1" t="s">
        <v>7</v>
      </c>
      <c r="G600" s="1">
        <v>25</v>
      </c>
      <c r="H600" t="str">
        <f t="shared" si="49"/>
        <v>Medium</v>
      </c>
      <c r="I600" t="str">
        <f t="shared" si="45"/>
        <v>Medium</v>
      </c>
      <c r="J600" s="1">
        <v>4697.3310000000001</v>
      </c>
      <c r="K600">
        <f t="shared" si="46"/>
        <v>0</v>
      </c>
      <c r="L600">
        <f t="shared" si="47"/>
        <v>4697.3310000000001</v>
      </c>
      <c r="M600" s="1">
        <f t="shared" si="48"/>
        <v>4697.3310000000001</v>
      </c>
      <c r="N600" s="1" t="s">
        <v>8</v>
      </c>
      <c r="O600" s="1">
        <v>5.6</v>
      </c>
    </row>
    <row r="601" spans="4:15" x14ac:dyDescent="0.3">
      <c r="D601" s="1">
        <v>7552</v>
      </c>
      <c r="E601" s="2">
        <v>43718</v>
      </c>
      <c r="F601" s="1" t="s">
        <v>12</v>
      </c>
      <c r="G601" s="1">
        <v>49</v>
      </c>
      <c r="H601" t="str">
        <f t="shared" si="49"/>
        <v>XXX Large</v>
      </c>
      <c r="I601" t="str">
        <f t="shared" si="45"/>
        <v>XXX Large</v>
      </c>
      <c r="J601" s="1">
        <v>628.85</v>
      </c>
      <c r="K601">
        <f t="shared" si="46"/>
        <v>0.01</v>
      </c>
      <c r="L601">
        <f t="shared" si="47"/>
        <v>622.56150000000002</v>
      </c>
      <c r="M601" s="1">
        <f t="shared" si="48"/>
        <v>625.45000000000005</v>
      </c>
      <c r="N601" s="1" t="s">
        <v>10</v>
      </c>
      <c r="O601" s="1">
        <v>3.4</v>
      </c>
    </row>
    <row r="602" spans="4:15" x14ac:dyDescent="0.3">
      <c r="D602" s="1">
        <v>130</v>
      </c>
      <c r="E602" s="2">
        <v>43592</v>
      </c>
      <c r="F602" s="1" t="s">
        <v>9</v>
      </c>
      <c r="G602" s="1">
        <v>23</v>
      </c>
      <c r="H602" t="str">
        <f t="shared" si="49"/>
        <v>Medium</v>
      </c>
      <c r="I602" t="str">
        <f t="shared" si="45"/>
        <v>Medium</v>
      </c>
      <c r="J602" s="1">
        <v>253.01</v>
      </c>
      <c r="K602">
        <f t="shared" si="46"/>
        <v>0</v>
      </c>
      <c r="L602">
        <f t="shared" si="47"/>
        <v>253.01</v>
      </c>
      <c r="M602" s="1">
        <f t="shared" si="48"/>
        <v>253.01</v>
      </c>
      <c r="N602" s="1" t="s">
        <v>10</v>
      </c>
      <c r="O602" s="1">
        <v>10.1</v>
      </c>
    </row>
    <row r="603" spans="4:15" x14ac:dyDescent="0.3">
      <c r="D603" s="1">
        <v>43588</v>
      </c>
      <c r="E603" s="2">
        <v>43709</v>
      </c>
      <c r="F603" s="1" t="s">
        <v>14</v>
      </c>
      <c r="G603" s="1">
        <v>6</v>
      </c>
      <c r="H603" t="str">
        <f t="shared" si="49"/>
        <v>Extra Small</v>
      </c>
      <c r="I603" t="str">
        <f t="shared" si="45"/>
        <v>Extra Small</v>
      </c>
      <c r="J603" s="1">
        <v>21.9</v>
      </c>
      <c r="K603">
        <f t="shared" si="46"/>
        <v>0</v>
      </c>
      <c r="L603">
        <f t="shared" si="47"/>
        <v>21.9</v>
      </c>
      <c r="M603" s="1">
        <f t="shared" si="48"/>
        <v>21.9</v>
      </c>
      <c r="N603" s="1" t="s">
        <v>10</v>
      </c>
      <c r="O603" s="1">
        <v>1.2</v>
      </c>
    </row>
    <row r="604" spans="4:15" x14ac:dyDescent="0.3">
      <c r="D604" s="1">
        <v>39168</v>
      </c>
      <c r="E604" s="2">
        <v>43602</v>
      </c>
      <c r="F604" s="1" t="s">
        <v>9</v>
      </c>
      <c r="G604" s="1">
        <v>30</v>
      </c>
      <c r="H604" t="str">
        <f t="shared" si="49"/>
        <v>Medium-Large</v>
      </c>
      <c r="I604" t="str">
        <f t="shared" si="45"/>
        <v>Medium-Large</v>
      </c>
      <c r="J604" s="1">
        <v>322.47660000000002</v>
      </c>
      <c r="K604">
        <f t="shared" si="46"/>
        <v>0</v>
      </c>
      <c r="L604">
        <f t="shared" si="47"/>
        <v>322.47660000000002</v>
      </c>
      <c r="M604" s="1">
        <f t="shared" si="48"/>
        <v>322.47660000000002</v>
      </c>
      <c r="N604" s="1" t="s">
        <v>10</v>
      </c>
      <c r="O604" s="1">
        <v>3.1</v>
      </c>
    </row>
    <row r="605" spans="4:15" x14ac:dyDescent="0.3">
      <c r="D605" s="1">
        <v>2247</v>
      </c>
      <c r="E605" s="2">
        <v>43678</v>
      </c>
      <c r="F605" s="1" t="s">
        <v>11</v>
      </c>
      <c r="G605" s="1">
        <v>6</v>
      </c>
      <c r="H605" t="str">
        <f t="shared" si="49"/>
        <v>Extra Small</v>
      </c>
      <c r="I605" t="str">
        <f t="shared" si="45"/>
        <v>Extra Small</v>
      </c>
      <c r="J605" s="1">
        <v>22614.14</v>
      </c>
      <c r="K605">
        <f t="shared" si="46"/>
        <v>0</v>
      </c>
      <c r="L605">
        <f t="shared" si="47"/>
        <v>22614.14</v>
      </c>
      <c r="M605" s="1">
        <f t="shared" si="48"/>
        <v>22614.14</v>
      </c>
      <c r="N605" s="1" t="s">
        <v>13</v>
      </c>
      <c r="O605" s="1">
        <v>9.3000000000000007</v>
      </c>
    </row>
    <row r="606" spans="4:15" x14ac:dyDescent="0.3">
      <c r="D606" s="1">
        <v>36998</v>
      </c>
      <c r="E606" s="2">
        <v>43737</v>
      </c>
      <c r="F606" s="1" t="s">
        <v>7</v>
      </c>
      <c r="G606" s="1">
        <v>8</v>
      </c>
      <c r="H606" t="str">
        <f t="shared" si="49"/>
        <v>Extra Small</v>
      </c>
      <c r="I606" t="str">
        <f t="shared" si="45"/>
        <v>Extra Small</v>
      </c>
      <c r="J606" s="1">
        <v>60.46</v>
      </c>
      <c r="K606">
        <f t="shared" si="46"/>
        <v>0</v>
      </c>
      <c r="L606">
        <f t="shared" si="47"/>
        <v>60.46</v>
      </c>
      <c r="M606" s="1">
        <f t="shared" si="48"/>
        <v>60.46</v>
      </c>
      <c r="N606" s="1" t="s">
        <v>10</v>
      </c>
      <c r="O606" s="1">
        <v>5.6</v>
      </c>
    </row>
    <row r="607" spans="4:15" x14ac:dyDescent="0.3">
      <c r="D607" s="1">
        <v>43488</v>
      </c>
      <c r="E607" s="2">
        <v>43634</v>
      </c>
      <c r="F607" s="1" t="s">
        <v>12</v>
      </c>
      <c r="G607" s="1">
        <v>46</v>
      </c>
      <c r="H607" t="str">
        <f t="shared" si="49"/>
        <v>XXX Large</v>
      </c>
      <c r="I607" t="str">
        <f t="shared" si="45"/>
        <v>XXX Large</v>
      </c>
      <c r="J607" s="1">
        <v>820.01</v>
      </c>
      <c r="K607">
        <f t="shared" si="46"/>
        <v>0.01</v>
      </c>
      <c r="L607">
        <f t="shared" si="47"/>
        <v>811.80989999999997</v>
      </c>
      <c r="M607" s="1">
        <f t="shared" si="48"/>
        <v>818.51</v>
      </c>
      <c r="N607" s="1" t="s">
        <v>10</v>
      </c>
      <c r="O607" s="1">
        <v>1.5</v>
      </c>
    </row>
    <row r="608" spans="4:15" x14ac:dyDescent="0.3">
      <c r="D608" s="1">
        <v>26306</v>
      </c>
      <c r="E608" s="2">
        <v>43768</v>
      </c>
      <c r="F608" s="1" t="s">
        <v>7</v>
      </c>
      <c r="G608" s="1">
        <v>15</v>
      </c>
      <c r="H608" t="str">
        <f t="shared" si="49"/>
        <v>Small</v>
      </c>
      <c r="I608" t="str">
        <f t="shared" si="45"/>
        <v>Small</v>
      </c>
      <c r="J608" s="1">
        <v>2747.37</v>
      </c>
      <c r="K608">
        <f t="shared" si="46"/>
        <v>0</v>
      </c>
      <c r="L608">
        <f t="shared" si="47"/>
        <v>2747.37</v>
      </c>
      <c r="M608" s="1">
        <f t="shared" si="48"/>
        <v>2747.37</v>
      </c>
      <c r="N608" s="1" t="s">
        <v>10</v>
      </c>
      <c r="O608" s="1">
        <v>73.8</v>
      </c>
    </row>
    <row r="609" spans="4:15" x14ac:dyDescent="0.3">
      <c r="D609" s="1">
        <v>1057</v>
      </c>
      <c r="E609" s="2">
        <v>43514</v>
      </c>
      <c r="F609" s="1" t="s">
        <v>12</v>
      </c>
      <c r="G609" s="1">
        <v>41</v>
      </c>
      <c r="H609" t="str">
        <f t="shared" si="49"/>
        <v>XX Large</v>
      </c>
      <c r="I609" t="str">
        <f t="shared" si="45"/>
        <v>XX Large</v>
      </c>
      <c r="J609" s="1">
        <v>365.26</v>
      </c>
      <c r="K609">
        <f t="shared" si="46"/>
        <v>0.01</v>
      </c>
      <c r="L609">
        <f t="shared" si="47"/>
        <v>361.60739999999998</v>
      </c>
      <c r="M609" s="1">
        <f t="shared" si="48"/>
        <v>361.36</v>
      </c>
      <c r="N609" s="1" t="s">
        <v>10</v>
      </c>
      <c r="O609" s="1">
        <v>3.9</v>
      </c>
    </row>
    <row r="610" spans="4:15" x14ac:dyDescent="0.3">
      <c r="D610" s="1">
        <v>10432</v>
      </c>
      <c r="E610" s="2">
        <v>43469</v>
      </c>
      <c r="F610" s="1" t="s">
        <v>7</v>
      </c>
      <c r="G610" s="1">
        <v>13</v>
      </c>
      <c r="H610" t="str">
        <f t="shared" si="49"/>
        <v>Small</v>
      </c>
      <c r="I610" t="str">
        <f t="shared" si="45"/>
        <v>Small</v>
      </c>
      <c r="J610" s="1">
        <v>2486</v>
      </c>
      <c r="K610">
        <f t="shared" si="46"/>
        <v>0</v>
      </c>
      <c r="L610">
        <f t="shared" si="47"/>
        <v>2486</v>
      </c>
      <c r="M610" s="1">
        <f t="shared" si="48"/>
        <v>2486</v>
      </c>
      <c r="N610" s="1" t="s">
        <v>10</v>
      </c>
      <c r="O610" s="1">
        <v>21.4</v>
      </c>
    </row>
    <row r="611" spans="4:15" x14ac:dyDescent="0.3">
      <c r="D611" s="1">
        <v>15524</v>
      </c>
      <c r="E611" s="2">
        <v>43596</v>
      </c>
      <c r="F611" s="1" t="s">
        <v>14</v>
      </c>
      <c r="G611" s="1">
        <v>27</v>
      </c>
      <c r="H611" t="str">
        <f t="shared" si="49"/>
        <v>Medium-Large</v>
      </c>
      <c r="I611" t="str">
        <f t="shared" si="45"/>
        <v>Medium-Large</v>
      </c>
      <c r="J611" s="1">
        <v>167.79740000000001</v>
      </c>
      <c r="K611">
        <f t="shared" si="46"/>
        <v>0</v>
      </c>
      <c r="L611">
        <f t="shared" si="47"/>
        <v>167.79740000000001</v>
      </c>
      <c r="M611" s="1">
        <f t="shared" si="48"/>
        <v>167.79740000000001</v>
      </c>
      <c r="N611" s="1" t="s">
        <v>10</v>
      </c>
      <c r="O611" s="1">
        <v>3.9</v>
      </c>
    </row>
    <row r="612" spans="4:15" x14ac:dyDescent="0.3">
      <c r="D612" s="1">
        <v>26660</v>
      </c>
      <c r="E612" s="2">
        <v>43542</v>
      </c>
      <c r="F612" s="1" t="s">
        <v>14</v>
      </c>
      <c r="G612" s="1">
        <v>1</v>
      </c>
      <c r="H612" t="str">
        <f t="shared" si="49"/>
        <v>Mini</v>
      </c>
      <c r="I612" t="str">
        <f t="shared" si="45"/>
        <v>Mini</v>
      </c>
      <c r="J612" s="1">
        <v>10.946099999999999</v>
      </c>
      <c r="K612">
        <f t="shared" si="46"/>
        <v>0</v>
      </c>
      <c r="L612">
        <f t="shared" si="47"/>
        <v>10.946099999999999</v>
      </c>
      <c r="M612" s="1">
        <f t="shared" si="48"/>
        <v>10.946099999999999</v>
      </c>
      <c r="N612" s="1" t="s">
        <v>10</v>
      </c>
      <c r="O612" s="1">
        <v>2.2000000000000002</v>
      </c>
    </row>
    <row r="613" spans="4:15" x14ac:dyDescent="0.3">
      <c r="D613" s="1">
        <v>29411</v>
      </c>
      <c r="E613" s="2">
        <v>43561</v>
      </c>
      <c r="F613" s="1" t="s">
        <v>9</v>
      </c>
      <c r="G613" s="1">
        <v>38</v>
      </c>
      <c r="H613" t="str">
        <f t="shared" si="49"/>
        <v>Extra Large</v>
      </c>
      <c r="I613" t="str">
        <f t="shared" si="45"/>
        <v>Extra Large</v>
      </c>
      <c r="J613" s="1">
        <v>16237.2</v>
      </c>
      <c r="K613">
        <f t="shared" si="46"/>
        <v>0.01</v>
      </c>
      <c r="L613">
        <f t="shared" si="47"/>
        <v>16074.828000000001</v>
      </c>
      <c r="M613" s="1">
        <f t="shared" si="48"/>
        <v>16185.6</v>
      </c>
      <c r="N613" s="1" t="s">
        <v>13</v>
      </c>
      <c r="O613" s="1">
        <v>51.6</v>
      </c>
    </row>
    <row r="614" spans="4:15" x14ac:dyDescent="0.3">
      <c r="D614" s="1">
        <v>8450</v>
      </c>
      <c r="E614" s="2">
        <v>43568</v>
      </c>
      <c r="F614" s="1" t="s">
        <v>11</v>
      </c>
      <c r="G614" s="1">
        <v>24</v>
      </c>
      <c r="H614" t="str">
        <f t="shared" si="49"/>
        <v>Medium</v>
      </c>
      <c r="I614" t="str">
        <f t="shared" si="45"/>
        <v>Medium</v>
      </c>
      <c r="J614" s="1">
        <v>1398.49</v>
      </c>
      <c r="K614">
        <f t="shared" si="46"/>
        <v>0</v>
      </c>
      <c r="L614">
        <f t="shared" si="47"/>
        <v>1398.49</v>
      </c>
      <c r="M614" s="1">
        <f t="shared" si="48"/>
        <v>1398.49</v>
      </c>
      <c r="N614" s="1" t="s">
        <v>10</v>
      </c>
      <c r="O614" s="1">
        <v>1.1000000000000001</v>
      </c>
    </row>
    <row r="615" spans="4:15" x14ac:dyDescent="0.3">
      <c r="D615" s="1">
        <v>35173</v>
      </c>
      <c r="E615" s="2">
        <v>43537</v>
      </c>
      <c r="F615" s="1" t="s">
        <v>11</v>
      </c>
      <c r="G615" s="1">
        <v>13</v>
      </c>
      <c r="H615" t="str">
        <f t="shared" si="49"/>
        <v>Small</v>
      </c>
      <c r="I615" t="str">
        <f t="shared" si="45"/>
        <v>Small</v>
      </c>
      <c r="J615" s="1">
        <v>1547.44</v>
      </c>
      <c r="K615">
        <f t="shared" si="46"/>
        <v>0</v>
      </c>
      <c r="L615">
        <f t="shared" si="47"/>
        <v>1547.44</v>
      </c>
      <c r="M615" s="1">
        <f t="shared" si="48"/>
        <v>1547.44</v>
      </c>
      <c r="N615" s="1" t="s">
        <v>10</v>
      </c>
      <c r="O615" s="1">
        <v>8.6</v>
      </c>
    </row>
    <row r="616" spans="4:15" x14ac:dyDescent="0.3">
      <c r="D616" s="1">
        <v>39364</v>
      </c>
      <c r="E616" s="2">
        <v>43778</v>
      </c>
      <c r="F616" s="1" t="s">
        <v>9</v>
      </c>
      <c r="G616" s="1">
        <v>15</v>
      </c>
      <c r="H616" t="str">
        <f t="shared" si="49"/>
        <v>Small</v>
      </c>
      <c r="I616" t="str">
        <f t="shared" si="45"/>
        <v>Small</v>
      </c>
      <c r="J616" s="1">
        <v>20776.78</v>
      </c>
      <c r="K616">
        <f t="shared" si="46"/>
        <v>0</v>
      </c>
      <c r="L616">
        <f t="shared" si="47"/>
        <v>20776.78</v>
      </c>
      <c r="M616" s="1">
        <f t="shared" si="48"/>
        <v>20776.78</v>
      </c>
      <c r="N616" s="1" t="s">
        <v>10</v>
      </c>
      <c r="O616" s="1">
        <v>21.4</v>
      </c>
    </row>
    <row r="617" spans="4:15" x14ac:dyDescent="0.3">
      <c r="D617" s="1">
        <v>53574</v>
      </c>
      <c r="E617" s="2">
        <v>43564</v>
      </c>
      <c r="F617" s="1" t="s">
        <v>14</v>
      </c>
      <c r="G617" s="1">
        <v>8</v>
      </c>
      <c r="H617" t="str">
        <f t="shared" si="49"/>
        <v>Extra Small</v>
      </c>
      <c r="I617" t="str">
        <f t="shared" si="45"/>
        <v>Extra Small</v>
      </c>
      <c r="J617" s="1">
        <v>716.56830000000002</v>
      </c>
      <c r="K617">
        <f t="shared" si="46"/>
        <v>0</v>
      </c>
      <c r="L617">
        <f t="shared" si="47"/>
        <v>716.56830000000002</v>
      </c>
      <c r="M617" s="1">
        <f t="shared" si="48"/>
        <v>716.56830000000002</v>
      </c>
      <c r="N617" s="1" t="s">
        <v>10</v>
      </c>
      <c r="O617" s="1">
        <v>37.5</v>
      </c>
    </row>
    <row r="618" spans="4:15" x14ac:dyDescent="0.3">
      <c r="D618" s="1">
        <v>26756</v>
      </c>
      <c r="E618" s="2">
        <v>43595</v>
      </c>
      <c r="F618" s="1" t="s">
        <v>14</v>
      </c>
      <c r="G618" s="1">
        <v>20</v>
      </c>
      <c r="H618" t="str">
        <f t="shared" si="49"/>
        <v>Small-Medium</v>
      </c>
      <c r="I618" t="str">
        <f t="shared" si="45"/>
        <v>Small-Medium</v>
      </c>
      <c r="J618" s="1">
        <v>136.85</v>
      </c>
      <c r="K618">
        <f t="shared" si="46"/>
        <v>0</v>
      </c>
      <c r="L618">
        <f t="shared" si="47"/>
        <v>136.85</v>
      </c>
      <c r="M618" s="1">
        <f t="shared" si="48"/>
        <v>136.85</v>
      </c>
      <c r="N618" s="1" t="s">
        <v>10</v>
      </c>
      <c r="O618" s="1">
        <v>7.9</v>
      </c>
    </row>
    <row r="619" spans="4:15" x14ac:dyDescent="0.3">
      <c r="D619" s="1">
        <v>20615</v>
      </c>
      <c r="E619" s="2">
        <v>43570</v>
      </c>
      <c r="F619" s="1" t="s">
        <v>14</v>
      </c>
      <c r="G619" s="1">
        <v>29</v>
      </c>
      <c r="H619" t="str">
        <f t="shared" si="49"/>
        <v>Medium-Large</v>
      </c>
      <c r="I619" t="str">
        <f t="shared" si="45"/>
        <v>Medium-Large</v>
      </c>
      <c r="J619" s="1">
        <v>161.66999999999999</v>
      </c>
      <c r="K619">
        <f t="shared" si="46"/>
        <v>0</v>
      </c>
      <c r="L619">
        <f t="shared" si="47"/>
        <v>161.66999999999999</v>
      </c>
      <c r="M619" s="1">
        <f t="shared" si="48"/>
        <v>161.66999999999999</v>
      </c>
      <c r="N619" s="1" t="s">
        <v>8</v>
      </c>
      <c r="O619" s="1">
        <v>3.2</v>
      </c>
    </row>
    <row r="620" spans="4:15" x14ac:dyDescent="0.3">
      <c r="D620" s="1">
        <v>3172</v>
      </c>
      <c r="E620" s="2">
        <v>43618</v>
      </c>
      <c r="F620" s="1" t="s">
        <v>11</v>
      </c>
      <c r="G620" s="1">
        <v>33</v>
      </c>
      <c r="H620" t="str">
        <f t="shared" si="49"/>
        <v>Large</v>
      </c>
      <c r="I620" t="str">
        <f t="shared" si="45"/>
        <v>Large</v>
      </c>
      <c r="J620" s="1">
        <v>625.42999999999995</v>
      </c>
      <c r="K620">
        <f t="shared" si="46"/>
        <v>0</v>
      </c>
      <c r="L620">
        <f t="shared" si="47"/>
        <v>625.42999999999995</v>
      </c>
      <c r="M620" s="1">
        <f t="shared" si="48"/>
        <v>625.42999999999995</v>
      </c>
      <c r="N620" s="1" t="s">
        <v>10</v>
      </c>
      <c r="O620" s="1">
        <v>3.5</v>
      </c>
    </row>
    <row r="621" spans="4:15" x14ac:dyDescent="0.3">
      <c r="D621" s="1">
        <v>21344</v>
      </c>
      <c r="E621" s="2">
        <v>43808</v>
      </c>
      <c r="F621" s="1" t="s">
        <v>7</v>
      </c>
      <c r="G621" s="1">
        <v>39</v>
      </c>
      <c r="H621" t="str">
        <f t="shared" si="49"/>
        <v>Extra Large</v>
      </c>
      <c r="I621" t="str">
        <f t="shared" si="45"/>
        <v>Extra Large</v>
      </c>
      <c r="J621" s="1">
        <v>118.55</v>
      </c>
      <c r="K621">
        <f t="shared" si="46"/>
        <v>0.01</v>
      </c>
      <c r="L621">
        <f t="shared" si="47"/>
        <v>117.36449999999999</v>
      </c>
      <c r="M621" s="1">
        <f t="shared" si="48"/>
        <v>118.05</v>
      </c>
      <c r="N621" s="1" t="s">
        <v>10</v>
      </c>
      <c r="O621" s="1">
        <v>0.5</v>
      </c>
    </row>
    <row r="622" spans="4:15" x14ac:dyDescent="0.3">
      <c r="D622" s="1">
        <v>4515</v>
      </c>
      <c r="E622" s="2">
        <v>43540</v>
      </c>
      <c r="F622" s="1" t="s">
        <v>12</v>
      </c>
      <c r="G622" s="1">
        <v>7</v>
      </c>
      <c r="H622" t="str">
        <f t="shared" si="49"/>
        <v>Extra Small</v>
      </c>
      <c r="I622" t="str">
        <f t="shared" si="45"/>
        <v>Extra Small</v>
      </c>
      <c r="J622" s="1">
        <v>950.1</v>
      </c>
      <c r="K622">
        <f t="shared" si="46"/>
        <v>0</v>
      </c>
      <c r="L622">
        <f t="shared" si="47"/>
        <v>950.1</v>
      </c>
      <c r="M622" s="1">
        <f t="shared" si="48"/>
        <v>950.1</v>
      </c>
      <c r="N622" s="1" t="s">
        <v>10</v>
      </c>
      <c r="O622" s="1">
        <v>7.6</v>
      </c>
    </row>
    <row r="623" spans="4:15" x14ac:dyDescent="0.3">
      <c r="D623" s="1">
        <v>7552</v>
      </c>
      <c r="E623" s="2">
        <v>43718</v>
      </c>
      <c r="F623" s="1" t="s">
        <v>12</v>
      </c>
      <c r="G623" s="1">
        <v>47</v>
      </c>
      <c r="H623" t="str">
        <f t="shared" si="49"/>
        <v>XXX Large</v>
      </c>
      <c r="I623" t="str">
        <f t="shared" si="45"/>
        <v>XXX Large</v>
      </c>
      <c r="J623" s="1">
        <v>1504.94</v>
      </c>
      <c r="K623">
        <f t="shared" si="46"/>
        <v>0.01</v>
      </c>
      <c r="L623">
        <f t="shared" si="47"/>
        <v>1489.8905999999999</v>
      </c>
      <c r="M623" s="1">
        <f t="shared" si="48"/>
        <v>1498.3400000000001</v>
      </c>
      <c r="N623" s="1" t="s">
        <v>10</v>
      </c>
      <c r="O623" s="1">
        <v>6.6</v>
      </c>
    </row>
    <row r="624" spans="4:15" x14ac:dyDescent="0.3">
      <c r="D624" s="1">
        <v>549</v>
      </c>
      <c r="E624" s="2">
        <v>43658</v>
      </c>
      <c r="F624" s="1" t="s">
        <v>12</v>
      </c>
      <c r="G624" s="1">
        <v>30</v>
      </c>
      <c r="H624" t="str">
        <f t="shared" si="49"/>
        <v>Medium-Large</v>
      </c>
      <c r="I624" t="str">
        <f t="shared" si="45"/>
        <v>Medium-Large</v>
      </c>
      <c r="J624" s="1">
        <v>1231.44</v>
      </c>
      <c r="K624">
        <f t="shared" si="46"/>
        <v>0</v>
      </c>
      <c r="L624">
        <f t="shared" si="47"/>
        <v>1231.44</v>
      </c>
      <c r="M624" s="1">
        <f t="shared" si="48"/>
        <v>1231.44</v>
      </c>
      <c r="N624" s="1" t="s">
        <v>8</v>
      </c>
      <c r="O624" s="1">
        <v>37.5</v>
      </c>
    </row>
    <row r="625" spans="4:15" x14ac:dyDescent="0.3">
      <c r="D625" s="1">
        <v>24801</v>
      </c>
      <c r="E625" s="2">
        <v>43784</v>
      </c>
      <c r="F625" s="1" t="s">
        <v>9</v>
      </c>
      <c r="G625" s="1">
        <v>10</v>
      </c>
      <c r="H625" t="str">
        <f t="shared" si="49"/>
        <v>Extra Small</v>
      </c>
      <c r="I625" t="str">
        <f t="shared" si="45"/>
        <v>Extra Small</v>
      </c>
      <c r="J625" s="1">
        <v>1095.8599999999999</v>
      </c>
      <c r="K625">
        <f t="shared" si="46"/>
        <v>0</v>
      </c>
      <c r="L625">
        <f t="shared" si="47"/>
        <v>1095.8599999999999</v>
      </c>
      <c r="M625" s="1">
        <f t="shared" si="48"/>
        <v>1095.8599999999999</v>
      </c>
      <c r="N625" s="1" t="s">
        <v>10</v>
      </c>
      <c r="O625" s="1">
        <v>6.4</v>
      </c>
    </row>
    <row r="626" spans="4:15" x14ac:dyDescent="0.3">
      <c r="D626" s="1">
        <v>44647</v>
      </c>
      <c r="E626" s="2">
        <v>43488</v>
      </c>
      <c r="F626" s="1" t="s">
        <v>7</v>
      </c>
      <c r="G626" s="1">
        <v>47</v>
      </c>
      <c r="H626" t="str">
        <f t="shared" si="49"/>
        <v>XXX Large</v>
      </c>
      <c r="I626" t="str">
        <f t="shared" si="45"/>
        <v>XXX Large</v>
      </c>
      <c r="J626" s="1">
        <v>24866.76</v>
      </c>
      <c r="K626">
        <f t="shared" si="46"/>
        <v>0.01</v>
      </c>
      <c r="L626">
        <f t="shared" si="47"/>
        <v>24618.092399999998</v>
      </c>
      <c r="M626" s="1">
        <f t="shared" si="48"/>
        <v>24838.959999999999</v>
      </c>
      <c r="N626" s="1" t="s">
        <v>13</v>
      </c>
      <c r="O626" s="1">
        <v>27.8</v>
      </c>
    </row>
    <row r="627" spans="4:15" x14ac:dyDescent="0.3">
      <c r="D627" s="1">
        <v>44261</v>
      </c>
      <c r="E627" s="2">
        <v>43547</v>
      </c>
      <c r="F627" s="1" t="s">
        <v>9</v>
      </c>
      <c r="G627" s="1">
        <v>10</v>
      </c>
      <c r="H627" t="str">
        <f t="shared" si="49"/>
        <v>Extra Small</v>
      </c>
      <c r="I627" t="str">
        <f t="shared" si="45"/>
        <v>Extra Small</v>
      </c>
      <c r="J627" s="1">
        <v>328.13</v>
      </c>
      <c r="K627">
        <f t="shared" si="46"/>
        <v>0</v>
      </c>
      <c r="L627">
        <f t="shared" si="47"/>
        <v>328.13</v>
      </c>
      <c r="M627" s="1">
        <f t="shared" si="48"/>
        <v>328.13</v>
      </c>
      <c r="N627" s="1" t="s">
        <v>10</v>
      </c>
      <c r="O627" s="1">
        <v>6.4</v>
      </c>
    </row>
    <row r="628" spans="4:15" x14ac:dyDescent="0.3">
      <c r="D628" s="1">
        <v>21573</v>
      </c>
      <c r="E628" s="2">
        <v>43580</v>
      </c>
      <c r="F628" s="1" t="s">
        <v>12</v>
      </c>
      <c r="G628" s="1">
        <v>31</v>
      </c>
      <c r="H628" t="str">
        <f t="shared" si="49"/>
        <v>Large</v>
      </c>
      <c r="I628" t="str">
        <f t="shared" si="45"/>
        <v>Large</v>
      </c>
      <c r="J628" s="1">
        <v>102.97</v>
      </c>
      <c r="K628">
        <f t="shared" si="46"/>
        <v>0</v>
      </c>
      <c r="L628">
        <f t="shared" si="47"/>
        <v>102.97</v>
      </c>
      <c r="M628" s="1">
        <f t="shared" si="48"/>
        <v>102.97</v>
      </c>
      <c r="N628" s="1" t="s">
        <v>10</v>
      </c>
      <c r="O628" s="1">
        <v>1.1000000000000001</v>
      </c>
    </row>
    <row r="629" spans="4:15" x14ac:dyDescent="0.3">
      <c r="D629" s="1">
        <v>55462</v>
      </c>
      <c r="E629" s="2">
        <v>43551</v>
      </c>
      <c r="F629" s="1" t="s">
        <v>14</v>
      </c>
      <c r="G629" s="1">
        <v>35</v>
      </c>
      <c r="H629" t="str">
        <f t="shared" si="49"/>
        <v>Large</v>
      </c>
      <c r="I629" t="str">
        <f t="shared" si="45"/>
        <v>Large</v>
      </c>
      <c r="J629" s="1">
        <v>3941.5911000000001</v>
      </c>
      <c r="K629">
        <f t="shared" si="46"/>
        <v>0</v>
      </c>
      <c r="L629">
        <f t="shared" si="47"/>
        <v>3941.5911000000001</v>
      </c>
      <c r="M629" s="1">
        <f t="shared" si="48"/>
        <v>3941.5911000000001</v>
      </c>
      <c r="N629" s="1" t="s">
        <v>10</v>
      </c>
      <c r="O629" s="1">
        <v>9.6</v>
      </c>
    </row>
    <row r="630" spans="4:15" x14ac:dyDescent="0.3">
      <c r="D630" s="1">
        <v>17735</v>
      </c>
      <c r="E630" s="2">
        <v>43658</v>
      </c>
      <c r="F630" s="1" t="s">
        <v>7</v>
      </c>
      <c r="G630" s="1">
        <v>28</v>
      </c>
      <c r="H630" t="str">
        <f t="shared" si="49"/>
        <v>Medium-Large</v>
      </c>
      <c r="I630" t="str">
        <f t="shared" si="45"/>
        <v>Medium-Large</v>
      </c>
      <c r="J630" s="1">
        <v>108.27</v>
      </c>
      <c r="K630">
        <f t="shared" si="46"/>
        <v>0</v>
      </c>
      <c r="L630">
        <f t="shared" si="47"/>
        <v>108.27</v>
      </c>
      <c r="M630" s="1">
        <f t="shared" si="48"/>
        <v>108.27</v>
      </c>
      <c r="N630" s="1" t="s">
        <v>10</v>
      </c>
      <c r="O630" s="1">
        <v>0.8</v>
      </c>
    </row>
    <row r="631" spans="4:15" x14ac:dyDescent="0.3">
      <c r="D631" s="1">
        <v>7653</v>
      </c>
      <c r="E631" s="2">
        <v>43522</v>
      </c>
      <c r="F631" s="1" t="s">
        <v>14</v>
      </c>
      <c r="G631" s="1">
        <v>32</v>
      </c>
      <c r="H631" t="str">
        <f t="shared" si="49"/>
        <v>Large</v>
      </c>
      <c r="I631" t="str">
        <f t="shared" si="45"/>
        <v>Large</v>
      </c>
      <c r="J631" s="1">
        <v>1524.81</v>
      </c>
      <c r="K631">
        <f t="shared" si="46"/>
        <v>0</v>
      </c>
      <c r="L631">
        <f t="shared" si="47"/>
        <v>1524.81</v>
      </c>
      <c r="M631" s="1">
        <f t="shared" si="48"/>
        <v>1524.81</v>
      </c>
      <c r="N631" s="1" t="s">
        <v>10</v>
      </c>
      <c r="O631" s="1">
        <v>5.4</v>
      </c>
    </row>
    <row r="632" spans="4:15" x14ac:dyDescent="0.3">
      <c r="D632" s="1">
        <v>55747</v>
      </c>
      <c r="E632" s="2">
        <v>43801</v>
      </c>
      <c r="F632" s="1" t="s">
        <v>9</v>
      </c>
      <c r="G632" s="1">
        <v>36</v>
      </c>
      <c r="H632" t="str">
        <f t="shared" si="49"/>
        <v>Extra Large</v>
      </c>
      <c r="I632" t="str">
        <f t="shared" si="45"/>
        <v>Extra Large</v>
      </c>
      <c r="J632" s="1">
        <v>18790.22</v>
      </c>
      <c r="K632">
        <f t="shared" si="46"/>
        <v>0.01</v>
      </c>
      <c r="L632">
        <f t="shared" si="47"/>
        <v>18602.317800000001</v>
      </c>
      <c r="M632" s="1">
        <f t="shared" si="48"/>
        <v>18762.420000000002</v>
      </c>
      <c r="N632" s="1" t="s">
        <v>13</v>
      </c>
      <c r="O632" s="1">
        <v>27.8</v>
      </c>
    </row>
    <row r="633" spans="4:15" x14ac:dyDescent="0.3">
      <c r="D633" s="1">
        <v>43682</v>
      </c>
      <c r="E633" s="2">
        <v>43704</v>
      </c>
      <c r="F633" s="1" t="s">
        <v>14</v>
      </c>
      <c r="G633" s="1">
        <v>14</v>
      </c>
      <c r="H633" t="str">
        <f t="shared" si="49"/>
        <v>Small</v>
      </c>
      <c r="I633" t="str">
        <f t="shared" si="45"/>
        <v>Small</v>
      </c>
      <c r="J633" s="1">
        <v>1979.07</v>
      </c>
      <c r="K633">
        <f t="shared" si="46"/>
        <v>0</v>
      </c>
      <c r="L633">
        <f t="shared" si="47"/>
        <v>1979.07</v>
      </c>
      <c r="M633" s="1">
        <f t="shared" si="48"/>
        <v>1979.07</v>
      </c>
      <c r="N633" s="1" t="s">
        <v>10</v>
      </c>
      <c r="O633" s="1">
        <v>9.6</v>
      </c>
    </row>
    <row r="634" spans="4:15" x14ac:dyDescent="0.3">
      <c r="D634" s="1">
        <v>24067</v>
      </c>
      <c r="E634" s="2">
        <v>43699</v>
      </c>
      <c r="F634" s="1" t="s">
        <v>9</v>
      </c>
      <c r="G634" s="1">
        <v>19</v>
      </c>
      <c r="H634" t="str">
        <f t="shared" si="49"/>
        <v>Small-Medium</v>
      </c>
      <c r="I634" t="str">
        <f t="shared" si="45"/>
        <v>Small-Medium</v>
      </c>
      <c r="J634" s="1">
        <v>129</v>
      </c>
      <c r="K634">
        <f t="shared" si="46"/>
        <v>0</v>
      </c>
      <c r="L634">
        <f t="shared" si="47"/>
        <v>129</v>
      </c>
      <c r="M634" s="1">
        <f t="shared" si="48"/>
        <v>129</v>
      </c>
      <c r="N634" s="1" t="s">
        <v>10</v>
      </c>
      <c r="O634" s="1">
        <v>8</v>
      </c>
    </row>
    <row r="635" spans="4:15" x14ac:dyDescent="0.3">
      <c r="D635" s="1">
        <v>16897</v>
      </c>
      <c r="E635" s="2">
        <v>43631</v>
      </c>
      <c r="F635" s="1" t="s">
        <v>11</v>
      </c>
      <c r="G635" s="1">
        <v>1</v>
      </c>
      <c r="H635" t="str">
        <f t="shared" si="49"/>
        <v>Mini</v>
      </c>
      <c r="I635" t="str">
        <f t="shared" si="45"/>
        <v>Mini</v>
      </c>
      <c r="J635" s="1">
        <v>406.39</v>
      </c>
      <c r="K635">
        <f t="shared" si="46"/>
        <v>0</v>
      </c>
      <c r="L635">
        <f t="shared" si="47"/>
        <v>406.39</v>
      </c>
      <c r="M635" s="1">
        <f t="shared" si="48"/>
        <v>406.39</v>
      </c>
      <c r="N635" s="1" t="s">
        <v>13</v>
      </c>
      <c r="O635" s="1">
        <v>63.1</v>
      </c>
    </row>
    <row r="636" spans="4:15" x14ac:dyDescent="0.3">
      <c r="D636" s="1">
        <v>34211</v>
      </c>
      <c r="E636" s="2">
        <v>43508</v>
      </c>
      <c r="F636" s="1" t="s">
        <v>11</v>
      </c>
      <c r="G636" s="1">
        <v>15</v>
      </c>
      <c r="H636" t="str">
        <f t="shared" si="49"/>
        <v>Small</v>
      </c>
      <c r="I636" t="str">
        <f t="shared" si="45"/>
        <v>Small</v>
      </c>
      <c r="J636" s="1">
        <v>146.04</v>
      </c>
      <c r="K636">
        <f t="shared" si="46"/>
        <v>0</v>
      </c>
      <c r="L636">
        <f t="shared" si="47"/>
        <v>146.04</v>
      </c>
      <c r="M636" s="1">
        <f t="shared" si="48"/>
        <v>146.04</v>
      </c>
      <c r="N636" s="1" t="s">
        <v>10</v>
      </c>
      <c r="O636" s="1">
        <v>1.2</v>
      </c>
    </row>
    <row r="637" spans="4:15" x14ac:dyDescent="0.3">
      <c r="D637" s="1">
        <v>43488</v>
      </c>
      <c r="E637" s="2">
        <v>43634</v>
      </c>
      <c r="F637" s="1" t="s">
        <v>12</v>
      </c>
      <c r="G637" s="1">
        <v>3</v>
      </c>
      <c r="H637" t="str">
        <f t="shared" si="49"/>
        <v>Mini</v>
      </c>
      <c r="I637" t="str">
        <f t="shared" si="45"/>
        <v>Mini</v>
      </c>
      <c r="J637" s="1">
        <v>1384.95</v>
      </c>
      <c r="K637">
        <f t="shared" si="46"/>
        <v>0</v>
      </c>
      <c r="L637">
        <f t="shared" si="47"/>
        <v>1384.95</v>
      </c>
      <c r="M637" s="1">
        <f t="shared" si="48"/>
        <v>1384.95</v>
      </c>
      <c r="N637" s="1" t="s">
        <v>10</v>
      </c>
      <c r="O637" s="1">
        <v>26.2</v>
      </c>
    </row>
    <row r="638" spans="4:15" x14ac:dyDescent="0.3">
      <c r="D638" s="1">
        <v>1764</v>
      </c>
      <c r="E638" s="2">
        <v>43548</v>
      </c>
      <c r="F638" s="1" t="s">
        <v>12</v>
      </c>
      <c r="G638" s="1">
        <v>7</v>
      </c>
      <c r="H638" t="str">
        <f t="shared" si="49"/>
        <v>Extra Small</v>
      </c>
      <c r="I638" t="str">
        <f t="shared" si="45"/>
        <v>Extra Small</v>
      </c>
      <c r="J638" s="1">
        <v>64.19</v>
      </c>
      <c r="K638">
        <f t="shared" si="46"/>
        <v>0</v>
      </c>
      <c r="L638">
        <f t="shared" si="47"/>
        <v>64.19</v>
      </c>
      <c r="M638" s="1">
        <f t="shared" si="48"/>
        <v>64.19</v>
      </c>
      <c r="N638" s="1" t="s">
        <v>10</v>
      </c>
      <c r="O638" s="1">
        <v>5.2</v>
      </c>
    </row>
    <row r="639" spans="4:15" x14ac:dyDescent="0.3">
      <c r="D639" s="1">
        <v>24386</v>
      </c>
      <c r="E639" s="2">
        <v>43642</v>
      </c>
      <c r="F639" s="1" t="s">
        <v>9</v>
      </c>
      <c r="G639" s="1">
        <v>15</v>
      </c>
      <c r="H639" t="str">
        <f t="shared" si="49"/>
        <v>Small</v>
      </c>
      <c r="I639" t="str">
        <f t="shared" si="45"/>
        <v>Small</v>
      </c>
      <c r="J639" s="1">
        <v>82.33</v>
      </c>
      <c r="K639">
        <f t="shared" si="46"/>
        <v>0</v>
      </c>
      <c r="L639">
        <f t="shared" si="47"/>
        <v>82.33</v>
      </c>
      <c r="M639" s="1">
        <f t="shared" si="48"/>
        <v>82.33</v>
      </c>
      <c r="N639" s="1" t="s">
        <v>8</v>
      </c>
      <c r="O639" s="1">
        <v>1.1000000000000001</v>
      </c>
    </row>
    <row r="640" spans="4:15" x14ac:dyDescent="0.3">
      <c r="D640" s="1">
        <v>36038</v>
      </c>
      <c r="E640" s="2">
        <v>43693</v>
      </c>
      <c r="F640" s="1" t="s">
        <v>9</v>
      </c>
      <c r="G640" s="1">
        <v>26</v>
      </c>
      <c r="H640" t="str">
        <f t="shared" si="49"/>
        <v>Medium-Large</v>
      </c>
      <c r="I640" t="str">
        <f t="shared" si="45"/>
        <v>Medium-Large</v>
      </c>
      <c r="J640" s="1">
        <v>101.93</v>
      </c>
      <c r="K640">
        <f t="shared" si="46"/>
        <v>0</v>
      </c>
      <c r="L640">
        <f t="shared" si="47"/>
        <v>101.93</v>
      </c>
      <c r="M640" s="1">
        <f t="shared" si="48"/>
        <v>101.93</v>
      </c>
      <c r="N640" s="1" t="s">
        <v>10</v>
      </c>
      <c r="O640" s="1">
        <v>5.4</v>
      </c>
    </row>
    <row r="641" spans="4:15" x14ac:dyDescent="0.3">
      <c r="D641" s="1">
        <v>51044</v>
      </c>
      <c r="E641" s="2">
        <v>43482</v>
      </c>
      <c r="F641" s="1" t="s">
        <v>7</v>
      </c>
      <c r="G641" s="1">
        <v>17</v>
      </c>
      <c r="H641" t="str">
        <f t="shared" si="49"/>
        <v>Small-Medium</v>
      </c>
      <c r="I641" t="str">
        <f t="shared" si="45"/>
        <v>Small-Medium</v>
      </c>
      <c r="J641" s="1">
        <v>166.8</v>
      </c>
      <c r="K641">
        <f t="shared" si="46"/>
        <v>0</v>
      </c>
      <c r="L641">
        <f t="shared" si="47"/>
        <v>166.8</v>
      </c>
      <c r="M641" s="1">
        <f t="shared" si="48"/>
        <v>166.8</v>
      </c>
      <c r="N641" s="1" t="s">
        <v>10</v>
      </c>
      <c r="O641" s="1">
        <v>1.5</v>
      </c>
    </row>
    <row r="642" spans="4:15" x14ac:dyDescent="0.3">
      <c r="D642" s="1">
        <v>29090</v>
      </c>
      <c r="E642" s="2">
        <v>43480</v>
      </c>
      <c r="F642" s="1" t="s">
        <v>14</v>
      </c>
      <c r="G642" s="1">
        <v>36</v>
      </c>
      <c r="H642" t="str">
        <f t="shared" si="49"/>
        <v>Extra Large</v>
      </c>
      <c r="I642" t="str">
        <f t="shared" si="45"/>
        <v>Extra Large</v>
      </c>
      <c r="J642" s="1">
        <v>406.96</v>
      </c>
      <c r="K642">
        <f t="shared" si="46"/>
        <v>0.01</v>
      </c>
      <c r="L642">
        <f t="shared" si="47"/>
        <v>402.8904</v>
      </c>
      <c r="M642" s="1">
        <f t="shared" si="48"/>
        <v>399.56</v>
      </c>
      <c r="N642" s="1" t="s">
        <v>10</v>
      </c>
      <c r="O642" s="1">
        <v>7.4</v>
      </c>
    </row>
    <row r="643" spans="4:15" x14ac:dyDescent="0.3">
      <c r="D643" s="1">
        <v>29927</v>
      </c>
      <c r="E643" s="2">
        <v>43776</v>
      </c>
      <c r="F643" s="1" t="s">
        <v>9</v>
      </c>
      <c r="G643" s="1">
        <v>19</v>
      </c>
      <c r="H643" t="str">
        <f t="shared" si="49"/>
        <v>Small-Medium</v>
      </c>
      <c r="I643" t="str">
        <f t="shared" ref="I643:I706" si="50">VLOOKUP(G643, $A$3:$B$12, 2, TRUE)</f>
        <v>Small-Medium</v>
      </c>
      <c r="J643" s="1">
        <v>276.02999999999997</v>
      </c>
      <c r="K643">
        <f t="shared" ref="K643:K706" si="51">IF(OR(I643="Extra Large", I643="XX Large", I643="XXX Large"), 0.01, 0)</f>
        <v>0</v>
      </c>
      <c r="L643">
        <f t="shared" ref="L643:L706" si="52">J643 * (1 - K643)</f>
        <v>276.02999999999997</v>
      </c>
      <c r="M643" s="1">
        <f t="shared" ref="M643:M706" si="53">IF(OR(I643="Extra Large",I643="XX Large",I643="XXX Large"),J643-O643,J643)</f>
        <v>276.02999999999997</v>
      </c>
      <c r="N643" s="1" t="s">
        <v>10</v>
      </c>
      <c r="O643" s="1">
        <v>5.3</v>
      </c>
    </row>
    <row r="644" spans="4:15" x14ac:dyDescent="0.3">
      <c r="D644" s="1">
        <v>33479</v>
      </c>
      <c r="E644" s="2">
        <v>43726</v>
      </c>
      <c r="F644" s="1" t="s">
        <v>12</v>
      </c>
      <c r="G644" s="1">
        <v>24</v>
      </c>
      <c r="H644" t="str">
        <f t="shared" si="49"/>
        <v>Medium</v>
      </c>
      <c r="I644" t="str">
        <f t="shared" si="50"/>
        <v>Medium</v>
      </c>
      <c r="J644" s="1">
        <v>173.2</v>
      </c>
      <c r="K644">
        <f t="shared" si="51"/>
        <v>0</v>
      </c>
      <c r="L644">
        <f t="shared" si="52"/>
        <v>173.2</v>
      </c>
      <c r="M644" s="1">
        <f t="shared" si="53"/>
        <v>173.2</v>
      </c>
      <c r="N644" s="1" t="s">
        <v>10</v>
      </c>
      <c r="O644" s="1">
        <v>5.5</v>
      </c>
    </row>
    <row r="645" spans="4:15" x14ac:dyDescent="0.3">
      <c r="D645" s="1">
        <v>12096</v>
      </c>
      <c r="E645" s="2">
        <v>43727</v>
      </c>
      <c r="F645" s="1" t="s">
        <v>14</v>
      </c>
      <c r="G645" s="1">
        <v>46</v>
      </c>
      <c r="H645" t="str">
        <f t="shared" ref="H645:H708" si="54">VLOOKUP(G645, $A$3:$B$12, 2, TRUE)</f>
        <v>XXX Large</v>
      </c>
      <c r="I645" t="str">
        <f t="shared" si="50"/>
        <v>XXX Large</v>
      </c>
      <c r="J645" s="1">
        <v>8570.2639999999992</v>
      </c>
      <c r="K645">
        <f t="shared" si="51"/>
        <v>0.01</v>
      </c>
      <c r="L645">
        <f t="shared" si="52"/>
        <v>8484.5613599999997</v>
      </c>
      <c r="M645" s="1">
        <f t="shared" si="53"/>
        <v>8561.6639999999989</v>
      </c>
      <c r="N645" s="1" t="s">
        <v>10</v>
      </c>
      <c r="O645" s="1">
        <v>8.6</v>
      </c>
    </row>
    <row r="646" spans="4:15" x14ac:dyDescent="0.3">
      <c r="D646" s="1">
        <v>30403</v>
      </c>
      <c r="E646" s="2">
        <v>43656</v>
      </c>
      <c r="F646" s="1" t="s">
        <v>9</v>
      </c>
      <c r="G646" s="1">
        <v>24</v>
      </c>
      <c r="H646" t="str">
        <f t="shared" si="54"/>
        <v>Medium</v>
      </c>
      <c r="I646" t="str">
        <f t="shared" si="50"/>
        <v>Medium</v>
      </c>
      <c r="J646" s="1">
        <v>3834.3663999999999</v>
      </c>
      <c r="K646">
        <f t="shared" si="51"/>
        <v>0</v>
      </c>
      <c r="L646">
        <f t="shared" si="52"/>
        <v>3834.3663999999999</v>
      </c>
      <c r="M646" s="1">
        <f t="shared" si="53"/>
        <v>3834.3663999999999</v>
      </c>
      <c r="N646" s="1" t="s">
        <v>10</v>
      </c>
      <c r="O646" s="1">
        <v>21.4</v>
      </c>
    </row>
    <row r="647" spans="4:15" x14ac:dyDescent="0.3">
      <c r="D647" s="1">
        <v>33761</v>
      </c>
      <c r="E647" s="2">
        <v>43681</v>
      </c>
      <c r="F647" s="1" t="s">
        <v>9</v>
      </c>
      <c r="G647" s="1">
        <v>45</v>
      </c>
      <c r="H647" t="str">
        <f t="shared" si="54"/>
        <v>XX Large</v>
      </c>
      <c r="I647" t="str">
        <f t="shared" si="50"/>
        <v>XX Large</v>
      </c>
      <c r="J647" s="1">
        <v>496.41</v>
      </c>
      <c r="K647">
        <f t="shared" si="51"/>
        <v>0.01</v>
      </c>
      <c r="L647">
        <f t="shared" si="52"/>
        <v>491.44589999999999</v>
      </c>
      <c r="M647" s="1">
        <f t="shared" si="53"/>
        <v>493.31</v>
      </c>
      <c r="N647" s="1" t="s">
        <v>10</v>
      </c>
      <c r="O647" s="1">
        <v>3.1</v>
      </c>
    </row>
    <row r="648" spans="4:15" x14ac:dyDescent="0.3">
      <c r="D648" s="1">
        <v>44261</v>
      </c>
      <c r="E648" s="2">
        <v>43547</v>
      </c>
      <c r="F648" s="1" t="s">
        <v>9</v>
      </c>
      <c r="G648" s="1">
        <v>1</v>
      </c>
      <c r="H648" t="str">
        <f t="shared" si="54"/>
        <v>Mini</v>
      </c>
      <c r="I648" t="str">
        <f t="shared" si="50"/>
        <v>Mini</v>
      </c>
      <c r="J648" s="1">
        <v>3595.52</v>
      </c>
      <c r="K648">
        <f t="shared" si="51"/>
        <v>0</v>
      </c>
      <c r="L648">
        <f t="shared" si="52"/>
        <v>3595.52</v>
      </c>
      <c r="M648" s="1">
        <f t="shared" si="53"/>
        <v>3595.52</v>
      </c>
      <c r="N648" s="1" t="s">
        <v>13</v>
      </c>
      <c r="O648" s="1">
        <v>9.3000000000000007</v>
      </c>
    </row>
    <row r="649" spans="4:15" x14ac:dyDescent="0.3">
      <c r="D649" s="1">
        <v>52068</v>
      </c>
      <c r="E649" s="2">
        <v>43477</v>
      </c>
      <c r="F649" s="1" t="s">
        <v>11</v>
      </c>
      <c r="G649" s="1">
        <v>31</v>
      </c>
      <c r="H649" t="str">
        <f t="shared" si="54"/>
        <v>Large</v>
      </c>
      <c r="I649" t="str">
        <f t="shared" si="50"/>
        <v>Large</v>
      </c>
      <c r="J649" s="1">
        <v>174.7</v>
      </c>
      <c r="K649">
        <f t="shared" si="51"/>
        <v>0</v>
      </c>
      <c r="L649">
        <f t="shared" si="52"/>
        <v>174.7</v>
      </c>
      <c r="M649" s="1">
        <f t="shared" si="53"/>
        <v>174.7</v>
      </c>
      <c r="N649" s="1" t="s">
        <v>10</v>
      </c>
      <c r="O649" s="1">
        <v>3.2</v>
      </c>
    </row>
    <row r="650" spans="4:15" x14ac:dyDescent="0.3">
      <c r="D650" s="1">
        <v>37765</v>
      </c>
      <c r="E650" s="2">
        <v>43793</v>
      </c>
      <c r="F650" s="1" t="s">
        <v>7</v>
      </c>
      <c r="G650" s="1">
        <v>18</v>
      </c>
      <c r="H650" t="str">
        <f t="shared" si="54"/>
        <v>Small-Medium</v>
      </c>
      <c r="I650" t="str">
        <f t="shared" si="50"/>
        <v>Small-Medium</v>
      </c>
      <c r="J650" s="1">
        <v>701.47</v>
      </c>
      <c r="K650">
        <f t="shared" si="51"/>
        <v>0</v>
      </c>
      <c r="L650">
        <f t="shared" si="52"/>
        <v>701.47</v>
      </c>
      <c r="M650" s="1">
        <f t="shared" si="53"/>
        <v>701.47</v>
      </c>
      <c r="N650" s="1" t="s">
        <v>10</v>
      </c>
      <c r="O650" s="1">
        <v>5.4</v>
      </c>
    </row>
    <row r="651" spans="4:15" x14ac:dyDescent="0.3">
      <c r="D651" s="1">
        <v>1285</v>
      </c>
      <c r="E651" s="2">
        <v>43616</v>
      </c>
      <c r="F651" s="1" t="s">
        <v>12</v>
      </c>
      <c r="G651" s="1">
        <v>27</v>
      </c>
      <c r="H651" t="str">
        <f t="shared" si="54"/>
        <v>Medium-Large</v>
      </c>
      <c r="I651" t="str">
        <f t="shared" si="50"/>
        <v>Medium-Large</v>
      </c>
      <c r="J651" s="1">
        <v>4145.3100000000004</v>
      </c>
      <c r="K651">
        <f t="shared" si="51"/>
        <v>0</v>
      </c>
      <c r="L651">
        <f t="shared" si="52"/>
        <v>4145.3100000000004</v>
      </c>
      <c r="M651" s="1">
        <f t="shared" si="53"/>
        <v>4145.3100000000004</v>
      </c>
      <c r="N651" s="1" t="s">
        <v>13</v>
      </c>
      <c r="O651" s="1">
        <v>58.6</v>
      </c>
    </row>
    <row r="652" spans="4:15" x14ac:dyDescent="0.3">
      <c r="D652" s="1">
        <v>45635</v>
      </c>
      <c r="E652" s="2">
        <v>43562</v>
      </c>
      <c r="F652" s="1" t="s">
        <v>7</v>
      </c>
      <c r="G652" s="1">
        <v>50</v>
      </c>
      <c r="H652" t="str">
        <f t="shared" si="54"/>
        <v>XXX Large</v>
      </c>
      <c r="I652" t="str">
        <f t="shared" si="50"/>
        <v>XXX Large</v>
      </c>
      <c r="J652" s="1">
        <v>2159.9899999999998</v>
      </c>
      <c r="K652">
        <f t="shared" si="51"/>
        <v>0.01</v>
      </c>
      <c r="L652">
        <f t="shared" si="52"/>
        <v>2138.3900999999996</v>
      </c>
      <c r="M652" s="1">
        <f t="shared" si="53"/>
        <v>2157.89</v>
      </c>
      <c r="N652" s="1" t="s">
        <v>10</v>
      </c>
      <c r="O652" s="1">
        <v>2.1</v>
      </c>
    </row>
    <row r="653" spans="4:15" x14ac:dyDescent="0.3">
      <c r="D653" s="1">
        <v>10945</v>
      </c>
      <c r="E653" s="2">
        <v>43467</v>
      </c>
      <c r="F653" s="1" t="s">
        <v>14</v>
      </c>
      <c r="G653" s="1">
        <v>14</v>
      </c>
      <c r="H653" t="str">
        <f t="shared" si="54"/>
        <v>Small</v>
      </c>
      <c r="I653" t="str">
        <f t="shared" si="50"/>
        <v>Small</v>
      </c>
      <c r="J653" s="1">
        <v>1251.93</v>
      </c>
      <c r="K653">
        <f t="shared" si="51"/>
        <v>0</v>
      </c>
      <c r="L653">
        <f t="shared" si="52"/>
        <v>1251.93</v>
      </c>
      <c r="M653" s="1">
        <f t="shared" si="53"/>
        <v>1251.93</v>
      </c>
      <c r="N653" s="1" t="s">
        <v>10</v>
      </c>
      <c r="O653" s="1">
        <v>9.6</v>
      </c>
    </row>
    <row r="654" spans="4:15" x14ac:dyDescent="0.3">
      <c r="D654" s="1">
        <v>19425</v>
      </c>
      <c r="E654" s="2">
        <v>43732</v>
      </c>
      <c r="F654" s="1" t="s">
        <v>11</v>
      </c>
      <c r="G654" s="1">
        <v>34</v>
      </c>
      <c r="H654" t="str">
        <f t="shared" si="54"/>
        <v>Large</v>
      </c>
      <c r="I654" t="str">
        <f t="shared" si="50"/>
        <v>Large</v>
      </c>
      <c r="J654" s="1">
        <v>224.96</v>
      </c>
      <c r="K654">
        <f t="shared" si="51"/>
        <v>0</v>
      </c>
      <c r="L654">
        <f t="shared" si="52"/>
        <v>224.96</v>
      </c>
      <c r="M654" s="1">
        <f t="shared" si="53"/>
        <v>224.96</v>
      </c>
      <c r="N654" s="1" t="s">
        <v>10</v>
      </c>
      <c r="O654" s="1">
        <v>3.9</v>
      </c>
    </row>
    <row r="655" spans="4:15" x14ac:dyDescent="0.3">
      <c r="D655" s="1">
        <v>20451</v>
      </c>
      <c r="E655" s="2">
        <v>43610</v>
      </c>
      <c r="F655" s="1" t="s">
        <v>12</v>
      </c>
      <c r="G655" s="1">
        <v>17</v>
      </c>
      <c r="H655" t="str">
        <f t="shared" si="54"/>
        <v>Small-Medium</v>
      </c>
      <c r="I655" t="str">
        <f t="shared" si="50"/>
        <v>Small-Medium</v>
      </c>
      <c r="J655" s="1">
        <v>9790.6</v>
      </c>
      <c r="K655">
        <f t="shared" si="51"/>
        <v>0</v>
      </c>
      <c r="L655">
        <f t="shared" si="52"/>
        <v>9790.6</v>
      </c>
      <c r="M655" s="1">
        <f t="shared" si="53"/>
        <v>9790.6</v>
      </c>
      <c r="N655" s="1" t="s">
        <v>13</v>
      </c>
      <c r="O655" s="1">
        <v>48.9</v>
      </c>
    </row>
    <row r="656" spans="4:15" x14ac:dyDescent="0.3">
      <c r="D656" s="1">
        <v>19777</v>
      </c>
      <c r="E656" s="2">
        <v>43757</v>
      </c>
      <c r="F656" s="1" t="s">
        <v>11</v>
      </c>
      <c r="G656" s="1">
        <v>22</v>
      </c>
      <c r="H656" t="str">
        <f t="shared" si="54"/>
        <v>Medium</v>
      </c>
      <c r="I656" t="str">
        <f t="shared" si="50"/>
        <v>Medium</v>
      </c>
      <c r="J656" s="1">
        <v>344.44</v>
      </c>
      <c r="K656">
        <f t="shared" si="51"/>
        <v>0</v>
      </c>
      <c r="L656">
        <f t="shared" si="52"/>
        <v>344.44</v>
      </c>
      <c r="M656" s="1">
        <f t="shared" si="53"/>
        <v>344.44</v>
      </c>
      <c r="N656" s="1" t="s">
        <v>10</v>
      </c>
      <c r="O656" s="1">
        <v>9</v>
      </c>
    </row>
    <row r="657" spans="4:15" x14ac:dyDescent="0.3">
      <c r="D657" s="1">
        <v>5635</v>
      </c>
      <c r="E657" s="2">
        <v>43692</v>
      </c>
      <c r="F657" s="1" t="s">
        <v>14</v>
      </c>
      <c r="G657" s="1">
        <v>17</v>
      </c>
      <c r="H657" t="str">
        <f t="shared" si="54"/>
        <v>Small-Medium</v>
      </c>
      <c r="I657" t="str">
        <f t="shared" si="50"/>
        <v>Small-Medium</v>
      </c>
      <c r="J657" s="1">
        <v>212.69</v>
      </c>
      <c r="K657">
        <f t="shared" si="51"/>
        <v>0</v>
      </c>
      <c r="L657">
        <f t="shared" si="52"/>
        <v>212.69</v>
      </c>
      <c r="M657" s="1">
        <f t="shared" si="53"/>
        <v>212.69</v>
      </c>
      <c r="N657" s="1" t="s">
        <v>10</v>
      </c>
      <c r="O657" s="1">
        <v>7.7</v>
      </c>
    </row>
    <row r="658" spans="4:15" x14ac:dyDescent="0.3">
      <c r="D658" s="1">
        <v>56291</v>
      </c>
      <c r="E658" s="2">
        <v>43725</v>
      </c>
      <c r="F658" s="1" t="s">
        <v>11</v>
      </c>
      <c r="G658" s="1">
        <v>47</v>
      </c>
      <c r="H658" t="str">
        <f t="shared" si="54"/>
        <v>XXX Large</v>
      </c>
      <c r="I658" t="str">
        <f t="shared" si="50"/>
        <v>XXX Large</v>
      </c>
      <c r="J658" s="1">
        <v>1284.749</v>
      </c>
      <c r="K658">
        <f t="shared" si="51"/>
        <v>0.01</v>
      </c>
      <c r="L658">
        <f t="shared" si="52"/>
        <v>1271.9015099999999</v>
      </c>
      <c r="M658" s="1">
        <f t="shared" si="53"/>
        <v>1275.3489999999999</v>
      </c>
      <c r="N658" s="1" t="s">
        <v>10</v>
      </c>
      <c r="O658" s="1">
        <v>9.4</v>
      </c>
    </row>
    <row r="659" spans="4:15" x14ac:dyDescent="0.3">
      <c r="D659" s="1">
        <v>59781</v>
      </c>
      <c r="E659" s="2">
        <v>43811</v>
      </c>
      <c r="F659" s="1" t="s">
        <v>11</v>
      </c>
      <c r="G659" s="1">
        <v>43</v>
      </c>
      <c r="H659" t="str">
        <f t="shared" si="54"/>
        <v>XX Large</v>
      </c>
      <c r="I659" t="str">
        <f t="shared" si="50"/>
        <v>XX Large</v>
      </c>
      <c r="J659" s="1">
        <v>280.48</v>
      </c>
      <c r="K659">
        <f t="shared" si="51"/>
        <v>0.01</v>
      </c>
      <c r="L659">
        <f t="shared" si="52"/>
        <v>277.67520000000002</v>
      </c>
      <c r="M659" s="1">
        <f t="shared" si="53"/>
        <v>274.78000000000003</v>
      </c>
      <c r="N659" s="1" t="s">
        <v>8</v>
      </c>
      <c r="O659" s="1">
        <v>5.7</v>
      </c>
    </row>
    <row r="660" spans="4:15" x14ac:dyDescent="0.3">
      <c r="D660" s="1">
        <v>35842</v>
      </c>
      <c r="E660" s="2">
        <v>43609</v>
      </c>
      <c r="F660" s="1" t="s">
        <v>9</v>
      </c>
      <c r="G660" s="1">
        <v>18</v>
      </c>
      <c r="H660" t="str">
        <f t="shared" si="54"/>
        <v>Small-Medium</v>
      </c>
      <c r="I660" t="str">
        <f t="shared" si="50"/>
        <v>Small-Medium</v>
      </c>
      <c r="J660" s="1">
        <v>57.56</v>
      </c>
      <c r="K660">
        <f t="shared" si="51"/>
        <v>0</v>
      </c>
      <c r="L660">
        <f t="shared" si="52"/>
        <v>57.56</v>
      </c>
      <c r="M660" s="1">
        <f t="shared" si="53"/>
        <v>57.56</v>
      </c>
      <c r="N660" s="1" t="s">
        <v>10</v>
      </c>
      <c r="O660" s="1">
        <v>1.1000000000000001</v>
      </c>
    </row>
    <row r="661" spans="4:15" x14ac:dyDescent="0.3">
      <c r="D661" s="1">
        <v>45700</v>
      </c>
      <c r="E661" s="2">
        <v>43782</v>
      </c>
      <c r="F661" s="1" t="s">
        <v>9</v>
      </c>
      <c r="G661" s="1">
        <v>43</v>
      </c>
      <c r="H661" t="str">
        <f t="shared" si="54"/>
        <v>XX Large</v>
      </c>
      <c r="I661" t="str">
        <f t="shared" si="50"/>
        <v>XX Large</v>
      </c>
      <c r="J661" s="1">
        <v>1823.9</v>
      </c>
      <c r="K661">
        <f t="shared" si="51"/>
        <v>0.01</v>
      </c>
      <c r="L661">
        <f t="shared" si="52"/>
        <v>1805.6610000000001</v>
      </c>
      <c r="M661" s="1">
        <f t="shared" si="53"/>
        <v>1819.1000000000001</v>
      </c>
      <c r="N661" s="1" t="s">
        <v>10</v>
      </c>
      <c r="O661" s="1">
        <v>4.8</v>
      </c>
    </row>
    <row r="662" spans="4:15" x14ac:dyDescent="0.3">
      <c r="D662" s="1">
        <v>42982</v>
      </c>
      <c r="E662" s="2">
        <v>43673</v>
      </c>
      <c r="F662" s="1" t="s">
        <v>7</v>
      </c>
      <c r="G662" s="1">
        <v>12</v>
      </c>
      <c r="H662" t="str">
        <f t="shared" si="54"/>
        <v>Small</v>
      </c>
      <c r="I662" t="str">
        <f t="shared" si="50"/>
        <v>Small</v>
      </c>
      <c r="J662" s="1">
        <v>1410.62</v>
      </c>
      <c r="K662">
        <f t="shared" si="51"/>
        <v>0</v>
      </c>
      <c r="L662">
        <f t="shared" si="52"/>
        <v>1410.62</v>
      </c>
      <c r="M662" s="1">
        <f t="shared" si="53"/>
        <v>1410.62</v>
      </c>
      <c r="N662" s="1" t="s">
        <v>8</v>
      </c>
      <c r="O662" s="1">
        <v>26.2</v>
      </c>
    </row>
    <row r="663" spans="4:15" x14ac:dyDescent="0.3">
      <c r="D663" s="1">
        <v>15687</v>
      </c>
      <c r="E663" s="2">
        <v>43564</v>
      </c>
      <c r="F663" s="1" t="s">
        <v>12</v>
      </c>
      <c r="G663" s="1">
        <v>48</v>
      </c>
      <c r="H663" t="str">
        <f t="shared" si="54"/>
        <v>XXX Large</v>
      </c>
      <c r="I663" t="str">
        <f t="shared" si="50"/>
        <v>XXX Large</v>
      </c>
      <c r="J663" s="1">
        <v>3638.67</v>
      </c>
      <c r="K663">
        <f t="shared" si="51"/>
        <v>0.01</v>
      </c>
      <c r="L663">
        <f t="shared" si="52"/>
        <v>3602.2833000000001</v>
      </c>
      <c r="M663" s="1">
        <f t="shared" si="53"/>
        <v>3588.67</v>
      </c>
      <c r="N663" s="1" t="s">
        <v>13</v>
      </c>
      <c r="O663" s="1">
        <v>50</v>
      </c>
    </row>
    <row r="664" spans="4:15" x14ac:dyDescent="0.3">
      <c r="D664" s="1">
        <v>11431</v>
      </c>
      <c r="E664" s="2">
        <v>43678</v>
      </c>
      <c r="F664" s="1" t="s">
        <v>9</v>
      </c>
      <c r="G664" s="1">
        <v>5</v>
      </c>
      <c r="H664" t="str">
        <f t="shared" si="54"/>
        <v>Mini</v>
      </c>
      <c r="I664" t="str">
        <f t="shared" si="50"/>
        <v>Mini</v>
      </c>
      <c r="J664" s="1">
        <v>42.46</v>
      </c>
      <c r="K664">
        <f t="shared" si="51"/>
        <v>0</v>
      </c>
      <c r="L664">
        <f t="shared" si="52"/>
        <v>42.46</v>
      </c>
      <c r="M664" s="1">
        <f t="shared" si="53"/>
        <v>42.46</v>
      </c>
      <c r="N664" s="1" t="s">
        <v>10</v>
      </c>
      <c r="O664" s="1">
        <v>3.1</v>
      </c>
    </row>
    <row r="665" spans="4:15" x14ac:dyDescent="0.3">
      <c r="D665" s="1">
        <v>21573</v>
      </c>
      <c r="E665" s="2">
        <v>43580</v>
      </c>
      <c r="F665" s="1" t="s">
        <v>12</v>
      </c>
      <c r="G665" s="1">
        <v>3</v>
      </c>
      <c r="H665" t="str">
        <f t="shared" si="54"/>
        <v>Mini</v>
      </c>
      <c r="I665" t="str">
        <f t="shared" si="50"/>
        <v>Mini</v>
      </c>
      <c r="J665" s="1">
        <v>251.2</v>
      </c>
      <c r="K665">
        <f t="shared" si="51"/>
        <v>0</v>
      </c>
      <c r="L665">
        <f t="shared" si="52"/>
        <v>251.2</v>
      </c>
      <c r="M665" s="1">
        <f t="shared" si="53"/>
        <v>251.2</v>
      </c>
      <c r="N665" s="1" t="s">
        <v>13</v>
      </c>
      <c r="O665" s="1">
        <v>95.6</v>
      </c>
    </row>
    <row r="666" spans="4:15" x14ac:dyDescent="0.3">
      <c r="D666" s="1">
        <v>25569</v>
      </c>
      <c r="E666" s="2">
        <v>43655</v>
      </c>
      <c r="F666" s="1" t="s">
        <v>9</v>
      </c>
      <c r="G666" s="1">
        <v>27</v>
      </c>
      <c r="H666" t="str">
        <f t="shared" si="54"/>
        <v>Medium-Large</v>
      </c>
      <c r="I666" t="str">
        <f t="shared" si="50"/>
        <v>Medium-Large</v>
      </c>
      <c r="J666" s="1">
        <v>332.99</v>
      </c>
      <c r="K666">
        <f t="shared" si="51"/>
        <v>0</v>
      </c>
      <c r="L666">
        <f t="shared" si="52"/>
        <v>332.99</v>
      </c>
      <c r="M666" s="1">
        <f t="shared" si="53"/>
        <v>332.99</v>
      </c>
      <c r="N666" s="1" t="s">
        <v>10</v>
      </c>
      <c r="O666" s="1">
        <v>6.9</v>
      </c>
    </row>
    <row r="667" spans="4:15" x14ac:dyDescent="0.3">
      <c r="D667" s="1">
        <v>59491</v>
      </c>
      <c r="E667" s="2">
        <v>43548</v>
      </c>
      <c r="F667" s="1" t="s">
        <v>9</v>
      </c>
      <c r="G667" s="1">
        <v>8</v>
      </c>
      <c r="H667" t="str">
        <f t="shared" si="54"/>
        <v>Extra Small</v>
      </c>
      <c r="I667" t="str">
        <f t="shared" si="50"/>
        <v>Extra Small</v>
      </c>
      <c r="J667" s="1">
        <v>34.57</v>
      </c>
      <c r="K667">
        <f t="shared" si="51"/>
        <v>0</v>
      </c>
      <c r="L667">
        <f t="shared" si="52"/>
        <v>34.57</v>
      </c>
      <c r="M667" s="1">
        <f t="shared" si="53"/>
        <v>34.57</v>
      </c>
      <c r="N667" s="1" t="s">
        <v>10</v>
      </c>
      <c r="O667" s="1">
        <v>5.9</v>
      </c>
    </row>
    <row r="668" spans="4:15" x14ac:dyDescent="0.3">
      <c r="D668" s="1">
        <v>11045</v>
      </c>
      <c r="E668" s="2">
        <v>43549</v>
      </c>
      <c r="F668" s="1" t="s">
        <v>14</v>
      </c>
      <c r="G668" s="1">
        <v>35</v>
      </c>
      <c r="H668" t="str">
        <f t="shared" si="54"/>
        <v>Large</v>
      </c>
      <c r="I668" t="str">
        <f t="shared" si="50"/>
        <v>Large</v>
      </c>
      <c r="J668" s="1">
        <v>760.62</v>
      </c>
      <c r="K668">
        <f t="shared" si="51"/>
        <v>0</v>
      </c>
      <c r="L668">
        <f t="shared" si="52"/>
        <v>760.62</v>
      </c>
      <c r="M668" s="1">
        <f t="shared" si="53"/>
        <v>760.62</v>
      </c>
      <c r="N668" s="1" t="s">
        <v>10</v>
      </c>
      <c r="O668" s="1">
        <v>6.4</v>
      </c>
    </row>
    <row r="669" spans="4:15" x14ac:dyDescent="0.3">
      <c r="D669" s="1">
        <v>487</v>
      </c>
      <c r="E669" s="2">
        <v>43694</v>
      </c>
      <c r="F669" s="1" t="s">
        <v>12</v>
      </c>
      <c r="G669" s="1">
        <v>19</v>
      </c>
      <c r="H669" t="str">
        <f t="shared" si="54"/>
        <v>Small-Medium</v>
      </c>
      <c r="I669" t="str">
        <f t="shared" si="50"/>
        <v>Small-Medium</v>
      </c>
      <c r="J669" s="1">
        <v>225.13</v>
      </c>
      <c r="K669">
        <f t="shared" si="51"/>
        <v>0</v>
      </c>
      <c r="L669">
        <f t="shared" si="52"/>
        <v>225.13</v>
      </c>
      <c r="M669" s="1">
        <f t="shared" si="53"/>
        <v>225.13</v>
      </c>
      <c r="N669" s="1" t="s">
        <v>10</v>
      </c>
      <c r="O669" s="1">
        <v>4.8</v>
      </c>
    </row>
    <row r="670" spans="4:15" x14ac:dyDescent="0.3">
      <c r="D670" s="1">
        <v>9509</v>
      </c>
      <c r="E670" s="2">
        <v>43745</v>
      </c>
      <c r="F670" s="1" t="s">
        <v>11</v>
      </c>
      <c r="G670" s="1">
        <v>36</v>
      </c>
      <c r="H670" t="str">
        <f t="shared" si="54"/>
        <v>Extra Large</v>
      </c>
      <c r="I670" t="str">
        <f t="shared" si="50"/>
        <v>Extra Large</v>
      </c>
      <c r="J670" s="1">
        <v>13028.13</v>
      </c>
      <c r="K670">
        <f t="shared" si="51"/>
        <v>0.01</v>
      </c>
      <c r="L670">
        <f t="shared" si="52"/>
        <v>12897.848699999999</v>
      </c>
      <c r="M670" s="1">
        <f t="shared" si="53"/>
        <v>12965.029999999999</v>
      </c>
      <c r="N670" s="1" t="s">
        <v>13</v>
      </c>
      <c r="O670" s="1">
        <v>63.1</v>
      </c>
    </row>
    <row r="671" spans="4:15" x14ac:dyDescent="0.3">
      <c r="D671" s="1">
        <v>37765</v>
      </c>
      <c r="E671" s="2">
        <v>43793</v>
      </c>
      <c r="F671" s="1" t="s">
        <v>7</v>
      </c>
      <c r="G671" s="1">
        <v>12</v>
      </c>
      <c r="H671" t="str">
        <f t="shared" si="54"/>
        <v>Small</v>
      </c>
      <c r="I671" t="str">
        <f t="shared" si="50"/>
        <v>Small</v>
      </c>
      <c r="J671" s="1">
        <v>1567.9</v>
      </c>
      <c r="K671">
        <f t="shared" si="51"/>
        <v>0</v>
      </c>
      <c r="L671">
        <f t="shared" si="52"/>
        <v>1567.9</v>
      </c>
      <c r="M671" s="1">
        <f t="shared" si="53"/>
        <v>1567.9</v>
      </c>
      <c r="N671" s="1" t="s">
        <v>13</v>
      </c>
      <c r="O671" s="1">
        <v>32.1</v>
      </c>
    </row>
    <row r="672" spans="4:15" x14ac:dyDescent="0.3">
      <c r="D672" s="1">
        <v>59234</v>
      </c>
      <c r="E672" s="2">
        <v>43675</v>
      </c>
      <c r="F672" s="1" t="s">
        <v>7</v>
      </c>
      <c r="G672" s="1">
        <v>32</v>
      </c>
      <c r="H672" t="str">
        <f t="shared" si="54"/>
        <v>Large</v>
      </c>
      <c r="I672" t="str">
        <f t="shared" si="50"/>
        <v>Large</v>
      </c>
      <c r="J672" s="1">
        <v>6084.29</v>
      </c>
      <c r="K672">
        <f t="shared" si="51"/>
        <v>0</v>
      </c>
      <c r="L672">
        <f t="shared" si="52"/>
        <v>6084.29</v>
      </c>
      <c r="M672" s="1">
        <f t="shared" si="53"/>
        <v>6084.29</v>
      </c>
      <c r="N672" s="1" t="s">
        <v>10</v>
      </c>
      <c r="O672" s="1">
        <v>1.1000000000000001</v>
      </c>
    </row>
    <row r="673" spans="4:15" x14ac:dyDescent="0.3">
      <c r="D673" s="1">
        <v>48067</v>
      </c>
      <c r="E673" s="2">
        <v>43645</v>
      </c>
      <c r="F673" s="1" t="s">
        <v>7</v>
      </c>
      <c r="G673" s="1">
        <v>31</v>
      </c>
      <c r="H673" t="str">
        <f t="shared" si="54"/>
        <v>Large</v>
      </c>
      <c r="I673" t="str">
        <f t="shared" si="50"/>
        <v>Large</v>
      </c>
      <c r="J673" s="1">
        <v>3455.74</v>
      </c>
      <c r="K673">
        <f t="shared" si="51"/>
        <v>0</v>
      </c>
      <c r="L673">
        <f t="shared" si="52"/>
        <v>3455.74</v>
      </c>
      <c r="M673" s="1">
        <f t="shared" si="53"/>
        <v>3455.74</v>
      </c>
      <c r="N673" s="1" t="s">
        <v>8</v>
      </c>
      <c r="O673" s="1">
        <v>3.2</v>
      </c>
    </row>
    <row r="674" spans="4:15" x14ac:dyDescent="0.3">
      <c r="D674" s="1">
        <v>20451</v>
      </c>
      <c r="E674" s="2">
        <v>43610</v>
      </c>
      <c r="F674" s="1" t="s">
        <v>12</v>
      </c>
      <c r="G674" s="1">
        <v>33</v>
      </c>
      <c r="H674" t="str">
        <f t="shared" si="54"/>
        <v>Large</v>
      </c>
      <c r="I674" t="str">
        <f t="shared" si="50"/>
        <v>Large</v>
      </c>
      <c r="J674" s="1">
        <v>1935.85</v>
      </c>
      <c r="K674">
        <f t="shared" si="51"/>
        <v>0</v>
      </c>
      <c r="L674">
        <f t="shared" si="52"/>
        <v>1935.85</v>
      </c>
      <c r="M674" s="1">
        <f t="shared" si="53"/>
        <v>1935.85</v>
      </c>
      <c r="N674" s="1" t="s">
        <v>10</v>
      </c>
      <c r="O674" s="1">
        <v>5.4</v>
      </c>
    </row>
    <row r="675" spans="4:15" x14ac:dyDescent="0.3">
      <c r="D675" s="1">
        <v>14726</v>
      </c>
      <c r="E675" s="2">
        <v>43472</v>
      </c>
      <c r="F675" s="1" t="s">
        <v>7</v>
      </c>
      <c r="G675" s="1">
        <v>15</v>
      </c>
      <c r="H675" t="str">
        <f t="shared" si="54"/>
        <v>Small</v>
      </c>
      <c r="I675" t="str">
        <f t="shared" si="50"/>
        <v>Small</v>
      </c>
      <c r="J675" s="1">
        <v>332.63</v>
      </c>
      <c r="K675">
        <f t="shared" si="51"/>
        <v>0</v>
      </c>
      <c r="L675">
        <f t="shared" si="52"/>
        <v>332.63</v>
      </c>
      <c r="M675" s="1">
        <f t="shared" si="53"/>
        <v>332.63</v>
      </c>
      <c r="N675" s="1" t="s">
        <v>10</v>
      </c>
      <c r="O675" s="1">
        <v>4.3</v>
      </c>
    </row>
    <row r="676" spans="4:15" x14ac:dyDescent="0.3">
      <c r="D676" s="1">
        <v>35173</v>
      </c>
      <c r="E676" s="2">
        <v>43537</v>
      </c>
      <c r="F676" s="1" t="s">
        <v>11</v>
      </c>
      <c r="G676" s="1">
        <v>29</v>
      </c>
      <c r="H676" t="str">
        <f t="shared" si="54"/>
        <v>Medium-Large</v>
      </c>
      <c r="I676" t="str">
        <f t="shared" si="50"/>
        <v>Medium-Large</v>
      </c>
      <c r="J676" s="1">
        <v>6937.09</v>
      </c>
      <c r="K676">
        <f t="shared" si="51"/>
        <v>0</v>
      </c>
      <c r="L676">
        <f t="shared" si="52"/>
        <v>6937.09</v>
      </c>
      <c r="M676" s="1">
        <f t="shared" si="53"/>
        <v>6937.09</v>
      </c>
      <c r="N676" s="1" t="s">
        <v>13</v>
      </c>
      <c r="O676" s="1">
        <v>64.400000000000006</v>
      </c>
    </row>
    <row r="677" spans="4:15" x14ac:dyDescent="0.3">
      <c r="D677" s="1">
        <v>25825</v>
      </c>
      <c r="E677" s="2">
        <v>43665</v>
      </c>
      <c r="F677" s="1" t="s">
        <v>11</v>
      </c>
      <c r="G677" s="1">
        <v>45</v>
      </c>
      <c r="H677" t="str">
        <f t="shared" si="54"/>
        <v>XX Large</v>
      </c>
      <c r="I677" t="str">
        <f t="shared" si="50"/>
        <v>XX Large</v>
      </c>
      <c r="J677" s="1">
        <v>517.60180000000003</v>
      </c>
      <c r="K677">
        <f t="shared" si="51"/>
        <v>0.01</v>
      </c>
      <c r="L677">
        <f t="shared" si="52"/>
        <v>512.42578200000003</v>
      </c>
      <c r="M677" s="1">
        <f t="shared" si="53"/>
        <v>515.70180000000005</v>
      </c>
      <c r="N677" s="1" t="s">
        <v>10</v>
      </c>
      <c r="O677" s="1">
        <v>1.9</v>
      </c>
    </row>
    <row r="678" spans="4:15" x14ac:dyDescent="0.3">
      <c r="D678" s="1">
        <v>20354</v>
      </c>
      <c r="E678" s="2">
        <v>43727</v>
      </c>
      <c r="F678" s="1" t="s">
        <v>12</v>
      </c>
      <c r="G678" s="1">
        <v>24</v>
      </c>
      <c r="H678" t="str">
        <f t="shared" si="54"/>
        <v>Medium</v>
      </c>
      <c r="I678" t="str">
        <f t="shared" si="50"/>
        <v>Medium</v>
      </c>
      <c r="J678" s="1">
        <v>81.38</v>
      </c>
      <c r="K678">
        <f t="shared" si="51"/>
        <v>0</v>
      </c>
      <c r="L678">
        <f t="shared" si="52"/>
        <v>81.38</v>
      </c>
      <c r="M678" s="1">
        <f t="shared" si="53"/>
        <v>81.38</v>
      </c>
      <c r="N678" s="1" t="s">
        <v>10</v>
      </c>
      <c r="O678" s="1">
        <v>0.5</v>
      </c>
    </row>
    <row r="679" spans="4:15" x14ac:dyDescent="0.3">
      <c r="D679" s="1">
        <v>52290</v>
      </c>
      <c r="E679" s="2">
        <v>43606</v>
      </c>
      <c r="F679" s="1" t="s">
        <v>7</v>
      </c>
      <c r="G679" s="1">
        <v>7</v>
      </c>
      <c r="H679" t="str">
        <f t="shared" si="54"/>
        <v>Extra Small</v>
      </c>
      <c r="I679" t="str">
        <f t="shared" si="50"/>
        <v>Extra Small</v>
      </c>
      <c r="J679" s="1">
        <v>1213.43</v>
      </c>
      <c r="K679">
        <f t="shared" si="51"/>
        <v>0</v>
      </c>
      <c r="L679">
        <f t="shared" si="52"/>
        <v>1213.43</v>
      </c>
      <c r="M679" s="1">
        <f t="shared" si="53"/>
        <v>1213.43</v>
      </c>
      <c r="N679" s="1" t="s">
        <v>10</v>
      </c>
      <c r="O679" s="1">
        <v>21.4</v>
      </c>
    </row>
    <row r="680" spans="4:15" x14ac:dyDescent="0.3">
      <c r="D680" s="1">
        <v>43138</v>
      </c>
      <c r="E680" s="2">
        <v>43538</v>
      </c>
      <c r="F680" s="1" t="s">
        <v>7</v>
      </c>
      <c r="G680" s="1">
        <v>50</v>
      </c>
      <c r="H680" t="str">
        <f t="shared" si="54"/>
        <v>XXX Large</v>
      </c>
      <c r="I680" t="str">
        <f t="shared" si="50"/>
        <v>XXX Large</v>
      </c>
      <c r="J680" s="1">
        <v>7011.56</v>
      </c>
      <c r="K680">
        <f t="shared" si="51"/>
        <v>0.01</v>
      </c>
      <c r="L680">
        <f t="shared" si="52"/>
        <v>6941.4444000000003</v>
      </c>
      <c r="M680" s="1">
        <f t="shared" si="53"/>
        <v>6977.1600000000008</v>
      </c>
      <c r="N680" s="1" t="s">
        <v>13</v>
      </c>
      <c r="O680" s="1">
        <v>34.4</v>
      </c>
    </row>
    <row r="681" spans="4:15" x14ac:dyDescent="0.3">
      <c r="D681" s="1">
        <v>34241</v>
      </c>
      <c r="E681" s="2">
        <v>43746</v>
      </c>
      <c r="F681" s="1" t="s">
        <v>7</v>
      </c>
      <c r="G681" s="1">
        <v>4</v>
      </c>
      <c r="H681" t="str">
        <f t="shared" si="54"/>
        <v>Mini</v>
      </c>
      <c r="I681" t="str">
        <f t="shared" si="50"/>
        <v>Mini</v>
      </c>
      <c r="J681" s="1">
        <v>222.07849999999999</v>
      </c>
      <c r="K681">
        <f t="shared" si="51"/>
        <v>0</v>
      </c>
      <c r="L681">
        <f t="shared" si="52"/>
        <v>222.07849999999999</v>
      </c>
      <c r="M681" s="1">
        <f t="shared" si="53"/>
        <v>222.07849999999999</v>
      </c>
      <c r="N681" s="1" t="s">
        <v>10</v>
      </c>
      <c r="O681" s="1">
        <v>2.7</v>
      </c>
    </row>
    <row r="682" spans="4:15" x14ac:dyDescent="0.3">
      <c r="D682" s="1">
        <v>29507</v>
      </c>
      <c r="E682" s="2">
        <v>43504</v>
      </c>
      <c r="F682" s="1" t="s">
        <v>7</v>
      </c>
      <c r="G682" s="1">
        <v>41</v>
      </c>
      <c r="H682" t="str">
        <f t="shared" si="54"/>
        <v>XX Large</v>
      </c>
      <c r="I682" t="str">
        <f t="shared" si="50"/>
        <v>XX Large</v>
      </c>
      <c r="J682" s="1">
        <v>1364.2</v>
      </c>
      <c r="K682">
        <f t="shared" si="51"/>
        <v>0.01</v>
      </c>
      <c r="L682">
        <f t="shared" si="52"/>
        <v>1350.558</v>
      </c>
      <c r="M682" s="1">
        <f t="shared" si="53"/>
        <v>1363</v>
      </c>
      <c r="N682" s="1" t="s">
        <v>10</v>
      </c>
      <c r="O682" s="1">
        <v>1.2</v>
      </c>
    </row>
    <row r="683" spans="4:15" x14ac:dyDescent="0.3">
      <c r="D683" s="1">
        <v>36803</v>
      </c>
      <c r="E683" s="2">
        <v>43681</v>
      </c>
      <c r="F683" s="1" t="s">
        <v>11</v>
      </c>
      <c r="G683" s="1">
        <v>2</v>
      </c>
      <c r="H683" t="str">
        <f t="shared" si="54"/>
        <v>Mini</v>
      </c>
      <c r="I683" t="str">
        <f t="shared" si="50"/>
        <v>Mini</v>
      </c>
      <c r="J683" s="1">
        <v>110.32</v>
      </c>
      <c r="K683">
        <f t="shared" si="51"/>
        <v>0</v>
      </c>
      <c r="L683">
        <f t="shared" si="52"/>
        <v>110.32</v>
      </c>
      <c r="M683" s="1">
        <f t="shared" si="53"/>
        <v>110.32</v>
      </c>
      <c r="N683" s="1" t="s">
        <v>10</v>
      </c>
      <c r="O683" s="1">
        <v>2.7</v>
      </c>
    </row>
    <row r="684" spans="4:15" x14ac:dyDescent="0.3">
      <c r="D684" s="1">
        <v>59204</v>
      </c>
      <c r="E684" s="2">
        <v>43524</v>
      </c>
      <c r="F684" s="1" t="s">
        <v>14</v>
      </c>
      <c r="G684" s="1">
        <v>8</v>
      </c>
      <c r="H684" t="str">
        <f t="shared" si="54"/>
        <v>Extra Small</v>
      </c>
      <c r="I684" t="str">
        <f t="shared" si="50"/>
        <v>Extra Small</v>
      </c>
      <c r="J684" s="1">
        <v>267.81</v>
      </c>
      <c r="K684">
        <f t="shared" si="51"/>
        <v>0</v>
      </c>
      <c r="L684">
        <f t="shared" si="52"/>
        <v>267.81</v>
      </c>
      <c r="M684" s="1">
        <f t="shared" si="53"/>
        <v>267.81</v>
      </c>
      <c r="N684" s="1" t="s">
        <v>10</v>
      </c>
      <c r="O684" s="1">
        <v>13.5</v>
      </c>
    </row>
    <row r="685" spans="4:15" x14ac:dyDescent="0.3">
      <c r="D685" s="1">
        <v>40132</v>
      </c>
      <c r="E685" s="2">
        <v>43518</v>
      </c>
      <c r="F685" s="1" t="s">
        <v>7</v>
      </c>
      <c r="G685" s="1">
        <v>26</v>
      </c>
      <c r="H685" t="str">
        <f t="shared" si="54"/>
        <v>Medium-Large</v>
      </c>
      <c r="I685" t="str">
        <f t="shared" si="50"/>
        <v>Medium-Large</v>
      </c>
      <c r="J685" s="1">
        <v>1458.41</v>
      </c>
      <c r="K685">
        <f t="shared" si="51"/>
        <v>0</v>
      </c>
      <c r="L685">
        <f t="shared" si="52"/>
        <v>1458.41</v>
      </c>
      <c r="M685" s="1">
        <f t="shared" si="53"/>
        <v>1458.41</v>
      </c>
      <c r="N685" s="1" t="s">
        <v>13</v>
      </c>
      <c r="O685" s="1">
        <v>15.2</v>
      </c>
    </row>
    <row r="686" spans="4:15" x14ac:dyDescent="0.3">
      <c r="D686" s="1">
        <v>45575</v>
      </c>
      <c r="E686" s="2">
        <v>43567</v>
      </c>
      <c r="F686" s="1" t="s">
        <v>12</v>
      </c>
      <c r="G686" s="1">
        <v>46</v>
      </c>
      <c r="H686" t="str">
        <f t="shared" si="54"/>
        <v>XXX Large</v>
      </c>
      <c r="I686" t="str">
        <f t="shared" si="50"/>
        <v>XXX Large</v>
      </c>
      <c r="J686" s="1">
        <v>4118.6099999999997</v>
      </c>
      <c r="K686">
        <f t="shared" si="51"/>
        <v>0.01</v>
      </c>
      <c r="L686">
        <f t="shared" si="52"/>
        <v>4077.4238999999998</v>
      </c>
      <c r="M686" s="1">
        <f t="shared" si="53"/>
        <v>4113.21</v>
      </c>
      <c r="N686" s="1" t="s">
        <v>10</v>
      </c>
      <c r="O686" s="1">
        <v>5.4</v>
      </c>
    </row>
    <row r="687" spans="4:15" x14ac:dyDescent="0.3">
      <c r="D687" s="1">
        <v>41667</v>
      </c>
      <c r="E687" s="2">
        <v>43636</v>
      </c>
      <c r="F687" s="1" t="s">
        <v>9</v>
      </c>
      <c r="G687" s="1">
        <v>18</v>
      </c>
      <c r="H687" t="str">
        <f t="shared" si="54"/>
        <v>Small-Medium</v>
      </c>
      <c r="I687" t="str">
        <f t="shared" si="50"/>
        <v>Small-Medium</v>
      </c>
      <c r="J687" s="1">
        <v>1136.57</v>
      </c>
      <c r="K687">
        <f t="shared" si="51"/>
        <v>0</v>
      </c>
      <c r="L687">
        <f t="shared" si="52"/>
        <v>1136.57</v>
      </c>
      <c r="M687" s="1">
        <f t="shared" si="53"/>
        <v>1136.57</v>
      </c>
      <c r="N687" s="1" t="s">
        <v>10</v>
      </c>
      <c r="O687" s="1">
        <v>5.7</v>
      </c>
    </row>
    <row r="688" spans="4:15" x14ac:dyDescent="0.3">
      <c r="D688" s="1">
        <v>14439</v>
      </c>
      <c r="E688" s="2">
        <v>43707</v>
      </c>
      <c r="F688" s="1" t="s">
        <v>9</v>
      </c>
      <c r="G688" s="1">
        <v>27</v>
      </c>
      <c r="H688" t="str">
        <f t="shared" si="54"/>
        <v>Medium-Large</v>
      </c>
      <c r="I688" t="str">
        <f t="shared" si="50"/>
        <v>Medium-Large</v>
      </c>
      <c r="J688" s="1">
        <v>1528.64</v>
      </c>
      <c r="K688">
        <f t="shared" si="51"/>
        <v>0</v>
      </c>
      <c r="L688">
        <f t="shared" si="52"/>
        <v>1528.64</v>
      </c>
      <c r="M688" s="1">
        <f t="shared" si="53"/>
        <v>1528.64</v>
      </c>
      <c r="N688" s="1" t="s">
        <v>10</v>
      </c>
      <c r="O688" s="1">
        <v>11.5</v>
      </c>
    </row>
    <row r="689" spans="4:15" x14ac:dyDescent="0.3">
      <c r="D689" s="1">
        <v>34400</v>
      </c>
      <c r="E689" s="2">
        <v>43823</v>
      </c>
      <c r="F689" s="1" t="s">
        <v>7</v>
      </c>
      <c r="G689" s="1">
        <v>17</v>
      </c>
      <c r="H689" t="str">
        <f t="shared" si="54"/>
        <v>Small-Medium</v>
      </c>
      <c r="I689" t="str">
        <f t="shared" si="50"/>
        <v>Small-Medium</v>
      </c>
      <c r="J689" s="1">
        <v>1057.8499999999999</v>
      </c>
      <c r="K689">
        <f t="shared" si="51"/>
        <v>0</v>
      </c>
      <c r="L689">
        <f t="shared" si="52"/>
        <v>1057.8499999999999</v>
      </c>
      <c r="M689" s="1">
        <f t="shared" si="53"/>
        <v>1057.8499999999999</v>
      </c>
      <c r="N689" s="1" t="s">
        <v>10</v>
      </c>
      <c r="O689" s="1">
        <v>4.5</v>
      </c>
    </row>
    <row r="690" spans="4:15" x14ac:dyDescent="0.3">
      <c r="D690" s="1">
        <v>8803</v>
      </c>
      <c r="E690" s="2">
        <v>43819</v>
      </c>
      <c r="F690" s="1" t="s">
        <v>11</v>
      </c>
      <c r="G690" s="1">
        <v>6</v>
      </c>
      <c r="H690" t="str">
        <f t="shared" si="54"/>
        <v>Extra Small</v>
      </c>
      <c r="I690" t="str">
        <f t="shared" si="50"/>
        <v>Extra Small</v>
      </c>
      <c r="J690" s="1">
        <v>1267</v>
      </c>
      <c r="K690">
        <f t="shared" si="51"/>
        <v>0</v>
      </c>
      <c r="L690">
        <f t="shared" si="52"/>
        <v>1267</v>
      </c>
      <c r="M690" s="1">
        <f t="shared" si="53"/>
        <v>1267</v>
      </c>
      <c r="N690" s="1" t="s">
        <v>10</v>
      </c>
      <c r="O690" s="1">
        <v>21.4</v>
      </c>
    </row>
    <row r="691" spans="4:15" x14ac:dyDescent="0.3">
      <c r="D691" s="1">
        <v>16103</v>
      </c>
      <c r="E691" s="2">
        <v>43661</v>
      </c>
      <c r="F691" s="1" t="s">
        <v>11</v>
      </c>
      <c r="G691" s="1">
        <v>31</v>
      </c>
      <c r="H691" t="str">
        <f t="shared" si="54"/>
        <v>Large</v>
      </c>
      <c r="I691" t="str">
        <f t="shared" si="50"/>
        <v>Large</v>
      </c>
      <c r="J691" s="1">
        <v>232.34</v>
      </c>
      <c r="K691">
        <f t="shared" si="51"/>
        <v>0</v>
      </c>
      <c r="L691">
        <f t="shared" si="52"/>
        <v>232.34</v>
      </c>
      <c r="M691" s="1">
        <f t="shared" si="53"/>
        <v>232.34</v>
      </c>
      <c r="N691" s="1" t="s">
        <v>10</v>
      </c>
      <c r="O691" s="1">
        <v>6.7</v>
      </c>
    </row>
    <row r="692" spans="4:15" x14ac:dyDescent="0.3">
      <c r="D692" s="1">
        <v>24450</v>
      </c>
      <c r="E692" s="2">
        <v>43655</v>
      </c>
      <c r="F692" s="1" t="s">
        <v>12</v>
      </c>
      <c r="G692" s="1">
        <v>4</v>
      </c>
      <c r="H692" t="str">
        <f t="shared" si="54"/>
        <v>Mini</v>
      </c>
      <c r="I692" t="str">
        <f t="shared" si="50"/>
        <v>Mini</v>
      </c>
      <c r="J692" s="1">
        <v>33.01</v>
      </c>
      <c r="K692">
        <f t="shared" si="51"/>
        <v>0</v>
      </c>
      <c r="L692">
        <f t="shared" si="52"/>
        <v>33.01</v>
      </c>
      <c r="M692" s="1">
        <f t="shared" si="53"/>
        <v>33.01</v>
      </c>
      <c r="N692" s="1" t="s">
        <v>10</v>
      </c>
      <c r="O692" s="1">
        <v>6.2</v>
      </c>
    </row>
    <row r="693" spans="4:15" x14ac:dyDescent="0.3">
      <c r="D693" s="1">
        <v>2755</v>
      </c>
      <c r="E693" s="2">
        <v>43501</v>
      </c>
      <c r="F693" s="1" t="s">
        <v>11</v>
      </c>
      <c r="G693" s="1">
        <v>50</v>
      </c>
      <c r="H693" t="str">
        <f t="shared" si="54"/>
        <v>XXX Large</v>
      </c>
      <c r="I693" t="str">
        <f t="shared" si="50"/>
        <v>XXX Large</v>
      </c>
      <c r="J693" s="1">
        <v>370.28</v>
      </c>
      <c r="K693">
        <f t="shared" si="51"/>
        <v>0.01</v>
      </c>
      <c r="L693">
        <f t="shared" si="52"/>
        <v>366.57719999999995</v>
      </c>
      <c r="M693" s="1">
        <f t="shared" si="53"/>
        <v>363.97999999999996</v>
      </c>
      <c r="N693" s="1" t="s">
        <v>10</v>
      </c>
      <c r="O693" s="1">
        <v>6.3</v>
      </c>
    </row>
    <row r="694" spans="4:15" x14ac:dyDescent="0.3">
      <c r="D694" s="1">
        <v>6695</v>
      </c>
      <c r="E694" s="2">
        <v>43643</v>
      </c>
      <c r="F694" s="1" t="s">
        <v>7</v>
      </c>
      <c r="G694" s="1">
        <v>49</v>
      </c>
      <c r="H694" t="str">
        <f t="shared" si="54"/>
        <v>XXX Large</v>
      </c>
      <c r="I694" t="str">
        <f t="shared" si="50"/>
        <v>XXX Large</v>
      </c>
      <c r="J694" s="1">
        <v>315.91000000000003</v>
      </c>
      <c r="K694">
        <f t="shared" si="51"/>
        <v>0.01</v>
      </c>
      <c r="L694">
        <f t="shared" si="52"/>
        <v>312.7509</v>
      </c>
      <c r="M694" s="1">
        <f t="shared" si="53"/>
        <v>306.81</v>
      </c>
      <c r="N694" s="1" t="s">
        <v>8</v>
      </c>
      <c r="O694" s="1">
        <v>9.1</v>
      </c>
    </row>
    <row r="695" spans="4:15" x14ac:dyDescent="0.3">
      <c r="D695" s="1">
        <v>17157</v>
      </c>
      <c r="E695" s="2">
        <v>43727</v>
      </c>
      <c r="F695" s="1" t="s">
        <v>7</v>
      </c>
      <c r="G695" s="1">
        <v>31</v>
      </c>
      <c r="H695" t="str">
        <f t="shared" si="54"/>
        <v>Large</v>
      </c>
      <c r="I695" t="str">
        <f t="shared" si="50"/>
        <v>Large</v>
      </c>
      <c r="J695" s="1">
        <v>3297.17</v>
      </c>
      <c r="K695">
        <f t="shared" si="51"/>
        <v>0</v>
      </c>
      <c r="L695">
        <f t="shared" si="52"/>
        <v>3297.17</v>
      </c>
      <c r="M695" s="1">
        <f t="shared" si="53"/>
        <v>3297.17</v>
      </c>
      <c r="N695" s="1" t="s">
        <v>10</v>
      </c>
      <c r="O695" s="1">
        <v>4.5</v>
      </c>
    </row>
    <row r="696" spans="4:15" x14ac:dyDescent="0.3">
      <c r="D696" s="1">
        <v>32165</v>
      </c>
      <c r="E696" s="2">
        <v>43752</v>
      </c>
      <c r="F696" s="1" t="s">
        <v>11</v>
      </c>
      <c r="G696" s="1">
        <v>47</v>
      </c>
      <c r="H696" t="str">
        <f t="shared" si="54"/>
        <v>XXX Large</v>
      </c>
      <c r="I696" t="str">
        <f t="shared" si="50"/>
        <v>XXX Large</v>
      </c>
      <c r="J696" s="1">
        <v>3652.6482999999998</v>
      </c>
      <c r="K696">
        <f t="shared" si="51"/>
        <v>0.01</v>
      </c>
      <c r="L696">
        <f t="shared" si="52"/>
        <v>3616.1218169999997</v>
      </c>
      <c r="M696" s="1">
        <f t="shared" si="53"/>
        <v>3637.1482999999998</v>
      </c>
      <c r="N696" s="1" t="s">
        <v>10</v>
      </c>
      <c r="O696" s="1">
        <v>15.5</v>
      </c>
    </row>
    <row r="697" spans="4:15" x14ac:dyDescent="0.3">
      <c r="D697" s="1">
        <v>54370</v>
      </c>
      <c r="E697" s="2">
        <v>43563</v>
      </c>
      <c r="F697" s="1" t="s">
        <v>11</v>
      </c>
      <c r="G697" s="1">
        <v>49</v>
      </c>
      <c r="H697" t="str">
        <f t="shared" si="54"/>
        <v>XXX Large</v>
      </c>
      <c r="I697" t="str">
        <f t="shared" si="50"/>
        <v>XXX Large</v>
      </c>
      <c r="J697" s="1">
        <v>5316.3</v>
      </c>
      <c r="K697">
        <f t="shared" si="51"/>
        <v>0.01</v>
      </c>
      <c r="L697">
        <f t="shared" si="52"/>
        <v>5263.1369999999997</v>
      </c>
      <c r="M697" s="1">
        <f t="shared" si="53"/>
        <v>5294.9000000000005</v>
      </c>
      <c r="N697" s="1" t="s">
        <v>10</v>
      </c>
      <c r="O697" s="1">
        <v>21.4</v>
      </c>
    </row>
    <row r="698" spans="4:15" x14ac:dyDescent="0.3">
      <c r="D698" s="1">
        <v>21796</v>
      </c>
      <c r="E698" s="2">
        <v>43591</v>
      </c>
      <c r="F698" s="1" t="s">
        <v>7</v>
      </c>
      <c r="G698" s="1">
        <v>2</v>
      </c>
      <c r="H698" t="str">
        <f t="shared" si="54"/>
        <v>Mini</v>
      </c>
      <c r="I698" t="str">
        <f t="shared" si="50"/>
        <v>Mini</v>
      </c>
      <c r="J698" s="1">
        <v>43.68</v>
      </c>
      <c r="K698">
        <f t="shared" si="51"/>
        <v>0</v>
      </c>
      <c r="L698">
        <f t="shared" si="52"/>
        <v>43.68</v>
      </c>
      <c r="M698" s="1">
        <f t="shared" si="53"/>
        <v>43.68</v>
      </c>
      <c r="N698" s="1" t="s">
        <v>10</v>
      </c>
      <c r="O698" s="1">
        <v>5.0999999999999996</v>
      </c>
    </row>
    <row r="699" spans="4:15" x14ac:dyDescent="0.3">
      <c r="D699" s="1">
        <v>11269</v>
      </c>
      <c r="E699" s="2">
        <v>43611</v>
      </c>
      <c r="F699" s="1" t="s">
        <v>7</v>
      </c>
      <c r="G699" s="1">
        <v>49</v>
      </c>
      <c r="H699" t="str">
        <f t="shared" si="54"/>
        <v>XXX Large</v>
      </c>
      <c r="I699" t="str">
        <f t="shared" si="50"/>
        <v>XXX Large</v>
      </c>
      <c r="J699" s="1">
        <v>249.61</v>
      </c>
      <c r="K699">
        <f t="shared" si="51"/>
        <v>0.01</v>
      </c>
      <c r="L699">
        <f t="shared" si="52"/>
        <v>247.1139</v>
      </c>
      <c r="M699" s="1">
        <f t="shared" si="53"/>
        <v>249.11</v>
      </c>
      <c r="N699" s="1" t="s">
        <v>10</v>
      </c>
      <c r="O699" s="1">
        <v>0.5</v>
      </c>
    </row>
    <row r="700" spans="4:15" x14ac:dyDescent="0.3">
      <c r="D700" s="1">
        <v>49862</v>
      </c>
      <c r="E700" s="2">
        <v>43720</v>
      </c>
      <c r="F700" s="1" t="s">
        <v>11</v>
      </c>
      <c r="G700" s="1">
        <v>24</v>
      </c>
      <c r="H700" t="str">
        <f t="shared" si="54"/>
        <v>Medium</v>
      </c>
      <c r="I700" t="str">
        <f t="shared" si="50"/>
        <v>Medium</v>
      </c>
      <c r="J700" s="1">
        <v>81.03</v>
      </c>
      <c r="K700">
        <f t="shared" si="51"/>
        <v>0</v>
      </c>
      <c r="L700">
        <f t="shared" si="52"/>
        <v>81.03</v>
      </c>
      <c r="M700" s="1">
        <f t="shared" si="53"/>
        <v>81.03</v>
      </c>
      <c r="N700" s="1" t="s">
        <v>10</v>
      </c>
      <c r="O700" s="1">
        <v>0.5</v>
      </c>
    </row>
    <row r="701" spans="4:15" x14ac:dyDescent="0.3">
      <c r="D701" s="1">
        <v>31460</v>
      </c>
      <c r="E701" s="2">
        <v>43703</v>
      </c>
      <c r="F701" s="1" t="s">
        <v>9</v>
      </c>
      <c r="G701" s="1">
        <v>9</v>
      </c>
      <c r="H701" t="str">
        <f t="shared" si="54"/>
        <v>Extra Small</v>
      </c>
      <c r="I701" t="str">
        <f t="shared" si="50"/>
        <v>Extra Small</v>
      </c>
      <c r="J701" s="1">
        <v>1060.0169000000001</v>
      </c>
      <c r="K701">
        <f t="shared" si="51"/>
        <v>0</v>
      </c>
      <c r="L701">
        <f t="shared" si="52"/>
        <v>1060.0169000000001</v>
      </c>
      <c r="M701" s="1">
        <f t="shared" si="53"/>
        <v>1060.0169000000001</v>
      </c>
      <c r="N701" s="1" t="s">
        <v>10</v>
      </c>
      <c r="O701" s="1">
        <v>37.5</v>
      </c>
    </row>
    <row r="702" spans="4:15" x14ac:dyDescent="0.3">
      <c r="D702" s="1">
        <v>54501</v>
      </c>
      <c r="E702" s="2">
        <v>43798</v>
      </c>
      <c r="F702" s="1" t="s">
        <v>12</v>
      </c>
      <c r="G702" s="1">
        <v>16</v>
      </c>
      <c r="H702" t="str">
        <f t="shared" si="54"/>
        <v>Small-Medium</v>
      </c>
      <c r="I702" t="str">
        <f t="shared" si="50"/>
        <v>Small-Medium</v>
      </c>
      <c r="J702" s="1">
        <v>241.24</v>
      </c>
      <c r="K702">
        <f t="shared" si="51"/>
        <v>0</v>
      </c>
      <c r="L702">
        <f t="shared" si="52"/>
        <v>241.24</v>
      </c>
      <c r="M702" s="1">
        <f t="shared" si="53"/>
        <v>241.24</v>
      </c>
      <c r="N702" s="1" t="s">
        <v>10</v>
      </c>
      <c r="O702" s="1">
        <v>8</v>
      </c>
    </row>
    <row r="703" spans="4:15" x14ac:dyDescent="0.3">
      <c r="D703" s="1">
        <v>54307</v>
      </c>
      <c r="E703" s="2">
        <v>43472</v>
      </c>
      <c r="F703" s="1" t="s">
        <v>9</v>
      </c>
      <c r="G703" s="1">
        <v>41</v>
      </c>
      <c r="H703" t="str">
        <f t="shared" si="54"/>
        <v>XX Large</v>
      </c>
      <c r="I703" t="str">
        <f t="shared" si="50"/>
        <v>XX Large</v>
      </c>
      <c r="J703" s="1">
        <v>212.1703</v>
      </c>
      <c r="K703">
        <f t="shared" si="51"/>
        <v>0.01</v>
      </c>
      <c r="L703">
        <f t="shared" si="52"/>
        <v>210.048597</v>
      </c>
      <c r="M703" s="1">
        <f t="shared" si="53"/>
        <v>206.0703</v>
      </c>
      <c r="N703" s="1" t="s">
        <v>10</v>
      </c>
      <c r="O703" s="1">
        <v>6.1</v>
      </c>
    </row>
    <row r="704" spans="4:15" x14ac:dyDescent="0.3">
      <c r="D704" s="1">
        <v>48704</v>
      </c>
      <c r="E704" s="2">
        <v>43473</v>
      </c>
      <c r="F704" s="1" t="s">
        <v>9</v>
      </c>
      <c r="G704" s="1">
        <v>11</v>
      </c>
      <c r="H704" t="str">
        <f t="shared" si="54"/>
        <v>Small</v>
      </c>
      <c r="I704" t="str">
        <f t="shared" si="50"/>
        <v>Small</v>
      </c>
      <c r="J704" s="1">
        <v>1335.21</v>
      </c>
      <c r="K704">
        <f t="shared" si="51"/>
        <v>0</v>
      </c>
      <c r="L704">
        <f t="shared" si="52"/>
        <v>1335.21</v>
      </c>
      <c r="M704" s="1">
        <f t="shared" si="53"/>
        <v>1335.21</v>
      </c>
      <c r="N704" s="1" t="s">
        <v>10</v>
      </c>
      <c r="O704" s="1">
        <v>9.6</v>
      </c>
    </row>
    <row r="705" spans="4:15" x14ac:dyDescent="0.3">
      <c r="D705" s="1">
        <v>57638</v>
      </c>
      <c r="E705" s="2">
        <v>43577</v>
      </c>
      <c r="F705" s="1" t="s">
        <v>7</v>
      </c>
      <c r="G705" s="1">
        <v>49</v>
      </c>
      <c r="H705" t="str">
        <f t="shared" si="54"/>
        <v>XXX Large</v>
      </c>
      <c r="I705" t="str">
        <f t="shared" si="50"/>
        <v>XXX Large</v>
      </c>
      <c r="J705" s="1">
        <v>610.36</v>
      </c>
      <c r="K705">
        <f t="shared" si="51"/>
        <v>0.01</v>
      </c>
      <c r="L705">
        <f t="shared" si="52"/>
        <v>604.25639999999999</v>
      </c>
      <c r="M705" s="1">
        <f t="shared" si="53"/>
        <v>604.56000000000006</v>
      </c>
      <c r="N705" s="1" t="s">
        <v>10</v>
      </c>
      <c r="O705" s="1">
        <v>5.8</v>
      </c>
    </row>
    <row r="706" spans="4:15" x14ac:dyDescent="0.3">
      <c r="D706" s="1">
        <v>14435</v>
      </c>
      <c r="E706" s="2">
        <v>43800</v>
      </c>
      <c r="F706" s="1" t="s">
        <v>11</v>
      </c>
      <c r="G706" s="1">
        <v>9</v>
      </c>
      <c r="H706" t="str">
        <f t="shared" si="54"/>
        <v>Extra Small</v>
      </c>
      <c r="I706" t="str">
        <f t="shared" si="50"/>
        <v>Extra Small</v>
      </c>
      <c r="J706" s="1">
        <v>35703.599999999999</v>
      </c>
      <c r="K706">
        <f t="shared" si="51"/>
        <v>0</v>
      </c>
      <c r="L706">
        <f t="shared" si="52"/>
        <v>35703.599999999999</v>
      </c>
      <c r="M706" s="1">
        <f t="shared" si="53"/>
        <v>35703.599999999999</v>
      </c>
      <c r="N706" s="1" t="s">
        <v>10</v>
      </c>
      <c r="O706" s="1">
        <v>26.2</v>
      </c>
    </row>
    <row r="707" spans="4:15" x14ac:dyDescent="0.3">
      <c r="D707" s="1">
        <v>35814</v>
      </c>
      <c r="E707" s="2">
        <v>43551</v>
      </c>
      <c r="F707" s="1" t="s">
        <v>9</v>
      </c>
      <c r="G707" s="1">
        <v>11</v>
      </c>
      <c r="H707" t="str">
        <f t="shared" si="54"/>
        <v>Small</v>
      </c>
      <c r="I707" t="str">
        <f t="shared" ref="I707:I770" si="55">VLOOKUP(G707, $A$3:$B$12, 2, TRUE)</f>
        <v>Small</v>
      </c>
      <c r="J707" s="1">
        <v>347.24</v>
      </c>
      <c r="K707">
        <f t="shared" ref="K707:K770" si="56">IF(OR(I707="Extra Large", I707="XX Large", I707="XXX Large"), 0.01, 0)</f>
        <v>0</v>
      </c>
      <c r="L707">
        <f t="shared" ref="L707:L770" si="57">J707 * (1 - K707)</f>
        <v>347.24</v>
      </c>
      <c r="M707" s="1">
        <f t="shared" ref="M707:M770" si="58">IF(OR(I707="Extra Large",I707="XX Large",I707="XXX Large"),J707-O707,J707)</f>
        <v>347.24</v>
      </c>
      <c r="N707" s="1" t="s">
        <v>10</v>
      </c>
      <c r="O707" s="1">
        <v>9.1</v>
      </c>
    </row>
    <row r="708" spans="4:15" x14ac:dyDescent="0.3">
      <c r="D708" s="1">
        <v>51872</v>
      </c>
      <c r="E708" s="2">
        <v>43578</v>
      </c>
      <c r="F708" s="1" t="s">
        <v>14</v>
      </c>
      <c r="G708" s="1">
        <v>11</v>
      </c>
      <c r="H708" t="str">
        <f t="shared" si="54"/>
        <v>Small</v>
      </c>
      <c r="I708" t="str">
        <f t="shared" si="55"/>
        <v>Small</v>
      </c>
      <c r="J708" s="1">
        <v>869.37</v>
      </c>
      <c r="K708">
        <f t="shared" si="56"/>
        <v>0</v>
      </c>
      <c r="L708">
        <f t="shared" si="57"/>
        <v>869.37</v>
      </c>
      <c r="M708" s="1">
        <f t="shared" si="58"/>
        <v>869.37</v>
      </c>
      <c r="N708" s="1" t="s">
        <v>8</v>
      </c>
      <c r="O708" s="1">
        <v>1.3</v>
      </c>
    </row>
    <row r="709" spans="4:15" x14ac:dyDescent="0.3">
      <c r="D709" s="1">
        <v>55747</v>
      </c>
      <c r="E709" s="2">
        <v>43801</v>
      </c>
      <c r="F709" s="1" t="s">
        <v>9</v>
      </c>
      <c r="G709" s="1">
        <v>42</v>
      </c>
      <c r="H709" t="str">
        <f t="shared" ref="H709:H772" si="59">VLOOKUP(G709, $A$3:$B$12, 2, TRUE)</f>
        <v>XX Large</v>
      </c>
      <c r="I709" t="str">
        <f t="shared" si="55"/>
        <v>XX Large</v>
      </c>
      <c r="J709" s="1">
        <v>21234.89</v>
      </c>
      <c r="K709">
        <f t="shared" si="56"/>
        <v>0.01</v>
      </c>
      <c r="L709">
        <f t="shared" si="57"/>
        <v>21022.541099999999</v>
      </c>
      <c r="M709" s="1">
        <f t="shared" si="58"/>
        <v>21165.79</v>
      </c>
      <c r="N709" s="1" t="s">
        <v>13</v>
      </c>
      <c r="O709" s="1">
        <v>69.099999999999994</v>
      </c>
    </row>
    <row r="710" spans="4:15" x14ac:dyDescent="0.3">
      <c r="D710" s="1">
        <v>3970</v>
      </c>
      <c r="E710" s="2">
        <v>43550</v>
      </c>
      <c r="F710" s="1" t="s">
        <v>14</v>
      </c>
      <c r="G710" s="1">
        <v>13</v>
      </c>
      <c r="H710" t="str">
        <f t="shared" si="59"/>
        <v>Small</v>
      </c>
      <c r="I710" t="str">
        <f t="shared" si="55"/>
        <v>Small</v>
      </c>
      <c r="J710" s="1">
        <v>347.57</v>
      </c>
      <c r="K710">
        <f t="shared" si="56"/>
        <v>0</v>
      </c>
      <c r="L710">
        <f t="shared" si="57"/>
        <v>347.57</v>
      </c>
      <c r="M710" s="1">
        <f t="shared" si="58"/>
        <v>347.57</v>
      </c>
      <c r="N710" s="1" t="s">
        <v>13</v>
      </c>
      <c r="O710" s="1">
        <v>48.2</v>
      </c>
    </row>
    <row r="711" spans="4:15" x14ac:dyDescent="0.3">
      <c r="D711" s="1">
        <v>32804</v>
      </c>
      <c r="E711" s="2">
        <v>43717</v>
      </c>
      <c r="F711" s="1" t="s">
        <v>14</v>
      </c>
      <c r="G711" s="1">
        <v>49</v>
      </c>
      <c r="H711" t="str">
        <f t="shared" si="59"/>
        <v>XXX Large</v>
      </c>
      <c r="I711" t="str">
        <f t="shared" si="55"/>
        <v>XXX Large</v>
      </c>
      <c r="J711" s="1">
        <v>187.05</v>
      </c>
      <c r="K711">
        <f t="shared" si="56"/>
        <v>0.01</v>
      </c>
      <c r="L711">
        <f t="shared" si="57"/>
        <v>185.17950000000002</v>
      </c>
      <c r="M711" s="1">
        <f t="shared" si="58"/>
        <v>186.55</v>
      </c>
      <c r="N711" s="1" t="s">
        <v>10</v>
      </c>
      <c r="O711" s="1">
        <v>0.5</v>
      </c>
    </row>
    <row r="712" spans="4:15" x14ac:dyDescent="0.3">
      <c r="D712" s="1">
        <v>4069</v>
      </c>
      <c r="E712" s="2">
        <v>43597</v>
      </c>
      <c r="F712" s="1" t="s">
        <v>14</v>
      </c>
      <c r="G712" s="1">
        <v>8</v>
      </c>
      <c r="H712" t="str">
        <f t="shared" si="59"/>
        <v>Extra Small</v>
      </c>
      <c r="I712" t="str">
        <f t="shared" si="55"/>
        <v>Extra Small</v>
      </c>
      <c r="J712" s="1">
        <v>58.24</v>
      </c>
      <c r="K712">
        <f t="shared" si="56"/>
        <v>0</v>
      </c>
      <c r="L712">
        <f t="shared" si="57"/>
        <v>58.24</v>
      </c>
      <c r="M712" s="1">
        <f t="shared" si="58"/>
        <v>58.24</v>
      </c>
      <c r="N712" s="1" t="s">
        <v>10</v>
      </c>
      <c r="O712" s="1">
        <v>7.2</v>
      </c>
    </row>
    <row r="713" spans="4:15" x14ac:dyDescent="0.3">
      <c r="D713" s="1">
        <v>55011</v>
      </c>
      <c r="E713" s="2">
        <v>43468</v>
      </c>
      <c r="F713" s="1" t="s">
        <v>12</v>
      </c>
      <c r="G713" s="1">
        <v>48</v>
      </c>
      <c r="H713" t="str">
        <f t="shared" si="59"/>
        <v>XXX Large</v>
      </c>
      <c r="I713" t="str">
        <f t="shared" si="55"/>
        <v>XXX Large</v>
      </c>
      <c r="J713" s="1">
        <v>483.94</v>
      </c>
      <c r="K713">
        <f t="shared" si="56"/>
        <v>0.01</v>
      </c>
      <c r="L713">
        <f t="shared" si="57"/>
        <v>479.10059999999999</v>
      </c>
      <c r="M713" s="1">
        <f t="shared" si="58"/>
        <v>478.74</v>
      </c>
      <c r="N713" s="1" t="s">
        <v>10</v>
      </c>
      <c r="O713" s="1">
        <v>5.2</v>
      </c>
    </row>
    <row r="714" spans="4:15" x14ac:dyDescent="0.3">
      <c r="D714" s="1">
        <v>20066</v>
      </c>
      <c r="E714" s="2">
        <v>43710</v>
      </c>
      <c r="F714" s="1" t="s">
        <v>12</v>
      </c>
      <c r="G714" s="1">
        <v>3</v>
      </c>
      <c r="H714" t="str">
        <f t="shared" si="59"/>
        <v>Mini</v>
      </c>
      <c r="I714" t="str">
        <f t="shared" si="55"/>
        <v>Mini</v>
      </c>
      <c r="J714" s="1">
        <v>43.65</v>
      </c>
      <c r="K714">
        <f t="shared" si="56"/>
        <v>0</v>
      </c>
      <c r="L714">
        <f t="shared" si="57"/>
        <v>43.65</v>
      </c>
      <c r="M714" s="1">
        <f t="shared" si="58"/>
        <v>43.65</v>
      </c>
      <c r="N714" s="1" t="s">
        <v>10</v>
      </c>
      <c r="O714" s="1">
        <v>6.1</v>
      </c>
    </row>
    <row r="715" spans="4:15" x14ac:dyDescent="0.3">
      <c r="D715" s="1">
        <v>292</v>
      </c>
      <c r="E715" s="2">
        <v>43476</v>
      </c>
      <c r="F715" s="1" t="s">
        <v>9</v>
      </c>
      <c r="G715" s="1">
        <v>43</v>
      </c>
      <c r="H715" t="str">
        <f t="shared" si="59"/>
        <v>XX Large</v>
      </c>
      <c r="I715" t="str">
        <f t="shared" si="55"/>
        <v>XX Large</v>
      </c>
      <c r="J715" s="1">
        <v>441.5</v>
      </c>
      <c r="K715">
        <f t="shared" si="56"/>
        <v>0.01</v>
      </c>
      <c r="L715">
        <f t="shared" si="57"/>
        <v>437.08499999999998</v>
      </c>
      <c r="M715" s="1">
        <f t="shared" si="58"/>
        <v>440</v>
      </c>
      <c r="N715" s="1" t="s">
        <v>10</v>
      </c>
      <c r="O715" s="1">
        <v>1.5</v>
      </c>
    </row>
    <row r="716" spans="4:15" x14ac:dyDescent="0.3">
      <c r="D716" s="1">
        <v>33568</v>
      </c>
      <c r="E716" s="2">
        <v>43667</v>
      </c>
      <c r="F716" s="1" t="s">
        <v>14</v>
      </c>
      <c r="G716" s="1">
        <v>10</v>
      </c>
      <c r="H716" t="str">
        <f t="shared" si="59"/>
        <v>Extra Small</v>
      </c>
      <c r="I716" t="str">
        <f t="shared" si="55"/>
        <v>Extra Small</v>
      </c>
      <c r="J716" s="1">
        <v>672.74109999999996</v>
      </c>
      <c r="K716">
        <f t="shared" si="56"/>
        <v>0</v>
      </c>
      <c r="L716">
        <f t="shared" si="57"/>
        <v>672.74109999999996</v>
      </c>
      <c r="M716" s="1">
        <f t="shared" si="58"/>
        <v>672.74109999999996</v>
      </c>
      <c r="N716" s="1" t="s">
        <v>10</v>
      </c>
      <c r="O716" s="1">
        <v>55.9</v>
      </c>
    </row>
    <row r="717" spans="4:15" x14ac:dyDescent="0.3">
      <c r="D717" s="1">
        <v>39619</v>
      </c>
      <c r="E717" s="2">
        <v>43468</v>
      </c>
      <c r="F717" s="1" t="s">
        <v>7</v>
      </c>
      <c r="G717" s="1">
        <v>15</v>
      </c>
      <c r="H717" t="str">
        <f t="shared" si="59"/>
        <v>Small</v>
      </c>
      <c r="I717" t="str">
        <f t="shared" si="55"/>
        <v>Small</v>
      </c>
      <c r="J717" s="1">
        <v>794.79600000000005</v>
      </c>
      <c r="K717">
        <f t="shared" si="56"/>
        <v>0</v>
      </c>
      <c r="L717">
        <f t="shared" si="57"/>
        <v>794.79600000000005</v>
      </c>
      <c r="M717" s="1">
        <f t="shared" si="58"/>
        <v>794.79600000000005</v>
      </c>
      <c r="N717" s="1" t="s">
        <v>10</v>
      </c>
      <c r="O717" s="1">
        <v>11</v>
      </c>
    </row>
    <row r="718" spans="4:15" x14ac:dyDescent="0.3">
      <c r="D718" s="1">
        <v>37188</v>
      </c>
      <c r="E718" s="2">
        <v>43528</v>
      </c>
      <c r="F718" s="1" t="s">
        <v>12</v>
      </c>
      <c r="G718" s="1">
        <v>24</v>
      </c>
      <c r="H718" t="str">
        <f t="shared" si="59"/>
        <v>Medium</v>
      </c>
      <c r="I718" t="str">
        <f t="shared" si="55"/>
        <v>Medium</v>
      </c>
      <c r="J718" s="1">
        <v>141.26</v>
      </c>
      <c r="K718">
        <f t="shared" si="56"/>
        <v>0</v>
      </c>
      <c r="L718">
        <f t="shared" si="57"/>
        <v>141.26</v>
      </c>
      <c r="M718" s="1">
        <f t="shared" si="58"/>
        <v>141.26</v>
      </c>
      <c r="N718" s="1" t="s">
        <v>8</v>
      </c>
      <c r="O718" s="1">
        <v>8.9</v>
      </c>
    </row>
    <row r="719" spans="4:15" x14ac:dyDescent="0.3">
      <c r="D719" s="1">
        <v>2691</v>
      </c>
      <c r="E719" s="2">
        <v>43584</v>
      </c>
      <c r="F719" s="1" t="s">
        <v>7</v>
      </c>
      <c r="G719" s="1">
        <v>14</v>
      </c>
      <c r="H719" t="str">
        <f t="shared" si="59"/>
        <v>Small</v>
      </c>
      <c r="I719" t="str">
        <f t="shared" si="55"/>
        <v>Small</v>
      </c>
      <c r="J719" s="1">
        <v>3598.56</v>
      </c>
      <c r="K719">
        <f t="shared" si="56"/>
        <v>0</v>
      </c>
      <c r="L719">
        <f t="shared" si="57"/>
        <v>3598.56</v>
      </c>
      <c r="M719" s="1">
        <f t="shared" si="58"/>
        <v>3598.56</v>
      </c>
      <c r="N719" s="1" t="s">
        <v>13</v>
      </c>
      <c r="O719" s="1">
        <v>44.8</v>
      </c>
    </row>
    <row r="720" spans="4:15" x14ac:dyDescent="0.3">
      <c r="D720" s="1">
        <v>35456</v>
      </c>
      <c r="E720" s="2">
        <v>43770</v>
      </c>
      <c r="F720" s="1" t="s">
        <v>12</v>
      </c>
      <c r="G720" s="1">
        <v>37</v>
      </c>
      <c r="H720" t="str">
        <f t="shared" si="59"/>
        <v>Extra Large</v>
      </c>
      <c r="I720" t="str">
        <f t="shared" si="55"/>
        <v>Extra Large</v>
      </c>
      <c r="J720" s="1">
        <v>49.62</v>
      </c>
      <c r="K720">
        <f t="shared" si="56"/>
        <v>0.01</v>
      </c>
      <c r="L720">
        <f t="shared" si="57"/>
        <v>49.123799999999996</v>
      </c>
      <c r="M720" s="1">
        <f t="shared" si="58"/>
        <v>48.919999999999995</v>
      </c>
      <c r="N720" s="1" t="s">
        <v>10</v>
      </c>
      <c r="O720" s="1">
        <v>0.7</v>
      </c>
    </row>
    <row r="721" spans="4:15" x14ac:dyDescent="0.3">
      <c r="D721" s="1">
        <v>52068</v>
      </c>
      <c r="E721" s="2">
        <v>43477</v>
      </c>
      <c r="F721" s="1" t="s">
        <v>11</v>
      </c>
      <c r="G721" s="1">
        <v>17</v>
      </c>
      <c r="H721" t="str">
        <f t="shared" si="59"/>
        <v>Small-Medium</v>
      </c>
      <c r="I721" t="str">
        <f t="shared" si="55"/>
        <v>Small-Medium</v>
      </c>
      <c r="J721" s="1">
        <v>472.43709999999999</v>
      </c>
      <c r="K721">
        <f t="shared" si="56"/>
        <v>0</v>
      </c>
      <c r="L721">
        <f t="shared" si="57"/>
        <v>472.43709999999999</v>
      </c>
      <c r="M721" s="1">
        <f t="shared" si="58"/>
        <v>472.43709999999999</v>
      </c>
      <c r="N721" s="1" t="s">
        <v>13</v>
      </c>
      <c r="O721" s="1">
        <v>15.4</v>
      </c>
    </row>
    <row r="722" spans="4:15" x14ac:dyDescent="0.3">
      <c r="D722" s="1">
        <v>21573</v>
      </c>
      <c r="E722" s="2">
        <v>43580</v>
      </c>
      <c r="F722" s="1" t="s">
        <v>12</v>
      </c>
      <c r="G722" s="1">
        <v>7</v>
      </c>
      <c r="H722" t="str">
        <f t="shared" si="59"/>
        <v>Extra Small</v>
      </c>
      <c r="I722" t="str">
        <f t="shared" si="55"/>
        <v>Extra Small</v>
      </c>
      <c r="J722" s="1">
        <v>74.985600000000005</v>
      </c>
      <c r="K722">
        <f t="shared" si="56"/>
        <v>0</v>
      </c>
      <c r="L722">
        <f t="shared" si="57"/>
        <v>74.985600000000005</v>
      </c>
      <c r="M722" s="1">
        <f t="shared" si="58"/>
        <v>74.985600000000005</v>
      </c>
      <c r="N722" s="1" t="s">
        <v>10</v>
      </c>
      <c r="O722" s="1">
        <v>4</v>
      </c>
    </row>
    <row r="723" spans="4:15" x14ac:dyDescent="0.3">
      <c r="D723" s="1">
        <v>4805</v>
      </c>
      <c r="E723" s="2">
        <v>43579</v>
      </c>
      <c r="F723" s="1" t="s">
        <v>11</v>
      </c>
      <c r="G723" s="1">
        <v>7</v>
      </c>
      <c r="H723" t="str">
        <f t="shared" si="59"/>
        <v>Extra Small</v>
      </c>
      <c r="I723" t="str">
        <f t="shared" si="55"/>
        <v>Extra Small</v>
      </c>
      <c r="J723" s="1">
        <v>59.26</v>
      </c>
      <c r="K723">
        <f t="shared" si="56"/>
        <v>0</v>
      </c>
      <c r="L723">
        <f t="shared" si="57"/>
        <v>59.26</v>
      </c>
      <c r="M723" s="1">
        <f t="shared" si="58"/>
        <v>59.26</v>
      </c>
      <c r="N723" s="1" t="s">
        <v>10</v>
      </c>
      <c r="O723" s="1">
        <v>7.9</v>
      </c>
    </row>
    <row r="724" spans="4:15" x14ac:dyDescent="0.3">
      <c r="D724" s="1">
        <v>29861</v>
      </c>
      <c r="E724" s="2">
        <v>43580</v>
      </c>
      <c r="F724" s="1" t="s">
        <v>12</v>
      </c>
      <c r="G724" s="1">
        <v>11</v>
      </c>
      <c r="H724" t="str">
        <f t="shared" si="59"/>
        <v>Small</v>
      </c>
      <c r="I724" t="str">
        <f t="shared" si="55"/>
        <v>Small</v>
      </c>
      <c r="J724" s="1">
        <v>37.630000000000003</v>
      </c>
      <c r="K724">
        <f t="shared" si="56"/>
        <v>0</v>
      </c>
      <c r="L724">
        <f t="shared" si="57"/>
        <v>37.630000000000003</v>
      </c>
      <c r="M724" s="1">
        <f t="shared" si="58"/>
        <v>37.630000000000003</v>
      </c>
      <c r="N724" s="1" t="s">
        <v>10</v>
      </c>
      <c r="O724" s="1">
        <v>1.1000000000000001</v>
      </c>
    </row>
    <row r="725" spans="4:15" x14ac:dyDescent="0.3">
      <c r="D725" s="1">
        <v>51365</v>
      </c>
      <c r="E725" s="2">
        <v>43684</v>
      </c>
      <c r="F725" s="1" t="s">
        <v>9</v>
      </c>
      <c r="G725" s="1">
        <v>35</v>
      </c>
      <c r="H725" t="str">
        <f t="shared" si="59"/>
        <v>Large</v>
      </c>
      <c r="I725" t="str">
        <f t="shared" si="55"/>
        <v>Large</v>
      </c>
      <c r="J725" s="1">
        <v>208.9</v>
      </c>
      <c r="K725">
        <f t="shared" si="56"/>
        <v>0</v>
      </c>
      <c r="L725">
        <f t="shared" si="57"/>
        <v>208.9</v>
      </c>
      <c r="M725" s="1">
        <f t="shared" si="58"/>
        <v>208.9</v>
      </c>
      <c r="N725" s="1" t="s">
        <v>10</v>
      </c>
      <c r="O725" s="1">
        <v>6</v>
      </c>
    </row>
    <row r="726" spans="4:15" x14ac:dyDescent="0.3">
      <c r="D726" s="1">
        <v>55299</v>
      </c>
      <c r="E726" s="2">
        <v>43554</v>
      </c>
      <c r="F726" s="1" t="s">
        <v>7</v>
      </c>
      <c r="G726" s="1">
        <v>20</v>
      </c>
      <c r="H726" t="str">
        <f t="shared" si="59"/>
        <v>Small-Medium</v>
      </c>
      <c r="I726" t="str">
        <f t="shared" si="55"/>
        <v>Small-Medium</v>
      </c>
      <c r="J726" s="1">
        <v>23.84</v>
      </c>
      <c r="K726">
        <f t="shared" si="56"/>
        <v>0</v>
      </c>
      <c r="L726">
        <f t="shared" si="57"/>
        <v>23.84</v>
      </c>
      <c r="M726" s="1">
        <f t="shared" si="58"/>
        <v>23.84</v>
      </c>
      <c r="N726" s="1" t="s">
        <v>10</v>
      </c>
      <c r="O726" s="1">
        <v>0.7</v>
      </c>
    </row>
    <row r="727" spans="4:15" x14ac:dyDescent="0.3">
      <c r="D727" s="1">
        <v>4864</v>
      </c>
      <c r="E727" s="2">
        <v>43779</v>
      </c>
      <c r="F727" s="1" t="s">
        <v>7</v>
      </c>
      <c r="G727" s="1">
        <v>16</v>
      </c>
      <c r="H727" t="str">
        <f t="shared" si="59"/>
        <v>Small-Medium</v>
      </c>
      <c r="I727" t="str">
        <f t="shared" si="55"/>
        <v>Small-Medium</v>
      </c>
      <c r="J727" s="1">
        <v>5245.13</v>
      </c>
      <c r="K727">
        <f t="shared" si="56"/>
        <v>0</v>
      </c>
      <c r="L727">
        <f t="shared" si="57"/>
        <v>5245.13</v>
      </c>
      <c r="M727" s="1">
        <f t="shared" si="58"/>
        <v>5245.13</v>
      </c>
      <c r="N727" s="1" t="s">
        <v>10</v>
      </c>
      <c r="O727" s="1">
        <v>21.4</v>
      </c>
    </row>
    <row r="728" spans="4:15" x14ac:dyDescent="0.3">
      <c r="D728" s="1">
        <v>33285</v>
      </c>
      <c r="E728" s="2">
        <v>43483</v>
      </c>
      <c r="F728" s="1" t="s">
        <v>9</v>
      </c>
      <c r="G728" s="1">
        <v>5</v>
      </c>
      <c r="H728" t="str">
        <f t="shared" si="59"/>
        <v>Mini</v>
      </c>
      <c r="I728" t="str">
        <f t="shared" si="55"/>
        <v>Mini</v>
      </c>
      <c r="J728" s="1">
        <v>71.599999999999994</v>
      </c>
      <c r="K728">
        <f t="shared" si="56"/>
        <v>0</v>
      </c>
      <c r="L728">
        <f t="shared" si="57"/>
        <v>71.599999999999994</v>
      </c>
      <c r="M728" s="1">
        <f t="shared" si="58"/>
        <v>71.599999999999994</v>
      </c>
      <c r="N728" s="1" t="s">
        <v>10</v>
      </c>
      <c r="O728" s="1">
        <v>6.6</v>
      </c>
    </row>
    <row r="729" spans="4:15" x14ac:dyDescent="0.3">
      <c r="D729" s="1">
        <v>49927</v>
      </c>
      <c r="E729" s="2">
        <v>43666</v>
      </c>
      <c r="F729" s="1" t="s">
        <v>11</v>
      </c>
      <c r="G729" s="1">
        <v>39</v>
      </c>
      <c r="H729" t="str">
        <f t="shared" si="59"/>
        <v>Extra Large</v>
      </c>
      <c r="I729" t="str">
        <f t="shared" si="55"/>
        <v>Extra Large</v>
      </c>
      <c r="J729" s="1">
        <v>91.656199999999998</v>
      </c>
      <c r="K729">
        <f t="shared" si="56"/>
        <v>0.01</v>
      </c>
      <c r="L729">
        <f t="shared" si="57"/>
        <v>90.739637999999999</v>
      </c>
      <c r="M729" s="1">
        <f t="shared" si="58"/>
        <v>90.856200000000001</v>
      </c>
      <c r="N729" s="1" t="s">
        <v>10</v>
      </c>
      <c r="O729" s="1">
        <v>0.8</v>
      </c>
    </row>
    <row r="730" spans="4:15" x14ac:dyDescent="0.3">
      <c r="D730" s="1">
        <v>43653</v>
      </c>
      <c r="E730" s="2">
        <v>43768</v>
      </c>
      <c r="F730" s="1" t="s">
        <v>9</v>
      </c>
      <c r="G730" s="1">
        <v>39</v>
      </c>
      <c r="H730" t="str">
        <f t="shared" si="59"/>
        <v>Extra Large</v>
      </c>
      <c r="I730" t="str">
        <f t="shared" si="55"/>
        <v>Extra Large</v>
      </c>
      <c r="J730" s="1">
        <v>713.05</v>
      </c>
      <c r="K730">
        <f t="shared" si="56"/>
        <v>0.01</v>
      </c>
      <c r="L730">
        <f t="shared" si="57"/>
        <v>705.91949999999997</v>
      </c>
      <c r="M730" s="1">
        <f t="shared" si="58"/>
        <v>705.15</v>
      </c>
      <c r="N730" s="1" t="s">
        <v>8</v>
      </c>
      <c r="O730" s="1">
        <v>7.9</v>
      </c>
    </row>
    <row r="731" spans="4:15" x14ac:dyDescent="0.3">
      <c r="D731" s="1">
        <v>39490</v>
      </c>
      <c r="E731" s="2">
        <v>43689</v>
      </c>
      <c r="F731" s="1" t="s">
        <v>7</v>
      </c>
      <c r="G731" s="1">
        <v>17</v>
      </c>
      <c r="H731" t="str">
        <f t="shared" si="59"/>
        <v>Small-Medium</v>
      </c>
      <c r="I731" t="str">
        <f t="shared" si="55"/>
        <v>Small-Medium</v>
      </c>
      <c r="J731" s="1">
        <v>3043.7647999999999</v>
      </c>
      <c r="K731">
        <f t="shared" si="56"/>
        <v>0</v>
      </c>
      <c r="L731">
        <f t="shared" si="57"/>
        <v>3043.7647999999999</v>
      </c>
      <c r="M731" s="1">
        <f t="shared" si="58"/>
        <v>3043.7647999999999</v>
      </c>
      <c r="N731" s="1" t="s">
        <v>13</v>
      </c>
      <c r="O731" s="1">
        <v>64.2</v>
      </c>
    </row>
    <row r="732" spans="4:15" x14ac:dyDescent="0.3">
      <c r="D732" s="1">
        <v>11431</v>
      </c>
      <c r="E732" s="2">
        <v>43678</v>
      </c>
      <c r="F732" s="1" t="s">
        <v>9</v>
      </c>
      <c r="G732" s="1">
        <v>8</v>
      </c>
      <c r="H732" t="str">
        <f t="shared" si="59"/>
        <v>Extra Small</v>
      </c>
      <c r="I732" t="str">
        <f t="shared" si="55"/>
        <v>Extra Small</v>
      </c>
      <c r="J732" s="1">
        <v>1362.39</v>
      </c>
      <c r="K732">
        <f t="shared" si="56"/>
        <v>0</v>
      </c>
      <c r="L732">
        <f t="shared" si="57"/>
        <v>1362.39</v>
      </c>
      <c r="M732" s="1">
        <f t="shared" si="58"/>
        <v>1362.39</v>
      </c>
      <c r="N732" s="1" t="s">
        <v>10</v>
      </c>
      <c r="O732" s="1">
        <v>9.6</v>
      </c>
    </row>
    <row r="733" spans="4:15" x14ac:dyDescent="0.3">
      <c r="D733" s="1">
        <v>1793</v>
      </c>
      <c r="E733" s="2">
        <v>43657</v>
      </c>
      <c r="F733" s="1" t="s">
        <v>11</v>
      </c>
      <c r="G733" s="1">
        <v>36</v>
      </c>
      <c r="H733" t="str">
        <f t="shared" si="59"/>
        <v>Extra Large</v>
      </c>
      <c r="I733" t="str">
        <f t="shared" si="55"/>
        <v>Extra Large</v>
      </c>
      <c r="J733" s="1">
        <v>249.77</v>
      </c>
      <c r="K733">
        <f t="shared" si="56"/>
        <v>0.01</v>
      </c>
      <c r="L733">
        <f t="shared" si="57"/>
        <v>247.2723</v>
      </c>
      <c r="M733" s="1">
        <f t="shared" si="58"/>
        <v>244.07000000000002</v>
      </c>
      <c r="N733" s="1" t="s">
        <v>10</v>
      </c>
      <c r="O733" s="1">
        <v>5.7</v>
      </c>
    </row>
    <row r="734" spans="4:15" x14ac:dyDescent="0.3">
      <c r="D734" s="1">
        <v>16548</v>
      </c>
      <c r="E734" s="2">
        <v>43500</v>
      </c>
      <c r="F734" s="1" t="s">
        <v>11</v>
      </c>
      <c r="G734" s="1">
        <v>40</v>
      </c>
      <c r="H734" t="str">
        <f t="shared" si="59"/>
        <v>Extra Large</v>
      </c>
      <c r="I734" t="str">
        <f t="shared" si="55"/>
        <v>Extra Large</v>
      </c>
      <c r="J734" s="1">
        <v>3240.88</v>
      </c>
      <c r="K734">
        <f t="shared" si="56"/>
        <v>0.01</v>
      </c>
      <c r="L734">
        <f t="shared" si="57"/>
        <v>3208.4712</v>
      </c>
      <c r="M734" s="1">
        <f t="shared" si="58"/>
        <v>3167.08</v>
      </c>
      <c r="N734" s="1" t="s">
        <v>10</v>
      </c>
      <c r="O734" s="1">
        <v>73.8</v>
      </c>
    </row>
    <row r="735" spans="4:15" x14ac:dyDescent="0.3">
      <c r="D735" s="1">
        <v>30913</v>
      </c>
      <c r="E735" s="2">
        <v>43730</v>
      </c>
      <c r="F735" s="1" t="s">
        <v>14</v>
      </c>
      <c r="G735" s="1">
        <v>44</v>
      </c>
      <c r="H735" t="str">
        <f t="shared" si="59"/>
        <v>XX Large</v>
      </c>
      <c r="I735" t="str">
        <f t="shared" si="55"/>
        <v>XX Large</v>
      </c>
      <c r="J735" s="1">
        <v>135.20519999999999</v>
      </c>
      <c r="K735">
        <f t="shared" si="56"/>
        <v>0.01</v>
      </c>
      <c r="L735">
        <f t="shared" si="57"/>
        <v>133.85314799999998</v>
      </c>
      <c r="M735" s="1">
        <f t="shared" si="58"/>
        <v>134.70519999999999</v>
      </c>
      <c r="N735" s="1" t="s">
        <v>10</v>
      </c>
      <c r="O735" s="1">
        <v>0.5</v>
      </c>
    </row>
    <row r="736" spans="4:15" x14ac:dyDescent="0.3">
      <c r="D736" s="1">
        <v>59969</v>
      </c>
      <c r="E736" s="2">
        <v>43475</v>
      </c>
      <c r="F736" s="1" t="s">
        <v>9</v>
      </c>
      <c r="G736" s="1">
        <v>16</v>
      </c>
      <c r="H736" t="str">
        <f t="shared" si="59"/>
        <v>Small-Medium</v>
      </c>
      <c r="I736" t="str">
        <f t="shared" si="55"/>
        <v>Small-Medium</v>
      </c>
      <c r="J736" s="1">
        <v>294.26</v>
      </c>
      <c r="K736">
        <f t="shared" si="56"/>
        <v>0</v>
      </c>
      <c r="L736">
        <f t="shared" si="57"/>
        <v>294.26</v>
      </c>
      <c r="M736" s="1">
        <f t="shared" si="58"/>
        <v>294.26</v>
      </c>
      <c r="N736" s="1" t="s">
        <v>10</v>
      </c>
      <c r="O736" s="1">
        <v>12</v>
      </c>
    </row>
    <row r="737" spans="4:15" x14ac:dyDescent="0.3">
      <c r="D737" s="1">
        <v>39972</v>
      </c>
      <c r="E737" s="2">
        <v>43733</v>
      </c>
      <c r="F737" s="1" t="s">
        <v>11</v>
      </c>
      <c r="G737" s="1">
        <v>19</v>
      </c>
      <c r="H737" t="str">
        <f t="shared" si="59"/>
        <v>Small-Medium</v>
      </c>
      <c r="I737" t="str">
        <f t="shared" si="55"/>
        <v>Small-Medium</v>
      </c>
      <c r="J737" s="1">
        <v>103.85</v>
      </c>
      <c r="K737">
        <f t="shared" si="56"/>
        <v>0</v>
      </c>
      <c r="L737">
        <f t="shared" si="57"/>
        <v>103.85</v>
      </c>
      <c r="M737" s="1">
        <f t="shared" si="58"/>
        <v>103.85</v>
      </c>
      <c r="N737" s="1" t="s">
        <v>10</v>
      </c>
      <c r="O737" s="1">
        <v>3.2</v>
      </c>
    </row>
    <row r="738" spans="4:15" x14ac:dyDescent="0.3">
      <c r="D738" s="1">
        <v>28934</v>
      </c>
      <c r="E738" s="2">
        <v>43797</v>
      </c>
      <c r="F738" s="1" t="s">
        <v>14</v>
      </c>
      <c r="G738" s="1">
        <v>26</v>
      </c>
      <c r="H738" t="str">
        <f t="shared" si="59"/>
        <v>Medium-Large</v>
      </c>
      <c r="I738" t="str">
        <f t="shared" si="55"/>
        <v>Medium-Large</v>
      </c>
      <c r="J738" s="1">
        <v>3591.9043999999999</v>
      </c>
      <c r="K738">
        <f t="shared" si="56"/>
        <v>0</v>
      </c>
      <c r="L738">
        <f t="shared" si="57"/>
        <v>3591.9043999999999</v>
      </c>
      <c r="M738" s="1">
        <f t="shared" si="58"/>
        <v>3591.9043999999999</v>
      </c>
      <c r="N738" s="1" t="s">
        <v>8</v>
      </c>
      <c r="O738" s="1">
        <v>7.6</v>
      </c>
    </row>
    <row r="739" spans="4:15" x14ac:dyDescent="0.3">
      <c r="D739" s="1">
        <v>27939</v>
      </c>
      <c r="E739" s="2">
        <v>43565</v>
      </c>
      <c r="F739" s="1" t="s">
        <v>14</v>
      </c>
      <c r="G739" s="1">
        <v>8</v>
      </c>
      <c r="H739" t="str">
        <f t="shared" si="59"/>
        <v>Extra Small</v>
      </c>
      <c r="I739" t="str">
        <f t="shared" si="55"/>
        <v>Extra Small</v>
      </c>
      <c r="J739" s="1">
        <v>64.381900000000002</v>
      </c>
      <c r="K739">
        <f t="shared" si="56"/>
        <v>0</v>
      </c>
      <c r="L739">
        <f t="shared" si="57"/>
        <v>64.381900000000002</v>
      </c>
      <c r="M739" s="1">
        <f t="shared" si="58"/>
        <v>64.381900000000002</v>
      </c>
      <c r="N739" s="1" t="s">
        <v>10</v>
      </c>
      <c r="O739" s="1">
        <v>6.1</v>
      </c>
    </row>
    <row r="740" spans="4:15" x14ac:dyDescent="0.3">
      <c r="D740" s="1">
        <v>52007</v>
      </c>
      <c r="E740" s="2">
        <v>43569</v>
      </c>
      <c r="F740" s="1" t="s">
        <v>14</v>
      </c>
      <c r="G740" s="1">
        <v>25</v>
      </c>
      <c r="H740" t="str">
        <f t="shared" si="59"/>
        <v>Medium</v>
      </c>
      <c r="I740" t="str">
        <f t="shared" si="55"/>
        <v>Medium</v>
      </c>
      <c r="J740" s="1">
        <v>73.34</v>
      </c>
      <c r="K740">
        <f t="shared" si="56"/>
        <v>0</v>
      </c>
      <c r="L740">
        <f t="shared" si="57"/>
        <v>73.34</v>
      </c>
      <c r="M740" s="1">
        <f t="shared" si="58"/>
        <v>73.34</v>
      </c>
      <c r="N740" s="1" t="s">
        <v>10</v>
      </c>
      <c r="O740" s="1">
        <v>0.5</v>
      </c>
    </row>
    <row r="741" spans="4:15" x14ac:dyDescent="0.3">
      <c r="D741" s="1">
        <v>2560</v>
      </c>
      <c r="E741" s="2">
        <v>43712</v>
      </c>
      <c r="F741" s="1" t="s">
        <v>12</v>
      </c>
      <c r="G741" s="1">
        <v>32</v>
      </c>
      <c r="H741" t="str">
        <f t="shared" si="59"/>
        <v>Large</v>
      </c>
      <c r="I741" t="str">
        <f t="shared" si="55"/>
        <v>Large</v>
      </c>
      <c r="J741" s="1">
        <v>782.41</v>
      </c>
      <c r="K741">
        <f t="shared" si="56"/>
        <v>0</v>
      </c>
      <c r="L741">
        <f t="shared" si="57"/>
        <v>782.41</v>
      </c>
      <c r="M741" s="1">
        <f t="shared" si="58"/>
        <v>782.41</v>
      </c>
      <c r="N741" s="1" t="s">
        <v>10</v>
      </c>
      <c r="O741" s="1">
        <v>7</v>
      </c>
    </row>
    <row r="742" spans="4:15" x14ac:dyDescent="0.3">
      <c r="D742" s="1">
        <v>12292</v>
      </c>
      <c r="E742" s="2">
        <v>43618</v>
      </c>
      <c r="F742" s="1" t="s">
        <v>11</v>
      </c>
      <c r="G742" s="1">
        <v>32</v>
      </c>
      <c r="H742" t="str">
        <f t="shared" si="59"/>
        <v>Large</v>
      </c>
      <c r="I742" t="str">
        <f t="shared" si="55"/>
        <v>Large</v>
      </c>
      <c r="J742" s="1">
        <v>881.94</v>
      </c>
      <c r="K742">
        <f t="shared" si="56"/>
        <v>0</v>
      </c>
      <c r="L742">
        <f t="shared" si="57"/>
        <v>881.94</v>
      </c>
      <c r="M742" s="1">
        <f t="shared" si="58"/>
        <v>881.94</v>
      </c>
      <c r="N742" s="1" t="s">
        <v>10</v>
      </c>
      <c r="O742" s="1">
        <v>6.3</v>
      </c>
    </row>
    <row r="743" spans="4:15" x14ac:dyDescent="0.3">
      <c r="D743" s="1">
        <v>14240</v>
      </c>
      <c r="E743" s="2">
        <v>43512</v>
      </c>
      <c r="F743" s="1" t="s">
        <v>9</v>
      </c>
      <c r="G743" s="1">
        <v>24</v>
      </c>
      <c r="H743" t="str">
        <f t="shared" si="59"/>
        <v>Medium</v>
      </c>
      <c r="I743" t="str">
        <f t="shared" si="55"/>
        <v>Medium</v>
      </c>
      <c r="J743" s="1">
        <v>73.7</v>
      </c>
      <c r="K743">
        <f t="shared" si="56"/>
        <v>0</v>
      </c>
      <c r="L743">
        <f t="shared" si="57"/>
        <v>73.7</v>
      </c>
      <c r="M743" s="1">
        <f t="shared" si="58"/>
        <v>73.7</v>
      </c>
      <c r="N743" s="1" t="s">
        <v>10</v>
      </c>
      <c r="O743" s="1">
        <v>1.6</v>
      </c>
    </row>
    <row r="744" spans="4:15" x14ac:dyDescent="0.3">
      <c r="D744" s="1">
        <v>22182</v>
      </c>
      <c r="E744" s="2">
        <v>43713</v>
      </c>
      <c r="F744" s="1" t="s">
        <v>14</v>
      </c>
      <c r="G744" s="1">
        <v>48</v>
      </c>
      <c r="H744" t="str">
        <f t="shared" si="59"/>
        <v>XXX Large</v>
      </c>
      <c r="I744" t="str">
        <f t="shared" si="55"/>
        <v>XXX Large</v>
      </c>
      <c r="J744" s="1">
        <v>2430.3658999999998</v>
      </c>
      <c r="K744">
        <f t="shared" si="56"/>
        <v>0.01</v>
      </c>
      <c r="L744">
        <f t="shared" si="57"/>
        <v>2406.0622409999996</v>
      </c>
      <c r="M744" s="1">
        <f t="shared" si="58"/>
        <v>2419.3658999999998</v>
      </c>
      <c r="N744" s="1" t="s">
        <v>8</v>
      </c>
      <c r="O744" s="1">
        <v>11</v>
      </c>
    </row>
    <row r="745" spans="4:15" x14ac:dyDescent="0.3">
      <c r="D745" s="1">
        <v>34976</v>
      </c>
      <c r="E745" s="2">
        <v>43793</v>
      </c>
      <c r="F745" s="1" t="s">
        <v>14</v>
      </c>
      <c r="G745" s="1">
        <v>45</v>
      </c>
      <c r="H745" t="str">
        <f t="shared" si="59"/>
        <v>XX Large</v>
      </c>
      <c r="I745" t="str">
        <f t="shared" si="55"/>
        <v>XX Large</v>
      </c>
      <c r="J745" s="1">
        <v>4788.25</v>
      </c>
      <c r="K745">
        <f t="shared" si="56"/>
        <v>0.01</v>
      </c>
      <c r="L745">
        <f t="shared" si="57"/>
        <v>4740.3675000000003</v>
      </c>
      <c r="M745" s="1">
        <f t="shared" si="58"/>
        <v>4708.6499999999996</v>
      </c>
      <c r="N745" s="1" t="s">
        <v>13</v>
      </c>
      <c r="O745" s="1">
        <v>79.599999999999994</v>
      </c>
    </row>
    <row r="746" spans="4:15" x14ac:dyDescent="0.3">
      <c r="D746" s="1">
        <v>39652</v>
      </c>
      <c r="E746" s="2">
        <v>43589</v>
      </c>
      <c r="F746" s="1" t="s">
        <v>7</v>
      </c>
      <c r="G746" s="1">
        <v>4</v>
      </c>
      <c r="H746" t="str">
        <f t="shared" si="59"/>
        <v>Mini</v>
      </c>
      <c r="I746" t="str">
        <f t="shared" si="55"/>
        <v>Mini</v>
      </c>
      <c r="J746" s="1">
        <v>712.37</v>
      </c>
      <c r="K746">
        <f t="shared" si="56"/>
        <v>0</v>
      </c>
      <c r="L746">
        <f t="shared" si="57"/>
        <v>712.37</v>
      </c>
      <c r="M746" s="1">
        <f t="shared" si="58"/>
        <v>712.37</v>
      </c>
      <c r="N746" s="1" t="s">
        <v>10</v>
      </c>
      <c r="O746" s="1">
        <v>9.6</v>
      </c>
    </row>
    <row r="747" spans="4:15" x14ac:dyDescent="0.3">
      <c r="D747" s="1">
        <v>41766</v>
      </c>
      <c r="E747" s="2">
        <v>43719</v>
      </c>
      <c r="F747" s="1" t="s">
        <v>12</v>
      </c>
      <c r="G747" s="1">
        <v>7</v>
      </c>
      <c r="H747" t="str">
        <f t="shared" si="59"/>
        <v>Extra Small</v>
      </c>
      <c r="I747" t="str">
        <f t="shared" si="55"/>
        <v>Extra Small</v>
      </c>
      <c r="J747" s="1">
        <v>292.56</v>
      </c>
      <c r="K747">
        <f t="shared" si="56"/>
        <v>0</v>
      </c>
      <c r="L747">
        <f t="shared" si="57"/>
        <v>292.56</v>
      </c>
      <c r="M747" s="1">
        <f t="shared" si="58"/>
        <v>292.56</v>
      </c>
      <c r="N747" s="1" t="s">
        <v>10</v>
      </c>
      <c r="O747" s="1">
        <v>15.8</v>
      </c>
    </row>
    <row r="748" spans="4:15" x14ac:dyDescent="0.3">
      <c r="D748" s="1">
        <v>17702</v>
      </c>
      <c r="E748" s="2">
        <v>43568</v>
      </c>
      <c r="F748" s="1" t="s">
        <v>9</v>
      </c>
      <c r="G748" s="1">
        <v>9</v>
      </c>
      <c r="H748" t="str">
        <f t="shared" si="59"/>
        <v>Extra Small</v>
      </c>
      <c r="I748" t="str">
        <f t="shared" si="55"/>
        <v>Extra Small</v>
      </c>
      <c r="J748" s="1">
        <v>283.14999999999998</v>
      </c>
      <c r="K748">
        <f t="shared" si="56"/>
        <v>0</v>
      </c>
      <c r="L748">
        <f t="shared" si="57"/>
        <v>283.14999999999998</v>
      </c>
      <c r="M748" s="1">
        <f t="shared" si="58"/>
        <v>283.14999999999998</v>
      </c>
      <c r="N748" s="1" t="s">
        <v>8</v>
      </c>
      <c r="O748" s="1">
        <v>4.3</v>
      </c>
    </row>
    <row r="749" spans="4:15" x14ac:dyDescent="0.3">
      <c r="D749" s="1">
        <v>4416</v>
      </c>
      <c r="E749" s="2">
        <v>43645</v>
      </c>
      <c r="F749" s="1" t="s">
        <v>7</v>
      </c>
      <c r="G749" s="1">
        <v>46</v>
      </c>
      <c r="H749" t="str">
        <f t="shared" si="59"/>
        <v>XXX Large</v>
      </c>
      <c r="I749" t="str">
        <f t="shared" si="55"/>
        <v>XXX Large</v>
      </c>
      <c r="J749" s="1">
        <v>7962.18</v>
      </c>
      <c r="K749">
        <f t="shared" si="56"/>
        <v>0.01</v>
      </c>
      <c r="L749">
        <f t="shared" si="57"/>
        <v>7882.5582000000004</v>
      </c>
      <c r="M749" s="1">
        <f t="shared" si="58"/>
        <v>7940.7800000000007</v>
      </c>
      <c r="N749" s="1" t="s">
        <v>10</v>
      </c>
      <c r="O749" s="1">
        <v>21.4</v>
      </c>
    </row>
    <row r="750" spans="4:15" x14ac:dyDescent="0.3">
      <c r="D750" s="1">
        <v>49062</v>
      </c>
      <c r="E750" s="2">
        <v>43566</v>
      </c>
      <c r="F750" s="1" t="s">
        <v>7</v>
      </c>
      <c r="G750" s="1">
        <v>33</v>
      </c>
      <c r="H750" t="str">
        <f t="shared" si="59"/>
        <v>Large</v>
      </c>
      <c r="I750" t="str">
        <f t="shared" si="55"/>
        <v>Large</v>
      </c>
      <c r="J750" s="1">
        <v>110.55</v>
      </c>
      <c r="K750">
        <f t="shared" si="56"/>
        <v>0</v>
      </c>
      <c r="L750">
        <f t="shared" si="57"/>
        <v>110.55</v>
      </c>
      <c r="M750" s="1">
        <f t="shared" si="58"/>
        <v>110.55</v>
      </c>
      <c r="N750" s="1" t="s">
        <v>10</v>
      </c>
      <c r="O750" s="1">
        <v>2.2000000000000002</v>
      </c>
    </row>
    <row r="751" spans="4:15" x14ac:dyDescent="0.3">
      <c r="D751" s="1">
        <v>22916</v>
      </c>
      <c r="E751" s="2">
        <v>43497</v>
      </c>
      <c r="F751" s="1" t="s">
        <v>14</v>
      </c>
      <c r="G751" s="1">
        <v>18</v>
      </c>
      <c r="H751" t="str">
        <f t="shared" si="59"/>
        <v>Small-Medium</v>
      </c>
      <c r="I751" t="str">
        <f t="shared" si="55"/>
        <v>Small-Medium</v>
      </c>
      <c r="J751" s="1">
        <v>130.56</v>
      </c>
      <c r="K751">
        <f t="shared" si="56"/>
        <v>0</v>
      </c>
      <c r="L751">
        <f t="shared" si="57"/>
        <v>130.56</v>
      </c>
      <c r="M751" s="1">
        <f t="shared" si="58"/>
        <v>130.56</v>
      </c>
      <c r="N751" s="1" t="s">
        <v>10</v>
      </c>
      <c r="O751" s="1">
        <v>10.8</v>
      </c>
    </row>
    <row r="752" spans="4:15" x14ac:dyDescent="0.3">
      <c r="D752" s="1">
        <v>56514</v>
      </c>
      <c r="E752" s="2">
        <v>43506</v>
      </c>
      <c r="F752" s="1" t="s">
        <v>7</v>
      </c>
      <c r="G752" s="1">
        <v>35</v>
      </c>
      <c r="H752" t="str">
        <f t="shared" si="59"/>
        <v>Large</v>
      </c>
      <c r="I752" t="str">
        <f t="shared" si="55"/>
        <v>Large</v>
      </c>
      <c r="J752" s="1">
        <v>199.97</v>
      </c>
      <c r="K752">
        <f t="shared" si="56"/>
        <v>0</v>
      </c>
      <c r="L752">
        <f t="shared" si="57"/>
        <v>199.97</v>
      </c>
      <c r="M752" s="1">
        <f t="shared" si="58"/>
        <v>199.97</v>
      </c>
      <c r="N752" s="1" t="s">
        <v>10</v>
      </c>
      <c r="O752" s="1">
        <v>8.1</v>
      </c>
    </row>
    <row r="753" spans="4:15" x14ac:dyDescent="0.3">
      <c r="D753" s="1">
        <v>3973</v>
      </c>
      <c r="E753" s="2">
        <v>43547</v>
      </c>
      <c r="F753" s="1" t="s">
        <v>11</v>
      </c>
      <c r="G753" s="1">
        <v>21</v>
      </c>
      <c r="H753" t="str">
        <f t="shared" si="59"/>
        <v>Medium</v>
      </c>
      <c r="I753" t="str">
        <f t="shared" si="55"/>
        <v>Medium</v>
      </c>
      <c r="J753" s="1">
        <v>338.49</v>
      </c>
      <c r="K753">
        <f t="shared" si="56"/>
        <v>0</v>
      </c>
      <c r="L753">
        <f t="shared" si="57"/>
        <v>338.49</v>
      </c>
      <c r="M753" s="1">
        <f t="shared" si="58"/>
        <v>338.49</v>
      </c>
      <c r="N753" s="1" t="s">
        <v>10</v>
      </c>
      <c r="O753" s="1">
        <v>4</v>
      </c>
    </row>
    <row r="754" spans="4:15" x14ac:dyDescent="0.3">
      <c r="D754" s="1">
        <v>5891</v>
      </c>
      <c r="E754" s="2">
        <v>43827</v>
      </c>
      <c r="F754" s="1" t="s">
        <v>14</v>
      </c>
      <c r="G754" s="1">
        <v>2</v>
      </c>
      <c r="H754" t="str">
        <f t="shared" si="59"/>
        <v>Mini</v>
      </c>
      <c r="I754" t="str">
        <f t="shared" si="55"/>
        <v>Mini</v>
      </c>
      <c r="J754" s="1">
        <v>47.56</v>
      </c>
      <c r="K754">
        <f t="shared" si="56"/>
        <v>0</v>
      </c>
      <c r="L754">
        <f t="shared" si="57"/>
        <v>47.56</v>
      </c>
      <c r="M754" s="1">
        <f t="shared" si="58"/>
        <v>47.56</v>
      </c>
      <c r="N754" s="1" t="s">
        <v>10</v>
      </c>
      <c r="O754" s="1">
        <v>1.6</v>
      </c>
    </row>
    <row r="755" spans="4:15" x14ac:dyDescent="0.3">
      <c r="D755" s="1">
        <v>17959</v>
      </c>
      <c r="E755" s="2">
        <v>43717</v>
      </c>
      <c r="F755" s="1" t="s">
        <v>14</v>
      </c>
      <c r="G755" s="1">
        <v>28</v>
      </c>
      <c r="H755" t="str">
        <f t="shared" si="59"/>
        <v>Medium-Large</v>
      </c>
      <c r="I755" t="str">
        <f t="shared" si="55"/>
        <v>Medium-Large</v>
      </c>
      <c r="J755" s="1">
        <v>1285.8</v>
      </c>
      <c r="K755">
        <f t="shared" si="56"/>
        <v>0</v>
      </c>
      <c r="L755">
        <f t="shared" si="57"/>
        <v>1285.8</v>
      </c>
      <c r="M755" s="1">
        <f t="shared" si="58"/>
        <v>1285.8</v>
      </c>
      <c r="N755" s="1" t="s">
        <v>10</v>
      </c>
      <c r="O755" s="1">
        <v>21.4</v>
      </c>
    </row>
    <row r="756" spans="4:15" x14ac:dyDescent="0.3">
      <c r="D756" s="1">
        <v>30054</v>
      </c>
      <c r="E756" s="2">
        <v>43709</v>
      </c>
      <c r="F756" s="1" t="s">
        <v>11</v>
      </c>
      <c r="G756" s="1">
        <v>33</v>
      </c>
      <c r="H756" t="str">
        <f t="shared" si="59"/>
        <v>Large</v>
      </c>
      <c r="I756" t="str">
        <f t="shared" si="55"/>
        <v>Large</v>
      </c>
      <c r="J756" s="1">
        <v>332.97</v>
      </c>
      <c r="K756">
        <f t="shared" si="56"/>
        <v>0</v>
      </c>
      <c r="L756">
        <f t="shared" si="57"/>
        <v>332.97</v>
      </c>
      <c r="M756" s="1">
        <f t="shared" si="58"/>
        <v>332.97</v>
      </c>
      <c r="N756" s="1" t="s">
        <v>10</v>
      </c>
      <c r="O756" s="1">
        <v>5.3</v>
      </c>
    </row>
    <row r="757" spans="4:15" x14ac:dyDescent="0.3">
      <c r="D757" s="1">
        <v>58113</v>
      </c>
      <c r="E757" s="2">
        <v>43496</v>
      </c>
      <c r="F757" s="1" t="s">
        <v>9</v>
      </c>
      <c r="G757" s="1">
        <v>48</v>
      </c>
      <c r="H757" t="str">
        <f t="shared" si="59"/>
        <v>XXX Large</v>
      </c>
      <c r="I757" t="str">
        <f t="shared" si="55"/>
        <v>XXX Large</v>
      </c>
      <c r="J757" s="1">
        <v>388.1</v>
      </c>
      <c r="K757">
        <f t="shared" si="56"/>
        <v>0.01</v>
      </c>
      <c r="L757">
        <f t="shared" si="57"/>
        <v>384.21899999999999</v>
      </c>
      <c r="M757" s="1">
        <f t="shared" si="58"/>
        <v>381.5</v>
      </c>
      <c r="N757" s="1" t="s">
        <v>10</v>
      </c>
      <c r="O757" s="1">
        <v>6.6</v>
      </c>
    </row>
    <row r="758" spans="4:15" x14ac:dyDescent="0.3">
      <c r="D758" s="1">
        <v>39783</v>
      </c>
      <c r="E758" s="2">
        <v>43728</v>
      </c>
      <c r="F758" s="1" t="s">
        <v>11</v>
      </c>
      <c r="G758" s="1">
        <v>31</v>
      </c>
      <c r="H758" t="str">
        <f t="shared" si="59"/>
        <v>Large</v>
      </c>
      <c r="I758" t="str">
        <f t="shared" si="55"/>
        <v>Large</v>
      </c>
      <c r="J758" s="1">
        <v>316.69</v>
      </c>
      <c r="K758">
        <f t="shared" si="56"/>
        <v>0</v>
      </c>
      <c r="L758">
        <f t="shared" si="57"/>
        <v>316.69</v>
      </c>
      <c r="M758" s="1">
        <f t="shared" si="58"/>
        <v>316.69</v>
      </c>
      <c r="N758" s="1" t="s">
        <v>10</v>
      </c>
      <c r="O758" s="1">
        <v>6</v>
      </c>
    </row>
    <row r="759" spans="4:15" x14ac:dyDescent="0.3">
      <c r="D759" s="1">
        <v>24067</v>
      </c>
      <c r="E759" s="2">
        <v>43699</v>
      </c>
      <c r="F759" s="1" t="s">
        <v>9</v>
      </c>
      <c r="G759" s="1">
        <v>30</v>
      </c>
      <c r="H759" t="str">
        <f t="shared" si="59"/>
        <v>Medium-Large</v>
      </c>
      <c r="I759" t="str">
        <f t="shared" si="55"/>
        <v>Medium-Large</v>
      </c>
      <c r="J759" s="1">
        <v>137.22999999999999</v>
      </c>
      <c r="K759">
        <f t="shared" si="56"/>
        <v>0</v>
      </c>
      <c r="L759">
        <f t="shared" si="57"/>
        <v>137.22999999999999</v>
      </c>
      <c r="M759" s="1">
        <f t="shared" si="58"/>
        <v>137.22999999999999</v>
      </c>
      <c r="N759" s="1" t="s">
        <v>8</v>
      </c>
      <c r="O759" s="1">
        <v>5.6</v>
      </c>
    </row>
    <row r="760" spans="4:15" x14ac:dyDescent="0.3">
      <c r="D760" s="1">
        <v>42753</v>
      </c>
      <c r="E760" s="2">
        <v>43482</v>
      </c>
      <c r="F760" s="1" t="s">
        <v>14</v>
      </c>
      <c r="G760" s="1">
        <v>45</v>
      </c>
      <c r="H760" t="str">
        <f t="shared" si="59"/>
        <v>XX Large</v>
      </c>
      <c r="I760" t="str">
        <f t="shared" si="55"/>
        <v>XX Large</v>
      </c>
      <c r="J760" s="1">
        <v>4357.91</v>
      </c>
      <c r="K760">
        <f t="shared" si="56"/>
        <v>0.01</v>
      </c>
      <c r="L760">
        <f t="shared" si="57"/>
        <v>4314.3308999999999</v>
      </c>
      <c r="M760" s="1">
        <f t="shared" si="58"/>
        <v>4354.71</v>
      </c>
      <c r="N760" s="1" t="s">
        <v>10</v>
      </c>
      <c r="O760" s="1">
        <v>3.2</v>
      </c>
    </row>
    <row r="761" spans="4:15" x14ac:dyDescent="0.3">
      <c r="D761" s="1">
        <v>52225</v>
      </c>
      <c r="E761" s="2">
        <v>43567</v>
      </c>
      <c r="F761" s="1" t="s">
        <v>12</v>
      </c>
      <c r="G761" s="1">
        <v>33</v>
      </c>
      <c r="H761" t="str">
        <f t="shared" si="59"/>
        <v>Large</v>
      </c>
      <c r="I761" t="str">
        <f t="shared" si="55"/>
        <v>Large</v>
      </c>
      <c r="J761" s="1">
        <v>1945.15</v>
      </c>
      <c r="K761">
        <f t="shared" si="56"/>
        <v>0</v>
      </c>
      <c r="L761">
        <f t="shared" si="57"/>
        <v>1945.15</v>
      </c>
      <c r="M761" s="1">
        <f t="shared" si="58"/>
        <v>1945.15</v>
      </c>
      <c r="N761" s="1" t="s">
        <v>10</v>
      </c>
      <c r="O761" s="1">
        <v>11.5</v>
      </c>
    </row>
    <row r="762" spans="4:15" x14ac:dyDescent="0.3">
      <c r="D762" s="1">
        <v>17702</v>
      </c>
      <c r="E762" s="2">
        <v>43568</v>
      </c>
      <c r="F762" s="1" t="s">
        <v>9</v>
      </c>
      <c r="G762" s="1">
        <v>48</v>
      </c>
      <c r="H762" t="str">
        <f t="shared" si="59"/>
        <v>XXX Large</v>
      </c>
      <c r="I762" t="str">
        <f t="shared" si="55"/>
        <v>XXX Large</v>
      </c>
      <c r="J762" s="1">
        <v>394.82</v>
      </c>
      <c r="K762">
        <f t="shared" si="56"/>
        <v>0.01</v>
      </c>
      <c r="L762">
        <f t="shared" si="57"/>
        <v>390.87180000000001</v>
      </c>
      <c r="M762" s="1">
        <f t="shared" si="58"/>
        <v>384.92</v>
      </c>
      <c r="N762" s="1" t="s">
        <v>10</v>
      </c>
      <c r="O762" s="1">
        <v>9.9</v>
      </c>
    </row>
    <row r="763" spans="4:15" x14ac:dyDescent="0.3">
      <c r="D763" s="1">
        <v>42469</v>
      </c>
      <c r="E763" s="2">
        <v>43777</v>
      </c>
      <c r="F763" s="1" t="s">
        <v>11</v>
      </c>
      <c r="G763" s="1">
        <v>18</v>
      </c>
      <c r="H763" t="str">
        <f t="shared" si="59"/>
        <v>Small-Medium</v>
      </c>
      <c r="I763" t="str">
        <f t="shared" si="55"/>
        <v>Small-Medium</v>
      </c>
      <c r="J763" s="1">
        <v>2279.9774000000002</v>
      </c>
      <c r="K763">
        <f t="shared" si="56"/>
        <v>0</v>
      </c>
      <c r="L763">
        <f t="shared" si="57"/>
        <v>2279.9774000000002</v>
      </c>
      <c r="M763" s="1">
        <f t="shared" si="58"/>
        <v>2279.9774000000002</v>
      </c>
      <c r="N763" s="1" t="s">
        <v>10</v>
      </c>
      <c r="O763" s="1">
        <v>9.6999999999999993</v>
      </c>
    </row>
    <row r="764" spans="4:15" x14ac:dyDescent="0.3">
      <c r="D764" s="1">
        <v>52645</v>
      </c>
      <c r="E764" s="2">
        <v>43531</v>
      </c>
      <c r="F764" s="1" t="s">
        <v>7</v>
      </c>
      <c r="G764" s="1">
        <v>11</v>
      </c>
      <c r="H764" t="str">
        <f t="shared" si="59"/>
        <v>Small</v>
      </c>
      <c r="I764" t="str">
        <f t="shared" si="55"/>
        <v>Small</v>
      </c>
      <c r="J764" s="1">
        <v>68.84</v>
      </c>
      <c r="K764">
        <f t="shared" si="56"/>
        <v>0</v>
      </c>
      <c r="L764">
        <f t="shared" si="57"/>
        <v>68.84</v>
      </c>
      <c r="M764" s="1">
        <f t="shared" si="58"/>
        <v>68.84</v>
      </c>
      <c r="N764" s="1" t="s">
        <v>10</v>
      </c>
      <c r="O764" s="1">
        <v>2.4</v>
      </c>
    </row>
    <row r="765" spans="4:15" x14ac:dyDescent="0.3">
      <c r="D765" s="1">
        <v>28742</v>
      </c>
      <c r="E765" s="2">
        <v>43584</v>
      </c>
      <c r="F765" s="1" t="s">
        <v>7</v>
      </c>
      <c r="G765" s="1">
        <v>7</v>
      </c>
      <c r="H765" t="str">
        <f t="shared" si="59"/>
        <v>Extra Small</v>
      </c>
      <c r="I765" t="str">
        <f t="shared" si="55"/>
        <v>Extra Small</v>
      </c>
      <c r="J765" s="1">
        <v>2323.4699999999998</v>
      </c>
      <c r="K765">
        <f t="shared" si="56"/>
        <v>0</v>
      </c>
      <c r="L765">
        <f t="shared" si="57"/>
        <v>2323.4699999999998</v>
      </c>
      <c r="M765" s="1">
        <f t="shared" si="58"/>
        <v>2323.4699999999998</v>
      </c>
      <c r="N765" s="1" t="s">
        <v>13</v>
      </c>
      <c r="O765" s="1">
        <v>91.6</v>
      </c>
    </row>
    <row r="766" spans="4:15" x14ac:dyDescent="0.3">
      <c r="D766" s="1">
        <v>5121</v>
      </c>
      <c r="E766" s="2">
        <v>43595</v>
      </c>
      <c r="F766" s="1" t="s">
        <v>11</v>
      </c>
      <c r="G766" s="1">
        <v>45</v>
      </c>
      <c r="H766" t="str">
        <f t="shared" si="59"/>
        <v>XX Large</v>
      </c>
      <c r="I766" t="str">
        <f t="shared" si="55"/>
        <v>XX Large</v>
      </c>
      <c r="J766" s="1">
        <v>2131.12</v>
      </c>
      <c r="K766">
        <f t="shared" si="56"/>
        <v>0.01</v>
      </c>
      <c r="L766">
        <f t="shared" si="57"/>
        <v>2109.8087999999998</v>
      </c>
      <c r="M766" s="1">
        <f t="shared" si="58"/>
        <v>2129.8199999999997</v>
      </c>
      <c r="N766" s="1" t="s">
        <v>10</v>
      </c>
      <c r="O766" s="1">
        <v>1.3</v>
      </c>
    </row>
    <row r="767" spans="4:15" x14ac:dyDescent="0.3">
      <c r="D767" s="1">
        <v>12711</v>
      </c>
      <c r="E767" s="2">
        <v>43514</v>
      </c>
      <c r="F767" s="1" t="s">
        <v>12</v>
      </c>
      <c r="G767" s="1">
        <v>45</v>
      </c>
      <c r="H767" t="str">
        <f t="shared" si="59"/>
        <v>XX Large</v>
      </c>
      <c r="I767" t="str">
        <f t="shared" si="55"/>
        <v>XX Large</v>
      </c>
      <c r="J767" s="1">
        <v>597.1</v>
      </c>
      <c r="K767">
        <f t="shared" si="56"/>
        <v>0.01</v>
      </c>
      <c r="L767">
        <f t="shared" si="57"/>
        <v>591.12900000000002</v>
      </c>
      <c r="M767" s="1">
        <f t="shared" si="58"/>
        <v>593.70000000000005</v>
      </c>
      <c r="N767" s="1" t="s">
        <v>10</v>
      </c>
      <c r="O767" s="1">
        <v>3.4</v>
      </c>
    </row>
    <row r="768" spans="4:15" x14ac:dyDescent="0.3">
      <c r="D768" s="1">
        <v>2146</v>
      </c>
      <c r="E768" s="2">
        <v>43721</v>
      </c>
      <c r="F768" s="1" t="s">
        <v>11</v>
      </c>
      <c r="G768" s="1">
        <v>44</v>
      </c>
      <c r="H768" t="str">
        <f t="shared" si="59"/>
        <v>XX Large</v>
      </c>
      <c r="I768" t="str">
        <f t="shared" si="55"/>
        <v>XX Large</v>
      </c>
      <c r="J768" s="1">
        <v>121.67</v>
      </c>
      <c r="K768">
        <f t="shared" si="56"/>
        <v>0.01</v>
      </c>
      <c r="L768">
        <f t="shared" si="57"/>
        <v>120.4533</v>
      </c>
      <c r="M768" s="1">
        <f t="shared" si="58"/>
        <v>121.17</v>
      </c>
      <c r="N768" s="1" t="s">
        <v>10</v>
      </c>
      <c r="O768" s="1">
        <v>0.5</v>
      </c>
    </row>
    <row r="769" spans="4:15" x14ac:dyDescent="0.3">
      <c r="D769" s="1">
        <v>21605</v>
      </c>
      <c r="E769" s="2">
        <v>43563</v>
      </c>
      <c r="F769" s="1" t="s">
        <v>9</v>
      </c>
      <c r="G769" s="1">
        <v>32</v>
      </c>
      <c r="H769" t="str">
        <f t="shared" si="59"/>
        <v>Large</v>
      </c>
      <c r="I769" t="str">
        <f t="shared" si="55"/>
        <v>Large</v>
      </c>
      <c r="J769" s="1">
        <v>2068.2800000000002</v>
      </c>
      <c r="K769">
        <f t="shared" si="56"/>
        <v>0</v>
      </c>
      <c r="L769">
        <f t="shared" si="57"/>
        <v>2068.2800000000002</v>
      </c>
      <c r="M769" s="1">
        <f t="shared" si="58"/>
        <v>2068.2800000000002</v>
      </c>
      <c r="N769" s="1" t="s">
        <v>13</v>
      </c>
      <c r="O769" s="1">
        <v>32.1</v>
      </c>
    </row>
    <row r="770" spans="4:15" x14ac:dyDescent="0.3">
      <c r="D770" s="1">
        <v>31270</v>
      </c>
      <c r="E770" s="2">
        <v>43792</v>
      </c>
      <c r="F770" s="1" t="s">
        <v>14</v>
      </c>
      <c r="G770" s="1">
        <v>5</v>
      </c>
      <c r="H770" t="str">
        <f t="shared" si="59"/>
        <v>Mini</v>
      </c>
      <c r="I770" t="str">
        <f t="shared" si="55"/>
        <v>Mini</v>
      </c>
      <c r="J770" s="1">
        <v>176.59</v>
      </c>
      <c r="K770">
        <f t="shared" si="56"/>
        <v>0</v>
      </c>
      <c r="L770">
        <f t="shared" si="57"/>
        <v>176.59</v>
      </c>
      <c r="M770" s="1">
        <f t="shared" si="58"/>
        <v>176.59</v>
      </c>
      <c r="N770" s="1" t="s">
        <v>10</v>
      </c>
      <c r="O770" s="1">
        <v>9.3000000000000007</v>
      </c>
    </row>
    <row r="771" spans="4:15" x14ac:dyDescent="0.3">
      <c r="D771" s="1">
        <v>41378</v>
      </c>
      <c r="E771" s="2">
        <v>43767</v>
      </c>
      <c r="F771" s="1" t="s">
        <v>11</v>
      </c>
      <c r="G771" s="1">
        <v>30</v>
      </c>
      <c r="H771" t="str">
        <f t="shared" si="59"/>
        <v>Medium-Large</v>
      </c>
      <c r="I771" t="str">
        <f t="shared" ref="I771:I834" si="60">VLOOKUP(G771, $A$3:$B$12, 2, TRUE)</f>
        <v>Medium-Large</v>
      </c>
      <c r="J771" s="1">
        <v>5836.33</v>
      </c>
      <c r="K771">
        <f t="shared" ref="K771:K834" si="61">IF(OR(I771="Extra Large", I771="XX Large", I771="XXX Large"), 0.01, 0)</f>
        <v>0</v>
      </c>
      <c r="L771">
        <f t="shared" ref="L771:L834" si="62">J771 * (1 - K771)</f>
        <v>5836.33</v>
      </c>
      <c r="M771" s="1">
        <f t="shared" ref="M771:M834" si="63">IF(OR(I771="Extra Large",I771="XX Large",I771="XXX Large"),J771-O771,J771)</f>
        <v>5836.33</v>
      </c>
      <c r="N771" s="1" t="s">
        <v>13</v>
      </c>
      <c r="O771" s="1">
        <v>32.1</v>
      </c>
    </row>
    <row r="772" spans="4:15" x14ac:dyDescent="0.3">
      <c r="D772" s="1">
        <v>49954</v>
      </c>
      <c r="E772" s="2">
        <v>43522</v>
      </c>
      <c r="F772" s="1" t="s">
        <v>12</v>
      </c>
      <c r="G772" s="1">
        <v>36</v>
      </c>
      <c r="H772" t="str">
        <f t="shared" si="59"/>
        <v>Extra Large</v>
      </c>
      <c r="I772" t="str">
        <f t="shared" si="60"/>
        <v>Extra Large</v>
      </c>
      <c r="J772" s="1">
        <v>2055.61</v>
      </c>
      <c r="K772">
        <f t="shared" si="61"/>
        <v>0.01</v>
      </c>
      <c r="L772">
        <f t="shared" si="62"/>
        <v>2035.0539000000001</v>
      </c>
      <c r="M772" s="1">
        <f t="shared" si="63"/>
        <v>2046.0100000000002</v>
      </c>
      <c r="N772" s="1" t="s">
        <v>10</v>
      </c>
      <c r="O772" s="1">
        <v>9.6</v>
      </c>
    </row>
    <row r="773" spans="4:15" x14ac:dyDescent="0.3">
      <c r="D773" s="1">
        <v>322</v>
      </c>
      <c r="E773" s="2">
        <v>43542</v>
      </c>
      <c r="F773" s="1" t="s">
        <v>12</v>
      </c>
      <c r="G773" s="1">
        <v>20</v>
      </c>
      <c r="H773" t="str">
        <f t="shared" ref="H773:H836" si="64">VLOOKUP(G773, $A$3:$B$12, 2, TRUE)</f>
        <v>Small-Medium</v>
      </c>
      <c r="I773" t="str">
        <f t="shared" si="60"/>
        <v>Small-Medium</v>
      </c>
      <c r="J773" s="1">
        <v>2819.3</v>
      </c>
      <c r="K773">
        <f t="shared" si="61"/>
        <v>0</v>
      </c>
      <c r="L773">
        <f t="shared" si="62"/>
        <v>2819.3</v>
      </c>
      <c r="M773" s="1">
        <f t="shared" si="63"/>
        <v>2819.3</v>
      </c>
      <c r="N773" s="1" t="s">
        <v>10</v>
      </c>
      <c r="O773" s="1">
        <v>8.6</v>
      </c>
    </row>
    <row r="774" spans="4:15" x14ac:dyDescent="0.3">
      <c r="D774" s="1">
        <v>3655</v>
      </c>
      <c r="E774" s="2">
        <v>43743</v>
      </c>
      <c r="F774" s="1" t="s">
        <v>12</v>
      </c>
      <c r="G774" s="1">
        <v>3</v>
      </c>
      <c r="H774" t="str">
        <f t="shared" si="64"/>
        <v>Mini</v>
      </c>
      <c r="I774" t="str">
        <f t="shared" si="60"/>
        <v>Mini</v>
      </c>
      <c r="J774" s="1">
        <v>66.92</v>
      </c>
      <c r="K774">
        <f t="shared" si="61"/>
        <v>0</v>
      </c>
      <c r="L774">
        <f t="shared" si="62"/>
        <v>66.92</v>
      </c>
      <c r="M774" s="1">
        <f t="shared" si="63"/>
        <v>66.92</v>
      </c>
      <c r="N774" s="1" t="s">
        <v>10</v>
      </c>
      <c r="O774" s="1">
        <v>14.1</v>
      </c>
    </row>
    <row r="775" spans="4:15" x14ac:dyDescent="0.3">
      <c r="D775" s="1">
        <v>24098</v>
      </c>
      <c r="E775" s="2">
        <v>43572</v>
      </c>
      <c r="F775" s="1" t="s">
        <v>12</v>
      </c>
      <c r="G775" s="1">
        <v>42</v>
      </c>
      <c r="H775" t="str">
        <f t="shared" si="64"/>
        <v>XX Large</v>
      </c>
      <c r="I775" t="str">
        <f t="shared" si="60"/>
        <v>XX Large</v>
      </c>
      <c r="J775" s="1">
        <v>213.55</v>
      </c>
      <c r="K775">
        <f t="shared" si="61"/>
        <v>0.01</v>
      </c>
      <c r="L775">
        <f t="shared" si="62"/>
        <v>211.4145</v>
      </c>
      <c r="M775" s="1">
        <f t="shared" si="63"/>
        <v>211.95000000000002</v>
      </c>
      <c r="N775" s="1" t="s">
        <v>10</v>
      </c>
      <c r="O775" s="1">
        <v>1.6</v>
      </c>
    </row>
    <row r="776" spans="4:15" x14ac:dyDescent="0.3">
      <c r="D776" s="1">
        <v>43270</v>
      </c>
      <c r="E776" s="2">
        <v>43709</v>
      </c>
      <c r="F776" s="1" t="s">
        <v>12</v>
      </c>
      <c r="G776" s="1">
        <v>35</v>
      </c>
      <c r="H776" t="str">
        <f t="shared" si="64"/>
        <v>Large</v>
      </c>
      <c r="I776" t="str">
        <f t="shared" si="60"/>
        <v>Large</v>
      </c>
      <c r="J776" s="1">
        <v>367.99</v>
      </c>
      <c r="K776">
        <f t="shared" si="61"/>
        <v>0</v>
      </c>
      <c r="L776">
        <f t="shared" si="62"/>
        <v>367.99</v>
      </c>
      <c r="M776" s="1">
        <f t="shared" si="63"/>
        <v>367.99</v>
      </c>
      <c r="N776" s="1" t="s">
        <v>10</v>
      </c>
      <c r="O776" s="1">
        <v>1.1000000000000001</v>
      </c>
    </row>
    <row r="777" spans="4:15" x14ac:dyDescent="0.3">
      <c r="D777" s="1">
        <v>9573</v>
      </c>
      <c r="E777" s="2">
        <v>43629</v>
      </c>
      <c r="F777" s="1" t="s">
        <v>14</v>
      </c>
      <c r="G777" s="1">
        <v>41</v>
      </c>
      <c r="H777" t="str">
        <f t="shared" si="64"/>
        <v>XX Large</v>
      </c>
      <c r="I777" t="str">
        <f t="shared" si="60"/>
        <v>XX Large</v>
      </c>
      <c r="J777" s="1">
        <v>142.56</v>
      </c>
      <c r="K777">
        <f t="shared" si="61"/>
        <v>0.01</v>
      </c>
      <c r="L777">
        <f t="shared" si="62"/>
        <v>141.1344</v>
      </c>
      <c r="M777" s="1">
        <f t="shared" si="63"/>
        <v>140.46</v>
      </c>
      <c r="N777" s="1" t="s">
        <v>10</v>
      </c>
      <c r="O777" s="1">
        <v>2.1</v>
      </c>
    </row>
    <row r="778" spans="4:15" x14ac:dyDescent="0.3">
      <c r="D778" s="1">
        <v>49442</v>
      </c>
      <c r="E778" s="2">
        <v>43686</v>
      </c>
      <c r="F778" s="1" t="s">
        <v>9</v>
      </c>
      <c r="G778" s="1">
        <v>11</v>
      </c>
      <c r="H778" t="str">
        <f t="shared" si="64"/>
        <v>Small</v>
      </c>
      <c r="I778" t="str">
        <f t="shared" si="60"/>
        <v>Small</v>
      </c>
      <c r="J778" s="1">
        <v>140.30000000000001</v>
      </c>
      <c r="K778">
        <f t="shared" si="61"/>
        <v>0</v>
      </c>
      <c r="L778">
        <f t="shared" si="62"/>
        <v>140.30000000000001</v>
      </c>
      <c r="M778" s="1">
        <f t="shared" si="63"/>
        <v>140.30000000000001</v>
      </c>
      <c r="N778" s="1" t="s">
        <v>10</v>
      </c>
      <c r="O778" s="1">
        <v>7.7</v>
      </c>
    </row>
    <row r="779" spans="4:15" x14ac:dyDescent="0.3">
      <c r="D779" s="1">
        <v>33570</v>
      </c>
      <c r="E779" s="2">
        <v>43815</v>
      </c>
      <c r="F779" s="1" t="s">
        <v>11</v>
      </c>
      <c r="G779" s="1">
        <v>19</v>
      </c>
      <c r="H779" t="str">
        <f t="shared" si="64"/>
        <v>Small-Medium</v>
      </c>
      <c r="I779" t="str">
        <f t="shared" si="60"/>
        <v>Small-Medium</v>
      </c>
      <c r="J779" s="1">
        <v>3310.43</v>
      </c>
      <c r="K779">
        <f t="shared" si="61"/>
        <v>0</v>
      </c>
      <c r="L779">
        <f t="shared" si="62"/>
        <v>3310.43</v>
      </c>
      <c r="M779" s="1">
        <f t="shared" si="63"/>
        <v>3310.43</v>
      </c>
      <c r="N779" s="1" t="s">
        <v>10</v>
      </c>
      <c r="O779" s="1">
        <v>5.6</v>
      </c>
    </row>
    <row r="780" spans="4:15" x14ac:dyDescent="0.3">
      <c r="D780" s="1">
        <v>41760</v>
      </c>
      <c r="E780" s="2">
        <v>43491</v>
      </c>
      <c r="F780" s="1" t="s">
        <v>7</v>
      </c>
      <c r="G780" s="1">
        <v>21</v>
      </c>
      <c r="H780" t="str">
        <f t="shared" si="64"/>
        <v>Medium</v>
      </c>
      <c r="I780" t="str">
        <f t="shared" si="60"/>
        <v>Medium</v>
      </c>
      <c r="J780" s="1">
        <v>7156.87</v>
      </c>
      <c r="K780">
        <f t="shared" si="61"/>
        <v>0</v>
      </c>
      <c r="L780">
        <f t="shared" si="62"/>
        <v>7156.87</v>
      </c>
      <c r="M780" s="1">
        <f t="shared" si="63"/>
        <v>7156.87</v>
      </c>
      <c r="N780" s="1" t="s">
        <v>10</v>
      </c>
      <c r="O780" s="1">
        <v>21.4</v>
      </c>
    </row>
    <row r="781" spans="4:15" x14ac:dyDescent="0.3">
      <c r="D781" s="1">
        <v>9892</v>
      </c>
      <c r="E781" s="2">
        <v>43662</v>
      </c>
      <c r="F781" s="1" t="s">
        <v>14</v>
      </c>
      <c r="G781" s="1">
        <v>50</v>
      </c>
      <c r="H781" t="str">
        <f t="shared" si="64"/>
        <v>XXX Large</v>
      </c>
      <c r="I781" t="str">
        <f t="shared" si="60"/>
        <v>XXX Large</v>
      </c>
      <c r="J781" s="1">
        <v>1505.1</v>
      </c>
      <c r="K781">
        <f t="shared" si="61"/>
        <v>0.01</v>
      </c>
      <c r="L781">
        <f t="shared" si="62"/>
        <v>1490.049</v>
      </c>
      <c r="M781" s="1">
        <f t="shared" si="63"/>
        <v>1496.3</v>
      </c>
      <c r="N781" s="1" t="s">
        <v>10</v>
      </c>
      <c r="O781" s="1">
        <v>8.8000000000000007</v>
      </c>
    </row>
    <row r="782" spans="4:15" x14ac:dyDescent="0.3">
      <c r="D782" s="1">
        <v>1154</v>
      </c>
      <c r="E782" s="2">
        <v>43509</v>
      </c>
      <c r="F782" s="1" t="s">
        <v>12</v>
      </c>
      <c r="G782" s="1">
        <v>7</v>
      </c>
      <c r="H782" t="str">
        <f t="shared" si="64"/>
        <v>Extra Small</v>
      </c>
      <c r="I782" t="str">
        <f t="shared" si="60"/>
        <v>Extra Small</v>
      </c>
      <c r="J782" s="1">
        <v>552.82000000000005</v>
      </c>
      <c r="K782">
        <f t="shared" si="61"/>
        <v>0</v>
      </c>
      <c r="L782">
        <f t="shared" si="62"/>
        <v>552.82000000000005</v>
      </c>
      <c r="M782" s="1">
        <f t="shared" si="63"/>
        <v>552.82000000000005</v>
      </c>
      <c r="N782" s="1" t="s">
        <v>8</v>
      </c>
      <c r="O782" s="1">
        <v>3.7</v>
      </c>
    </row>
    <row r="783" spans="4:15" x14ac:dyDescent="0.3">
      <c r="D783" s="1">
        <v>55968</v>
      </c>
      <c r="E783" s="2">
        <v>43738</v>
      </c>
      <c r="F783" s="1" t="s">
        <v>7</v>
      </c>
      <c r="G783" s="1">
        <v>40</v>
      </c>
      <c r="H783" t="str">
        <f t="shared" si="64"/>
        <v>Extra Large</v>
      </c>
      <c r="I783" t="str">
        <f t="shared" si="60"/>
        <v>Extra Large</v>
      </c>
      <c r="J783" s="1">
        <v>78.77</v>
      </c>
      <c r="K783">
        <f t="shared" si="61"/>
        <v>0.01</v>
      </c>
      <c r="L783">
        <f t="shared" si="62"/>
        <v>77.982299999999995</v>
      </c>
      <c r="M783" s="1">
        <f t="shared" si="63"/>
        <v>77.67</v>
      </c>
      <c r="N783" s="1" t="s">
        <v>10</v>
      </c>
      <c r="O783" s="1">
        <v>1.1000000000000001</v>
      </c>
    </row>
    <row r="784" spans="4:15" x14ac:dyDescent="0.3">
      <c r="D784" s="1">
        <v>53445</v>
      </c>
      <c r="E784" s="2">
        <v>43762</v>
      </c>
      <c r="F784" s="1" t="s">
        <v>9</v>
      </c>
      <c r="G784" s="1">
        <v>21</v>
      </c>
      <c r="H784" t="str">
        <f t="shared" si="64"/>
        <v>Medium</v>
      </c>
      <c r="I784" t="str">
        <f t="shared" si="60"/>
        <v>Medium</v>
      </c>
      <c r="J784" s="1">
        <v>78.97</v>
      </c>
      <c r="K784">
        <f t="shared" si="61"/>
        <v>0</v>
      </c>
      <c r="L784">
        <f t="shared" si="62"/>
        <v>78.97</v>
      </c>
      <c r="M784" s="1">
        <f t="shared" si="63"/>
        <v>78.97</v>
      </c>
      <c r="N784" s="1" t="s">
        <v>10</v>
      </c>
      <c r="O784" s="1">
        <v>1.4</v>
      </c>
    </row>
    <row r="785" spans="4:15" x14ac:dyDescent="0.3">
      <c r="D785" s="1">
        <v>41312</v>
      </c>
      <c r="E785" s="2">
        <v>43495</v>
      </c>
      <c r="F785" s="1" t="s">
        <v>11</v>
      </c>
      <c r="G785" s="1">
        <v>21</v>
      </c>
      <c r="H785" t="str">
        <f t="shared" si="64"/>
        <v>Medium</v>
      </c>
      <c r="I785" t="str">
        <f t="shared" si="60"/>
        <v>Medium</v>
      </c>
      <c r="J785" s="1">
        <v>842.76</v>
      </c>
      <c r="K785">
        <f t="shared" si="61"/>
        <v>0</v>
      </c>
      <c r="L785">
        <f t="shared" si="62"/>
        <v>842.76</v>
      </c>
      <c r="M785" s="1">
        <f t="shared" si="63"/>
        <v>842.76</v>
      </c>
      <c r="N785" s="1" t="s">
        <v>10</v>
      </c>
      <c r="O785" s="1">
        <v>2.1</v>
      </c>
    </row>
    <row r="786" spans="4:15" x14ac:dyDescent="0.3">
      <c r="D786" s="1">
        <v>22434</v>
      </c>
      <c r="E786" s="2">
        <v>43706</v>
      </c>
      <c r="F786" s="1" t="s">
        <v>12</v>
      </c>
      <c r="G786" s="1">
        <v>3</v>
      </c>
      <c r="H786" t="str">
        <f t="shared" si="64"/>
        <v>Mini</v>
      </c>
      <c r="I786" t="str">
        <f t="shared" si="60"/>
        <v>Mini</v>
      </c>
      <c r="J786" s="1">
        <v>20.010000000000002</v>
      </c>
      <c r="K786">
        <f t="shared" si="61"/>
        <v>0</v>
      </c>
      <c r="L786">
        <f t="shared" si="62"/>
        <v>20.010000000000002</v>
      </c>
      <c r="M786" s="1">
        <f t="shared" si="63"/>
        <v>20.010000000000002</v>
      </c>
      <c r="N786" s="1" t="s">
        <v>10</v>
      </c>
      <c r="O786" s="1">
        <v>6.2</v>
      </c>
    </row>
    <row r="787" spans="4:15" x14ac:dyDescent="0.3">
      <c r="D787" s="1">
        <v>43138</v>
      </c>
      <c r="E787" s="2">
        <v>43538</v>
      </c>
      <c r="F787" s="1" t="s">
        <v>7</v>
      </c>
      <c r="G787" s="1">
        <v>43</v>
      </c>
      <c r="H787" t="str">
        <f t="shared" si="64"/>
        <v>XX Large</v>
      </c>
      <c r="I787" t="str">
        <f t="shared" si="60"/>
        <v>XX Large</v>
      </c>
      <c r="J787" s="1">
        <v>1427.43</v>
      </c>
      <c r="K787">
        <f t="shared" si="61"/>
        <v>0.01</v>
      </c>
      <c r="L787">
        <f t="shared" si="62"/>
        <v>1413.1557</v>
      </c>
      <c r="M787" s="1">
        <f t="shared" si="63"/>
        <v>1424.23</v>
      </c>
      <c r="N787" s="1" t="s">
        <v>10</v>
      </c>
      <c r="O787" s="1">
        <v>3.2</v>
      </c>
    </row>
    <row r="788" spans="4:15" x14ac:dyDescent="0.3">
      <c r="D788" s="1">
        <v>12804</v>
      </c>
      <c r="E788" s="2">
        <v>43610</v>
      </c>
      <c r="F788" s="1" t="s">
        <v>14</v>
      </c>
      <c r="G788" s="1">
        <v>21</v>
      </c>
      <c r="H788" t="str">
        <f t="shared" si="64"/>
        <v>Medium</v>
      </c>
      <c r="I788" t="str">
        <f t="shared" si="60"/>
        <v>Medium</v>
      </c>
      <c r="J788" s="1">
        <v>73.89</v>
      </c>
      <c r="K788">
        <f t="shared" si="61"/>
        <v>0</v>
      </c>
      <c r="L788">
        <f t="shared" si="62"/>
        <v>73.89</v>
      </c>
      <c r="M788" s="1">
        <f t="shared" si="63"/>
        <v>73.89</v>
      </c>
      <c r="N788" s="1" t="s">
        <v>10</v>
      </c>
      <c r="O788" s="1">
        <v>0.5</v>
      </c>
    </row>
    <row r="789" spans="4:15" x14ac:dyDescent="0.3">
      <c r="D789" s="1">
        <v>23809</v>
      </c>
      <c r="E789" s="2">
        <v>43620</v>
      </c>
      <c r="F789" s="1" t="s">
        <v>11</v>
      </c>
      <c r="G789" s="1">
        <v>7</v>
      </c>
      <c r="H789" t="str">
        <f t="shared" si="64"/>
        <v>Extra Small</v>
      </c>
      <c r="I789" t="str">
        <f t="shared" si="60"/>
        <v>Extra Small</v>
      </c>
      <c r="J789" s="1">
        <v>92.67</v>
      </c>
      <c r="K789">
        <f t="shared" si="61"/>
        <v>0</v>
      </c>
      <c r="L789">
        <f t="shared" si="62"/>
        <v>92.67</v>
      </c>
      <c r="M789" s="1">
        <f t="shared" si="63"/>
        <v>92.67</v>
      </c>
      <c r="N789" s="1" t="s">
        <v>10</v>
      </c>
      <c r="O789" s="1">
        <v>1.6</v>
      </c>
    </row>
    <row r="790" spans="4:15" x14ac:dyDescent="0.3">
      <c r="D790" s="1">
        <v>49889</v>
      </c>
      <c r="E790" s="2">
        <v>43811</v>
      </c>
      <c r="F790" s="1" t="s">
        <v>12</v>
      </c>
      <c r="G790" s="1">
        <v>21</v>
      </c>
      <c r="H790" t="str">
        <f t="shared" si="64"/>
        <v>Medium</v>
      </c>
      <c r="I790" t="str">
        <f t="shared" si="60"/>
        <v>Medium</v>
      </c>
      <c r="J790" s="1">
        <v>66.28</v>
      </c>
      <c r="K790">
        <f t="shared" si="61"/>
        <v>0</v>
      </c>
      <c r="L790">
        <f t="shared" si="62"/>
        <v>66.28</v>
      </c>
      <c r="M790" s="1">
        <f t="shared" si="63"/>
        <v>66.28</v>
      </c>
      <c r="N790" s="1" t="s">
        <v>8</v>
      </c>
      <c r="O790" s="1">
        <v>2.2000000000000002</v>
      </c>
    </row>
    <row r="791" spans="4:15" x14ac:dyDescent="0.3">
      <c r="D791" s="1">
        <v>30405</v>
      </c>
      <c r="E791" s="2">
        <v>43583</v>
      </c>
      <c r="F791" s="1" t="s">
        <v>7</v>
      </c>
      <c r="G791" s="1">
        <v>7</v>
      </c>
      <c r="H791" t="str">
        <f t="shared" si="64"/>
        <v>Extra Small</v>
      </c>
      <c r="I791" t="str">
        <f t="shared" si="60"/>
        <v>Extra Small</v>
      </c>
      <c r="J791" s="1">
        <v>2984.26</v>
      </c>
      <c r="K791">
        <f t="shared" si="61"/>
        <v>0</v>
      </c>
      <c r="L791">
        <f t="shared" si="62"/>
        <v>2984.26</v>
      </c>
      <c r="M791" s="1">
        <f t="shared" si="63"/>
        <v>2984.26</v>
      </c>
      <c r="N791" s="1" t="s">
        <v>13</v>
      </c>
      <c r="O791" s="1">
        <v>45.5</v>
      </c>
    </row>
    <row r="792" spans="4:15" x14ac:dyDescent="0.3">
      <c r="D792" s="1">
        <v>51140</v>
      </c>
      <c r="E792" s="2">
        <v>43722</v>
      </c>
      <c r="F792" s="1" t="s">
        <v>7</v>
      </c>
      <c r="G792" s="1">
        <v>14</v>
      </c>
      <c r="H792" t="str">
        <f t="shared" si="64"/>
        <v>Small</v>
      </c>
      <c r="I792" t="str">
        <f t="shared" si="60"/>
        <v>Small</v>
      </c>
      <c r="J792" s="1">
        <v>670.17</v>
      </c>
      <c r="K792">
        <f t="shared" si="61"/>
        <v>0</v>
      </c>
      <c r="L792">
        <f t="shared" si="62"/>
        <v>670.17</v>
      </c>
      <c r="M792" s="1">
        <f t="shared" si="63"/>
        <v>670.17</v>
      </c>
      <c r="N792" s="1" t="s">
        <v>10</v>
      </c>
      <c r="O792" s="1">
        <v>2.1</v>
      </c>
    </row>
    <row r="793" spans="4:15" x14ac:dyDescent="0.3">
      <c r="D793" s="1">
        <v>42758</v>
      </c>
      <c r="E793" s="2">
        <v>43779</v>
      </c>
      <c r="F793" s="1" t="s">
        <v>12</v>
      </c>
      <c r="G793" s="1">
        <v>42</v>
      </c>
      <c r="H793" t="str">
        <f t="shared" si="64"/>
        <v>XX Large</v>
      </c>
      <c r="I793" t="str">
        <f t="shared" si="60"/>
        <v>XX Large</v>
      </c>
      <c r="J793" s="1">
        <v>682.73</v>
      </c>
      <c r="K793">
        <f t="shared" si="61"/>
        <v>0.01</v>
      </c>
      <c r="L793">
        <f t="shared" si="62"/>
        <v>675.90269999999998</v>
      </c>
      <c r="M793" s="1">
        <f t="shared" si="63"/>
        <v>680.63</v>
      </c>
      <c r="N793" s="1" t="s">
        <v>10</v>
      </c>
      <c r="O793" s="1">
        <v>2.1</v>
      </c>
    </row>
    <row r="794" spans="4:15" x14ac:dyDescent="0.3">
      <c r="D794" s="1">
        <v>28934</v>
      </c>
      <c r="E794" s="2">
        <v>43797</v>
      </c>
      <c r="F794" s="1" t="s">
        <v>14</v>
      </c>
      <c r="G794" s="1">
        <v>12</v>
      </c>
      <c r="H794" t="str">
        <f t="shared" si="64"/>
        <v>Small</v>
      </c>
      <c r="I794" t="str">
        <f t="shared" si="60"/>
        <v>Small</v>
      </c>
      <c r="J794" s="1">
        <v>1361.41</v>
      </c>
      <c r="K794">
        <f t="shared" si="61"/>
        <v>0</v>
      </c>
      <c r="L794">
        <f t="shared" si="62"/>
        <v>1361.41</v>
      </c>
      <c r="M794" s="1">
        <f t="shared" si="63"/>
        <v>1361.41</v>
      </c>
      <c r="N794" s="1" t="s">
        <v>10</v>
      </c>
      <c r="O794" s="1">
        <v>7.7</v>
      </c>
    </row>
    <row r="795" spans="4:15" x14ac:dyDescent="0.3">
      <c r="D795" s="1">
        <v>18368</v>
      </c>
      <c r="E795" s="2">
        <v>43799</v>
      </c>
      <c r="F795" s="1" t="s">
        <v>11</v>
      </c>
      <c r="G795" s="1">
        <v>35</v>
      </c>
      <c r="H795" t="str">
        <f t="shared" si="64"/>
        <v>Large</v>
      </c>
      <c r="I795" t="str">
        <f t="shared" si="60"/>
        <v>Large</v>
      </c>
      <c r="J795" s="1">
        <v>1364.9</v>
      </c>
      <c r="K795">
        <f t="shared" si="61"/>
        <v>0</v>
      </c>
      <c r="L795">
        <f t="shared" si="62"/>
        <v>1364.9</v>
      </c>
      <c r="M795" s="1">
        <f t="shared" si="63"/>
        <v>1364.9</v>
      </c>
      <c r="N795" s="1" t="s">
        <v>10</v>
      </c>
      <c r="O795" s="1">
        <v>5.4</v>
      </c>
    </row>
    <row r="796" spans="4:15" x14ac:dyDescent="0.3">
      <c r="D796" s="1">
        <v>49798</v>
      </c>
      <c r="E796" s="2">
        <v>43807</v>
      </c>
      <c r="F796" s="1" t="s">
        <v>12</v>
      </c>
      <c r="G796" s="1">
        <v>5</v>
      </c>
      <c r="H796" t="str">
        <f t="shared" si="64"/>
        <v>Mini</v>
      </c>
      <c r="I796" t="str">
        <f t="shared" si="60"/>
        <v>Mini</v>
      </c>
      <c r="J796" s="1">
        <v>1524.7</v>
      </c>
      <c r="K796">
        <f t="shared" si="61"/>
        <v>0</v>
      </c>
      <c r="L796">
        <f t="shared" si="62"/>
        <v>1524.7</v>
      </c>
      <c r="M796" s="1">
        <f t="shared" si="63"/>
        <v>1524.7</v>
      </c>
      <c r="N796" s="1" t="s">
        <v>13</v>
      </c>
      <c r="O796" s="1">
        <v>61</v>
      </c>
    </row>
    <row r="797" spans="4:15" x14ac:dyDescent="0.3">
      <c r="D797" s="1">
        <v>20807</v>
      </c>
      <c r="E797" s="2">
        <v>43667</v>
      </c>
      <c r="F797" s="1" t="s">
        <v>11</v>
      </c>
      <c r="G797" s="1">
        <v>39</v>
      </c>
      <c r="H797" t="str">
        <f t="shared" si="64"/>
        <v>Extra Large</v>
      </c>
      <c r="I797" t="str">
        <f t="shared" si="60"/>
        <v>Extra Large</v>
      </c>
      <c r="J797" s="1">
        <v>6583.2</v>
      </c>
      <c r="K797">
        <f t="shared" si="61"/>
        <v>0.01</v>
      </c>
      <c r="L797">
        <f t="shared" si="62"/>
        <v>6517.3679999999995</v>
      </c>
      <c r="M797" s="1">
        <f t="shared" si="63"/>
        <v>6551.0999999999995</v>
      </c>
      <c r="N797" s="1" t="s">
        <v>13</v>
      </c>
      <c r="O797" s="1">
        <v>32.1</v>
      </c>
    </row>
    <row r="798" spans="4:15" x14ac:dyDescent="0.3">
      <c r="D798" s="1">
        <v>32902</v>
      </c>
      <c r="E798" s="2">
        <v>43527</v>
      </c>
      <c r="F798" s="1" t="s">
        <v>9</v>
      </c>
      <c r="G798" s="1">
        <v>8</v>
      </c>
      <c r="H798" t="str">
        <f t="shared" si="64"/>
        <v>Extra Small</v>
      </c>
      <c r="I798" t="str">
        <f t="shared" si="60"/>
        <v>Extra Small</v>
      </c>
      <c r="J798" s="1">
        <v>68.59</v>
      </c>
      <c r="K798">
        <f t="shared" si="61"/>
        <v>0</v>
      </c>
      <c r="L798">
        <f t="shared" si="62"/>
        <v>68.59</v>
      </c>
      <c r="M798" s="1">
        <f t="shared" si="63"/>
        <v>68.59</v>
      </c>
      <c r="N798" s="1" t="s">
        <v>10</v>
      </c>
      <c r="O798" s="1">
        <v>9</v>
      </c>
    </row>
    <row r="799" spans="4:15" x14ac:dyDescent="0.3">
      <c r="D799" s="1">
        <v>52007</v>
      </c>
      <c r="E799" s="2">
        <v>43569</v>
      </c>
      <c r="F799" s="1" t="s">
        <v>14</v>
      </c>
      <c r="G799" s="1">
        <v>19</v>
      </c>
      <c r="H799" t="str">
        <f t="shared" si="64"/>
        <v>Small-Medium</v>
      </c>
      <c r="I799" t="str">
        <f t="shared" si="60"/>
        <v>Small-Medium</v>
      </c>
      <c r="J799" s="1">
        <v>11075.58</v>
      </c>
      <c r="K799">
        <f t="shared" si="61"/>
        <v>0</v>
      </c>
      <c r="L799">
        <f t="shared" si="62"/>
        <v>11075.58</v>
      </c>
      <c r="M799" s="1">
        <f t="shared" si="63"/>
        <v>11075.58</v>
      </c>
      <c r="N799" s="1" t="s">
        <v>13</v>
      </c>
      <c r="O799" s="1">
        <v>48.9</v>
      </c>
    </row>
    <row r="800" spans="4:15" x14ac:dyDescent="0.3">
      <c r="D800" s="1">
        <v>45284</v>
      </c>
      <c r="E800" s="2">
        <v>43471</v>
      </c>
      <c r="F800" s="1" t="s">
        <v>9</v>
      </c>
      <c r="G800" s="1">
        <v>7</v>
      </c>
      <c r="H800" t="str">
        <f t="shared" si="64"/>
        <v>Extra Small</v>
      </c>
      <c r="I800" t="str">
        <f t="shared" si="60"/>
        <v>Extra Small</v>
      </c>
      <c r="J800" s="1">
        <v>97.830100000000002</v>
      </c>
      <c r="K800">
        <f t="shared" si="61"/>
        <v>0</v>
      </c>
      <c r="L800">
        <f t="shared" si="62"/>
        <v>97.830100000000002</v>
      </c>
      <c r="M800" s="1">
        <f t="shared" si="63"/>
        <v>97.830100000000002</v>
      </c>
      <c r="N800" s="1" t="s">
        <v>10</v>
      </c>
      <c r="O800" s="1">
        <v>9.6</v>
      </c>
    </row>
    <row r="801" spans="4:15" x14ac:dyDescent="0.3">
      <c r="D801" s="1">
        <v>30913</v>
      </c>
      <c r="E801" s="2">
        <v>43730</v>
      </c>
      <c r="F801" s="1" t="s">
        <v>14</v>
      </c>
      <c r="G801" s="1">
        <v>23</v>
      </c>
      <c r="H801" t="str">
        <f t="shared" si="64"/>
        <v>Medium</v>
      </c>
      <c r="I801" t="str">
        <f t="shared" si="60"/>
        <v>Medium</v>
      </c>
      <c r="J801" s="1">
        <v>153.11699999999999</v>
      </c>
      <c r="K801">
        <f t="shared" si="61"/>
        <v>0</v>
      </c>
      <c r="L801">
        <f t="shared" si="62"/>
        <v>153.11699999999999</v>
      </c>
      <c r="M801" s="1">
        <f t="shared" si="63"/>
        <v>153.11699999999999</v>
      </c>
      <c r="N801" s="1" t="s">
        <v>10</v>
      </c>
      <c r="O801" s="1">
        <v>1.6</v>
      </c>
    </row>
    <row r="802" spans="4:15" x14ac:dyDescent="0.3">
      <c r="D802" s="1">
        <v>59202</v>
      </c>
      <c r="E802" s="2">
        <v>43716</v>
      </c>
      <c r="F802" s="1" t="s">
        <v>14</v>
      </c>
      <c r="G802" s="1">
        <v>7</v>
      </c>
      <c r="H802" t="str">
        <f t="shared" si="64"/>
        <v>Extra Small</v>
      </c>
      <c r="I802" t="str">
        <f t="shared" si="60"/>
        <v>Extra Small</v>
      </c>
      <c r="J802" s="1">
        <v>89.68</v>
      </c>
      <c r="K802">
        <f t="shared" si="61"/>
        <v>0</v>
      </c>
      <c r="L802">
        <f t="shared" si="62"/>
        <v>89.68</v>
      </c>
      <c r="M802" s="1">
        <f t="shared" si="63"/>
        <v>89.68</v>
      </c>
      <c r="N802" s="1" t="s">
        <v>10</v>
      </c>
      <c r="O802" s="1">
        <v>0.5</v>
      </c>
    </row>
    <row r="803" spans="4:15" x14ac:dyDescent="0.3">
      <c r="D803" s="1">
        <v>16706</v>
      </c>
      <c r="E803" s="2">
        <v>43643</v>
      </c>
      <c r="F803" s="1" t="s">
        <v>9</v>
      </c>
      <c r="G803" s="1">
        <v>49</v>
      </c>
      <c r="H803" t="str">
        <f t="shared" si="64"/>
        <v>XXX Large</v>
      </c>
      <c r="I803" t="str">
        <f t="shared" si="60"/>
        <v>XXX Large</v>
      </c>
      <c r="J803" s="1">
        <v>6608.08</v>
      </c>
      <c r="K803">
        <f t="shared" si="61"/>
        <v>0.01</v>
      </c>
      <c r="L803">
        <f t="shared" si="62"/>
        <v>6541.9992000000002</v>
      </c>
      <c r="M803" s="1">
        <f t="shared" si="63"/>
        <v>6603.88</v>
      </c>
      <c r="N803" s="1" t="s">
        <v>8</v>
      </c>
      <c r="O803" s="1">
        <v>4.2</v>
      </c>
    </row>
    <row r="804" spans="4:15" x14ac:dyDescent="0.3">
      <c r="D804" s="1">
        <v>8007</v>
      </c>
      <c r="E804" s="2">
        <v>43506</v>
      </c>
      <c r="F804" s="1" t="s">
        <v>7</v>
      </c>
      <c r="G804" s="1">
        <v>35</v>
      </c>
      <c r="H804" t="str">
        <f t="shared" si="64"/>
        <v>Large</v>
      </c>
      <c r="I804" t="str">
        <f t="shared" si="60"/>
        <v>Large</v>
      </c>
      <c r="J804" s="1">
        <v>3565.3</v>
      </c>
      <c r="K804">
        <f t="shared" si="61"/>
        <v>0</v>
      </c>
      <c r="L804">
        <f t="shared" si="62"/>
        <v>3565.3</v>
      </c>
      <c r="M804" s="1">
        <f t="shared" si="63"/>
        <v>3565.3</v>
      </c>
      <c r="N804" s="1" t="s">
        <v>10</v>
      </c>
      <c r="O804" s="1">
        <v>21.4</v>
      </c>
    </row>
    <row r="805" spans="4:15" x14ac:dyDescent="0.3">
      <c r="D805" s="1">
        <v>24707</v>
      </c>
      <c r="E805" s="2">
        <v>43534</v>
      </c>
      <c r="F805" s="1" t="s">
        <v>14</v>
      </c>
      <c r="G805" s="1">
        <v>3</v>
      </c>
      <c r="H805" t="str">
        <f t="shared" si="64"/>
        <v>Mini</v>
      </c>
      <c r="I805" t="str">
        <f t="shared" si="60"/>
        <v>Mini</v>
      </c>
      <c r="J805" s="1">
        <v>5.29</v>
      </c>
      <c r="K805">
        <f t="shared" si="61"/>
        <v>0</v>
      </c>
      <c r="L805">
        <f t="shared" si="62"/>
        <v>5.29</v>
      </c>
      <c r="M805" s="1">
        <f t="shared" si="63"/>
        <v>5.29</v>
      </c>
      <c r="N805" s="1" t="s">
        <v>10</v>
      </c>
      <c r="O805" s="1">
        <v>0.7</v>
      </c>
    </row>
    <row r="806" spans="4:15" x14ac:dyDescent="0.3">
      <c r="D806" s="1">
        <v>4067</v>
      </c>
      <c r="E806" s="2">
        <v>43744</v>
      </c>
      <c r="F806" s="1" t="s">
        <v>9</v>
      </c>
      <c r="G806" s="1">
        <v>16</v>
      </c>
      <c r="H806" t="str">
        <f t="shared" si="64"/>
        <v>Small-Medium</v>
      </c>
      <c r="I806" t="str">
        <f t="shared" si="60"/>
        <v>Small-Medium</v>
      </c>
      <c r="J806" s="1">
        <v>126.67</v>
      </c>
      <c r="K806">
        <f t="shared" si="61"/>
        <v>0</v>
      </c>
      <c r="L806">
        <f t="shared" si="62"/>
        <v>126.67</v>
      </c>
      <c r="M806" s="1">
        <f t="shared" si="63"/>
        <v>126.67</v>
      </c>
      <c r="N806" s="1" t="s">
        <v>10</v>
      </c>
      <c r="O806" s="1">
        <v>6.5</v>
      </c>
    </row>
    <row r="807" spans="4:15" x14ac:dyDescent="0.3">
      <c r="D807" s="1">
        <v>16935</v>
      </c>
      <c r="E807" s="2">
        <v>43814</v>
      </c>
      <c r="F807" s="1" t="s">
        <v>11</v>
      </c>
      <c r="G807" s="1">
        <v>43</v>
      </c>
      <c r="H807" t="str">
        <f t="shared" si="64"/>
        <v>XX Large</v>
      </c>
      <c r="I807" t="str">
        <f t="shared" si="60"/>
        <v>XX Large</v>
      </c>
      <c r="J807" s="1">
        <v>125.92</v>
      </c>
      <c r="K807">
        <f t="shared" si="61"/>
        <v>0.01</v>
      </c>
      <c r="L807">
        <f t="shared" si="62"/>
        <v>124.66079999999999</v>
      </c>
      <c r="M807" s="1">
        <f t="shared" si="63"/>
        <v>125.22</v>
      </c>
      <c r="N807" s="1" t="s">
        <v>8</v>
      </c>
      <c r="O807" s="1">
        <v>0.7</v>
      </c>
    </row>
    <row r="808" spans="4:15" x14ac:dyDescent="0.3">
      <c r="D808" s="1">
        <v>37315</v>
      </c>
      <c r="E808" s="2">
        <v>43621</v>
      </c>
      <c r="F808" s="1" t="s">
        <v>7</v>
      </c>
      <c r="G808" s="1">
        <v>31</v>
      </c>
      <c r="H808" t="str">
        <f t="shared" si="64"/>
        <v>Large</v>
      </c>
      <c r="I808" t="str">
        <f t="shared" si="60"/>
        <v>Large</v>
      </c>
      <c r="J808" s="1">
        <v>5057.46</v>
      </c>
      <c r="K808">
        <f t="shared" si="61"/>
        <v>0</v>
      </c>
      <c r="L808">
        <f t="shared" si="62"/>
        <v>5057.46</v>
      </c>
      <c r="M808" s="1">
        <f t="shared" si="63"/>
        <v>5057.46</v>
      </c>
      <c r="N808" s="1" t="s">
        <v>8</v>
      </c>
      <c r="O808" s="1">
        <v>5.3</v>
      </c>
    </row>
    <row r="809" spans="4:15" x14ac:dyDescent="0.3">
      <c r="D809" s="1">
        <v>4069</v>
      </c>
      <c r="E809" s="2">
        <v>43597</v>
      </c>
      <c r="F809" s="1" t="s">
        <v>14</v>
      </c>
      <c r="G809" s="1">
        <v>30</v>
      </c>
      <c r="H809" t="str">
        <f t="shared" si="64"/>
        <v>Medium-Large</v>
      </c>
      <c r="I809" t="str">
        <f t="shared" si="60"/>
        <v>Medium-Large</v>
      </c>
      <c r="J809" s="1">
        <v>83.95</v>
      </c>
      <c r="K809">
        <f t="shared" si="61"/>
        <v>0</v>
      </c>
      <c r="L809">
        <f t="shared" si="62"/>
        <v>83.95</v>
      </c>
      <c r="M809" s="1">
        <f t="shared" si="63"/>
        <v>83.95</v>
      </c>
      <c r="N809" s="1" t="s">
        <v>10</v>
      </c>
      <c r="O809" s="1">
        <v>0.9</v>
      </c>
    </row>
    <row r="810" spans="4:15" x14ac:dyDescent="0.3">
      <c r="D810" s="1">
        <v>3232</v>
      </c>
      <c r="E810" s="2">
        <v>43746</v>
      </c>
      <c r="F810" s="1" t="s">
        <v>12</v>
      </c>
      <c r="G810" s="1">
        <v>5</v>
      </c>
      <c r="H810" t="str">
        <f t="shared" si="64"/>
        <v>Mini</v>
      </c>
      <c r="I810" t="str">
        <f t="shared" si="60"/>
        <v>Mini</v>
      </c>
      <c r="J810" s="1">
        <v>45.65</v>
      </c>
      <c r="K810">
        <f t="shared" si="61"/>
        <v>0</v>
      </c>
      <c r="L810">
        <f t="shared" si="62"/>
        <v>45.65</v>
      </c>
      <c r="M810" s="1">
        <f t="shared" si="63"/>
        <v>45.65</v>
      </c>
      <c r="N810" s="1" t="s">
        <v>10</v>
      </c>
      <c r="O810" s="1">
        <v>5</v>
      </c>
    </row>
    <row r="811" spans="4:15" x14ac:dyDescent="0.3">
      <c r="D811" s="1">
        <v>1925</v>
      </c>
      <c r="E811" s="2">
        <v>43528</v>
      </c>
      <c r="F811" s="1" t="s">
        <v>12</v>
      </c>
      <c r="G811" s="1">
        <v>7</v>
      </c>
      <c r="H811" t="str">
        <f t="shared" si="64"/>
        <v>Extra Small</v>
      </c>
      <c r="I811" t="str">
        <f t="shared" si="60"/>
        <v>Extra Small</v>
      </c>
      <c r="J811" s="1">
        <v>2005.5759</v>
      </c>
      <c r="K811">
        <f t="shared" si="61"/>
        <v>0</v>
      </c>
      <c r="L811">
        <f t="shared" si="62"/>
        <v>2005.5759</v>
      </c>
      <c r="M811" s="1">
        <f t="shared" si="63"/>
        <v>2005.5759</v>
      </c>
      <c r="N811" s="1" t="s">
        <v>10</v>
      </c>
      <c r="O811" s="1">
        <v>26.2</v>
      </c>
    </row>
    <row r="812" spans="4:15" x14ac:dyDescent="0.3">
      <c r="D812" s="1">
        <v>24608</v>
      </c>
      <c r="E812" s="2">
        <v>43691</v>
      </c>
      <c r="F812" s="1" t="s">
        <v>14</v>
      </c>
      <c r="G812" s="1">
        <v>50</v>
      </c>
      <c r="H812" t="str">
        <f t="shared" si="64"/>
        <v>XXX Large</v>
      </c>
      <c r="I812" t="str">
        <f t="shared" si="60"/>
        <v>XXX Large</v>
      </c>
      <c r="J812" s="1">
        <v>211.18</v>
      </c>
      <c r="K812">
        <f t="shared" si="61"/>
        <v>0.01</v>
      </c>
      <c r="L812">
        <f t="shared" si="62"/>
        <v>209.06820000000002</v>
      </c>
      <c r="M812" s="1">
        <f t="shared" si="63"/>
        <v>207.98000000000002</v>
      </c>
      <c r="N812" s="1" t="s">
        <v>10</v>
      </c>
      <c r="O812" s="1">
        <v>3.2</v>
      </c>
    </row>
    <row r="813" spans="4:15" x14ac:dyDescent="0.3">
      <c r="D813" s="1">
        <v>11108</v>
      </c>
      <c r="E813" s="2">
        <v>43693</v>
      </c>
      <c r="F813" s="1" t="s">
        <v>11</v>
      </c>
      <c r="G813" s="1">
        <v>20</v>
      </c>
      <c r="H813" t="str">
        <f t="shared" si="64"/>
        <v>Small-Medium</v>
      </c>
      <c r="I813" t="str">
        <f t="shared" si="60"/>
        <v>Small-Medium</v>
      </c>
      <c r="J813" s="1">
        <v>140.93</v>
      </c>
      <c r="K813">
        <f t="shared" si="61"/>
        <v>0</v>
      </c>
      <c r="L813">
        <f t="shared" si="62"/>
        <v>140.93</v>
      </c>
      <c r="M813" s="1">
        <f t="shared" si="63"/>
        <v>140.93</v>
      </c>
      <c r="N813" s="1" t="s">
        <v>10</v>
      </c>
      <c r="O813" s="1">
        <v>6.1</v>
      </c>
    </row>
    <row r="814" spans="4:15" x14ac:dyDescent="0.3">
      <c r="D814" s="1">
        <v>13894</v>
      </c>
      <c r="E814" s="2">
        <v>43565</v>
      </c>
      <c r="F814" s="1" t="s">
        <v>14</v>
      </c>
      <c r="G814" s="1">
        <v>50</v>
      </c>
      <c r="H814" t="str">
        <f t="shared" si="64"/>
        <v>XXX Large</v>
      </c>
      <c r="I814" t="str">
        <f t="shared" si="60"/>
        <v>XXX Large</v>
      </c>
      <c r="J814" s="1">
        <v>1648.1</v>
      </c>
      <c r="K814">
        <f t="shared" si="61"/>
        <v>0.01</v>
      </c>
      <c r="L814">
        <f t="shared" si="62"/>
        <v>1631.6189999999999</v>
      </c>
      <c r="M814" s="1">
        <f t="shared" si="63"/>
        <v>1646.8</v>
      </c>
      <c r="N814" s="1" t="s">
        <v>10</v>
      </c>
      <c r="O814" s="1">
        <v>1.3</v>
      </c>
    </row>
    <row r="815" spans="4:15" x14ac:dyDescent="0.3">
      <c r="D815" s="1">
        <v>34723</v>
      </c>
      <c r="E815" s="2">
        <v>43808</v>
      </c>
      <c r="F815" s="1" t="s">
        <v>14</v>
      </c>
      <c r="G815" s="1">
        <v>46</v>
      </c>
      <c r="H815" t="str">
        <f t="shared" si="64"/>
        <v>XXX Large</v>
      </c>
      <c r="I815" t="str">
        <f t="shared" si="60"/>
        <v>XXX Large</v>
      </c>
      <c r="J815" s="1">
        <v>4040.62</v>
      </c>
      <c r="K815">
        <f t="shared" si="61"/>
        <v>0.01</v>
      </c>
      <c r="L815">
        <f t="shared" si="62"/>
        <v>4000.2138</v>
      </c>
      <c r="M815" s="1">
        <f t="shared" si="63"/>
        <v>4008.42</v>
      </c>
      <c r="N815" s="1" t="s">
        <v>13</v>
      </c>
      <c r="O815" s="1">
        <v>32.200000000000003</v>
      </c>
    </row>
    <row r="816" spans="4:15" x14ac:dyDescent="0.3">
      <c r="D816" s="1">
        <v>54209</v>
      </c>
      <c r="E816" s="2">
        <v>43692</v>
      </c>
      <c r="F816" s="1" t="s">
        <v>14</v>
      </c>
      <c r="G816" s="1">
        <v>21</v>
      </c>
      <c r="H816" t="str">
        <f t="shared" si="64"/>
        <v>Medium</v>
      </c>
      <c r="I816" t="str">
        <f t="shared" si="60"/>
        <v>Medium</v>
      </c>
      <c r="J816" s="1">
        <v>711.53819999999996</v>
      </c>
      <c r="K816">
        <f t="shared" si="61"/>
        <v>0</v>
      </c>
      <c r="L816">
        <f t="shared" si="62"/>
        <v>711.53819999999996</v>
      </c>
      <c r="M816" s="1">
        <f t="shared" si="63"/>
        <v>711.53819999999996</v>
      </c>
      <c r="N816" s="1" t="s">
        <v>10</v>
      </c>
      <c r="O816" s="1">
        <v>6.4</v>
      </c>
    </row>
    <row r="817" spans="4:15" x14ac:dyDescent="0.3">
      <c r="D817" s="1">
        <v>6500</v>
      </c>
      <c r="E817" s="2">
        <v>43750</v>
      </c>
      <c r="F817" s="1" t="s">
        <v>12</v>
      </c>
      <c r="G817" s="1">
        <v>20</v>
      </c>
      <c r="H817" t="str">
        <f t="shared" si="64"/>
        <v>Small-Medium</v>
      </c>
      <c r="I817" t="str">
        <f t="shared" si="60"/>
        <v>Small-Medium</v>
      </c>
      <c r="J817" s="1">
        <v>40.97</v>
      </c>
      <c r="K817">
        <f t="shared" si="61"/>
        <v>0</v>
      </c>
      <c r="L817">
        <f t="shared" si="62"/>
        <v>40.97</v>
      </c>
      <c r="M817" s="1">
        <f t="shared" si="63"/>
        <v>40.97</v>
      </c>
      <c r="N817" s="1" t="s">
        <v>10</v>
      </c>
      <c r="O817" s="1">
        <v>1.7</v>
      </c>
    </row>
    <row r="818" spans="4:15" x14ac:dyDescent="0.3">
      <c r="D818" s="1">
        <v>9861</v>
      </c>
      <c r="E818" s="2">
        <v>43766</v>
      </c>
      <c r="F818" s="1" t="s">
        <v>7</v>
      </c>
      <c r="G818" s="1">
        <v>47</v>
      </c>
      <c r="H818" t="str">
        <f t="shared" si="64"/>
        <v>XXX Large</v>
      </c>
      <c r="I818" t="str">
        <f t="shared" si="60"/>
        <v>XXX Large</v>
      </c>
      <c r="J818" s="1">
        <v>756.15</v>
      </c>
      <c r="K818">
        <f t="shared" si="61"/>
        <v>0.01</v>
      </c>
      <c r="L818">
        <f t="shared" si="62"/>
        <v>748.58849999999995</v>
      </c>
      <c r="M818" s="1">
        <f t="shared" si="63"/>
        <v>750.35</v>
      </c>
      <c r="N818" s="1" t="s">
        <v>10</v>
      </c>
      <c r="O818" s="1">
        <v>5.8</v>
      </c>
    </row>
    <row r="819" spans="4:15" x14ac:dyDescent="0.3">
      <c r="D819" s="1">
        <v>7458</v>
      </c>
      <c r="E819" s="2">
        <v>43559</v>
      </c>
      <c r="F819" s="1" t="s">
        <v>12</v>
      </c>
      <c r="G819" s="1">
        <v>46</v>
      </c>
      <c r="H819" t="str">
        <f t="shared" si="64"/>
        <v>XXX Large</v>
      </c>
      <c r="I819" t="str">
        <f t="shared" si="60"/>
        <v>XXX Large</v>
      </c>
      <c r="J819" s="1">
        <v>546.84</v>
      </c>
      <c r="K819">
        <f t="shared" si="61"/>
        <v>0.01</v>
      </c>
      <c r="L819">
        <f t="shared" si="62"/>
        <v>541.37160000000006</v>
      </c>
      <c r="M819" s="1">
        <f t="shared" si="63"/>
        <v>539.84</v>
      </c>
      <c r="N819" s="1" t="s">
        <v>10</v>
      </c>
      <c r="O819" s="1">
        <v>7</v>
      </c>
    </row>
    <row r="820" spans="4:15" x14ac:dyDescent="0.3">
      <c r="D820" s="1">
        <v>16804</v>
      </c>
      <c r="E820" s="2">
        <v>43534</v>
      </c>
      <c r="F820" s="1" t="s">
        <v>9</v>
      </c>
      <c r="G820" s="1">
        <v>36</v>
      </c>
      <c r="H820" t="str">
        <f t="shared" si="64"/>
        <v>Extra Large</v>
      </c>
      <c r="I820" t="str">
        <f t="shared" si="60"/>
        <v>Extra Large</v>
      </c>
      <c r="J820" s="1">
        <v>233.9</v>
      </c>
      <c r="K820">
        <f t="shared" si="61"/>
        <v>0.01</v>
      </c>
      <c r="L820">
        <f t="shared" si="62"/>
        <v>231.56100000000001</v>
      </c>
      <c r="M820" s="1">
        <f t="shared" si="63"/>
        <v>228.6</v>
      </c>
      <c r="N820" s="1" t="s">
        <v>8</v>
      </c>
      <c r="O820" s="1">
        <v>5.3</v>
      </c>
    </row>
    <row r="821" spans="4:15" x14ac:dyDescent="0.3">
      <c r="D821" s="1">
        <v>37765</v>
      </c>
      <c r="E821" s="2">
        <v>43793</v>
      </c>
      <c r="F821" s="1" t="s">
        <v>7</v>
      </c>
      <c r="G821" s="1">
        <v>7</v>
      </c>
      <c r="H821" t="str">
        <f t="shared" si="64"/>
        <v>Extra Small</v>
      </c>
      <c r="I821" t="str">
        <f t="shared" si="60"/>
        <v>Extra Small</v>
      </c>
      <c r="J821" s="1">
        <v>45.65</v>
      </c>
      <c r="K821">
        <f t="shared" si="61"/>
        <v>0</v>
      </c>
      <c r="L821">
        <f t="shared" si="62"/>
        <v>45.65</v>
      </c>
      <c r="M821" s="1">
        <f t="shared" si="63"/>
        <v>45.65</v>
      </c>
      <c r="N821" s="1" t="s">
        <v>8</v>
      </c>
      <c r="O821" s="1">
        <v>7.4</v>
      </c>
    </row>
    <row r="822" spans="4:15" x14ac:dyDescent="0.3">
      <c r="D822" s="1">
        <v>59492</v>
      </c>
      <c r="E822" s="2">
        <v>43769</v>
      </c>
      <c r="F822" s="1" t="s">
        <v>11</v>
      </c>
      <c r="G822" s="1">
        <v>25</v>
      </c>
      <c r="H822" t="str">
        <f t="shared" si="64"/>
        <v>Medium</v>
      </c>
      <c r="I822" t="str">
        <f t="shared" si="60"/>
        <v>Medium</v>
      </c>
      <c r="J822" s="1">
        <v>182.33</v>
      </c>
      <c r="K822">
        <f t="shared" si="61"/>
        <v>0</v>
      </c>
      <c r="L822">
        <f t="shared" si="62"/>
        <v>182.33</v>
      </c>
      <c r="M822" s="1">
        <f t="shared" si="63"/>
        <v>182.33</v>
      </c>
      <c r="N822" s="1" t="s">
        <v>10</v>
      </c>
      <c r="O822" s="1">
        <v>10.8</v>
      </c>
    </row>
    <row r="823" spans="4:15" x14ac:dyDescent="0.3">
      <c r="D823" s="1">
        <v>3014</v>
      </c>
      <c r="E823" s="2">
        <v>43767</v>
      </c>
      <c r="F823" s="1" t="s">
        <v>11</v>
      </c>
      <c r="G823" s="1">
        <v>13</v>
      </c>
      <c r="H823" t="str">
        <f t="shared" si="64"/>
        <v>Small</v>
      </c>
      <c r="I823" t="str">
        <f t="shared" si="60"/>
        <v>Small</v>
      </c>
      <c r="J823" s="1">
        <v>4282.29</v>
      </c>
      <c r="K823">
        <f t="shared" si="61"/>
        <v>0</v>
      </c>
      <c r="L823">
        <f t="shared" si="62"/>
        <v>4282.29</v>
      </c>
      <c r="M823" s="1">
        <f t="shared" si="63"/>
        <v>4282.29</v>
      </c>
      <c r="N823" s="1" t="s">
        <v>10</v>
      </c>
      <c r="O823" s="1">
        <v>21.4</v>
      </c>
    </row>
    <row r="824" spans="4:15" x14ac:dyDescent="0.3">
      <c r="D824" s="1">
        <v>50721</v>
      </c>
      <c r="E824" s="2">
        <v>43522</v>
      </c>
      <c r="F824" s="1" t="s">
        <v>9</v>
      </c>
      <c r="G824" s="1">
        <v>33</v>
      </c>
      <c r="H824" t="str">
        <f t="shared" si="64"/>
        <v>Large</v>
      </c>
      <c r="I824" t="str">
        <f t="shared" si="60"/>
        <v>Large</v>
      </c>
      <c r="J824" s="1">
        <v>10441.81</v>
      </c>
      <c r="K824">
        <f t="shared" si="61"/>
        <v>0</v>
      </c>
      <c r="L824">
        <f t="shared" si="62"/>
        <v>10441.81</v>
      </c>
      <c r="M824" s="1">
        <f t="shared" si="63"/>
        <v>10441.81</v>
      </c>
      <c r="N824" s="1" t="s">
        <v>10</v>
      </c>
      <c r="O824" s="1">
        <v>21.4</v>
      </c>
    </row>
    <row r="825" spans="4:15" x14ac:dyDescent="0.3">
      <c r="D825" s="1">
        <v>57699</v>
      </c>
      <c r="E825" s="2">
        <v>43779</v>
      </c>
      <c r="F825" s="1" t="s">
        <v>7</v>
      </c>
      <c r="G825" s="1">
        <v>20</v>
      </c>
      <c r="H825" t="str">
        <f t="shared" si="64"/>
        <v>Small-Medium</v>
      </c>
      <c r="I825" t="str">
        <f t="shared" si="60"/>
        <v>Small-Medium</v>
      </c>
      <c r="J825" s="1">
        <v>47.02</v>
      </c>
      <c r="K825">
        <f t="shared" si="61"/>
        <v>0</v>
      </c>
      <c r="L825">
        <f t="shared" si="62"/>
        <v>47.02</v>
      </c>
      <c r="M825" s="1">
        <f t="shared" si="63"/>
        <v>47.02</v>
      </c>
      <c r="N825" s="1" t="s">
        <v>10</v>
      </c>
      <c r="O825" s="1">
        <v>5.7</v>
      </c>
    </row>
    <row r="826" spans="4:15" x14ac:dyDescent="0.3">
      <c r="D826" s="1">
        <v>56224</v>
      </c>
      <c r="E826" s="2">
        <v>43763</v>
      </c>
      <c r="F826" s="1" t="s">
        <v>14</v>
      </c>
      <c r="G826" s="1">
        <v>9</v>
      </c>
      <c r="H826" t="str">
        <f t="shared" si="64"/>
        <v>Extra Small</v>
      </c>
      <c r="I826" t="str">
        <f t="shared" si="60"/>
        <v>Extra Small</v>
      </c>
      <c r="J826" s="1">
        <v>965.17</v>
      </c>
      <c r="K826">
        <f t="shared" si="61"/>
        <v>0</v>
      </c>
      <c r="L826">
        <f t="shared" si="62"/>
        <v>965.17</v>
      </c>
      <c r="M826" s="1">
        <f t="shared" si="63"/>
        <v>965.17</v>
      </c>
      <c r="N826" s="1" t="s">
        <v>13</v>
      </c>
      <c r="O826" s="1">
        <v>55.6</v>
      </c>
    </row>
    <row r="827" spans="4:15" x14ac:dyDescent="0.3">
      <c r="D827" s="1">
        <v>17831</v>
      </c>
      <c r="E827" s="2">
        <v>43763</v>
      </c>
      <c r="F827" s="1" t="s">
        <v>12</v>
      </c>
      <c r="G827" s="1">
        <v>34</v>
      </c>
      <c r="H827" t="str">
        <f t="shared" si="64"/>
        <v>Large</v>
      </c>
      <c r="I827" t="str">
        <f t="shared" si="60"/>
        <v>Large</v>
      </c>
      <c r="J827" s="1">
        <v>256.05</v>
      </c>
      <c r="K827">
        <f t="shared" si="61"/>
        <v>0</v>
      </c>
      <c r="L827">
        <f t="shared" si="62"/>
        <v>256.05</v>
      </c>
      <c r="M827" s="1">
        <f t="shared" si="63"/>
        <v>256.05</v>
      </c>
      <c r="N827" s="1" t="s">
        <v>10</v>
      </c>
      <c r="O827" s="1">
        <v>3</v>
      </c>
    </row>
    <row r="828" spans="4:15" x14ac:dyDescent="0.3">
      <c r="D828" s="1">
        <v>32871</v>
      </c>
      <c r="E828" s="2">
        <v>43764</v>
      </c>
      <c r="F828" s="1" t="s">
        <v>9</v>
      </c>
      <c r="G828" s="1">
        <v>42</v>
      </c>
      <c r="H828" t="str">
        <f t="shared" si="64"/>
        <v>XX Large</v>
      </c>
      <c r="I828" t="str">
        <f t="shared" si="60"/>
        <v>XX Large</v>
      </c>
      <c r="J828" s="1">
        <v>1005.55</v>
      </c>
      <c r="K828">
        <f t="shared" si="61"/>
        <v>0.01</v>
      </c>
      <c r="L828">
        <f t="shared" si="62"/>
        <v>995.4944999999999</v>
      </c>
      <c r="M828" s="1">
        <f t="shared" si="63"/>
        <v>1001.25</v>
      </c>
      <c r="N828" s="1" t="s">
        <v>8</v>
      </c>
      <c r="O828" s="1">
        <v>4.3</v>
      </c>
    </row>
    <row r="829" spans="4:15" x14ac:dyDescent="0.3">
      <c r="D829" s="1">
        <v>41345</v>
      </c>
      <c r="E829" s="2">
        <v>43497</v>
      </c>
      <c r="F829" s="1" t="s">
        <v>14</v>
      </c>
      <c r="G829" s="1">
        <v>36</v>
      </c>
      <c r="H829" t="str">
        <f t="shared" si="64"/>
        <v>Extra Large</v>
      </c>
      <c r="I829" t="str">
        <f t="shared" si="60"/>
        <v>Extra Large</v>
      </c>
      <c r="J829" s="1">
        <v>71.06</v>
      </c>
      <c r="K829">
        <f t="shared" si="61"/>
        <v>0.01</v>
      </c>
      <c r="L829">
        <f t="shared" si="62"/>
        <v>70.349400000000003</v>
      </c>
      <c r="M829" s="1">
        <f t="shared" si="63"/>
        <v>70.260000000000005</v>
      </c>
      <c r="N829" s="1" t="s">
        <v>10</v>
      </c>
      <c r="O829" s="1">
        <v>0.8</v>
      </c>
    </row>
    <row r="830" spans="4:15" x14ac:dyDescent="0.3">
      <c r="D830" s="1">
        <v>25767</v>
      </c>
      <c r="E830" s="2">
        <v>43527</v>
      </c>
      <c r="F830" s="1" t="s">
        <v>9</v>
      </c>
      <c r="G830" s="1">
        <v>15</v>
      </c>
      <c r="H830" t="str">
        <f t="shared" si="64"/>
        <v>Small</v>
      </c>
      <c r="I830" t="str">
        <f t="shared" si="60"/>
        <v>Small</v>
      </c>
      <c r="J830" s="1">
        <v>635.29</v>
      </c>
      <c r="K830">
        <f t="shared" si="61"/>
        <v>0</v>
      </c>
      <c r="L830">
        <f t="shared" si="62"/>
        <v>635.29</v>
      </c>
      <c r="M830" s="1">
        <f t="shared" si="63"/>
        <v>635.29</v>
      </c>
      <c r="N830" s="1" t="s">
        <v>10</v>
      </c>
      <c r="O830" s="1">
        <v>14.2</v>
      </c>
    </row>
    <row r="831" spans="4:15" x14ac:dyDescent="0.3">
      <c r="D831" s="1">
        <v>58658</v>
      </c>
      <c r="E831" s="2">
        <v>43627</v>
      </c>
      <c r="F831" s="1" t="s">
        <v>14</v>
      </c>
      <c r="G831" s="1">
        <v>46</v>
      </c>
      <c r="H831" t="str">
        <f t="shared" si="64"/>
        <v>XXX Large</v>
      </c>
      <c r="I831" t="str">
        <f t="shared" si="60"/>
        <v>XXX Large</v>
      </c>
      <c r="J831" s="1">
        <v>814.06</v>
      </c>
      <c r="K831">
        <f t="shared" si="61"/>
        <v>0.01</v>
      </c>
      <c r="L831">
        <f t="shared" si="62"/>
        <v>805.91939999999988</v>
      </c>
      <c r="M831" s="1">
        <f t="shared" si="63"/>
        <v>812.95999999999992</v>
      </c>
      <c r="N831" s="1" t="s">
        <v>10</v>
      </c>
      <c r="O831" s="1">
        <v>1.1000000000000001</v>
      </c>
    </row>
    <row r="832" spans="4:15" x14ac:dyDescent="0.3">
      <c r="D832" s="1">
        <v>52230</v>
      </c>
      <c r="E832" s="2">
        <v>43707</v>
      </c>
      <c r="F832" s="1" t="s">
        <v>12</v>
      </c>
      <c r="G832" s="1">
        <v>29</v>
      </c>
      <c r="H832" t="str">
        <f t="shared" si="64"/>
        <v>Medium-Large</v>
      </c>
      <c r="I832" t="str">
        <f t="shared" si="60"/>
        <v>Medium-Large</v>
      </c>
      <c r="J832" s="1">
        <v>2889.8346000000001</v>
      </c>
      <c r="K832">
        <f t="shared" si="61"/>
        <v>0</v>
      </c>
      <c r="L832">
        <f t="shared" si="62"/>
        <v>2889.8346000000001</v>
      </c>
      <c r="M832" s="1">
        <f t="shared" si="63"/>
        <v>2889.8346000000001</v>
      </c>
      <c r="N832" s="1" t="s">
        <v>13</v>
      </c>
      <c r="O832" s="1">
        <v>62.3</v>
      </c>
    </row>
    <row r="833" spans="4:15" x14ac:dyDescent="0.3">
      <c r="D833" s="1">
        <v>49634</v>
      </c>
      <c r="E833" s="2">
        <v>43547</v>
      </c>
      <c r="F833" s="1" t="s">
        <v>11</v>
      </c>
      <c r="G833" s="1">
        <v>3</v>
      </c>
      <c r="H833" t="str">
        <f t="shared" si="64"/>
        <v>Mini</v>
      </c>
      <c r="I833" t="str">
        <f t="shared" si="60"/>
        <v>Mini</v>
      </c>
      <c r="J833" s="1">
        <v>92.93</v>
      </c>
      <c r="K833">
        <f t="shared" si="61"/>
        <v>0</v>
      </c>
      <c r="L833">
        <f t="shared" si="62"/>
        <v>92.93</v>
      </c>
      <c r="M833" s="1">
        <f t="shared" si="63"/>
        <v>92.93</v>
      </c>
      <c r="N833" s="1" t="s">
        <v>10</v>
      </c>
      <c r="O833" s="1">
        <v>2.1</v>
      </c>
    </row>
    <row r="834" spans="4:15" x14ac:dyDescent="0.3">
      <c r="D834" s="1">
        <v>29473</v>
      </c>
      <c r="E834" s="2">
        <v>43510</v>
      </c>
      <c r="F834" s="1" t="s">
        <v>14</v>
      </c>
      <c r="G834" s="1">
        <v>31</v>
      </c>
      <c r="H834" t="str">
        <f t="shared" si="64"/>
        <v>Large</v>
      </c>
      <c r="I834" t="str">
        <f t="shared" si="60"/>
        <v>Large</v>
      </c>
      <c r="J834" s="1">
        <v>220.73</v>
      </c>
      <c r="K834">
        <f t="shared" si="61"/>
        <v>0</v>
      </c>
      <c r="L834">
        <f t="shared" si="62"/>
        <v>220.73</v>
      </c>
      <c r="M834" s="1">
        <f t="shared" si="63"/>
        <v>220.73</v>
      </c>
      <c r="N834" s="1" t="s">
        <v>10</v>
      </c>
      <c r="O834" s="1">
        <v>5.4</v>
      </c>
    </row>
    <row r="835" spans="4:15" x14ac:dyDescent="0.3">
      <c r="D835" s="1">
        <v>8005</v>
      </c>
      <c r="E835" s="2">
        <v>43560</v>
      </c>
      <c r="F835" s="1" t="s">
        <v>12</v>
      </c>
      <c r="G835" s="1">
        <v>24</v>
      </c>
      <c r="H835" t="str">
        <f t="shared" si="64"/>
        <v>Medium</v>
      </c>
      <c r="I835" t="str">
        <f t="shared" ref="I835:I898" si="65">VLOOKUP(G835, $A$3:$B$12, 2, TRUE)</f>
        <v>Medium</v>
      </c>
      <c r="J835" s="1">
        <v>845.97</v>
      </c>
      <c r="K835">
        <f t="shared" ref="K835:K898" si="66">IF(OR(I835="Extra Large", I835="XX Large", I835="XXX Large"), 0.01, 0)</f>
        <v>0</v>
      </c>
      <c r="L835">
        <f t="shared" ref="L835:L898" si="67">J835 * (1 - K835)</f>
        <v>845.97</v>
      </c>
      <c r="M835" s="1">
        <f t="shared" ref="M835:M898" si="68">IF(OR(I835="Extra Large",I835="XX Large",I835="XXX Large"),J835-O835,J835)</f>
        <v>845.97</v>
      </c>
      <c r="N835" s="1" t="s">
        <v>10</v>
      </c>
      <c r="O835" s="1">
        <v>15.8</v>
      </c>
    </row>
    <row r="836" spans="4:15" x14ac:dyDescent="0.3">
      <c r="D836" s="1">
        <v>15651</v>
      </c>
      <c r="E836" s="2">
        <v>43742</v>
      </c>
      <c r="F836" s="1" t="s">
        <v>12</v>
      </c>
      <c r="G836" s="1">
        <v>8</v>
      </c>
      <c r="H836" t="str">
        <f t="shared" si="64"/>
        <v>Extra Small</v>
      </c>
      <c r="I836" t="str">
        <f t="shared" si="65"/>
        <v>Extra Small</v>
      </c>
      <c r="J836" s="1">
        <v>1601.61</v>
      </c>
      <c r="K836">
        <f t="shared" si="66"/>
        <v>0</v>
      </c>
      <c r="L836">
        <f t="shared" si="67"/>
        <v>1601.61</v>
      </c>
      <c r="M836" s="1">
        <f t="shared" si="68"/>
        <v>1601.61</v>
      </c>
      <c r="N836" s="1" t="s">
        <v>13</v>
      </c>
      <c r="O836" s="1">
        <v>60.1</v>
      </c>
    </row>
    <row r="837" spans="4:15" x14ac:dyDescent="0.3">
      <c r="D837" s="1">
        <v>58369</v>
      </c>
      <c r="E837" s="2">
        <v>43707</v>
      </c>
      <c r="F837" s="1" t="s">
        <v>9</v>
      </c>
      <c r="G837" s="1">
        <v>46</v>
      </c>
      <c r="H837" t="str">
        <f t="shared" ref="H837:H900" si="69">VLOOKUP(G837, $A$3:$B$12, 2, TRUE)</f>
        <v>XXX Large</v>
      </c>
      <c r="I837" t="str">
        <f t="shared" si="65"/>
        <v>XXX Large</v>
      </c>
      <c r="J837" s="1">
        <v>343.00990000000002</v>
      </c>
      <c r="K837">
        <f t="shared" si="66"/>
        <v>0.01</v>
      </c>
      <c r="L837">
        <f t="shared" si="67"/>
        <v>339.57980100000003</v>
      </c>
      <c r="M837" s="1">
        <f t="shared" si="68"/>
        <v>336.50990000000002</v>
      </c>
      <c r="N837" s="1" t="s">
        <v>10</v>
      </c>
      <c r="O837" s="1">
        <v>6.5</v>
      </c>
    </row>
    <row r="838" spans="4:15" x14ac:dyDescent="0.3">
      <c r="D838" s="1">
        <v>37412</v>
      </c>
      <c r="E838" s="2">
        <v>43680</v>
      </c>
      <c r="F838" s="1" t="s">
        <v>9</v>
      </c>
      <c r="G838" s="1">
        <v>17</v>
      </c>
      <c r="H838" t="str">
        <f t="shared" si="69"/>
        <v>Small-Medium</v>
      </c>
      <c r="I838" t="str">
        <f t="shared" si="65"/>
        <v>Small-Medium</v>
      </c>
      <c r="J838" s="1">
        <v>205.09</v>
      </c>
      <c r="K838">
        <f t="shared" si="66"/>
        <v>0</v>
      </c>
      <c r="L838">
        <f t="shared" si="67"/>
        <v>205.09</v>
      </c>
      <c r="M838" s="1">
        <f t="shared" si="68"/>
        <v>205.09</v>
      </c>
      <c r="N838" s="1" t="s">
        <v>10</v>
      </c>
      <c r="O838" s="1">
        <v>3.6</v>
      </c>
    </row>
    <row r="839" spans="4:15" x14ac:dyDescent="0.3">
      <c r="D839" s="1">
        <v>28899</v>
      </c>
      <c r="E839" s="2">
        <v>43630</v>
      </c>
      <c r="F839" s="1" t="s">
        <v>7</v>
      </c>
      <c r="G839" s="1">
        <v>27</v>
      </c>
      <c r="H839" t="str">
        <f t="shared" si="69"/>
        <v>Medium-Large</v>
      </c>
      <c r="I839" t="str">
        <f t="shared" si="65"/>
        <v>Medium-Large</v>
      </c>
      <c r="J839" s="1">
        <v>4802.4399999999996</v>
      </c>
      <c r="K839">
        <f t="shared" si="66"/>
        <v>0</v>
      </c>
      <c r="L839">
        <f t="shared" si="67"/>
        <v>4802.4399999999996</v>
      </c>
      <c r="M839" s="1">
        <f t="shared" si="68"/>
        <v>4802.4399999999996</v>
      </c>
      <c r="N839" s="1" t="s">
        <v>10</v>
      </c>
      <c r="O839" s="1">
        <v>5.4</v>
      </c>
    </row>
    <row r="840" spans="4:15" x14ac:dyDescent="0.3">
      <c r="D840" s="1">
        <v>56358</v>
      </c>
      <c r="E840" s="2">
        <v>43525</v>
      </c>
      <c r="F840" s="1" t="s">
        <v>11</v>
      </c>
      <c r="G840" s="1">
        <v>1</v>
      </c>
      <c r="H840" t="str">
        <f t="shared" si="69"/>
        <v>Mini</v>
      </c>
      <c r="I840" t="str">
        <f t="shared" si="65"/>
        <v>Mini</v>
      </c>
      <c r="J840" s="1">
        <v>12.52</v>
      </c>
      <c r="K840">
        <f t="shared" si="66"/>
        <v>0</v>
      </c>
      <c r="L840">
        <f t="shared" si="67"/>
        <v>12.52</v>
      </c>
      <c r="M840" s="1">
        <f t="shared" si="68"/>
        <v>12.52</v>
      </c>
      <c r="N840" s="1" t="s">
        <v>10</v>
      </c>
      <c r="O840" s="1">
        <v>6</v>
      </c>
    </row>
    <row r="841" spans="4:15" x14ac:dyDescent="0.3">
      <c r="D841" s="1">
        <v>55462</v>
      </c>
      <c r="E841" s="2">
        <v>43551</v>
      </c>
      <c r="F841" s="1" t="s">
        <v>14</v>
      </c>
      <c r="G841" s="1">
        <v>13</v>
      </c>
      <c r="H841" t="str">
        <f t="shared" si="69"/>
        <v>Small</v>
      </c>
      <c r="I841" t="str">
        <f t="shared" si="65"/>
        <v>Small</v>
      </c>
      <c r="J841" s="1">
        <v>80.540000000000006</v>
      </c>
      <c r="K841">
        <f t="shared" si="66"/>
        <v>0</v>
      </c>
      <c r="L841">
        <f t="shared" si="67"/>
        <v>80.540000000000006</v>
      </c>
      <c r="M841" s="1">
        <f t="shared" si="68"/>
        <v>80.540000000000006</v>
      </c>
      <c r="N841" s="1" t="s">
        <v>10</v>
      </c>
      <c r="O841" s="1">
        <v>3.2</v>
      </c>
    </row>
    <row r="842" spans="4:15" x14ac:dyDescent="0.3">
      <c r="D842" s="1">
        <v>54115</v>
      </c>
      <c r="E842" s="2">
        <v>43471</v>
      </c>
      <c r="F842" s="1" t="s">
        <v>7</v>
      </c>
      <c r="G842" s="1">
        <v>24</v>
      </c>
      <c r="H842" t="str">
        <f t="shared" si="69"/>
        <v>Medium</v>
      </c>
      <c r="I842" t="str">
        <f t="shared" si="65"/>
        <v>Medium</v>
      </c>
      <c r="J842" s="1">
        <v>122.16</v>
      </c>
      <c r="K842">
        <f t="shared" si="66"/>
        <v>0</v>
      </c>
      <c r="L842">
        <f t="shared" si="67"/>
        <v>122.16</v>
      </c>
      <c r="M842" s="1">
        <f t="shared" si="68"/>
        <v>122.16</v>
      </c>
      <c r="N842" s="1" t="s">
        <v>10</v>
      </c>
      <c r="O842" s="1">
        <v>5.5</v>
      </c>
    </row>
    <row r="843" spans="4:15" x14ac:dyDescent="0.3">
      <c r="D843" s="1">
        <v>57537</v>
      </c>
      <c r="E843" s="2">
        <v>43726</v>
      </c>
      <c r="F843" s="1" t="s">
        <v>14</v>
      </c>
      <c r="G843" s="1">
        <v>29</v>
      </c>
      <c r="H843" t="str">
        <f t="shared" si="69"/>
        <v>Medium-Large</v>
      </c>
      <c r="I843" t="str">
        <f t="shared" si="65"/>
        <v>Medium-Large</v>
      </c>
      <c r="J843" s="1">
        <v>3155.03</v>
      </c>
      <c r="K843">
        <f t="shared" si="66"/>
        <v>0</v>
      </c>
      <c r="L843">
        <f t="shared" si="67"/>
        <v>3155.03</v>
      </c>
      <c r="M843" s="1">
        <f t="shared" si="68"/>
        <v>3155.03</v>
      </c>
      <c r="N843" s="1" t="s">
        <v>10</v>
      </c>
      <c r="O843" s="1">
        <v>7.7</v>
      </c>
    </row>
    <row r="844" spans="4:15" x14ac:dyDescent="0.3">
      <c r="D844" s="1">
        <v>37158</v>
      </c>
      <c r="E844" s="2">
        <v>43730</v>
      </c>
      <c r="F844" s="1" t="s">
        <v>7</v>
      </c>
      <c r="G844" s="1">
        <v>25</v>
      </c>
      <c r="H844" t="str">
        <f t="shared" si="69"/>
        <v>Medium</v>
      </c>
      <c r="I844" t="str">
        <f t="shared" si="65"/>
        <v>Medium</v>
      </c>
      <c r="J844" s="1">
        <v>184.08</v>
      </c>
      <c r="K844">
        <f t="shared" si="66"/>
        <v>0</v>
      </c>
      <c r="L844">
        <f t="shared" si="67"/>
        <v>184.08</v>
      </c>
      <c r="M844" s="1">
        <f t="shared" si="68"/>
        <v>184.08</v>
      </c>
      <c r="N844" s="1" t="s">
        <v>10</v>
      </c>
      <c r="O844" s="1">
        <v>7.9</v>
      </c>
    </row>
    <row r="845" spans="4:15" x14ac:dyDescent="0.3">
      <c r="D845" s="1">
        <v>32902</v>
      </c>
      <c r="E845" s="2">
        <v>43527</v>
      </c>
      <c r="F845" s="1" t="s">
        <v>9</v>
      </c>
      <c r="G845" s="1">
        <v>23</v>
      </c>
      <c r="H845" t="str">
        <f t="shared" si="69"/>
        <v>Medium</v>
      </c>
      <c r="I845" t="str">
        <f t="shared" si="65"/>
        <v>Medium</v>
      </c>
      <c r="J845" s="1">
        <v>1753.38</v>
      </c>
      <c r="K845">
        <f t="shared" si="66"/>
        <v>0</v>
      </c>
      <c r="L845">
        <f t="shared" si="67"/>
        <v>1753.38</v>
      </c>
      <c r="M845" s="1">
        <f t="shared" si="68"/>
        <v>1753.38</v>
      </c>
      <c r="N845" s="1" t="s">
        <v>13</v>
      </c>
      <c r="O845" s="1">
        <v>64.2</v>
      </c>
    </row>
    <row r="846" spans="4:15" x14ac:dyDescent="0.3">
      <c r="D846" s="1">
        <v>9602</v>
      </c>
      <c r="E846" s="2">
        <v>43779</v>
      </c>
      <c r="F846" s="1" t="s">
        <v>12</v>
      </c>
      <c r="G846" s="1">
        <v>15</v>
      </c>
      <c r="H846" t="str">
        <f t="shared" si="69"/>
        <v>Small</v>
      </c>
      <c r="I846" t="str">
        <f t="shared" si="65"/>
        <v>Small</v>
      </c>
      <c r="J846" s="1">
        <v>1843.24</v>
      </c>
      <c r="K846">
        <f t="shared" si="66"/>
        <v>0</v>
      </c>
      <c r="L846">
        <f t="shared" si="67"/>
        <v>1843.24</v>
      </c>
      <c r="M846" s="1">
        <f t="shared" si="68"/>
        <v>1843.24</v>
      </c>
      <c r="N846" s="1" t="s">
        <v>13</v>
      </c>
      <c r="O846" s="1">
        <v>55</v>
      </c>
    </row>
    <row r="847" spans="4:15" x14ac:dyDescent="0.3">
      <c r="D847" s="1">
        <v>15616</v>
      </c>
      <c r="E847" s="2">
        <v>43547</v>
      </c>
      <c r="F847" s="1" t="s">
        <v>12</v>
      </c>
      <c r="G847" s="1">
        <v>34</v>
      </c>
      <c r="H847" t="str">
        <f t="shared" si="69"/>
        <v>Large</v>
      </c>
      <c r="I847" t="str">
        <f t="shared" si="65"/>
        <v>Large</v>
      </c>
      <c r="J847" s="1">
        <v>143.44</v>
      </c>
      <c r="K847">
        <f t="shared" si="66"/>
        <v>0</v>
      </c>
      <c r="L847">
        <f t="shared" si="67"/>
        <v>143.44</v>
      </c>
      <c r="M847" s="1">
        <f t="shared" si="68"/>
        <v>143.44</v>
      </c>
      <c r="N847" s="1" t="s">
        <v>10</v>
      </c>
      <c r="O847" s="1">
        <v>1.3</v>
      </c>
    </row>
    <row r="848" spans="4:15" x14ac:dyDescent="0.3">
      <c r="D848" s="1">
        <v>3685</v>
      </c>
      <c r="E848" s="2">
        <v>43480</v>
      </c>
      <c r="F848" s="1" t="s">
        <v>14</v>
      </c>
      <c r="G848" s="1">
        <v>29</v>
      </c>
      <c r="H848" t="str">
        <f t="shared" si="69"/>
        <v>Medium-Large</v>
      </c>
      <c r="I848" t="str">
        <f t="shared" si="65"/>
        <v>Medium-Large</v>
      </c>
      <c r="J848" s="1">
        <v>114.25</v>
      </c>
      <c r="K848">
        <f t="shared" si="66"/>
        <v>0</v>
      </c>
      <c r="L848">
        <f t="shared" si="67"/>
        <v>114.25</v>
      </c>
      <c r="M848" s="1">
        <f t="shared" si="68"/>
        <v>114.25</v>
      </c>
      <c r="N848" s="1" t="s">
        <v>10</v>
      </c>
      <c r="O848" s="1">
        <v>5.4</v>
      </c>
    </row>
    <row r="849" spans="4:15" x14ac:dyDescent="0.3">
      <c r="D849" s="1">
        <v>24672</v>
      </c>
      <c r="E849" s="2">
        <v>43541</v>
      </c>
      <c r="F849" s="1" t="s">
        <v>14</v>
      </c>
      <c r="G849" s="1">
        <v>37</v>
      </c>
      <c r="H849" t="str">
        <f t="shared" si="69"/>
        <v>Extra Large</v>
      </c>
      <c r="I849" t="str">
        <f t="shared" si="65"/>
        <v>Extra Large</v>
      </c>
      <c r="J849" s="1">
        <v>206.42</v>
      </c>
      <c r="K849">
        <f t="shared" si="66"/>
        <v>0.01</v>
      </c>
      <c r="L849">
        <f t="shared" si="67"/>
        <v>204.35579999999999</v>
      </c>
      <c r="M849" s="1">
        <f t="shared" si="68"/>
        <v>205.42</v>
      </c>
      <c r="N849" s="1" t="s">
        <v>10</v>
      </c>
      <c r="O849" s="1">
        <v>1</v>
      </c>
    </row>
    <row r="850" spans="4:15" x14ac:dyDescent="0.3">
      <c r="D850" s="1">
        <v>23140</v>
      </c>
      <c r="E850" s="2">
        <v>43503</v>
      </c>
      <c r="F850" s="1" t="s">
        <v>9</v>
      </c>
      <c r="G850" s="1">
        <v>18</v>
      </c>
      <c r="H850" t="str">
        <f t="shared" si="69"/>
        <v>Small-Medium</v>
      </c>
      <c r="I850" t="str">
        <f t="shared" si="65"/>
        <v>Small-Medium</v>
      </c>
      <c r="J850" s="1">
        <v>1833.77</v>
      </c>
      <c r="K850">
        <f t="shared" si="66"/>
        <v>0</v>
      </c>
      <c r="L850">
        <f t="shared" si="67"/>
        <v>1833.77</v>
      </c>
      <c r="M850" s="1">
        <f t="shared" si="68"/>
        <v>1833.77</v>
      </c>
      <c r="N850" s="1" t="s">
        <v>10</v>
      </c>
      <c r="O850" s="1">
        <v>9.6</v>
      </c>
    </row>
    <row r="851" spans="4:15" x14ac:dyDescent="0.3">
      <c r="D851" s="1">
        <v>59361</v>
      </c>
      <c r="E851" s="2">
        <v>43706</v>
      </c>
      <c r="F851" s="1" t="s">
        <v>9</v>
      </c>
      <c r="G851" s="1">
        <v>45</v>
      </c>
      <c r="H851" t="str">
        <f t="shared" si="69"/>
        <v>XX Large</v>
      </c>
      <c r="I851" t="str">
        <f t="shared" si="65"/>
        <v>XX Large</v>
      </c>
      <c r="J851" s="1">
        <v>1078.92</v>
      </c>
      <c r="K851">
        <f t="shared" si="66"/>
        <v>0.01</v>
      </c>
      <c r="L851">
        <f t="shared" si="67"/>
        <v>1068.1308000000001</v>
      </c>
      <c r="M851" s="1">
        <f t="shared" si="68"/>
        <v>1072.22</v>
      </c>
      <c r="N851" s="1" t="s">
        <v>10</v>
      </c>
      <c r="O851" s="1">
        <v>6.7</v>
      </c>
    </row>
    <row r="852" spans="4:15" x14ac:dyDescent="0.3">
      <c r="D852" s="1">
        <v>29761</v>
      </c>
      <c r="E852" s="2">
        <v>43649</v>
      </c>
      <c r="F852" s="1" t="s">
        <v>14</v>
      </c>
      <c r="G852" s="1">
        <v>48</v>
      </c>
      <c r="H852" t="str">
        <f t="shared" si="69"/>
        <v>XXX Large</v>
      </c>
      <c r="I852" t="str">
        <f t="shared" si="65"/>
        <v>XXX Large</v>
      </c>
      <c r="J852" s="1">
        <v>1565.52</v>
      </c>
      <c r="K852">
        <f t="shared" si="66"/>
        <v>0.01</v>
      </c>
      <c r="L852">
        <f t="shared" si="67"/>
        <v>1549.8648000000001</v>
      </c>
      <c r="M852" s="1">
        <f t="shared" si="68"/>
        <v>1564.22</v>
      </c>
      <c r="N852" s="1" t="s">
        <v>10</v>
      </c>
      <c r="O852" s="1">
        <v>1.3</v>
      </c>
    </row>
    <row r="853" spans="4:15" x14ac:dyDescent="0.3">
      <c r="D853" s="1">
        <v>50403</v>
      </c>
      <c r="E853" s="2">
        <v>43597</v>
      </c>
      <c r="F853" s="1" t="s">
        <v>11</v>
      </c>
      <c r="G853" s="1">
        <v>22</v>
      </c>
      <c r="H853" t="str">
        <f t="shared" si="69"/>
        <v>Medium</v>
      </c>
      <c r="I853" t="str">
        <f t="shared" si="65"/>
        <v>Medium</v>
      </c>
      <c r="J853" s="1">
        <v>152.88</v>
      </c>
      <c r="K853">
        <f t="shared" si="66"/>
        <v>0</v>
      </c>
      <c r="L853">
        <f t="shared" si="67"/>
        <v>152.88</v>
      </c>
      <c r="M853" s="1">
        <f t="shared" si="68"/>
        <v>152.88</v>
      </c>
      <c r="N853" s="1" t="s">
        <v>10</v>
      </c>
      <c r="O853" s="1">
        <v>1.7</v>
      </c>
    </row>
    <row r="854" spans="4:15" x14ac:dyDescent="0.3">
      <c r="D854" s="1">
        <v>612</v>
      </c>
      <c r="E854" s="2">
        <v>43758</v>
      </c>
      <c r="F854" s="1" t="s">
        <v>14</v>
      </c>
      <c r="G854" s="1">
        <v>50</v>
      </c>
      <c r="H854" t="str">
        <f t="shared" si="69"/>
        <v>XXX Large</v>
      </c>
      <c r="I854" t="str">
        <f t="shared" si="65"/>
        <v>XXX Large</v>
      </c>
      <c r="J854" s="1">
        <v>281.27</v>
      </c>
      <c r="K854">
        <f t="shared" si="66"/>
        <v>0.01</v>
      </c>
      <c r="L854">
        <f t="shared" si="67"/>
        <v>278.45729999999998</v>
      </c>
      <c r="M854" s="1">
        <f t="shared" si="68"/>
        <v>274.57</v>
      </c>
      <c r="N854" s="1" t="s">
        <v>10</v>
      </c>
      <c r="O854" s="1">
        <v>6.7</v>
      </c>
    </row>
    <row r="855" spans="4:15" x14ac:dyDescent="0.3">
      <c r="D855" s="1">
        <v>32292</v>
      </c>
      <c r="E855" s="2">
        <v>43510</v>
      </c>
      <c r="F855" s="1" t="s">
        <v>7</v>
      </c>
      <c r="G855" s="1">
        <v>49</v>
      </c>
      <c r="H855" t="str">
        <f t="shared" si="69"/>
        <v>XXX Large</v>
      </c>
      <c r="I855" t="str">
        <f t="shared" si="65"/>
        <v>XXX Large</v>
      </c>
      <c r="J855" s="1">
        <v>5359.3743000000004</v>
      </c>
      <c r="K855">
        <f t="shared" si="66"/>
        <v>0.01</v>
      </c>
      <c r="L855">
        <f t="shared" si="67"/>
        <v>5305.780557</v>
      </c>
      <c r="M855" s="1">
        <f t="shared" si="68"/>
        <v>5352.9743000000008</v>
      </c>
      <c r="N855" s="1" t="s">
        <v>10</v>
      </c>
      <c r="O855" s="1">
        <v>6.4</v>
      </c>
    </row>
    <row r="856" spans="4:15" x14ac:dyDescent="0.3">
      <c r="D856" s="1">
        <v>42951</v>
      </c>
      <c r="E856" s="2">
        <v>43724</v>
      </c>
      <c r="F856" s="1" t="s">
        <v>12</v>
      </c>
      <c r="G856" s="1">
        <v>20</v>
      </c>
      <c r="H856" t="str">
        <f t="shared" si="69"/>
        <v>Small-Medium</v>
      </c>
      <c r="I856" t="str">
        <f t="shared" si="65"/>
        <v>Small-Medium</v>
      </c>
      <c r="J856" s="1">
        <v>2252.34</v>
      </c>
      <c r="K856">
        <f t="shared" si="66"/>
        <v>0</v>
      </c>
      <c r="L856">
        <f t="shared" si="67"/>
        <v>2252.34</v>
      </c>
      <c r="M856" s="1">
        <f t="shared" si="68"/>
        <v>2252.34</v>
      </c>
      <c r="N856" s="1" t="s">
        <v>10</v>
      </c>
      <c r="O856" s="1">
        <v>9.4</v>
      </c>
    </row>
    <row r="857" spans="4:15" x14ac:dyDescent="0.3">
      <c r="D857" s="1">
        <v>49634</v>
      </c>
      <c r="E857" s="2">
        <v>43547</v>
      </c>
      <c r="F857" s="1" t="s">
        <v>11</v>
      </c>
      <c r="G857" s="1">
        <v>39</v>
      </c>
      <c r="H857" t="str">
        <f t="shared" si="69"/>
        <v>Extra Large</v>
      </c>
      <c r="I857" t="str">
        <f t="shared" si="65"/>
        <v>Extra Large</v>
      </c>
      <c r="J857" s="1">
        <v>431.99</v>
      </c>
      <c r="K857">
        <f t="shared" si="66"/>
        <v>0.01</v>
      </c>
      <c r="L857">
        <f t="shared" si="67"/>
        <v>427.67009999999999</v>
      </c>
      <c r="M857" s="1">
        <f t="shared" si="68"/>
        <v>427.19</v>
      </c>
      <c r="N857" s="1" t="s">
        <v>10</v>
      </c>
      <c r="O857" s="1">
        <v>4.8</v>
      </c>
    </row>
    <row r="858" spans="4:15" x14ac:dyDescent="0.3">
      <c r="D858" s="1">
        <v>58210</v>
      </c>
      <c r="E858" s="2">
        <v>43805</v>
      </c>
      <c r="F858" s="1" t="s">
        <v>14</v>
      </c>
      <c r="G858" s="1">
        <v>38</v>
      </c>
      <c r="H858" t="str">
        <f t="shared" si="69"/>
        <v>Extra Large</v>
      </c>
      <c r="I858" t="str">
        <f t="shared" si="65"/>
        <v>Extra Large</v>
      </c>
      <c r="J858" s="1">
        <v>154.11000000000001</v>
      </c>
      <c r="K858">
        <f t="shared" si="66"/>
        <v>0.01</v>
      </c>
      <c r="L858">
        <f t="shared" si="67"/>
        <v>152.56890000000001</v>
      </c>
      <c r="M858" s="1">
        <f t="shared" si="68"/>
        <v>148.21</v>
      </c>
      <c r="N858" s="1" t="s">
        <v>10</v>
      </c>
      <c r="O858" s="1">
        <v>5.9</v>
      </c>
    </row>
    <row r="859" spans="4:15" x14ac:dyDescent="0.3">
      <c r="D859" s="1">
        <v>53026</v>
      </c>
      <c r="E859" s="2">
        <v>43521</v>
      </c>
      <c r="F859" s="1" t="s">
        <v>7</v>
      </c>
      <c r="G859" s="1">
        <v>35</v>
      </c>
      <c r="H859" t="str">
        <f t="shared" si="69"/>
        <v>Large</v>
      </c>
      <c r="I859" t="str">
        <f t="shared" si="65"/>
        <v>Large</v>
      </c>
      <c r="J859" s="1">
        <v>345.42</v>
      </c>
      <c r="K859">
        <f t="shared" si="66"/>
        <v>0</v>
      </c>
      <c r="L859">
        <f t="shared" si="67"/>
        <v>345.42</v>
      </c>
      <c r="M859" s="1">
        <f t="shared" si="68"/>
        <v>345.42</v>
      </c>
      <c r="N859" s="1" t="s">
        <v>10</v>
      </c>
      <c r="O859" s="1">
        <v>4.3</v>
      </c>
    </row>
    <row r="860" spans="4:15" x14ac:dyDescent="0.3">
      <c r="D860" s="1">
        <v>35811</v>
      </c>
      <c r="E860" s="2">
        <v>43467</v>
      </c>
      <c r="F860" s="1" t="s">
        <v>12</v>
      </c>
      <c r="G860" s="1">
        <v>49</v>
      </c>
      <c r="H860" t="str">
        <f t="shared" si="69"/>
        <v>XXX Large</v>
      </c>
      <c r="I860" t="str">
        <f t="shared" si="65"/>
        <v>XXX Large</v>
      </c>
      <c r="J860" s="1">
        <v>793.48</v>
      </c>
      <c r="K860">
        <f t="shared" si="66"/>
        <v>0.01</v>
      </c>
      <c r="L860">
        <f t="shared" si="67"/>
        <v>785.54520000000002</v>
      </c>
      <c r="M860" s="1">
        <f t="shared" si="68"/>
        <v>791.98</v>
      </c>
      <c r="N860" s="1" t="s">
        <v>10</v>
      </c>
      <c r="O860" s="1">
        <v>1.5</v>
      </c>
    </row>
    <row r="861" spans="4:15" x14ac:dyDescent="0.3">
      <c r="D861" s="1">
        <v>8293</v>
      </c>
      <c r="E861" s="2">
        <v>43687</v>
      </c>
      <c r="F861" s="1" t="s">
        <v>7</v>
      </c>
      <c r="G861" s="1">
        <v>50</v>
      </c>
      <c r="H861" t="str">
        <f t="shared" si="69"/>
        <v>XXX Large</v>
      </c>
      <c r="I861" t="str">
        <f t="shared" si="65"/>
        <v>XXX Large</v>
      </c>
      <c r="J861" s="1">
        <v>1602.6</v>
      </c>
      <c r="K861">
        <f t="shared" si="66"/>
        <v>0.01</v>
      </c>
      <c r="L861">
        <f t="shared" si="67"/>
        <v>1586.5739999999998</v>
      </c>
      <c r="M861" s="1">
        <f t="shared" si="68"/>
        <v>1601.3999999999999</v>
      </c>
      <c r="N861" s="1" t="s">
        <v>10</v>
      </c>
      <c r="O861" s="1">
        <v>1.2</v>
      </c>
    </row>
    <row r="862" spans="4:15" x14ac:dyDescent="0.3">
      <c r="D862" s="1">
        <v>55296</v>
      </c>
      <c r="E862" s="2">
        <v>43756</v>
      </c>
      <c r="F862" s="1" t="s">
        <v>7</v>
      </c>
      <c r="G862" s="1">
        <v>32</v>
      </c>
      <c r="H862" t="str">
        <f t="shared" si="69"/>
        <v>Large</v>
      </c>
      <c r="I862" t="str">
        <f t="shared" si="65"/>
        <v>Large</v>
      </c>
      <c r="J862" s="1">
        <v>339.25420000000003</v>
      </c>
      <c r="K862">
        <f t="shared" si="66"/>
        <v>0</v>
      </c>
      <c r="L862">
        <f t="shared" si="67"/>
        <v>339.25420000000003</v>
      </c>
      <c r="M862" s="1">
        <f t="shared" si="68"/>
        <v>339.25420000000003</v>
      </c>
      <c r="N862" s="1" t="s">
        <v>10</v>
      </c>
      <c r="O862" s="1">
        <v>2.2000000000000002</v>
      </c>
    </row>
    <row r="863" spans="4:15" x14ac:dyDescent="0.3">
      <c r="D863" s="1">
        <v>45315</v>
      </c>
      <c r="E863" s="2">
        <v>43575</v>
      </c>
      <c r="F863" s="1" t="s">
        <v>14</v>
      </c>
      <c r="G863" s="1">
        <v>32</v>
      </c>
      <c r="H863" t="str">
        <f t="shared" si="69"/>
        <v>Large</v>
      </c>
      <c r="I863" t="str">
        <f t="shared" si="65"/>
        <v>Large</v>
      </c>
      <c r="J863" s="1">
        <v>1221.83</v>
      </c>
      <c r="K863">
        <f t="shared" si="66"/>
        <v>0</v>
      </c>
      <c r="L863">
        <f t="shared" si="67"/>
        <v>1221.83</v>
      </c>
      <c r="M863" s="1">
        <f t="shared" si="68"/>
        <v>1221.83</v>
      </c>
      <c r="N863" s="1" t="s">
        <v>10</v>
      </c>
      <c r="O863" s="1">
        <v>8.8000000000000007</v>
      </c>
    </row>
    <row r="864" spans="4:15" x14ac:dyDescent="0.3">
      <c r="D864" s="1">
        <v>1221</v>
      </c>
      <c r="E864" s="2">
        <v>43573</v>
      </c>
      <c r="F864" s="1" t="s">
        <v>11</v>
      </c>
      <c r="G864" s="1">
        <v>11</v>
      </c>
      <c r="H864" t="str">
        <f t="shared" si="69"/>
        <v>Small</v>
      </c>
      <c r="I864" t="str">
        <f t="shared" si="65"/>
        <v>Small</v>
      </c>
      <c r="J864" s="1">
        <v>10855.3</v>
      </c>
      <c r="K864">
        <f t="shared" si="66"/>
        <v>0</v>
      </c>
      <c r="L864">
        <f t="shared" si="67"/>
        <v>10855.3</v>
      </c>
      <c r="M864" s="1">
        <f t="shared" si="68"/>
        <v>10855.3</v>
      </c>
      <c r="N864" s="1" t="s">
        <v>10</v>
      </c>
      <c r="O864" s="1">
        <v>21.4</v>
      </c>
    </row>
    <row r="865" spans="4:15" x14ac:dyDescent="0.3">
      <c r="D865" s="1">
        <v>14016</v>
      </c>
      <c r="E865" s="2">
        <v>43657</v>
      </c>
      <c r="F865" s="1" t="s">
        <v>7</v>
      </c>
      <c r="G865" s="1">
        <v>9</v>
      </c>
      <c r="H865" t="str">
        <f t="shared" si="69"/>
        <v>Extra Small</v>
      </c>
      <c r="I865" t="str">
        <f t="shared" si="65"/>
        <v>Extra Small</v>
      </c>
      <c r="J865" s="1">
        <v>1217.25</v>
      </c>
      <c r="K865">
        <f t="shared" si="66"/>
        <v>0</v>
      </c>
      <c r="L865">
        <f t="shared" si="67"/>
        <v>1217.25</v>
      </c>
      <c r="M865" s="1">
        <f t="shared" si="68"/>
        <v>1217.25</v>
      </c>
      <c r="N865" s="1" t="s">
        <v>13</v>
      </c>
      <c r="O865" s="1">
        <v>55.6</v>
      </c>
    </row>
    <row r="866" spans="4:15" x14ac:dyDescent="0.3">
      <c r="D866" s="1">
        <v>23619</v>
      </c>
      <c r="E866" s="2">
        <v>43820</v>
      </c>
      <c r="F866" s="1" t="s">
        <v>14</v>
      </c>
      <c r="G866" s="1">
        <v>48</v>
      </c>
      <c r="H866" t="str">
        <f t="shared" si="69"/>
        <v>XXX Large</v>
      </c>
      <c r="I866" t="str">
        <f t="shared" si="65"/>
        <v>XXX Large</v>
      </c>
      <c r="J866" s="1">
        <v>2794.63</v>
      </c>
      <c r="K866">
        <f t="shared" si="66"/>
        <v>0.01</v>
      </c>
      <c r="L866">
        <f t="shared" si="67"/>
        <v>2766.6837</v>
      </c>
      <c r="M866" s="1">
        <f t="shared" si="68"/>
        <v>2788.33</v>
      </c>
      <c r="N866" s="1" t="s">
        <v>10</v>
      </c>
      <c r="O866" s="1">
        <v>6.3</v>
      </c>
    </row>
    <row r="867" spans="4:15" x14ac:dyDescent="0.3">
      <c r="D867" s="1">
        <v>24743</v>
      </c>
      <c r="E867" s="2">
        <v>43644</v>
      </c>
      <c r="F867" s="1" t="s">
        <v>7</v>
      </c>
      <c r="G867" s="1">
        <v>26</v>
      </c>
      <c r="H867" t="str">
        <f t="shared" si="69"/>
        <v>Medium-Large</v>
      </c>
      <c r="I867" t="str">
        <f t="shared" si="65"/>
        <v>Medium-Large</v>
      </c>
      <c r="J867" s="1">
        <v>4021.88</v>
      </c>
      <c r="K867">
        <f t="shared" si="66"/>
        <v>0</v>
      </c>
      <c r="L867">
        <f t="shared" si="67"/>
        <v>4021.88</v>
      </c>
      <c r="M867" s="1">
        <f t="shared" si="68"/>
        <v>4021.88</v>
      </c>
      <c r="N867" s="1" t="s">
        <v>10</v>
      </c>
      <c r="O867" s="1">
        <v>26.2</v>
      </c>
    </row>
    <row r="868" spans="4:15" x14ac:dyDescent="0.3">
      <c r="D868" s="1">
        <v>20642</v>
      </c>
      <c r="E868" s="2">
        <v>43604</v>
      </c>
      <c r="F868" s="1" t="s">
        <v>9</v>
      </c>
      <c r="G868" s="1">
        <v>32</v>
      </c>
      <c r="H868" t="str">
        <f t="shared" si="69"/>
        <v>Large</v>
      </c>
      <c r="I868" t="str">
        <f t="shared" si="65"/>
        <v>Large</v>
      </c>
      <c r="J868" s="1">
        <v>144.66</v>
      </c>
      <c r="K868">
        <f t="shared" si="66"/>
        <v>0</v>
      </c>
      <c r="L868">
        <f t="shared" si="67"/>
        <v>144.66</v>
      </c>
      <c r="M868" s="1">
        <f t="shared" si="68"/>
        <v>144.66</v>
      </c>
      <c r="N868" s="1" t="s">
        <v>10</v>
      </c>
      <c r="O868" s="1">
        <v>0.5</v>
      </c>
    </row>
    <row r="869" spans="4:15" x14ac:dyDescent="0.3">
      <c r="D869" s="1">
        <v>41921</v>
      </c>
      <c r="E869" s="2">
        <v>43518</v>
      </c>
      <c r="F869" s="1" t="s">
        <v>14</v>
      </c>
      <c r="G869" s="1">
        <v>29</v>
      </c>
      <c r="H869" t="str">
        <f t="shared" si="69"/>
        <v>Medium-Large</v>
      </c>
      <c r="I869" t="str">
        <f t="shared" si="65"/>
        <v>Medium-Large</v>
      </c>
      <c r="J869" s="1">
        <v>361</v>
      </c>
      <c r="K869">
        <f t="shared" si="66"/>
        <v>0</v>
      </c>
      <c r="L869">
        <f t="shared" si="67"/>
        <v>361</v>
      </c>
      <c r="M869" s="1">
        <f t="shared" si="68"/>
        <v>361</v>
      </c>
      <c r="N869" s="1" t="s">
        <v>8</v>
      </c>
      <c r="O869" s="1">
        <v>7.5</v>
      </c>
    </row>
    <row r="870" spans="4:15" x14ac:dyDescent="0.3">
      <c r="D870" s="1">
        <v>54371</v>
      </c>
      <c r="E870" s="2">
        <v>43510</v>
      </c>
      <c r="F870" s="1" t="s">
        <v>11</v>
      </c>
      <c r="G870" s="1">
        <v>28</v>
      </c>
      <c r="H870" t="str">
        <f t="shared" si="69"/>
        <v>Medium-Large</v>
      </c>
      <c r="I870" t="str">
        <f t="shared" si="65"/>
        <v>Medium-Large</v>
      </c>
      <c r="J870" s="1">
        <v>123.07</v>
      </c>
      <c r="K870">
        <f t="shared" si="66"/>
        <v>0</v>
      </c>
      <c r="L870">
        <f t="shared" si="67"/>
        <v>123.07</v>
      </c>
      <c r="M870" s="1">
        <f t="shared" si="68"/>
        <v>123.07</v>
      </c>
      <c r="N870" s="1" t="s">
        <v>10</v>
      </c>
      <c r="O870" s="1">
        <v>0.8</v>
      </c>
    </row>
    <row r="871" spans="4:15" x14ac:dyDescent="0.3">
      <c r="D871" s="1">
        <v>8450</v>
      </c>
      <c r="E871" s="2">
        <v>43568</v>
      </c>
      <c r="F871" s="1" t="s">
        <v>11</v>
      </c>
      <c r="G871" s="1">
        <v>22</v>
      </c>
      <c r="H871" t="str">
        <f t="shared" si="69"/>
        <v>Medium</v>
      </c>
      <c r="I871" t="str">
        <f t="shared" si="65"/>
        <v>Medium</v>
      </c>
      <c r="J871" s="1">
        <v>44.29</v>
      </c>
      <c r="K871">
        <f t="shared" si="66"/>
        <v>0</v>
      </c>
      <c r="L871">
        <f t="shared" si="67"/>
        <v>44.29</v>
      </c>
      <c r="M871" s="1">
        <f t="shared" si="68"/>
        <v>44.29</v>
      </c>
      <c r="N871" s="1" t="s">
        <v>10</v>
      </c>
      <c r="O871" s="1">
        <v>1.6</v>
      </c>
    </row>
    <row r="872" spans="4:15" x14ac:dyDescent="0.3">
      <c r="D872" s="1">
        <v>13991</v>
      </c>
      <c r="E872" s="2">
        <v>43530</v>
      </c>
      <c r="F872" s="1" t="s">
        <v>9</v>
      </c>
      <c r="G872" s="1">
        <v>21</v>
      </c>
      <c r="H872" t="str">
        <f t="shared" si="69"/>
        <v>Medium</v>
      </c>
      <c r="I872" t="str">
        <f t="shared" si="65"/>
        <v>Medium</v>
      </c>
      <c r="J872" s="1">
        <v>1968.21</v>
      </c>
      <c r="K872">
        <f t="shared" si="66"/>
        <v>0</v>
      </c>
      <c r="L872">
        <f t="shared" si="67"/>
        <v>1968.21</v>
      </c>
      <c r="M872" s="1">
        <f t="shared" si="68"/>
        <v>1968.21</v>
      </c>
      <c r="N872" s="1" t="s">
        <v>10</v>
      </c>
      <c r="O872" s="1">
        <v>73.8</v>
      </c>
    </row>
    <row r="873" spans="4:15" x14ac:dyDescent="0.3">
      <c r="D873" s="1">
        <v>59329</v>
      </c>
      <c r="E873" s="2">
        <v>43803</v>
      </c>
      <c r="F873" s="1" t="s">
        <v>12</v>
      </c>
      <c r="G873" s="1">
        <v>35</v>
      </c>
      <c r="H873" t="str">
        <f t="shared" si="69"/>
        <v>Large</v>
      </c>
      <c r="I873" t="str">
        <f t="shared" si="65"/>
        <v>Large</v>
      </c>
      <c r="J873" s="1">
        <v>137.09</v>
      </c>
      <c r="K873">
        <f t="shared" si="66"/>
        <v>0</v>
      </c>
      <c r="L873">
        <f t="shared" si="67"/>
        <v>137.09</v>
      </c>
      <c r="M873" s="1">
        <f t="shared" si="68"/>
        <v>137.09</v>
      </c>
      <c r="N873" s="1" t="s">
        <v>10</v>
      </c>
      <c r="O873" s="1">
        <v>5.8</v>
      </c>
    </row>
    <row r="874" spans="4:15" x14ac:dyDescent="0.3">
      <c r="D874" s="1">
        <v>16257</v>
      </c>
      <c r="E874" s="2">
        <v>43590</v>
      </c>
      <c r="F874" s="1" t="s">
        <v>11</v>
      </c>
      <c r="G874" s="1">
        <v>16</v>
      </c>
      <c r="H874" t="str">
        <f t="shared" si="69"/>
        <v>Small-Medium</v>
      </c>
      <c r="I874" t="str">
        <f t="shared" si="65"/>
        <v>Small-Medium</v>
      </c>
      <c r="J874" s="1">
        <v>109.92</v>
      </c>
      <c r="K874">
        <f t="shared" si="66"/>
        <v>0</v>
      </c>
      <c r="L874">
        <f t="shared" si="67"/>
        <v>109.92</v>
      </c>
      <c r="M874" s="1">
        <f t="shared" si="68"/>
        <v>109.92</v>
      </c>
      <c r="N874" s="1" t="s">
        <v>10</v>
      </c>
      <c r="O874" s="1">
        <v>2.7</v>
      </c>
    </row>
    <row r="875" spans="4:15" x14ac:dyDescent="0.3">
      <c r="D875" s="1">
        <v>48003</v>
      </c>
      <c r="E875" s="2">
        <v>43490</v>
      </c>
      <c r="F875" s="1" t="s">
        <v>14</v>
      </c>
      <c r="G875" s="1">
        <v>12</v>
      </c>
      <c r="H875" t="str">
        <f t="shared" si="69"/>
        <v>Small</v>
      </c>
      <c r="I875" t="str">
        <f t="shared" si="65"/>
        <v>Small</v>
      </c>
      <c r="J875" s="1">
        <v>94.22</v>
      </c>
      <c r="K875">
        <f t="shared" si="66"/>
        <v>0</v>
      </c>
      <c r="L875">
        <f t="shared" si="67"/>
        <v>94.22</v>
      </c>
      <c r="M875" s="1">
        <f t="shared" si="68"/>
        <v>94.22</v>
      </c>
      <c r="N875" s="1" t="s">
        <v>10</v>
      </c>
      <c r="O875" s="1">
        <v>10.4</v>
      </c>
    </row>
    <row r="876" spans="4:15" x14ac:dyDescent="0.3">
      <c r="D876" s="1">
        <v>47971</v>
      </c>
      <c r="E876" s="2">
        <v>43767</v>
      </c>
      <c r="F876" s="1" t="s">
        <v>9</v>
      </c>
      <c r="G876" s="1">
        <v>24</v>
      </c>
      <c r="H876" t="str">
        <f t="shared" si="69"/>
        <v>Medium</v>
      </c>
      <c r="I876" t="str">
        <f t="shared" si="65"/>
        <v>Medium</v>
      </c>
      <c r="J876" s="1">
        <v>121.37</v>
      </c>
      <c r="K876">
        <f t="shared" si="66"/>
        <v>0</v>
      </c>
      <c r="L876">
        <f t="shared" si="67"/>
        <v>121.37</v>
      </c>
      <c r="M876" s="1">
        <f t="shared" si="68"/>
        <v>121.37</v>
      </c>
      <c r="N876" s="1" t="s">
        <v>10</v>
      </c>
      <c r="O876" s="1">
        <v>5.7</v>
      </c>
    </row>
    <row r="877" spans="4:15" x14ac:dyDescent="0.3">
      <c r="D877" s="1">
        <v>39943</v>
      </c>
      <c r="E877" s="2">
        <v>43623</v>
      </c>
      <c r="F877" s="1" t="s">
        <v>9</v>
      </c>
      <c r="G877" s="1">
        <v>12</v>
      </c>
      <c r="H877" t="str">
        <f t="shared" si="69"/>
        <v>Small</v>
      </c>
      <c r="I877" t="str">
        <f t="shared" si="65"/>
        <v>Small</v>
      </c>
      <c r="J877" s="1">
        <v>215.64</v>
      </c>
      <c r="K877">
        <f t="shared" si="66"/>
        <v>0</v>
      </c>
      <c r="L877">
        <f t="shared" si="67"/>
        <v>215.64</v>
      </c>
      <c r="M877" s="1">
        <f t="shared" si="68"/>
        <v>215.64</v>
      </c>
      <c r="N877" s="1" t="s">
        <v>10</v>
      </c>
      <c r="O877" s="1">
        <v>3.5</v>
      </c>
    </row>
    <row r="878" spans="4:15" x14ac:dyDescent="0.3">
      <c r="D878" s="1">
        <v>24743</v>
      </c>
      <c r="E878" s="2">
        <v>43644</v>
      </c>
      <c r="F878" s="1" t="s">
        <v>7</v>
      </c>
      <c r="G878" s="1">
        <v>47</v>
      </c>
      <c r="H878" t="str">
        <f t="shared" si="69"/>
        <v>XXX Large</v>
      </c>
      <c r="I878" t="str">
        <f t="shared" si="65"/>
        <v>XXX Large</v>
      </c>
      <c r="J878" s="1">
        <v>10307.94</v>
      </c>
      <c r="K878">
        <f t="shared" si="66"/>
        <v>0.01</v>
      </c>
      <c r="L878">
        <f t="shared" si="67"/>
        <v>10204.8606</v>
      </c>
      <c r="M878" s="1">
        <f t="shared" si="68"/>
        <v>10239.24</v>
      </c>
      <c r="N878" s="1" t="s">
        <v>13</v>
      </c>
      <c r="O878" s="1">
        <v>68.7</v>
      </c>
    </row>
    <row r="879" spans="4:15" x14ac:dyDescent="0.3">
      <c r="D879" s="1">
        <v>26981</v>
      </c>
      <c r="E879" s="2">
        <v>43707</v>
      </c>
      <c r="F879" s="1" t="s">
        <v>14</v>
      </c>
      <c r="G879" s="1">
        <v>44</v>
      </c>
      <c r="H879" t="str">
        <f t="shared" si="69"/>
        <v>XX Large</v>
      </c>
      <c r="I879" t="str">
        <f t="shared" si="65"/>
        <v>XX Large</v>
      </c>
      <c r="J879" s="1">
        <v>824.47</v>
      </c>
      <c r="K879">
        <f t="shared" si="66"/>
        <v>0.01</v>
      </c>
      <c r="L879">
        <f t="shared" si="67"/>
        <v>816.22530000000006</v>
      </c>
      <c r="M879" s="1">
        <f t="shared" si="68"/>
        <v>817.77</v>
      </c>
      <c r="N879" s="1" t="s">
        <v>10</v>
      </c>
      <c r="O879" s="1">
        <v>6.7</v>
      </c>
    </row>
    <row r="880" spans="4:15" x14ac:dyDescent="0.3">
      <c r="D880" s="1">
        <v>40611</v>
      </c>
      <c r="E880" s="2">
        <v>43552</v>
      </c>
      <c r="F880" s="1" t="s">
        <v>11</v>
      </c>
      <c r="G880" s="1">
        <v>12</v>
      </c>
      <c r="H880" t="str">
        <f t="shared" si="69"/>
        <v>Small</v>
      </c>
      <c r="I880" t="str">
        <f t="shared" si="65"/>
        <v>Small</v>
      </c>
      <c r="J880" s="1">
        <v>71.510000000000005</v>
      </c>
      <c r="K880">
        <f t="shared" si="66"/>
        <v>0</v>
      </c>
      <c r="L880">
        <f t="shared" si="67"/>
        <v>71.510000000000005</v>
      </c>
      <c r="M880" s="1">
        <f t="shared" si="68"/>
        <v>71.510000000000005</v>
      </c>
      <c r="N880" s="1" t="s">
        <v>8</v>
      </c>
      <c r="O880" s="1">
        <v>5.5</v>
      </c>
    </row>
    <row r="881" spans="4:15" x14ac:dyDescent="0.3">
      <c r="D881" s="1">
        <v>28611</v>
      </c>
      <c r="E881" s="2">
        <v>43826</v>
      </c>
      <c r="F881" s="1" t="s">
        <v>7</v>
      </c>
      <c r="G881" s="1">
        <v>42</v>
      </c>
      <c r="H881" t="str">
        <f t="shared" si="69"/>
        <v>XX Large</v>
      </c>
      <c r="I881" t="str">
        <f t="shared" si="65"/>
        <v>XX Large</v>
      </c>
      <c r="J881" s="1">
        <v>4155.3100000000004</v>
      </c>
      <c r="K881">
        <f t="shared" si="66"/>
        <v>0.01</v>
      </c>
      <c r="L881">
        <f t="shared" si="67"/>
        <v>4113.7569000000003</v>
      </c>
      <c r="M881" s="1">
        <f t="shared" si="68"/>
        <v>4145.71</v>
      </c>
      <c r="N881" s="1" t="s">
        <v>10</v>
      </c>
      <c r="O881" s="1">
        <v>9.6</v>
      </c>
    </row>
    <row r="882" spans="4:15" x14ac:dyDescent="0.3">
      <c r="D882" s="1">
        <v>25635</v>
      </c>
      <c r="E882" s="2">
        <v>43614</v>
      </c>
      <c r="F882" s="1" t="s">
        <v>12</v>
      </c>
      <c r="G882" s="1">
        <v>22</v>
      </c>
      <c r="H882" t="str">
        <f t="shared" si="69"/>
        <v>Medium</v>
      </c>
      <c r="I882" t="str">
        <f t="shared" si="65"/>
        <v>Medium</v>
      </c>
      <c r="J882" s="1">
        <v>118.15</v>
      </c>
      <c r="K882">
        <f t="shared" si="66"/>
        <v>0</v>
      </c>
      <c r="L882">
        <f t="shared" si="67"/>
        <v>118.15</v>
      </c>
      <c r="M882" s="1">
        <f t="shared" si="68"/>
        <v>118.15</v>
      </c>
      <c r="N882" s="1" t="s">
        <v>10</v>
      </c>
      <c r="O882" s="1">
        <v>3.9</v>
      </c>
    </row>
    <row r="883" spans="4:15" x14ac:dyDescent="0.3">
      <c r="D883" s="1">
        <v>26981</v>
      </c>
      <c r="E883" s="2">
        <v>43707</v>
      </c>
      <c r="F883" s="1" t="s">
        <v>14</v>
      </c>
      <c r="G883" s="1">
        <v>13</v>
      </c>
      <c r="H883" t="str">
        <f t="shared" si="69"/>
        <v>Small</v>
      </c>
      <c r="I883" t="str">
        <f t="shared" si="65"/>
        <v>Small</v>
      </c>
      <c r="J883" s="1">
        <v>645.58000000000004</v>
      </c>
      <c r="K883">
        <f t="shared" si="66"/>
        <v>0</v>
      </c>
      <c r="L883">
        <f t="shared" si="67"/>
        <v>645.58000000000004</v>
      </c>
      <c r="M883" s="1">
        <f t="shared" si="68"/>
        <v>645.58000000000004</v>
      </c>
      <c r="N883" s="1" t="s">
        <v>10</v>
      </c>
      <c r="O883" s="1">
        <v>1.3</v>
      </c>
    </row>
    <row r="884" spans="4:15" x14ac:dyDescent="0.3">
      <c r="D884" s="1">
        <v>59781</v>
      </c>
      <c r="E884" s="2">
        <v>43811</v>
      </c>
      <c r="F884" s="1" t="s">
        <v>11</v>
      </c>
      <c r="G884" s="1">
        <v>18</v>
      </c>
      <c r="H884" t="str">
        <f t="shared" si="69"/>
        <v>Small-Medium</v>
      </c>
      <c r="I884" t="str">
        <f t="shared" si="65"/>
        <v>Small-Medium</v>
      </c>
      <c r="J884" s="1">
        <v>1966.6</v>
      </c>
      <c r="K884">
        <f t="shared" si="66"/>
        <v>0</v>
      </c>
      <c r="L884">
        <f t="shared" si="67"/>
        <v>1966.6</v>
      </c>
      <c r="M884" s="1">
        <f t="shared" si="68"/>
        <v>1966.6</v>
      </c>
      <c r="N884" s="1" t="s">
        <v>10</v>
      </c>
      <c r="O884" s="1">
        <v>9.6</v>
      </c>
    </row>
    <row r="885" spans="4:15" x14ac:dyDescent="0.3">
      <c r="D885" s="1">
        <v>14630</v>
      </c>
      <c r="E885" s="2">
        <v>43754</v>
      </c>
      <c r="F885" s="1" t="s">
        <v>7</v>
      </c>
      <c r="G885" s="1">
        <v>17</v>
      </c>
      <c r="H885" t="str">
        <f t="shared" si="69"/>
        <v>Small-Medium</v>
      </c>
      <c r="I885" t="str">
        <f t="shared" si="65"/>
        <v>Small-Medium</v>
      </c>
      <c r="J885" s="1">
        <v>388.98779999999999</v>
      </c>
      <c r="K885">
        <f t="shared" si="66"/>
        <v>0</v>
      </c>
      <c r="L885">
        <f t="shared" si="67"/>
        <v>388.98779999999999</v>
      </c>
      <c r="M885" s="1">
        <f t="shared" si="68"/>
        <v>388.98779999999999</v>
      </c>
      <c r="N885" s="1" t="s">
        <v>10</v>
      </c>
      <c r="O885" s="1">
        <v>5.9</v>
      </c>
    </row>
    <row r="886" spans="4:15" x14ac:dyDescent="0.3">
      <c r="D886" s="1">
        <v>6339</v>
      </c>
      <c r="E886" s="2">
        <v>43810</v>
      </c>
      <c r="F886" s="1" t="s">
        <v>12</v>
      </c>
      <c r="G886" s="1">
        <v>20</v>
      </c>
      <c r="H886" t="str">
        <f t="shared" si="69"/>
        <v>Small-Medium</v>
      </c>
      <c r="I886" t="str">
        <f t="shared" si="65"/>
        <v>Small-Medium</v>
      </c>
      <c r="J886" s="1">
        <v>324.95</v>
      </c>
      <c r="K886">
        <f t="shared" si="66"/>
        <v>0</v>
      </c>
      <c r="L886">
        <f t="shared" si="67"/>
        <v>324.95</v>
      </c>
      <c r="M886" s="1">
        <f t="shared" si="68"/>
        <v>324.95</v>
      </c>
      <c r="N886" s="1" t="s">
        <v>10</v>
      </c>
      <c r="O886" s="1">
        <v>8.1999999999999993</v>
      </c>
    </row>
    <row r="887" spans="4:15" x14ac:dyDescent="0.3">
      <c r="D887" s="1">
        <v>25985</v>
      </c>
      <c r="E887" s="2">
        <v>43710</v>
      </c>
      <c r="F887" s="1" t="s">
        <v>7</v>
      </c>
      <c r="G887" s="1">
        <v>22</v>
      </c>
      <c r="H887" t="str">
        <f t="shared" si="69"/>
        <v>Medium</v>
      </c>
      <c r="I887" t="str">
        <f t="shared" si="65"/>
        <v>Medium</v>
      </c>
      <c r="J887" s="1">
        <v>86.45</v>
      </c>
      <c r="K887">
        <f t="shared" si="66"/>
        <v>0</v>
      </c>
      <c r="L887">
        <f t="shared" si="67"/>
        <v>86.45</v>
      </c>
      <c r="M887" s="1">
        <f t="shared" si="68"/>
        <v>86.45</v>
      </c>
      <c r="N887" s="1" t="s">
        <v>10</v>
      </c>
      <c r="O887" s="1">
        <v>0.8</v>
      </c>
    </row>
    <row r="888" spans="4:15" x14ac:dyDescent="0.3">
      <c r="D888" s="1">
        <v>52519</v>
      </c>
      <c r="E888" s="2">
        <v>43584</v>
      </c>
      <c r="F888" s="1" t="s">
        <v>9</v>
      </c>
      <c r="G888" s="1">
        <v>6</v>
      </c>
      <c r="H888" t="str">
        <f t="shared" si="69"/>
        <v>Extra Small</v>
      </c>
      <c r="I888" t="str">
        <f t="shared" si="65"/>
        <v>Extra Small</v>
      </c>
      <c r="J888" s="1">
        <v>128.81</v>
      </c>
      <c r="K888">
        <f t="shared" si="66"/>
        <v>0</v>
      </c>
      <c r="L888">
        <f t="shared" si="67"/>
        <v>128.81</v>
      </c>
      <c r="M888" s="1">
        <f t="shared" si="68"/>
        <v>128.81</v>
      </c>
      <c r="N888" s="1" t="s">
        <v>10</v>
      </c>
      <c r="O888" s="1">
        <v>6.8</v>
      </c>
    </row>
    <row r="889" spans="4:15" x14ac:dyDescent="0.3">
      <c r="D889" s="1">
        <v>1282</v>
      </c>
      <c r="E889" s="2">
        <v>43522</v>
      </c>
      <c r="F889" s="1" t="s">
        <v>11</v>
      </c>
      <c r="G889" s="1">
        <v>26</v>
      </c>
      <c r="H889" t="str">
        <f t="shared" si="69"/>
        <v>Medium-Large</v>
      </c>
      <c r="I889" t="str">
        <f t="shared" si="65"/>
        <v>Medium-Large</v>
      </c>
      <c r="J889" s="1">
        <v>954.84659999999997</v>
      </c>
      <c r="K889">
        <f t="shared" si="66"/>
        <v>0</v>
      </c>
      <c r="L889">
        <f t="shared" si="67"/>
        <v>954.84659999999997</v>
      </c>
      <c r="M889" s="1">
        <f t="shared" si="68"/>
        <v>954.84659999999997</v>
      </c>
      <c r="N889" s="1" t="s">
        <v>10</v>
      </c>
      <c r="O889" s="1">
        <v>2.1</v>
      </c>
    </row>
    <row r="890" spans="4:15" x14ac:dyDescent="0.3">
      <c r="D890" s="1">
        <v>3654</v>
      </c>
      <c r="E890" s="2">
        <v>43618</v>
      </c>
      <c r="F890" s="1" t="s">
        <v>7</v>
      </c>
      <c r="G890" s="1">
        <v>47</v>
      </c>
      <c r="H890" t="str">
        <f t="shared" si="69"/>
        <v>XXX Large</v>
      </c>
      <c r="I890" t="str">
        <f t="shared" si="65"/>
        <v>XXX Large</v>
      </c>
      <c r="J890" s="1">
        <v>13449.16</v>
      </c>
      <c r="K890">
        <f t="shared" si="66"/>
        <v>0.01</v>
      </c>
      <c r="L890">
        <f t="shared" si="67"/>
        <v>13314.6684</v>
      </c>
      <c r="M890" s="1">
        <f t="shared" si="68"/>
        <v>13424.36</v>
      </c>
      <c r="N890" s="1" t="s">
        <v>13</v>
      </c>
      <c r="O890" s="1">
        <v>24.8</v>
      </c>
    </row>
    <row r="891" spans="4:15" x14ac:dyDescent="0.3">
      <c r="D891" s="1">
        <v>7107</v>
      </c>
      <c r="E891" s="2">
        <v>43468</v>
      </c>
      <c r="F891" s="1" t="s">
        <v>11</v>
      </c>
      <c r="G891" s="1">
        <v>3</v>
      </c>
      <c r="H891" t="str">
        <f t="shared" si="69"/>
        <v>Mini</v>
      </c>
      <c r="I891" t="str">
        <f t="shared" si="65"/>
        <v>Mini</v>
      </c>
      <c r="J891" s="1">
        <v>121.06</v>
      </c>
      <c r="K891">
        <f t="shared" si="66"/>
        <v>0</v>
      </c>
      <c r="L891">
        <f t="shared" si="67"/>
        <v>121.06</v>
      </c>
      <c r="M891" s="1">
        <f t="shared" si="68"/>
        <v>121.06</v>
      </c>
      <c r="N891" s="1" t="s">
        <v>10</v>
      </c>
      <c r="O891" s="1">
        <v>5.4</v>
      </c>
    </row>
    <row r="892" spans="4:15" x14ac:dyDescent="0.3">
      <c r="D892" s="1">
        <v>15651</v>
      </c>
      <c r="E892" s="2">
        <v>43742</v>
      </c>
      <c r="F892" s="1" t="s">
        <v>12</v>
      </c>
      <c r="G892" s="1">
        <v>40</v>
      </c>
      <c r="H892" t="str">
        <f t="shared" si="69"/>
        <v>Extra Large</v>
      </c>
      <c r="I892" t="str">
        <f t="shared" si="65"/>
        <v>Extra Large</v>
      </c>
      <c r="J892" s="1">
        <v>2335.71</v>
      </c>
      <c r="K892">
        <f t="shared" si="66"/>
        <v>0.01</v>
      </c>
      <c r="L892">
        <f t="shared" si="67"/>
        <v>2312.3528999999999</v>
      </c>
      <c r="M892" s="1">
        <f t="shared" si="68"/>
        <v>2332.0100000000002</v>
      </c>
      <c r="N892" s="1" t="s">
        <v>8</v>
      </c>
      <c r="O892" s="1">
        <v>3.7</v>
      </c>
    </row>
    <row r="893" spans="4:15" x14ac:dyDescent="0.3">
      <c r="D893" s="1">
        <v>38914</v>
      </c>
      <c r="E893" s="2">
        <v>43615</v>
      </c>
      <c r="F893" s="1" t="s">
        <v>14</v>
      </c>
      <c r="G893" s="1">
        <v>43</v>
      </c>
      <c r="H893" t="str">
        <f t="shared" si="69"/>
        <v>XX Large</v>
      </c>
      <c r="I893" t="str">
        <f t="shared" si="65"/>
        <v>XX Large</v>
      </c>
      <c r="J893" s="1">
        <v>478.42</v>
      </c>
      <c r="K893">
        <f t="shared" si="66"/>
        <v>0.01</v>
      </c>
      <c r="L893">
        <f t="shared" si="67"/>
        <v>473.63580000000002</v>
      </c>
      <c r="M893" s="1">
        <f t="shared" si="68"/>
        <v>472.92</v>
      </c>
      <c r="N893" s="1" t="s">
        <v>10</v>
      </c>
      <c r="O893" s="1">
        <v>5.5</v>
      </c>
    </row>
    <row r="894" spans="4:15" x14ac:dyDescent="0.3">
      <c r="D894" s="1">
        <v>17447</v>
      </c>
      <c r="E894" s="2">
        <v>43603</v>
      </c>
      <c r="F894" s="1" t="s">
        <v>7</v>
      </c>
      <c r="G894" s="1">
        <v>42</v>
      </c>
      <c r="H894" t="str">
        <f t="shared" si="69"/>
        <v>XX Large</v>
      </c>
      <c r="I894" t="str">
        <f t="shared" si="65"/>
        <v>XX Large</v>
      </c>
      <c r="J894" s="1">
        <v>921.71</v>
      </c>
      <c r="K894">
        <f t="shared" si="66"/>
        <v>0.01</v>
      </c>
      <c r="L894">
        <f t="shared" si="67"/>
        <v>912.49290000000008</v>
      </c>
      <c r="M894" s="1">
        <f t="shared" si="68"/>
        <v>911.51</v>
      </c>
      <c r="N894" s="1" t="s">
        <v>10</v>
      </c>
      <c r="O894" s="1">
        <v>10.199999999999999</v>
      </c>
    </row>
    <row r="895" spans="4:15" x14ac:dyDescent="0.3">
      <c r="D895" s="1">
        <v>48868</v>
      </c>
      <c r="E895" s="2">
        <v>43629</v>
      </c>
      <c r="F895" s="1" t="s">
        <v>11</v>
      </c>
      <c r="G895" s="1">
        <v>43</v>
      </c>
      <c r="H895" t="str">
        <f t="shared" si="69"/>
        <v>XX Large</v>
      </c>
      <c r="I895" t="str">
        <f t="shared" si="65"/>
        <v>XX Large</v>
      </c>
      <c r="J895" s="1">
        <v>7342.18</v>
      </c>
      <c r="K895">
        <f t="shared" si="66"/>
        <v>0.01</v>
      </c>
      <c r="L895">
        <f t="shared" si="67"/>
        <v>7268.7582000000002</v>
      </c>
      <c r="M895" s="1">
        <f t="shared" si="68"/>
        <v>7337.88</v>
      </c>
      <c r="N895" s="1" t="s">
        <v>10</v>
      </c>
      <c r="O895" s="1">
        <v>4.3</v>
      </c>
    </row>
    <row r="896" spans="4:15" x14ac:dyDescent="0.3">
      <c r="D896" s="1">
        <v>52999</v>
      </c>
      <c r="E896" s="2">
        <v>43580</v>
      </c>
      <c r="F896" s="1" t="s">
        <v>11</v>
      </c>
      <c r="G896" s="1">
        <v>39</v>
      </c>
      <c r="H896" t="str">
        <f t="shared" si="69"/>
        <v>Extra Large</v>
      </c>
      <c r="I896" t="str">
        <f t="shared" si="65"/>
        <v>Extra Large</v>
      </c>
      <c r="J896" s="1">
        <v>367.06</v>
      </c>
      <c r="K896">
        <f t="shared" si="66"/>
        <v>0.01</v>
      </c>
      <c r="L896">
        <f t="shared" si="67"/>
        <v>363.38940000000002</v>
      </c>
      <c r="M896" s="1">
        <f t="shared" si="68"/>
        <v>364.76</v>
      </c>
      <c r="N896" s="1" t="s">
        <v>10</v>
      </c>
      <c r="O896" s="1">
        <v>2.2999999999999998</v>
      </c>
    </row>
    <row r="897" spans="4:15" x14ac:dyDescent="0.3">
      <c r="D897" s="1">
        <v>9826</v>
      </c>
      <c r="E897" s="2">
        <v>43546</v>
      </c>
      <c r="F897" s="1" t="s">
        <v>14</v>
      </c>
      <c r="G897" s="1">
        <v>7</v>
      </c>
      <c r="H897" t="str">
        <f t="shared" si="69"/>
        <v>Extra Small</v>
      </c>
      <c r="I897" t="str">
        <f t="shared" si="65"/>
        <v>Extra Small</v>
      </c>
      <c r="J897" s="1">
        <v>140.82</v>
      </c>
      <c r="K897">
        <f t="shared" si="66"/>
        <v>0</v>
      </c>
      <c r="L897">
        <f t="shared" si="67"/>
        <v>140.82</v>
      </c>
      <c r="M897" s="1">
        <f t="shared" si="68"/>
        <v>140.82</v>
      </c>
      <c r="N897" s="1" t="s">
        <v>10</v>
      </c>
      <c r="O897" s="1">
        <v>2.1</v>
      </c>
    </row>
    <row r="898" spans="4:15" x14ac:dyDescent="0.3">
      <c r="D898" s="1">
        <v>18950</v>
      </c>
      <c r="E898" s="2">
        <v>43522</v>
      </c>
      <c r="F898" s="1" t="s">
        <v>7</v>
      </c>
      <c r="G898" s="1">
        <v>33</v>
      </c>
      <c r="H898" t="str">
        <f t="shared" si="69"/>
        <v>Large</v>
      </c>
      <c r="I898" t="str">
        <f t="shared" si="65"/>
        <v>Large</v>
      </c>
      <c r="J898" s="1">
        <v>3219.1</v>
      </c>
      <c r="K898">
        <f t="shared" si="66"/>
        <v>0</v>
      </c>
      <c r="L898">
        <f t="shared" si="67"/>
        <v>3219.1</v>
      </c>
      <c r="M898" s="1">
        <f t="shared" si="68"/>
        <v>3219.1</v>
      </c>
      <c r="N898" s="1" t="s">
        <v>13</v>
      </c>
      <c r="O898" s="1">
        <v>15</v>
      </c>
    </row>
    <row r="899" spans="4:15" x14ac:dyDescent="0.3">
      <c r="D899" s="1">
        <v>30343</v>
      </c>
      <c r="E899" s="2">
        <v>43606</v>
      </c>
      <c r="F899" s="1" t="s">
        <v>12</v>
      </c>
      <c r="G899" s="1">
        <v>28</v>
      </c>
      <c r="H899" t="str">
        <f t="shared" si="69"/>
        <v>Medium-Large</v>
      </c>
      <c r="I899" t="str">
        <f t="shared" ref="I899:I962" si="70">VLOOKUP(G899, $A$3:$B$12, 2, TRUE)</f>
        <v>Medium-Large</v>
      </c>
      <c r="J899" s="1">
        <v>139.4</v>
      </c>
      <c r="K899">
        <f t="shared" ref="K899:K962" si="71">IF(OR(I899="Extra Large", I899="XX Large", I899="XXX Large"), 0.01, 0)</f>
        <v>0</v>
      </c>
      <c r="L899">
        <f t="shared" ref="L899:L962" si="72">J899 * (1 - K899)</f>
        <v>139.4</v>
      </c>
      <c r="M899" s="1">
        <f t="shared" ref="M899:M962" si="73">IF(OR(I899="Extra Large",I899="XX Large",I899="XXX Large"),J899-O899,J899)</f>
        <v>139.4</v>
      </c>
      <c r="N899" s="1" t="s">
        <v>10</v>
      </c>
      <c r="O899" s="1">
        <v>0.5</v>
      </c>
    </row>
    <row r="900" spans="4:15" x14ac:dyDescent="0.3">
      <c r="D900" s="1">
        <v>52645</v>
      </c>
      <c r="E900" s="2">
        <v>43531</v>
      </c>
      <c r="F900" s="1" t="s">
        <v>7</v>
      </c>
      <c r="G900" s="1">
        <v>10</v>
      </c>
      <c r="H900" t="str">
        <f t="shared" si="69"/>
        <v>Extra Small</v>
      </c>
      <c r="I900" t="str">
        <f t="shared" si="70"/>
        <v>Extra Small</v>
      </c>
      <c r="J900" s="1">
        <v>741.53</v>
      </c>
      <c r="K900">
        <f t="shared" si="71"/>
        <v>0</v>
      </c>
      <c r="L900">
        <f t="shared" si="72"/>
        <v>741.53</v>
      </c>
      <c r="M900" s="1">
        <f t="shared" si="73"/>
        <v>741.53</v>
      </c>
      <c r="N900" s="1" t="s">
        <v>10</v>
      </c>
      <c r="O900" s="1">
        <v>3.7</v>
      </c>
    </row>
    <row r="901" spans="4:15" x14ac:dyDescent="0.3">
      <c r="D901" s="1">
        <v>8293</v>
      </c>
      <c r="E901" s="2">
        <v>43687</v>
      </c>
      <c r="F901" s="1" t="s">
        <v>7</v>
      </c>
      <c r="G901" s="1">
        <v>22</v>
      </c>
      <c r="H901" t="str">
        <f t="shared" ref="H901:H964" si="74">VLOOKUP(G901, $A$3:$B$12, 2, TRUE)</f>
        <v>Medium</v>
      </c>
      <c r="I901" t="str">
        <f t="shared" si="70"/>
        <v>Medium</v>
      </c>
      <c r="J901" s="1">
        <v>80.28</v>
      </c>
      <c r="K901">
        <f t="shared" si="71"/>
        <v>0</v>
      </c>
      <c r="L901">
        <f t="shared" si="72"/>
        <v>80.28</v>
      </c>
      <c r="M901" s="1">
        <f t="shared" si="73"/>
        <v>80.28</v>
      </c>
      <c r="N901" s="1" t="s">
        <v>10</v>
      </c>
      <c r="O901" s="1">
        <v>2.1</v>
      </c>
    </row>
    <row r="902" spans="4:15" x14ac:dyDescent="0.3">
      <c r="D902" s="1">
        <v>18208</v>
      </c>
      <c r="E902" s="2">
        <v>43556</v>
      </c>
      <c r="F902" s="1" t="s">
        <v>11</v>
      </c>
      <c r="G902" s="1">
        <v>36</v>
      </c>
      <c r="H902" t="str">
        <f t="shared" si="74"/>
        <v>Extra Large</v>
      </c>
      <c r="I902" t="str">
        <f t="shared" si="70"/>
        <v>Extra Large</v>
      </c>
      <c r="J902" s="1">
        <v>88.79</v>
      </c>
      <c r="K902">
        <f t="shared" si="71"/>
        <v>0.01</v>
      </c>
      <c r="L902">
        <f t="shared" si="72"/>
        <v>87.902100000000004</v>
      </c>
      <c r="M902" s="1">
        <f t="shared" si="73"/>
        <v>83.190000000000012</v>
      </c>
      <c r="N902" s="1" t="s">
        <v>10</v>
      </c>
      <c r="O902" s="1">
        <v>5.6</v>
      </c>
    </row>
    <row r="903" spans="4:15" x14ac:dyDescent="0.3">
      <c r="D903" s="1">
        <v>44646</v>
      </c>
      <c r="E903" s="2">
        <v>43468</v>
      </c>
      <c r="F903" s="1" t="s">
        <v>7</v>
      </c>
      <c r="G903" s="1">
        <v>47</v>
      </c>
      <c r="H903" t="str">
        <f t="shared" si="74"/>
        <v>XXX Large</v>
      </c>
      <c r="I903" t="str">
        <f t="shared" si="70"/>
        <v>XXX Large</v>
      </c>
      <c r="J903" s="1">
        <v>13614.63</v>
      </c>
      <c r="K903">
        <f t="shared" si="71"/>
        <v>0.01</v>
      </c>
      <c r="L903">
        <f t="shared" si="72"/>
        <v>13478.483699999999</v>
      </c>
      <c r="M903" s="1">
        <f t="shared" si="73"/>
        <v>13577.13</v>
      </c>
      <c r="N903" s="1" t="s">
        <v>10</v>
      </c>
      <c r="O903" s="1">
        <v>37.5</v>
      </c>
    </row>
    <row r="904" spans="4:15" x14ac:dyDescent="0.3">
      <c r="D904" s="1">
        <v>26756</v>
      </c>
      <c r="E904" s="2">
        <v>43595</v>
      </c>
      <c r="F904" s="1" t="s">
        <v>14</v>
      </c>
      <c r="G904" s="1">
        <v>25</v>
      </c>
      <c r="H904" t="str">
        <f t="shared" si="74"/>
        <v>Medium</v>
      </c>
      <c r="I904" t="str">
        <f t="shared" si="70"/>
        <v>Medium</v>
      </c>
      <c r="J904" s="1">
        <v>820.97</v>
      </c>
      <c r="K904">
        <f t="shared" si="71"/>
        <v>0</v>
      </c>
      <c r="L904">
        <f t="shared" si="72"/>
        <v>820.97</v>
      </c>
      <c r="M904" s="1">
        <f t="shared" si="73"/>
        <v>820.97</v>
      </c>
      <c r="N904" s="1" t="s">
        <v>10</v>
      </c>
      <c r="O904" s="1">
        <v>4.3</v>
      </c>
    </row>
    <row r="905" spans="4:15" x14ac:dyDescent="0.3">
      <c r="D905" s="1">
        <v>40067</v>
      </c>
      <c r="E905" s="2">
        <v>43512</v>
      </c>
      <c r="F905" s="1" t="s">
        <v>7</v>
      </c>
      <c r="G905" s="1">
        <v>38</v>
      </c>
      <c r="H905" t="str">
        <f t="shared" si="74"/>
        <v>Extra Large</v>
      </c>
      <c r="I905" t="str">
        <f t="shared" si="70"/>
        <v>Extra Large</v>
      </c>
      <c r="J905" s="1">
        <v>2308.3200000000002</v>
      </c>
      <c r="K905">
        <f t="shared" si="71"/>
        <v>0.01</v>
      </c>
      <c r="L905">
        <f t="shared" si="72"/>
        <v>2285.2368000000001</v>
      </c>
      <c r="M905" s="1">
        <f t="shared" si="73"/>
        <v>2302.6200000000003</v>
      </c>
      <c r="N905" s="1" t="s">
        <v>10</v>
      </c>
      <c r="O905" s="1">
        <v>5.7</v>
      </c>
    </row>
    <row r="906" spans="4:15" x14ac:dyDescent="0.3">
      <c r="D906" s="1">
        <v>5954</v>
      </c>
      <c r="E906" s="2">
        <v>43801</v>
      </c>
      <c r="F906" s="1" t="s">
        <v>12</v>
      </c>
      <c r="G906" s="1">
        <v>32</v>
      </c>
      <c r="H906" t="str">
        <f t="shared" si="74"/>
        <v>Large</v>
      </c>
      <c r="I906" t="str">
        <f t="shared" si="70"/>
        <v>Large</v>
      </c>
      <c r="J906" s="1">
        <v>19598.440999999999</v>
      </c>
      <c r="K906">
        <f t="shared" si="71"/>
        <v>0</v>
      </c>
      <c r="L906">
        <f t="shared" si="72"/>
        <v>19598.440999999999</v>
      </c>
      <c r="M906" s="1">
        <f t="shared" si="73"/>
        <v>19598.440999999999</v>
      </c>
      <c r="N906" s="1" t="s">
        <v>13</v>
      </c>
      <c r="O906" s="1">
        <v>15.7</v>
      </c>
    </row>
    <row r="907" spans="4:15" x14ac:dyDescent="0.3">
      <c r="D907" s="1">
        <v>40007</v>
      </c>
      <c r="E907" s="2">
        <v>43707</v>
      </c>
      <c r="F907" s="1" t="s">
        <v>11</v>
      </c>
      <c r="G907" s="1">
        <v>45</v>
      </c>
      <c r="H907" t="str">
        <f t="shared" si="74"/>
        <v>XX Large</v>
      </c>
      <c r="I907" t="str">
        <f t="shared" si="70"/>
        <v>XX Large</v>
      </c>
      <c r="J907" s="1">
        <v>201.98</v>
      </c>
      <c r="K907">
        <f t="shared" si="71"/>
        <v>0.01</v>
      </c>
      <c r="L907">
        <f t="shared" si="72"/>
        <v>199.96019999999999</v>
      </c>
      <c r="M907" s="1">
        <f t="shared" si="73"/>
        <v>200.67999999999998</v>
      </c>
      <c r="N907" s="1" t="s">
        <v>10</v>
      </c>
      <c r="O907" s="1">
        <v>1.3</v>
      </c>
    </row>
    <row r="908" spans="4:15" x14ac:dyDescent="0.3">
      <c r="D908" s="1">
        <v>31586</v>
      </c>
      <c r="E908" s="2">
        <v>43545</v>
      </c>
      <c r="F908" s="1" t="s">
        <v>7</v>
      </c>
      <c r="G908" s="1">
        <v>22</v>
      </c>
      <c r="H908" t="str">
        <f t="shared" si="74"/>
        <v>Medium</v>
      </c>
      <c r="I908" t="str">
        <f t="shared" si="70"/>
        <v>Medium</v>
      </c>
      <c r="J908" s="1">
        <v>1030.8900000000001</v>
      </c>
      <c r="K908">
        <f t="shared" si="71"/>
        <v>0</v>
      </c>
      <c r="L908">
        <f t="shared" si="72"/>
        <v>1030.8900000000001</v>
      </c>
      <c r="M908" s="1">
        <f t="shared" si="73"/>
        <v>1030.8900000000001</v>
      </c>
      <c r="N908" s="1" t="s">
        <v>8</v>
      </c>
      <c r="O908" s="1">
        <v>4.3</v>
      </c>
    </row>
    <row r="909" spans="4:15" x14ac:dyDescent="0.3">
      <c r="D909" s="1">
        <v>34754</v>
      </c>
      <c r="E909" s="2">
        <v>43620</v>
      </c>
      <c r="F909" s="1" t="s">
        <v>12</v>
      </c>
      <c r="G909" s="1">
        <v>16</v>
      </c>
      <c r="H909" t="str">
        <f t="shared" si="74"/>
        <v>Small-Medium</v>
      </c>
      <c r="I909" t="str">
        <f t="shared" si="70"/>
        <v>Small-Medium</v>
      </c>
      <c r="J909" s="1">
        <v>666.98</v>
      </c>
      <c r="K909">
        <f t="shared" si="71"/>
        <v>0</v>
      </c>
      <c r="L909">
        <f t="shared" si="72"/>
        <v>666.98</v>
      </c>
      <c r="M909" s="1">
        <f t="shared" si="73"/>
        <v>666.98</v>
      </c>
      <c r="N909" s="1" t="s">
        <v>10</v>
      </c>
      <c r="O909" s="1">
        <v>5.4</v>
      </c>
    </row>
    <row r="910" spans="4:15" x14ac:dyDescent="0.3">
      <c r="D910" s="1">
        <v>9761</v>
      </c>
      <c r="E910" s="2">
        <v>43486</v>
      </c>
      <c r="F910" s="1" t="s">
        <v>11</v>
      </c>
      <c r="G910" s="1">
        <v>2</v>
      </c>
      <c r="H910" t="str">
        <f t="shared" si="74"/>
        <v>Mini</v>
      </c>
      <c r="I910" t="str">
        <f t="shared" si="70"/>
        <v>Mini</v>
      </c>
      <c r="J910" s="1">
        <v>216.82</v>
      </c>
      <c r="K910">
        <f t="shared" si="71"/>
        <v>0</v>
      </c>
      <c r="L910">
        <f t="shared" si="72"/>
        <v>216.82</v>
      </c>
      <c r="M910" s="1">
        <f t="shared" si="73"/>
        <v>216.82</v>
      </c>
      <c r="N910" s="1" t="s">
        <v>13</v>
      </c>
      <c r="O910" s="1">
        <v>15</v>
      </c>
    </row>
    <row r="911" spans="4:15" x14ac:dyDescent="0.3">
      <c r="D911" s="1">
        <v>59395</v>
      </c>
      <c r="E911" s="2">
        <v>43577</v>
      </c>
      <c r="F911" s="1" t="s">
        <v>12</v>
      </c>
      <c r="G911" s="1">
        <v>20</v>
      </c>
      <c r="H911" t="str">
        <f t="shared" si="74"/>
        <v>Small-Medium</v>
      </c>
      <c r="I911" t="str">
        <f t="shared" si="70"/>
        <v>Small-Medium</v>
      </c>
      <c r="J911" s="1">
        <v>1030.73</v>
      </c>
      <c r="K911">
        <f t="shared" si="71"/>
        <v>0</v>
      </c>
      <c r="L911">
        <f t="shared" si="72"/>
        <v>1030.73</v>
      </c>
      <c r="M911" s="1">
        <f t="shared" si="73"/>
        <v>1030.73</v>
      </c>
      <c r="N911" s="1" t="s">
        <v>8</v>
      </c>
      <c r="O911" s="1">
        <v>7.7</v>
      </c>
    </row>
    <row r="912" spans="4:15" x14ac:dyDescent="0.3">
      <c r="D912" s="1">
        <v>43332</v>
      </c>
      <c r="E912" s="2">
        <v>43718</v>
      </c>
      <c r="F912" s="1" t="s">
        <v>9</v>
      </c>
      <c r="G912" s="1">
        <v>31</v>
      </c>
      <c r="H912" t="str">
        <f t="shared" si="74"/>
        <v>Large</v>
      </c>
      <c r="I912" t="str">
        <f t="shared" si="70"/>
        <v>Large</v>
      </c>
      <c r="J912" s="1">
        <v>1872.5</v>
      </c>
      <c r="K912">
        <f t="shared" si="71"/>
        <v>0</v>
      </c>
      <c r="L912">
        <f t="shared" si="72"/>
        <v>1872.5</v>
      </c>
      <c r="M912" s="1">
        <f t="shared" si="73"/>
        <v>1872.5</v>
      </c>
      <c r="N912" s="1" t="s">
        <v>8</v>
      </c>
      <c r="O912" s="1">
        <v>15.3</v>
      </c>
    </row>
    <row r="913" spans="4:15" x14ac:dyDescent="0.3">
      <c r="D913" s="1">
        <v>7783</v>
      </c>
      <c r="E913" s="2">
        <v>43476</v>
      </c>
      <c r="F913" s="1" t="s">
        <v>14</v>
      </c>
      <c r="G913" s="1">
        <v>3</v>
      </c>
      <c r="H913" t="str">
        <f t="shared" si="74"/>
        <v>Mini</v>
      </c>
      <c r="I913" t="str">
        <f t="shared" si="70"/>
        <v>Mini</v>
      </c>
      <c r="J913" s="1">
        <v>33.544499999999999</v>
      </c>
      <c r="K913">
        <f t="shared" si="71"/>
        <v>0</v>
      </c>
      <c r="L913">
        <f t="shared" si="72"/>
        <v>33.544499999999999</v>
      </c>
      <c r="M913" s="1">
        <f t="shared" si="73"/>
        <v>33.544499999999999</v>
      </c>
      <c r="N913" s="1" t="s">
        <v>10</v>
      </c>
      <c r="O913" s="1">
        <v>6</v>
      </c>
    </row>
    <row r="914" spans="4:15" x14ac:dyDescent="0.3">
      <c r="D914" s="1">
        <v>3907</v>
      </c>
      <c r="E914" s="2">
        <v>43695</v>
      </c>
      <c r="F914" s="1" t="s">
        <v>14</v>
      </c>
      <c r="G914" s="1">
        <v>36</v>
      </c>
      <c r="H914" t="str">
        <f t="shared" si="74"/>
        <v>Extra Large</v>
      </c>
      <c r="I914" t="str">
        <f t="shared" si="70"/>
        <v>Extra Large</v>
      </c>
      <c r="J914" s="1">
        <v>1159.01</v>
      </c>
      <c r="K914">
        <f t="shared" si="71"/>
        <v>0.01</v>
      </c>
      <c r="L914">
        <f t="shared" si="72"/>
        <v>1147.4198999999999</v>
      </c>
      <c r="M914" s="1">
        <f t="shared" si="73"/>
        <v>1153.1099999999999</v>
      </c>
      <c r="N914" s="1" t="s">
        <v>8</v>
      </c>
      <c r="O914" s="1">
        <v>5.9</v>
      </c>
    </row>
    <row r="915" spans="4:15" x14ac:dyDescent="0.3">
      <c r="D915" s="1">
        <v>33029</v>
      </c>
      <c r="E915" s="2">
        <v>43616</v>
      </c>
      <c r="F915" s="1" t="s">
        <v>9</v>
      </c>
      <c r="G915" s="1">
        <v>39</v>
      </c>
      <c r="H915" t="str">
        <f t="shared" si="74"/>
        <v>Extra Large</v>
      </c>
      <c r="I915" t="str">
        <f t="shared" si="70"/>
        <v>Extra Large</v>
      </c>
      <c r="J915" s="1">
        <v>17150.240000000002</v>
      </c>
      <c r="K915">
        <f t="shared" si="71"/>
        <v>0.01</v>
      </c>
      <c r="L915">
        <f t="shared" si="72"/>
        <v>16978.7376</v>
      </c>
      <c r="M915" s="1">
        <f t="shared" si="73"/>
        <v>17069.740000000002</v>
      </c>
      <c r="N915" s="1" t="s">
        <v>13</v>
      </c>
      <c r="O915" s="1">
        <v>80.5</v>
      </c>
    </row>
    <row r="916" spans="4:15" x14ac:dyDescent="0.3">
      <c r="D916" s="1">
        <v>16864</v>
      </c>
      <c r="E916" s="2">
        <v>43767</v>
      </c>
      <c r="F916" s="1" t="s">
        <v>11</v>
      </c>
      <c r="G916" s="1">
        <v>42</v>
      </c>
      <c r="H916" t="str">
        <f t="shared" si="74"/>
        <v>XX Large</v>
      </c>
      <c r="I916" t="str">
        <f t="shared" si="70"/>
        <v>XX Large</v>
      </c>
      <c r="J916" s="1">
        <v>13735.71</v>
      </c>
      <c r="K916">
        <f t="shared" si="71"/>
        <v>0.01</v>
      </c>
      <c r="L916">
        <f t="shared" si="72"/>
        <v>13598.3529</v>
      </c>
      <c r="M916" s="1">
        <f t="shared" si="73"/>
        <v>13689.109999999999</v>
      </c>
      <c r="N916" s="1" t="s">
        <v>13</v>
      </c>
      <c r="O916" s="1">
        <v>46.6</v>
      </c>
    </row>
    <row r="917" spans="4:15" x14ac:dyDescent="0.3">
      <c r="D917" s="1">
        <v>8677</v>
      </c>
      <c r="E917" s="2">
        <v>43745</v>
      </c>
      <c r="F917" s="1" t="s">
        <v>9</v>
      </c>
      <c r="G917" s="1">
        <v>38</v>
      </c>
      <c r="H917" t="str">
        <f t="shared" si="74"/>
        <v>Extra Large</v>
      </c>
      <c r="I917" t="str">
        <f t="shared" si="70"/>
        <v>Extra Large</v>
      </c>
      <c r="J917" s="1">
        <v>1723.51</v>
      </c>
      <c r="K917">
        <f t="shared" si="71"/>
        <v>0.01</v>
      </c>
      <c r="L917">
        <f t="shared" si="72"/>
        <v>1706.2748999999999</v>
      </c>
      <c r="M917" s="1">
        <f t="shared" si="73"/>
        <v>1706.01</v>
      </c>
      <c r="N917" s="1" t="s">
        <v>10</v>
      </c>
      <c r="O917" s="1">
        <v>17.5</v>
      </c>
    </row>
    <row r="918" spans="4:15" x14ac:dyDescent="0.3">
      <c r="D918" s="1">
        <v>24801</v>
      </c>
      <c r="E918" s="2">
        <v>43784</v>
      </c>
      <c r="F918" s="1" t="s">
        <v>9</v>
      </c>
      <c r="G918" s="1">
        <v>7</v>
      </c>
      <c r="H918" t="str">
        <f t="shared" si="74"/>
        <v>Extra Small</v>
      </c>
      <c r="I918" t="str">
        <f t="shared" si="70"/>
        <v>Extra Small</v>
      </c>
      <c r="J918" s="1">
        <v>733.7</v>
      </c>
      <c r="K918">
        <f t="shared" si="71"/>
        <v>0</v>
      </c>
      <c r="L918">
        <f t="shared" si="72"/>
        <v>733.7</v>
      </c>
      <c r="M918" s="1">
        <f t="shared" si="73"/>
        <v>733.7</v>
      </c>
      <c r="N918" s="1" t="s">
        <v>10</v>
      </c>
      <c r="O918" s="1">
        <v>22.2</v>
      </c>
    </row>
    <row r="919" spans="4:15" x14ac:dyDescent="0.3">
      <c r="D919" s="1">
        <v>29856</v>
      </c>
      <c r="E919" s="2">
        <v>43624</v>
      </c>
      <c r="F919" s="1" t="s">
        <v>14</v>
      </c>
      <c r="G919" s="1">
        <v>24</v>
      </c>
      <c r="H919" t="str">
        <f t="shared" si="74"/>
        <v>Medium</v>
      </c>
      <c r="I919" t="str">
        <f t="shared" si="70"/>
        <v>Medium</v>
      </c>
      <c r="J919" s="1">
        <v>123.63</v>
      </c>
      <c r="K919">
        <f t="shared" si="71"/>
        <v>0</v>
      </c>
      <c r="L919">
        <f t="shared" si="72"/>
        <v>123.63</v>
      </c>
      <c r="M919" s="1">
        <f t="shared" si="73"/>
        <v>123.63</v>
      </c>
      <c r="N919" s="1" t="s">
        <v>10</v>
      </c>
      <c r="O919" s="1">
        <v>0.9</v>
      </c>
    </row>
    <row r="920" spans="4:15" x14ac:dyDescent="0.3">
      <c r="D920" s="1">
        <v>3333</v>
      </c>
      <c r="E920" s="2">
        <v>43723</v>
      </c>
      <c r="F920" s="1" t="s">
        <v>11</v>
      </c>
      <c r="G920" s="1">
        <v>9</v>
      </c>
      <c r="H920" t="str">
        <f t="shared" si="74"/>
        <v>Extra Small</v>
      </c>
      <c r="I920" t="str">
        <f t="shared" si="70"/>
        <v>Extra Small</v>
      </c>
      <c r="J920" s="1">
        <v>63.18</v>
      </c>
      <c r="K920">
        <f t="shared" si="71"/>
        <v>0</v>
      </c>
      <c r="L920">
        <f t="shared" si="72"/>
        <v>63.18</v>
      </c>
      <c r="M920" s="1">
        <f t="shared" si="73"/>
        <v>63.18</v>
      </c>
      <c r="N920" s="1" t="s">
        <v>10</v>
      </c>
      <c r="O920" s="1">
        <v>5.8</v>
      </c>
    </row>
    <row r="921" spans="4:15" x14ac:dyDescent="0.3">
      <c r="D921" s="1">
        <v>49190</v>
      </c>
      <c r="E921" s="2">
        <v>43810</v>
      </c>
      <c r="F921" s="1" t="s">
        <v>9</v>
      </c>
      <c r="G921" s="1">
        <v>4</v>
      </c>
      <c r="H921" t="str">
        <f t="shared" si="74"/>
        <v>Mini</v>
      </c>
      <c r="I921" t="str">
        <f t="shared" si="70"/>
        <v>Mini</v>
      </c>
      <c r="J921" s="1">
        <v>30</v>
      </c>
      <c r="K921">
        <f t="shared" si="71"/>
        <v>0</v>
      </c>
      <c r="L921">
        <f t="shared" si="72"/>
        <v>30</v>
      </c>
      <c r="M921" s="1">
        <f t="shared" si="73"/>
        <v>30</v>
      </c>
      <c r="N921" s="1" t="s">
        <v>10</v>
      </c>
      <c r="O921" s="1">
        <v>2.1</v>
      </c>
    </row>
    <row r="922" spans="4:15" x14ac:dyDescent="0.3">
      <c r="D922" s="1">
        <v>21344</v>
      </c>
      <c r="E922" s="2">
        <v>43808</v>
      </c>
      <c r="F922" s="1" t="s">
        <v>7</v>
      </c>
      <c r="G922" s="1">
        <v>29</v>
      </c>
      <c r="H922" t="str">
        <f t="shared" si="74"/>
        <v>Medium-Large</v>
      </c>
      <c r="I922" t="str">
        <f t="shared" si="70"/>
        <v>Medium-Large</v>
      </c>
      <c r="J922" s="1">
        <v>628.29999999999995</v>
      </c>
      <c r="K922">
        <f t="shared" si="71"/>
        <v>0</v>
      </c>
      <c r="L922">
        <f t="shared" si="72"/>
        <v>628.29999999999995</v>
      </c>
      <c r="M922" s="1">
        <f t="shared" si="73"/>
        <v>628.29999999999995</v>
      </c>
      <c r="N922" s="1" t="s">
        <v>10</v>
      </c>
      <c r="O922" s="1">
        <v>2.1</v>
      </c>
    </row>
    <row r="923" spans="4:15" x14ac:dyDescent="0.3">
      <c r="D923" s="1">
        <v>55651</v>
      </c>
      <c r="E923" s="2">
        <v>43531</v>
      </c>
      <c r="F923" s="1" t="s">
        <v>14</v>
      </c>
      <c r="G923" s="1">
        <v>41</v>
      </c>
      <c r="H923" t="str">
        <f t="shared" si="74"/>
        <v>XX Large</v>
      </c>
      <c r="I923" t="str">
        <f t="shared" si="70"/>
        <v>XX Large</v>
      </c>
      <c r="J923" s="1">
        <v>888.67</v>
      </c>
      <c r="K923">
        <f t="shared" si="71"/>
        <v>0.01</v>
      </c>
      <c r="L923">
        <f t="shared" si="72"/>
        <v>879.78329999999994</v>
      </c>
      <c r="M923" s="1">
        <f t="shared" si="73"/>
        <v>879.06999999999994</v>
      </c>
      <c r="N923" s="1" t="s">
        <v>10</v>
      </c>
      <c r="O923" s="1">
        <v>9.6</v>
      </c>
    </row>
    <row r="924" spans="4:15" x14ac:dyDescent="0.3">
      <c r="D924" s="1">
        <v>50564</v>
      </c>
      <c r="E924" s="2">
        <v>43526</v>
      </c>
      <c r="F924" s="1" t="s">
        <v>9</v>
      </c>
      <c r="G924" s="1">
        <v>30</v>
      </c>
      <c r="H924" t="str">
        <f t="shared" si="74"/>
        <v>Medium-Large</v>
      </c>
      <c r="I924" t="str">
        <f t="shared" si="70"/>
        <v>Medium-Large</v>
      </c>
      <c r="J924" s="1">
        <v>11814.32</v>
      </c>
      <c r="K924">
        <f t="shared" si="71"/>
        <v>0</v>
      </c>
      <c r="L924">
        <f t="shared" si="72"/>
        <v>11814.32</v>
      </c>
      <c r="M924" s="1">
        <f t="shared" si="73"/>
        <v>11814.32</v>
      </c>
      <c r="N924" s="1" t="s">
        <v>10</v>
      </c>
      <c r="O924" s="1">
        <v>21.4</v>
      </c>
    </row>
    <row r="925" spans="4:15" x14ac:dyDescent="0.3">
      <c r="D925" s="1">
        <v>47456</v>
      </c>
      <c r="E925" s="2">
        <v>43616</v>
      </c>
      <c r="F925" s="1" t="s">
        <v>7</v>
      </c>
      <c r="G925" s="1">
        <v>43</v>
      </c>
      <c r="H925" t="str">
        <f t="shared" si="74"/>
        <v>XX Large</v>
      </c>
      <c r="I925" t="str">
        <f t="shared" si="70"/>
        <v>XX Large</v>
      </c>
      <c r="J925" s="1">
        <v>296.48</v>
      </c>
      <c r="K925">
        <f t="shared" si="71"/>
        <v>0.01</v>
      </c>
      <c r="L925">
        <f t="shared" si="72"/>
        <v>293.51519999999999</v>
      </c>
      <c r="M925" s="1">
        <f t="shared" si="73"/>
        <v>287.98</v>
      </c>
      <c r="N925" s="1" t="s">
        <v>10</v>
      </c>
      <c r="O925" s="1">
        <v>8.5</v>
      </c>
    </row>
    <row r="926" spans="4:15" x14ac:dyDescent="0.3">
      <c r="D926" s="1">
        <v>29985</v>
      </c>
      <c r="E926" s="2">
        <v>43657</v>
      </c>
      <c r="F926" s="1" t="s">
        <v>12</v>
      </c>
      <c r="G926" s="1">
        <v>22</v>
      </c>
      <c r="H926" t="str">
        <f t="shared" si="74"/>
        <v>Medium</v>
      </c>
      <c r="I926" t="str">
        <f t="shared" si="70"/>
        <v>Medium</v>
      </c>
      <c r="J926" s="1">
        <v>210.52250000000001</v>
      </c>
      <c r="K926">
        <f t="shared" si="71"/>
        <v>0</v>
      </c>
      <c r="L926">
        <f t="shared" si="72"/>
        <v>210.52250000000001</v>
      </c>
      <c r="M926" s="1">
        <f t="shared" si="73"/>
        <v>210.52250000000001</v>
      </c>
      <c r="N926" s="1" t="s">
        <v>8</v>
      </c>
      <c r="O926" s="1">
        <v>5.3</v>
      </c>
    </row>
    <row r="927" spans="4:15" x14ac:dyDescent="0.3">
      <c r="D927" s="1">
        <v>38690</v>
      </c>
      <c r="E927" s="2">
        <v>43484</v>
      </c>
      <c r="F927" s="1" t="s">
        <v>7</v>
      </c>
      <c r="G927" s="1">
        <v>28</v>
      </c>
      <c r="H927" t="str">
        <f t="shared" si="74"/>
        <v>Medium-Large</v>
      </c>
      <c r="I927" t="str">
        <f t="shared" si="70"/>
        <v>Medium-Large</v>
      </c>
      <c r="J927" s="1">
        <v>746.33</v>
      </c>
      <c r="K927">
        <f t="shared" si="71"/>
        <v>0</v>
      </c>
      <c r="L927">
        <f t="shared" si="72"/>
        <v>746.33</v>
      </c>
      <c r="M927" s="1">
        <f t="shared" si="73"/>
        <v>746.33</v>
      </c>
      <c r="N927" s="1" t="s">
        <v>10</v>
      </c>
      <c r="O927" s="1">
        <v>6.7</v>
      </c>
    </row>
    <row r="928" spans="4:15" x14ac:dyDescent="0.3">
      <c r="D928" s="1">
        <v>11650</v>
      </c>
      <c r="E928" s="2">
        <v>43732</v>
      </c>
      <c r="F928" s="1" t="s">
        <v>11</v>
      </c>
      <c r="G928" s="1">
        <v>26</v>
      </c>
      <c r="H928" t="str">
        <f t="shared" si="74"/>
        <v>Medium-Large</v>
      </c>
      <c r="I928" t="str">
        <f t="shared" si="70"/>
        <v>Medium-Large</v>
      </c>
      <c r="J928" s="1">
        <v>1166.73</v>
      </c>
      <c r="K928">
        <f t="shared" si="71"/>
        <v>0</v>
      </c>
      <c r="L928">
        <f t="shared" si="72"/>
        <v>1166.73</v>
      </c>
      <c r="M928" s="1">
        <f t="shared" si="73"/>
        <v>1166.73</v>
      </c>
      <c r="N928" s="1" t="s">
        <v>10</v>
      </c>
      <c r="O928" s="1">
        <v>9.6</v>
      </c>
    </row>
    <row r="929" spans="4:15" x14ac:dyDescent="0.3">
      <c r="D929" s="1">
        <v>384</v>
      </c>
      <c r="E929" s="2">
        <v>43526</v>
      </c>
      <c r="F929" s="1" t="s">
        <v>7</v>
      </c>
      <c r="G929" s="1">
        <v>50</v>
      </c>
      <c r="H929" t="str">
        <f t="shared" si="74"/>
        <v>XXX Large</v>
      </c>
      <c r="I929" t="str">
        <f t="shared" si="70"/>
        <v>XXX Large</v>
      </c>
      <c r="J929" s="1">
        <v>8202.6628000000001</v>
      </c>
      <c r="K929">
        <f t="shared" si="71"/>
        <v>0.01</v>
      </c>
      <c r="L929">
        <f t="shared" si="72"/>
        <v>8120.6361720000004</v>
      </c>
      <c r="M929" s="1">
        <f t="shared" si="73"/>
        <v>8116.8627999999999</v>
      </c>
      <c r="N929" s="1" t="s">
        <v>13</v>
      </c>
      <c r="O929" s="1">
        <v>85.8</v>
      </c>
    </row>
    <row r="930" spans="4:15" x14ac:dyDescent="0.3">
      <c r="D930" s="1">
        <v>19332</v>
      </c>
      <c r="E930" s="2">
        <v>43522</v>
      </c>
      <c r="F930" s="1" t="s">
        <v>9</v>
      </c>
      <c r="G930" s="1">
        <v>46</v>
      </c>
      <c r="H930" t="str">
        <f t="shared" si="74"/>
        <v>XXX Large</v>
      </c>
      <c r="I930" t="str">
        <f t="shared" si="70"/>
        <v>XXX Large</v>
      </c>
      <c r="J930" s="1">
        <v>8824.14</v>
      </c>
      <c r="K930">
        <f t="shared" si="71"/>
        <v>0.01</v>
      </c>
      <c r="L930">
        <f t="shared" si="72"/>
        <v>8735.8985999999986</v>
      </c>
      <c r="M930" s="1">
        <f t="shared" si="73"/>
        <v>8792.84</v>
      </c>
      <c r="N930" s="1" t="s">
        <v>13</v>
      </c>
      <c r="O930" s="1">
        <v>31.3</v>
      </c>
    </row>
    <row r="931" spans="4:15" x14ac:dyDescent="0.3">
      <c r="D931" s="1">
        <v>41760</v>
      </c>
      <c r="E931" s="2">
        <v>43491</v>
      </c>
      <c r="F931" s="1" t="s">
        <v>7</v>
      </c>
      <c r="G931" s="1">
        <v>40</v>
      </c>
      <c r="H931" t="str">
        <f t="shared" si="74"/>
        <v>Extra Large</v>
      </c>
      <c r="I931" t="str">
        <f t="shared" si="70"/>
        <v>Extra Large</v>
      </c>
      <c r="J931" s="1">
        <v>3458.38</v>
      </c>
      <c r="K931">
        <f t="shared" si="71"/>
        <v>0.01</v>
      </c>
      <c r="L931">
        <f t="shared" si="72"/>
        <v>3423.7962000000002</v>
      </c>
      <c r="M931" s="1">
        <f t="shared" si="73"/>
        <v>3448.78</v>
      </c>
      <c r="N931" s="1" t="s">
        <v>10</v>
      </c>
      <c r="O931" s="1">
        <v>9.6</v>
      </c>
    </row>
    <row r="932" spans="4:15" x14ac:dyDescent="0.3">
      <c r="D932" s="1">
        <v>9350</v>
      </c>
      <c r="E932" s="2">
        <v>43769</v>
      </c>
      <c r="F932" s="1" t="s">
        <v>12</v>
      </c>
      <c r="G932" s="1">
        <v>2</v>
      </c>
      <c r="H932" t="str">
        <f t="shared" si="74"/>
        <v>Mini</v>
      </c>
      <c r="I932" t="str">
        <f t="shared" si="70"/>
        <v>Mini</v>
      </c>
      <c r="J932" s="1">
        <v>361.23</v>
      </c>
      <c r="K932">
        <f t="shared" si="71"/>
        <v>0</v>
      </c>
      <c r="L932">
        <f t="shared" si="72"/>
        <v>361.23</v>
      </c>
      <c r="M932" s="1">
        <f t="shared" si="73"/>
        <v>361.23</v>
      </c>
      <c r="N932" s="1" t="s">
        <v>10</v>
      </c>
      <c r="O932" s="1">
        <v>21.4</v>
      </c>
    </row>
    <row r="933" spans="4:15" x14ac:dyDescent="0.3">
      <c r="D933" s="1">
        <v>33445</v>
      </c>
      <c r="E933" s="2">
        <v>43679</v>
      </c>
      <c r="F933" s="1" t="s">
        <v>7</v>
      </c>
      <c r="G933" s="1">
        <v>16</v>
      </c>
      <c r="H933" t="str">
        <f t="shared" si="74"/>
        <v>Small-Medium</v>
      </c>
      <c r="I933" t="str">
        <f t="shared" si="70"/>
        <v>Small-Medium</v>
      </c>
      <c r="J933" s="1">
        <v>3191.28</v>
      </c>
      <c r="K933">
        <f t="shared" si="71"/>
        <v>0</v>
      </c>
      <c r="L933">
        <f t="shared" si="72"/>
        <v>3191.28</v>
      </c>
      <c r="M933" s="1">
        <f t="shared" si="73"/>
        <v>3191.28</v>
      </c>
      <c r="N933" s="1" t="s">
        <v>10</v>
      </c>
      <c r="O933" s="1">
        <v>73.8</v>
      </c>
    </row>
    <row r="934" spans="4:15" x14ac:dyDescent="0.3">
      <c r="D934" s="1">
        <v>43109</v>
      </c>
      <c r="E934" s="2">
        <v>43820</v>
      </c>
      <c r="F934" s="1" t="s">
        <v>12</v>
      </c>
      <c r="G934" s="1">
        <v>25</v>
      </c>
      <c r="H934" t="str">
        <f t="shared" si="74"/>
        <v>Medium</v>
      </c>
      <c r="I934" t="str">
        <f t="shared" si="70"/>
        <v>Medium</v>
      </c>
      <c r="J934" s="1">
        <v>545.18640000000005</v>
      </c>
      <c r="K934">
        <f t="shared" si="71"/>
        <v>0</v>
      </c>
      <c r="L934">
        <f t="shared" si="72"/>
        <v>545.18640000000005</v>
      </c>
      <c r="M934" s="1">
        <f t="shared" si="73"/>
        <v>545.18640000000005</v>
      </c>
      <c r="N934" s="1" t="s">
        <v>10</v>
      </c>
      <c r="O934" s="1">
        <v>7</v>
      </c>
    </row>
    <row r="935" spans="4:15" x14ac:dyDescent="0.3">
      <c r="D935" s="1">
        <v>30401</v>
      </c>
      <c r="E935" s="2">
        <v>43756</v>
      </c>
      <c r="F935" s="1" t="s">
        <v>14</v>
      </c>
      <c r="G935" s="1">
        <v>39</v>
      </c>
      <c r="H935" t="str">
        <f t="shared" si="74"/>
        <v>Extra Large</v>
      </c>
      <c r="I935" t="str">
        <f t="shared" si="70"/>
        <v>Extra Large</v>
      </c>
      <c r="J935" s="1">
        <v>256.16000000000003</v>
      </c>
      <c r="K935">
        <f t="shared" si="71"/>
        <v>0.01</v>
      </c>
      <c r="L935">
        <f t="shared" si="72"/>
        <v>253.59840000000003</v>
      </c>
      <c r="M935" s="1">
        <f t="shared" si="73"/>
        <v>250.66000000000003</v>
      </c>
      <c r="N935" s="1" t="s">
        <v>10</v>
      </c>
      <c r="O935" s="1">
        <v>5.5</v>
      </c>
    </row>
    <row r="936" spans="4:15" x14ac:dyDescent="0.3">
      <c r="D936" s="1">
        <v>20003</v>
      </c>
      <c r="E936" s="2">
        <v>43494</v>
      </c>
      <c r="F936" s="1" t="s">
        <v>14</v>
      </c>
      <c r="G936" s="1">
        <v>39</v>
      </c>
      <c r="H936" t="str">
        <f t="shared" si="74"/>
        <v>Extra Large</v>
      </c>
      <c r="I936" t="str">
        <f t="shared" si="70"/>
        <v>Extra Large</v>
      </c>
      <c r="J936" s="1">
        <v>851.80560000000003</v>
      </c>
      <c r="K936">
        <f t="shared" si="71"/>
        <v>0.01</v>
      </c>
      <c r="L936">
        <f t="shared" si="72"/>
        <v>843.28754400000003</v>
      </c>
      <c r="M936" s="1">
        <f t="shared" si="73"/>
        <v>847.50560000000007</v>
      </c>
      <c r="N936" s="1" t="s">
        <v>10</v>
      </c>
      <c r="O936" s="1">
        <v>4.3</v>
      </c>
    </row>
    <row r="937" spans="4:15" x14ac:dyDescent="0.3">
      <c r="D937" s="1">
        <v>19361</v>
      </c>
      <c r="E937" s="2">
        <v>43731</v>
      </c>
      <c r="F937" s="1" t="s">
        <v>7</v>
      </c>
      <c r="G937" s="1">
        <v>21</v>
      </c>
      <c r="H937" t="str">
        <f t="shared" si="74"/>
        <v>Medium</v>
      </c>
      <c r="I937" t="str">
        <f t="shared" si="70"/>
        <v>Medium</v>
      </c>
      <c r="J937" s="1">
        <v>573.05999999999995</v>
      </c>
      <c r="K937">
        <f t="shared" si="71"/>
        <v>0</v>
      </c>
      <c r="L937">
        <f t="shared" si="72"/>
        <v>573.05999999999995</v>
      </c>
      <c r="M937" s="1">
        <f t="shared" si="73"/>
        <v>573.05999999999995</v>
      </c>
      <c r="N937" s="1" t="s">
        <v>10</v>
      </c>
      <c r="O937" s="1">
        <v>9.6</v>
      </c>
    </row>
    <row r="938" spans="4:15" x14ac:dyDescent="0.3">
      <c r="D938" s="1">
        <v>31173</v>
      </c>
      <c r="E938" s="2">
        <v>43695</v>
      </c>
      <c r="F938" s="1" t="s">
        <v>7</v>
      </c>
      <c r="G938" s="1">
        <v>24</v>
      </c>
      <c r="H938" t="str">
        <f t="shared" si="74"/>
        <v>Medium</v>
      </c>
      <c r="I938" t="str">
        <f t="shared" si="70"/>
        <v>Medium</v>
      </c>
      <c r="J938" s="1">
        <v>181.21</v>
      </c>
      <c r="K938">
        <f t="shared" si="71"/>
        <v>0</v>
      </c>
      <c r="L938">
        <f t="shared" si="72"/>
        <v>181.21</v>
      </c>
      <c r="M938" s="1">
        <f t="shared" si="73"/>
        <v>181.21</v>
      </c>
      <c r="N938" s="1" t="s">
        <v>8</v>
      </c>
      <c r="O938" s="1">
        <v>5.4</v>
      </c>
    </row>
    <row r="939" spans="4:15" x14ac:dyDescent="0.3">
      <c r="D939" s="1">
        <v>46243</v>
      </c>
      <c r="E939" s="2">
        <v>43488</v>
      </c>
      <c r="F939" s="1" t="s">
        <v>7</v>
      </c>
      <c r="G939" s="1">
        <v>31</v>
      </c>
      <c r="H939" t="str">
        <f t="shared" si="74"/>
        <v>Large</v>
      </c>
      <c r="I939" t="str">
        <f t="shared" si="70"/>
        <v>Large</v>
      </c>
      <c r="J939" s="1">
        <v>657.35</v>
      </c>
      <c r="K939">
        <f t="shared" si="71"/>
        <v>0</v>
      </c>
      <c r="L939">
        <f t="shared" si="72"/>
        <v>657.35</v>
      </c>
      <c r="M939" s="1">
        <f t="shared" si="73"/>
        <v>657.35</v>
      </c>
      <c r="N939" s="1" t="s">
        <v>8</v>
      </c>
      <c r="O939" s="1">
        <v>9.6999999999999993</v>
      </c>
    </row>
    <row r="940" spans="4:15" x14ac:dyDescent="0.3">
      <c r="D940" s="1">
        <v>58278</v>
      </c>
      <c r="E940" s="2">
        <v>43718</v>
      </c>
      <c r="F940" s="1" t="s">
        <v>9</v>
      </c>
      <c r="G940" s="1">
        <v>4</v>
      </c>
      <c r="H940" t="str">
        <f t="shared" si="74"/>
        <v>Mini</v>
      </c>
      <c r="I940" t="str">
        <f t="shared" si="70"/>
        <v>Mini</v>
      </c>
      <c r="J940" s="1">
        <v>301.25</v>
      </c>
      <c r="K940">
        <f t="shared" si="71"/>
        <v>0</v>
      </c>
      <c r="L940">
        <f t="shared" si="72"/>
        <v>301.25</v>
      </c>
      <c r="M940" s="1">
        <f t="shared" si="73"/>
        <v>301.25</v>
      </c>
      <c r="N940" s="1" t="s">
        <v>10</v>
      </c>
      <c r="O940" s="1">
        <v>1.1000000000000001</v>
      </c>
    </row>
    <row r="941" spans="4:15" x14ac:dyDescent="0.3">
      <c r="D941" s="1">
        <v>2500</v>
      </c>
      <c r="E941" s="2">
        <v>43691</v>
      </c>
      <c r="F941" s="1" t="s">
        <v>9</v>
      </c>
      <c r="G941" s="1">
        <v>5</v>
      </c>
      <c r="H941" t="str">
        <f t="shared" si="74"/>
        <v>Mini</v>
      </c>
      <c r="I941" t="str">
        <f t="shared" si="70"/>
        <v>Mini</v>
      </c>
      <c r="J941" s="1">
        <v>24.14</v>
      </c>
      <c r="K941">
        <f t="shared" si="71"/>
        <v>0</v>
      </c>
      <c r="L941">
        <f t="shared" si="72"/>
        <v>24.14</v>
      </c>
      <c r="M941" s="1">
        <f t="shared" si="73"/>
        <v>24.14</v>
      </c>
      <c r="N941" s="1" t="s">
        <v>10</v>
      </c>
      <c r="O941" s="1">
        <v>6.7</v>
      </c>
    </row>
    <row r="942" spans="4:15" x14ac:dyDescent="0.3">
      <c r="D942" s="1">
        <v>4741</v>
      </c>
      <c r="E942" s="2">
        <v>43652</v>
      </c>
      <c r="F942" s="1" t="s">
        <v>11</v>
      </c>
      <c r="G942" s="1">
        <v>40</v>
      </c>
      <c r="H942" t="str">
        <f t="shared" si="74"/>
        <v>Extra Large</v>
      </c>
      <c r="I942" t="str">
        <f t="shared" si="70"/>
        <v>Extra Large</v>
      </c>
      <c r="J942" s="1">
        <v>366.98</v>
      </c>
      <c r="K942">
        <f t="shared" si="71"/>
        <v>0.01</v>
      </c>
      <c r="L942">
        <f t="shared" si="72"/>
        <v>363.31020000000001</v>
      </c>
      <c r="M942" s="1">
        <f t="shared" si="73"/>
        <v>357.88</v>
      </c>
      <c r="N942" s="1" t="s">
        <v>10</v>
      </c>
      <c r="O942" s="1">
        <v>9.1</v>
      </c>
    </row>
    <row r="943" spans="4:15" x14ac:dyDescent="0.3">
      <c r="D943" s="1">
        <v>23297</v>
      </c>
      <c r="E943" s="2">
        <v>43648</v>
      </c>
      <c r="F943" s="1" t="s">
        <v>12</v>
      </c>
      <c r="G943" s="1">
        <v>20</v>
      </c>
      <c r="H943" t="str">
        <f t="shared" si="74"/>
        <v>Small-Medium</v>
      </c>
      <c r="I943" t="str">
        <f t="shared" si="70"/>
        <v>Small-Medium</v>
      </c>
      <c r="J943" s="1">
        <v>533.59</v>
      </c>
      <c r="K943">
        <f t="shared" si="71"/>
        <v>0</v>
      </c>
      <c r="L943">
        <f t="shared" si="72"/>
        <v>533.59</v>
      </c>
      <c r="M943" s="1">
        <f t="shared" si="73"/>
        <v>533.59</v>
      </c>
      <c r="N943" s="1" t="s">
        <v>10</v>
      </c>
      <c r="O943" s="1">
        <v>5.7</v>
      </c>
    </row>
    <row r="944" spans="4:15" x14ac:dyDescent="0.3">
      <c r="D944" s="1">
        <v>9253</v>
      </c>
      <c r="E944" s="2">
        <v>43494</v>
      </c>
      <c r="F944" s="1" t="s">
        <v>12</v>
      </c>
      <c r="G944" s="1">
        <v>36</v>
      </c>
      <c r="H944" t="str">
        <f t="shared" si="74"/>
        <v>Extra Large</v>
      </c>
      <c r="I944" t="str">
        <f t="shared" si="70"/>
        <v>Extra Large</v>
      </c>
      <c r="J944" s="1">
        <v>1759.3154</v>
      </c>
      <c r="K944">
        <f t="shared" si="71"/>
        <v>0.01</v>
      </c>
      <c r="L944">
        <f t="shared" si="72"/>
        <v>1741.722246</v>
      </c>
      <c r="M944" s="1">
        <f t="shared" si="73"/>
        <v>1752.1153999999999</v>
      </c>
      <c r="N944" s="1" t="s">
        <v>10</v>
      </c>
      <c r="O944" s="1">
        <v>7.2</v>
      </c>
    </row>
    <row r="945" spans="4:15" x14ac:dyDescent="0.3">
      <c r="D945" s="1">
        <v>19074</v>
      </c>
      <c r="E945" s="2">
        <v>43641</v>
      </c>
      <c r="F945" s="1" t="s">
        <v>12</v>
      </c>
      <c r="G945" s="1">
        <v>17</v>
      </c>
      <c r="H945" t="str">
        <f t="shared" si="74"/>
        <v>Small-Medium</v>
      </c>
      <c r="I945" t="str">
        <f t="shared" si="70"/>
        <v>Small-Medium</v>
      </c>
      <c r="J945" s="1">
        <v>4083.75</v>
      </c>
      <c r="K945">
        <f t="shared" si="71"/>
        <v>0</v>
      </c>
      <c r="L945">
        <f t="shared" si="72"/>
        <v>4083.75</v>
      </c>
      <c r="M945" s="1">
        <f t="shared" si="73"/>
        <v>4083.75</v>
      </c>
      <c r="N945" s="1" t="s">
        <v>13</v>
      </c>
      <c r="O945" s="1">
        <v>72.8</v>
      </c>
    </row>
    <row r="946" spans="4:15" x14ac:dyDescent="0.3">
      <c r="D946" s="1">
        <v>44737</v>
      </c>
      <c r="E946" s="2">
        <v>43788</v>
      </c>
      <c r="F946" s="1" t="s">
        <v>14</v>
      </c>
      <c r="G946" s="1">
        <v>11</v>
      </c>
      <c r="H946" t="str">
        <f t="shared" si="74"/>
        <v>Small</v>
      </c>
      <c r="I946" t="str">
        <f t="shared" si="70"/>
        <v>Small</v>
      </c>
      <c r="J946" s="1">
        <v>827.9</v>
      </c>
      <c r="K946">
        <f t="shared" si="71"/>
        <v>0</v>
      </c>
      <c r="L946">
        <f t="shared" si="72"/>
        <v>827.9</v>
      </c>
      <c r="M946" s="1">
        <f t="shared" si="73"/>
        <v>827.9</v>
      </c>
      <c r="N946" s="1" t="s">
        <v>10</v>
      </c>
      <c r="O946" s="1">
        <v>37.5</v>
      </c>
    </row>
    <row r="947" spans="4:15" x14ac:dyDescent="0.3">
      <c r="D947" s="1">
        <v>2497</v>
      </c>
      <c r="E947" s="2">
        <v>43703</v>
      </c>
      <c r="F947" s="1" t="s">
        <v>12</v>
      </c>
      <c r="G947" s="1">
        <v>21</v>
      </c>
      <c r="H947" t="str">
        <f t="shared" si="74"/>
        <v>Medium</v>
      </c>
      <c r="I947" t="str">
        <f t="shared" si="70"/>
        <v>Medium</v>
      </c>
      <c r="J947" s="1">
        <v>3883.16</v>
      </c>
      <c r="K947">
        <f t="shared" si="71"/>
        <v>0</v>
      </c>
      <c r="L947">
        <f t="shared" si="72"/>
        <v>3883.16</v>
      </c>
      <c r="M947" s="1">
        <f t="shared" si="73"/>
        <v>3883.16</v>
      </c>
      <c r="N947" s="1" t="s">
        <v>10</v>
      </c>
      <c r="O947" s="1">
        <v>5.6</v>
      </c>
    </row>
    <row r="948" spans="4:15" x14ac:dyDescent="0.3">
      <c r="D948" s="1">
        <v>29216</v>
      </c>
      <c r="E948" s="2">
        <v>43828</v>
      </c>
      <c r="F948" s="1" t="s">
        <v>12</v>
      </c>
      <c r="G948" s="1">
        <v>17</v>
      </c>
      <c r="H948" t="str">
        <f t="shared" si="74"/>
        <v>Small-Medium</v>
      </c>
      <c r="I948" t="str">
        <f t="shared" si="70"/>
        <v>Small-Medium</v>
      </c>
      <c r="J948" s="1">
        <v>3970.81</v>
      </c>
      <c r="K948">
        <f t="shared" si="71"/>
        <v>0</v>
      </c>
      <c r="L948">
        <f t="shared" si="72"/>
        <v>3970.81</v>
      </c>
      <c r="M948" s="1">
        <f t="shared" si="73"/>
        <v>3970.81</v>
      </c>
      <c r="N948" s="1" t="s">
        <v>13</v>
      </c>
      <c r="O948" s="1">
        <v>74.5</v>
      </c>
    </row>
    <row r="949" spans="4:15" x14ac:dyDescent="0.3">
      <c r="D949" s="1">
        <v>25797</v>
      </c>
      <c r="E949" s="2">
        <v>43709</v>
      </c>
      <c r="F949" s="1" t="s">
        <v>11</v>
      </c>
      <c r="G949" s="1">
        <v>28</v>
      </c>
      <c r="H949" t="str">
        <f t="shared" si="74"/>
        <v>Medium-Large</v>
      </c>
      <c r="I949" t="str">
        <f t="shared" si="70"/>
        <v>Medium-Large</v>
      </c>
      <c r="J949" s="1">
        <v>990.21</v>
      </c>
      <c r="K949">
        <f t="shared" si="71"/>
        <v>0</v>
      </c>
      <c r="L949">
        <f t="shared" si="72"/>
        <v>990.21</v>
      </c>
      <c r="M949" s="1">
        <f t="shared" si="73"/>
        <v>990.21</v>
      </c>
      <c r="N949" s="1" t="s">
        <v>10</v>
      </c>
      <c r="O949" s="1">
        <v>2.1</v>
      </c>
    </row>
    <row r="950" spans="4:15" x14ac:dyDescent="0.3">
      <c r="D950" s="1">
        <v>59685</v>
      </c>
      <c r="E950" s="2">
        <v>43809</v>
      </c>
      <c r="F950" s="1" t="s">
        <v>12</v>
      </c>
      <c r="G950" s="1">
        <v>46</v>
      </c>
      <c r="H950" t="str">
        <f t="shared" si="74"/>
        <v>XXX Large</v>
      </c>
      <c r="I950" t="str">
        <f t="shared" si="70"/>
        <v>XXX Large</v>
      </c>
      <c r="J950" s="1">
        <v>602.30999999999995</v>
      </c>
      <c r="K950">
        <f t="shared" si="71"/>
        <v>0.01</v>
      </c>
      <c r="L950">
        <f t="shared" si="72"/>
        <v>596.28689999999995</v>
      </c>
      <c r="M950" s="1">
        <f t="shared" si="73"/>
        <v>586.91</v>
      </c>
      <c r="N950" s="1" t="s">
        <v>10</v>
      </c>
      <c r="O950" s="1">
        <v>15.4</v>
      </c>
    </row>
    <row r="951" spans="4:15" x14ac:dyDescent="0.3">
      <c r="D951" s="1">
        <v>32966</v>
      </c>
      <c r="E951" s="2">
        <v>43490</v>
      </c>
      <c r="F951" s="1" t="s">
        <v>7</v>
      </c>
      <c r="G951" s="1">
        <v>43</v>
      </c>
      <c r="H951" t="str">
        <f t="shared" si="74"/>
        <v>XX Large</v>
      </c>
      <c r="I951" t="str">
        <f t="shared" si="70"/>
        <v>XX Large</v>
      </c>
      <c r="J951" s="1">
        <v>79.36</v>
      </c>
      <c r="K951">
        <f t="shared" si="71"/>
        <v>0.01</v>
      </c>
      <c r="L951">
        <f t="shared" si="72"/>
        <v>78.566400000000002</v>
      </c>
      <c r="M951" s="1">
        <f t="shared" si="73"/>
        <v>77.959999999999994</v>
      </c>
      <c r="N951" s="1" t="s">
        <v>10</v>
      </c>
      <c r="O951" s="1">
        <v>1.4</v>
      </c>
    </row>
    <row r="952" spans="4:15" x14ac:dyDescent="0.3">
      <c r="D952" s="1">
        <v>21607</v>
      </c>
      <c r="E952" s="2">
        <v>43539</v>
      </c>
      <c r="F952" s="1" t="s">
        <v>11</v>
      </c>
      <c r="G952" s="1">
        <v>17</v>
      </c>
      <c r="H952" t="str">
        <f t="shared" si="74"/>
        <v>Small-Medium</v>
      </c>
      <c r="I952" t="str">
        <f t="shared" si="70"/>
        <v>Small-Medium</v>
      </c>
      <c r="J952" s="1">
        <v>662.22</v>
      </c>
      <c r="K952">
        <f t="shared" si="71"/>
        <v>0</v>
      </c>
      <c r="L952">
        <f t="shared" si="72"/>
        <v>662.22</v>
      </c>
      <c r="M952" s="1">
        <f t="shared" si="73"/>
        <v>662.22</v>
      </c>
      <c r="N952" s="1" t="s">
        <v>10</v>
      </c>
      <c r="O952" s="1">
        <v>14.9</v>
      </c>
    </row>
    <row r="953" spans="4:15" x14ac:dyDescent="0.3">
      <c r="D953" s="1">
        <v>33606</v>
      </c>
      <c r="E953" s="2">
        <v>43525</v>
      </c>
      <c r="F953" s="1" t="s">
        <v>9</v>
      </c>
      <c r="G953" s="1">
        <v>46</v>
      </c>
      <c r="H953" t="str">
        <f t="shared" si="74"/>
        <v>XXX Large</v>
      </c>
      <c r="I953" t="str">
        <f t="shared" si="70"/>
        <v>XXX Large</v>
      </c>
      <c r="J953" s="1">
        <v>438.7321</v>
      </c>
      <c r="K953">
        <f t="shared" si="71"/>
        <v>0.01</v>
      </c>
      <c r="L953">
        <f t="shared" si="72"/>
        <v>434.34477900000002</v>
      </c>
      <c r="M953" s="1">
        <f t="shared" si="73"/>
        <v>429.63209999999998</v>
      </c>
      <c r="N953" s="1" t="s">
        <v>10</v>
      </c>
      <c r="O953" s="1">
        <v>9.1</v>
      </c>
    </row>
    <row r="954" spans="4:15" x14ac:dyDescent="0.3">
      <c r="D954" s="1">
        <v>52039</v>
      </c>
      <c r="E954" s="2">
        <v>43679</v>
      </c>
      <c r="F954" s="1" t="s">
        <v>12</v>
      </c>
      <c r="G954" s="1">
        <v>48</v>
      </c>
      <c r="H954" t="str">
        <f t="shared" si="74"/>
        <v>XXX Large</v>
      </c>
      <c r="I954" t="str">
        <f t="shared" si="70"/>
        <v>XXX Large</v>
      </c>
      <c r="J954" s="1">
        <v>2146.83</v>
      </c>
      <c r="K954">
        <f t="shared" si="71"/>
        <v>0.01</v>
      </c>
      <c r="L954">
        <f t="shared" si="72"/>
        <v>2125.3616999999999</v>
      </c>
      <c r="M954" s="1">
        <f t="shared" si="73"/>
        <v>2144.73</v>
      </c>
      <c r="N954" s="1" t="s">
        <v>10</v>
      </c>
      <c r="O954" s="1">
        <v>2.1</v>
      </c>
    </row>
    <row r="955" spans="4:15" x14ac:dyDescent="0.3">
      <c r="D955" s="1">
        <v>4099</v>
      </c>
      <c r="E955" s="2">
        <v>43697</v>
      </c>
      <c r="F955" s="1" t="s">
        <v>12</v>
      </c>
      <c r="G955" s="1">
        <v>4</v>
      </c>
      <c r="H955" t="str">
        <f t="shared" si="74"/>
        <v>Mini</v>
      </c>
      <c r="I955" t="str">
        <f t="shared" si="70"/>
        <v>Mini</v>
      </c>
      <c r="J955" s="1">
        <v>51.21</v>
      </c>
      <c r="K955">
        <f t="shared" si="71"/>
        <v>0</v>
      </c>
      <c r="L955">
        <f t="shared" si="72"/>
        <v>51.21</v>
      </c>
      <c r="M955" s="1">
        <f t="shared" si="73"/>
        <v>51.21</v>
      </c>
      <c r="N955" s="1" t="s">
        <v>10</v>
      </c>
      <c r="O955" s="1">
        <v>7.8</v>
      </c>
    </row>
    <row r="956" spans="4:15" x14ac:dyDescent="0.3">
      <c r="D956" s="1">
        <v>17507</v>
      </c>
      <c r="E956" s="2">
        <v>43628</v>
      </c>
      <c r="F956" s="1" t="s">
        <v>14</v>
      </c>
      <c r="G956" s="1">
        <v>27</v>
      </c>
      <c r="H956" t="str">
        <f t="shared" si="74"/>
        <v>Medium-Large</v>
      </c>
      <c r="I956" t="str">
        <f t="shared" si="70"/>
        <v>Medium-Large</v>
      </c>
      <c r="J956" s="1">
        <v>427.74</v>
      </c>
      <c r="K956">
        <f t="shared" si="71"/>
        <v>0</v>
      </c>
      <c r="L956">
        <f t="shared" si="72"/>
        <v>427.74</v>
      </c>
      <c r="M956" s="1">
        <f t="shared" si="73"/>
        <v>427.74</v>
      </c>
      <c r="N956" s="1" t="s">
        <v>10</v>
      </c>
      <c r="O956" s="1">
        <v>3.7</v>
      </c>
    </row>
    <row r="957" spans="4:15" x14ac:dyDescent="0.3">
      <c r="D957" s="1">
        <v>43488</v>
      </c>
      <c r="E957" s="2">
        <v>43634</v>
      </c>
      <c r="F957" s="1" t="s">
        <v>12</v>
      </c>
      <c r="G957" s="1">
        <v>13</v>
      </c>
      <c r="H957" t="str">
        <f t="shared" si="74"/>
        <v>Small</v>
      </c>
      <c r="I957" t="str">
        <f t="shared" si="70"/>
        <v>Small</v>
      </c>
      <c r="J957" s="1">
        <v>205.91</v>
      </c>
      <c r="K957">
        <f t="shared" si="71"/>
        <v>0</v>
      </c>
      <c r="L957">
        <f t="shared" si="72"/>
        <v>205.91</v>
      </c>
      <c r="M957" s="1">
        <f t="shared" si="73"/>
        <v>205.91</v>
      </c>
      <c r="N957" s="1" t="s">
        <v>10</v>
      </c>
      <c r="O957" s="1">
        <v>6.9</v>
      </c>
    </row>
    <row r="958" spans="4:15" x14ac:dyDescent="0.3">
      <c r="D958" s="1">
        <v>27780</v>
      </c>
      <c r="E958" s="2">
        <v>43758</v>
      </c>
      <c r="F958" s="1" t="s">
        <v>12</v>
      </c>
      <c r="G958" s="1">
        <v>18</v>
      </c>
      <c r="H958" t="str">
        <f t="shared" si="74"/>
        <v>Small-Medium</v>
      </c>
      <c r="I958" t="str">
        <f t="shared" si="70"/>
        <v>Small-Medium</v>
      </c>
      <c r="J958" s="1">
        <v>60.36</v>
      </c>
      <c r="K958">
        <f t="shared" si="71"/>
        <v>0</v>
      </c>
      <c r="L958">
        <f t="shared" si="72"/>
        <v>60.36</v>
      </c>
      <c r="M958" s="1">
        <f t="shared" si="73"/>
        <v>60.36</v>
      </c>
      <c r="N958" s="1" t="s">
        <v>10</v>
      </c>
      <c r="O958" s="1">
        <v>1.1000000000000001</v>
      </c>
    </row>
    <row r="959" spans="4:15" x14ac:dyDescent="0.3">
      <c r="D959" s="1">
        <v>5028</v>
      </c>
      <c r="E959" s="2">
        <v>43571</v>
      </c>
      <c r="F959" s="1" t="s">
        <v>9</v>
      </c>
      <c r="G959" s="1">
        <v>10</v>
      </c>
      <c r="H959" t="str">
        <f t="shared" si="74"/>
        <v>Extra Small</v>
      </c>
      <c r="I959" t="str">
        <f t="shared" si="70"/>
        <v>Extra Small</v>
      </c>
      <c r="J959" s="1">
        <v>85.26</v>
      </c>
      <c r="K959">
        <f t="shared" si="71"/>
        <v>0</v>
      </c>
      <c r="L959">
        <f t="shared" si="72"/>
        <v>85.26</v>
      </c>
      <c r="M959" s="1">
        <f t="shared" si="73"/>
        <v>85.26</v>
      </c>
      <c r="N959" s="1" t="s">
        <v>10</v>
      </c>
      <c r="O959" s="1">
        <v>3.9</v>
      </c>
    </row>
    <row r="960" spans="4:15" x14ac:dyDescent="0.3">
      <c r="D960" s="1">
        <v>24546</v>
      </c>
      <c r="E960" s="2">
        <v>43550</v>
      </c>
      <c r="F960" s="1" t="s">
        <v>12</v>
      </c>
      <c r="G960" s="1">
        <v>7</v>
      </c>
      <c r="H960" t="str">
        <f t="shared" si="74"/>
        <v>Extra Small</v>
      </c>
      <c r="I960" t="str">
        <f t="shared" si="70"/>
        <v>Extra Small</v>
      </c>
      <c r="J960" s="1">
        <v>87.290599999999998</v>
      </c>
      <c r="K960">
        <f t="shared" si="71"/>
        <v>0</v>
      </c>
      <c r="L960">
        <f t="shared" si="72"/>
        <v>87.290599999999998</v>
      </c>
      <c r="M960" s="1">
        <f t="shared" si="73"/>
        <v>87.290599999999998</v>
      </c>
      <c r="N960" s="1" t="s">
        <v>10</v>
      </c>
      <c r="O960" s="1">
        <v>3.6</v>
      </c>
    </row>
    <row r="961" spans="4:15" x14ac:dyDescent="0.3">
      <c r="D961" s="1">
        <v>25447</v>
      </c>
      <c r="E961" s="2">
        <v>43608</v>
      </c>
      <c r="F961" s="1" t="s">
        <v>11</v>
      </c>
      <c r="G961" s="1">
        <v>25</v>
      </c>
      <c r="H961" t="str">
        <f t="shared" si="74"/>
        <v>Medium</v>
      </c>
      <c r="I961" t="str">
        <f t="shared" si="70"/>
        <v>Medium</v>
      </c>
      <c r="J961" s="1">
        <v>573.74</v>
      </c>
      <c r="K961">
        <f t="shared" si="71"/>
        <v>0</v>
      </c>
      <c r="L961">
        <f t="shared" si="72"/>
        <v>573.74</v>
      </c>
      <c r="M961" s="1">
        <f t="shared" si="73"/>
        <v>573.74</v>
      </c>
      <c r="N961" s="1" t="s">
        <v>10</v>
      </c>
      <c r="O961" s="1">
        <v>9.6</v>
      </c>
    </row>
    <row r="962" spans="4:15" x14ac:dyDescent="0.3">
      <c r="D962" s="1">
        <v>41504</v>
      </c>
      <c r="E962" s="2">
        <v>43766</v>
      </c>
      <c r="F962" s="1" t="s">
        <v>12</v>
      </c>
      <c r="G962" s="1">
        <v>20</v>
      </c>
      <c r="H962" t="str">
        <f t="shared" si="74"/>
        <v>Small-Medium</v>
      </c>
      <c r="I962" t="str">
        <f t="shared" si="70"/>
        <v>Small-Medium</v>
      </c>
      <c r="J962" s="1">
        <v>324.14999999999998</v>
      </c>
      <c r="K962">
        <f t="shared" si="71"/>
        <v>0</v>
      </c>
      <c r="L962">
        <f t="shared" si="72"/>
        <v>324.14999999999998</v>
      </c>
      <c r="M962" s="1">
        <f t="shared" si="73"/>
        <v>324.14999999999998</v>
      </c>
      <c r="N962" s="1" t="s">
        <v>10</v>
      </c>
      <c r="O962" s="1">
        <v>6.2</v>
      </c>
    </row>
    <row r="963" spans="4:15" x14ac:dyDescent="0.3">
      <c r="D963" s="1">
        <v>59909</v>
      </c>
      <c r="E963" s="2">
        <v>43682</v>
      </c>
      <c r="F963" s="1" t="s">
        <v>7</v>
      </c>
      <c r="G963" s="1">
        <v>46</v>
      </c>
      <c r="H963" t="str">
        <f t="shared" si="74"/>
        <v>XXX Large</v>
      </c>
      <c r="I963" t="str">
        <f t="shared" ref="I963:I1026" si="75">VLOOKUP(G963, $A$3:$B$12, 2, TRUE)</f>
        <v>XXX Large</v>
      </c>
      <c r="J963" s="1">
        <v>440.37</v>
      </c>
      <c r="K963">
        <f t="shared" ref="K963:K1026" si="76">IF(OR(I963="Extra Large", I963="XX Large", I963="XXX Large"), 0.01, 0)</f>
        <v>0.01</v>
      </c>
      <c r="L963">
        <f t="shared" ref="L963:L1026" si="77">J963 * (1 - K963)</f>
        <v>435.96629999999999</v>
      </c>
      <c r="M963" s="1">
        <f t="shared" ref="M963:M1026" si="78">IF(OR(I963="Extra Large",I963="XX Large",I963="XXX Large"),J963-O963,J963)</f>
        <v>432.57</v>
      </c>
      <c r="N963" s="1" t="s">
        <v>8</v>
      </c>
      <c r="O963" s="1">
        <v>7.8</v>
      </c>
    </row>
    <row r="964" spans="4:15" x14ac:dyDescent="0.3">
      <c r="D964" s="1">
        <v>24450</v>
      </c>
      <c r="E964" s="2">
        <v>43655</v>
      </c>
      <c r="F964" s="1" t="s">
        <v>12</v>
      </c>
      <c r="G964" s="1">
        <v>41</v>
      </c>
      <c r="H964" t="str">
        <f t="shared" si="74"/>
        <v>XX Large</v>
      </c>
      <c r="I964" t="str">
        <f t="shared" si="75"/>
        <v>XX Large</v>
      </c>
      <c r="J964" s="1">
        <v>420.09</v>
      </c>
      <c r="K964">
        <f t="shared" si="76"/>
        <v>0.01</v>
      </c>
      <c r="L964">
        <f t="shared" si="77"/>
        <v>415.88909999999998</v>
      </c>
      <c r="M964" s="1">
        <f t="shared" si="78"/>
        <v>412.28999999999996</v>
      </c>
      <c r="N964" s="1" t="s">
        <v>8</v>
      </c>
      <c r="O964" s="1">
        <v>7.8</v>
      </c>
    </row>
    <row r="965" spans="4:15" x14ac:dyDescent="0.3">
      <c r="D965" s="1">
        <v>10470</v>
      </c>
      <c r="E965" s="2">
        <v>43589</v>
      </c>
      <c r="F965" s="1" t="s">
        <v>12</v>
      </c>
      <c r="G965" s="1">
        <v>35</v>
      </c>
      <c r="H965" t="str">
        <f t="shared" ref="H965:H1028" si="79">VLOOKUP(G965, $A$3:$B$12, 2, TRUE)</f>
        <v>Large</v>
      </c>
      <c r="I965" t="str">
        <f t="shared" si="75"/>
        <v>Large</v>
      </c>
      <c r="J965" s="1">
        <v>264.27</v>
      </c>
      <c r="K965">
        <f t="shared" si="76"/>
        <v>0</v>
      </c>
      <c r="L965">
        <f t="shared" si="77"/>
        <v>264.27</v>
      </c>
      <c r="M965" s="1">
        <f t="shared" si="78"/>
        <v>264.27</v>
      </c>
      <c r="N965" s="1" t="s">
        <v>10</v>
      </c>
      <c r="O965" s="1">
        <v>5.6</v>
      </c>
    </row>
    <row r="966" spans="4:15" x14ac:dyDescent="0.3">
      <c r="D966" s="1">
        <v>39686</v>
      </c>
      <c r="E966" s="2">
        <v>43624</v>
      </c>
      <c r="F966" s="1" t="s">
        <v>11</v>
      </c>
      <c r="G966" s="1">
        <v>2</v>
      </c>
      <c r="H966" t="str">
        <f t="shared" si="79"/>
        <v>Mini</v>
      </c>
      <c r="I966" t="str">
        <f t="shared" si="75"/>
        <v>Mini</v>
      </c>
      <c r="J966" s="1">
        <v>790.52</v>
      </c>
      <c r="K966">
        <f t="shared" si="76"/>
        <v>0</v>
      </c>
      <c r="L966">
        <f t="shared" si="77"/>
        <v>790.52</v>
      </c>
      <c r="M966" s="1">
        <f t="shared" si="78"/>
        <v>790.52</v>
      </c>
      <c r="N966" s="1" t="s">
        <v>13</v>
      </c>
      <c r="O966" s="1">
        <v>97.4</v>
      </c>
    </row>
    <row r="967" spans="4:15" x14ac:dyDescent="0.3">
      <c r="D967" s="1">
        <v>30499</v>
      </c>
      <c r="E967" s="2">
        <v>43768</v>
      </c>
      <c r="F967" s="1" t="s">
        <v>9</v>
      </c>
      <c r="G967" s="1">
        <v>16</v>
      </c>
      <c r="H967" t="str">
        <f t="shared" si="79"/>
        <v>Small-Medium</v>
      </c>
      <c r="I967" t="str">
        <f t="shared" si="75"/>
        <v>Small-Medium</v>
      </c>
      <c r="J967" s="1">
        <v>98.504199999999997</v>
      </c>
      <c r="K967">
        <f t="shared" si="76"/>
        <v>0</v>
      </c>
      <c r="L967">
        <f t="shared" si="77"/>
        <v>98.504199999999997</v>
      </c>
      <c r="M967" s="1">
        <f t="shared" si="78"/>
        <v>98.504199999999997</v>
      </c>
      <c r="N967" s="1" t="s">
        <v>10</v>
      </c>
      <c r="O967" s="1">
        <v>2.7</v>
      </c>
    </row>
    <row r="968" spans="4:15" x14ac:dyDescent="0.3">
      <c r="D968" s="1">
        <v>19777</v>
      </c>
      <c r="E968" s="2">
        <v>43757</v>
      </c>
      <c r="F968" s="1" t="s">
        <v>11</v>
      </c>
      <c r="G968" s="1">
        <v>2</v>
      </c>
      <c r="H968" t="str">
        <f t="shared" si="79"/>
        <v>Mini</v>
      </c>
      <c r="I968" t="str">
        <f t="shared" si="75"/>
        <v>Mini</v>
      </c>
      <c r="J968" s="1">
        <v>142.2672</v>
      </c>
      <c r="K968">
        <f t="shared" si="76"/>
        <v>0</v>
      </c>
      <c r="L968">
        <f t="shared" si="77"/>
        <v>142.2672</v>
      </c>
      <c r="M968" s="1">
        <f t="shared" si="78"/>
        <v>142.2672</v>
      </c>
      <c r="N968" s="1" t="s">
        <v>10</v>
      </c>
      <c r="O968" s="1">
        <v>11</v>
      </c>
    </row>
    <row r="969" spans="4:15" x14ac:dyDescent="0.3">
      <c r="D969" s="1">
        <v>58145</v>
      </c>
      <c r="E969" s="2">
        <v>43601</v>
      </c>
      <c r="F969" s="1" t="s">
        <v>14</v>
      </c>
      <c r="G969" s="1">
        <v>33</v>
      </c>
      <c r="H969" t="str">
        <f t="shared" si="79"/>
        <v>Large</v>
      </c>
      <c r="I969" t="str">
        <f t="shared" si="75"/>
        <v>Large</v>
      </c>
      <c r="J969" s="1">
        <v>217.73</v>
      </c>
      <c r="K969">
        <f t="shared" si="76"/>
        <v>0</v>
      </c>
      <c r="L969">
        <f t="shared" si="77"/>
        <v>217.73</v>
      </c>
      <c r="M969" s="1">
        <f t="shared" si="78"/>
        <v>217.73</v>
      </c>
      <c r="N969" s="1" t="s">
        <v>8</v>
      </c>
      <c r="O969" s="1">
        <v>1.3</v>
      </c>
    </row>
    <row r="970" spans="4:15" x14ac:dyDescent="0.3">
      <c r="D970" s="1">
        <v>19745</v>
      </c>
      <c r="E970" s="2">
        <v>43817</v>
      </c>
      <c r="F970" s="1" t="s">
        <v>9</v>
      </c>
      <c r="G970" s="1">
        <v>25</v>
      </c>
      <c r="H970" t="str">
        <f t="shared" si="79"/>
        <v>Medium</v>
      </c>
      <c r="I970" t="str">
        <f t="shared" si="75"/>
        <v>Medium</v>
      </c>
      <c r="J970" s="1">
        <v>1146.79</v>
      </c>
      <c r="K970">
        <f t="shared" si="76"/>
        <v>0</v>
      </c>
      <c r="L970">
        <f t="shared" si="77"/>
        <v>1146.79</v>
      </c>
      <c r="M970" s="1">
        <f t="shared" si="78"/>
        <v>1146.79</v>
      </c>
      <c r="N970" s="1" t="s">
        <v>10</v>
      </c>
      <c r="O970" s="1">
        <v>5.0999999999999996</v>
      </c>
    </row>
    <row r="971" spans="4:15" x14ac:dyDescent="0.3">
      <c r="D971" s="1">
        <v>30660</v>
      </c>
      <c r="E971" s="2">
        <v>43713</v>
      </c>
      <c r="F971" s="1" t="s">
        <v>12</v>
      </c>
      <c r="G971" s="1">
        <v>16</v>
      </c>
      <c r="H971" t="str">
        <f t="shared" si="79"/>
        <v>Small-Medium</v>
      </c>
      <c r="I971" t="str">
        <f t="shared" si="75"/>
        <v>Small-Medium</v>
      </c>
      <c r="J971" s="1">
        <v>1055.31</v>
      </c>
      <c r="K971">
        <f t="shared" si="76"/>
        <v>0</v>
      </c>
      <c r="L971">
        <f t="shared" si="77"/>
        <v>1055.31</v>
      </c>
      <c r="M971" s="1">
        <f t="shared" si="78"/>
        <v>1055.31</v>
      </c>
      <c r="N971" s="1" t="s">
        <v>10</v>
      </c>
      <c r="O971" s="1">
        <v>73.8</v>
      </c>
    </row>
    <row r="972" spans="4:15" x14ac:dyDescent="0.3">
      <c r="D972" s="1">
        <v>23777</v>
      </c>
      <c r="E972" s="2">
        <v>43795</v>
      </c>
      <c r="F972" s="1" t="s">
        <v>11</v>
      </c>
      <c r="G972" s="1">
        <v>16</v>
      </c>
      <c r="H972" t="str">
        <f t="shared" si="79"/>
        <v>Small-Medium</v>
      </c>
      <c r="I972" t="str">
        <f t="shared" si="75"/>
        <v>Small-Medium</v>
      </c>
      <c r="J972" s="1">
        <v>521.84</v>
      </c>
      <c r="K972">
        <f t="shared" si="76"/>
        <v>0</v>
      </c>
      <c r="L972">
        <f t="shared" si="77"/>
        <v>521.84</v>
      </c>
      <c r="M972" s="1">
        <f t="shared" si="78"/>
        <v>521.84</v>
      </c>
      <c r="N972" s="1" t="s">
        <v>10</v>
      </c>
      <c r="O972" s="1">
        <v>7.2</v>
      </c>
    </row>
    <row r="973" spans="4:15" x14ac:dyDescent="0.3">
      <c r="D973" s="1">
        <v>31845</v>
      </c>
      <c r="E973" s="2">
        <v>43760</v>
      </c>
      <c r="F973" s="1" t="s">
        <v>7</v>
      </c>
      <c r="G973" s="1">
        <v>11</v>
      </c>
      <c r="H973" t="str">
        <f t="shared" si="79"/>
        <v>Small</v>
      </c>
      <c r="I973" t="str">
        <f t="shared" si="75"/>
        <v>Small</v>
      </c>
      <c r="J973" s="1">
        <v>122.57</v>
      </c>
      <c r="K973">
        <f t="shared" si="76"/>
        <v>0</v>
      </c>
      <c r="L973">
        <f t="shared" si="77"/>
        <v>122.57</v>
      </c>
      <c r="M973" s="1">
        <f t="shared" si="78"/>
        <v>122.57</v>
      </c>
      <c r="N973" s="1" t="s">
        <v>10</v>
      </c>
      <c r="O973" s="1">
        <v>2.2000000000000002</v>
      </c>
    </row>
    <row r="974" spans="4:15" x14ac:dyDescent="0.3">
      <c r="D974" s="1">
        <v>40132</v>
      </c>
      <c r="E974" s="2">
        <v>43518</v>
      </c>
      <c r="F974" s="1" t="s">
        <v>7</v>
      </c>
      <c r="G974" s="1">
        <v>16</v>
      </c>
      <c r="H974" t="str">
        <f t="shared" si="79"/>
        <v>Small-Medium</v>
      </c>
      <c r="I974" t="str">
        <f t="shared" si="75"/>
        <v>Small-Medium</v>
      </c>
      <c r="J974" s="1">
        <v>371.79289999999997</v>
      </c>
      <c r="K974">
        <f t="shared" si="76"/>
        <v>0</v>
      </c>
      <c r="L974">
        <f t="shared" si="77"/>
        <v>371.79289999999997</v>
      </c>
      <c r="M974" s="1">
        <f t="shared" si="78"/>
        <v>371.79289999999997</v>
      </c>
      <c r="N974" s="1" t="s">
        <v>10</v>
      </c>
      <c r="O974" s="1">
        <v>16.2</v>
      </c>
    </row>
    <row r="975" spans="4:15" x14ac:dyDescent="0.3">
      <c r="D975" s="1">
        <v>36901</v>
      </c>
      <c r="E975" s="2">
        <v>43721</v>
      </c>
      <c r="F975" s="1" t="s">
        <v>12</v>
      </c>
      <c r="G975" s="1">
        <v>30</v>
      </c>
      <c r="H975" t="str">
        <f t="shared" si="79"/>
        <v>Medium-Large</v>
      </c>
      <c r="I975" t="str">
        <f t="shared" si="75"/>
        <v>Medium-Large</v>
      </c>
      <c r="J975" s="1">
        <v>215.17</v>
      </c>
      <c r="K975">
        <f t="shared" si="76"/>
        <v>0</v>
      </c>
      <c r="L975">
        <f t="shared" si="77"/>
        <v>215.17</v>
      </c>
      <c r="M975" s="1">
        <f t="shared" si="78"/>
        <v>215.17</v>
      </c>
      <c r="N975" s="1" t="s">
        <v>10</v>
      </c>
      <c r="O975" s="1">
        <v>6.1</v>
      </c>
    </row>
    <row r="976" spans="4:15" x14ac:dyDescent="0.3">
      <c r="D976" s="1">
        <v>43556</v>
      </c>
      <c r="E976" s="2">
        <v>43668</v>
      </c>
      <c r="F976" s="1" t="s">
        <v>7</v>
      </c>
      <c r="G976" s="1">
        <v>31</v>
      </c>
      <c r="H976" t="str">
        <f t="shared" si="79"/>
        <v>Large</v>
      </c>
      <c r="I976" t="str">
        <f t="shared" si="75"/>
        <v>Large</v>
      </c>
      <c r="J976" s="1">
        <v>510.56</v>
      </c>
      <c r="K976">
        <f t="shared" si="76"/>
        <v>0</v>
      </c>
      <c r="L976">
        <f t="shared" si="77"/>
        <v>510.56</v>
      </c>
      <c r="M976" s="1">
        <f t="shared" si="78"/>
        <v>510.56</v>
      </c>
      <c r="N976" s="1" t="s">
        <v>10</v>
      </c>
      <c r="O976" s="1">
        <v>2.1</v>
      </c>
    </row>
    <row r="977" spans="4:15" x14ac:dyDescent="0.3">
      <c r="D977" s="1">
        <v>40100</v>
      </c>
      <c r="E977" s="2">
        <v>43499</v>
      </c>
      <c r="F977" s="1" t="s">
        <v>7</v>
      </c>
      <c r="G977" s="1">
        <v>47</v>
      </c>
      <c r="H977" t="str">
        <f t="shared" si="79"/>
        <v>XXX Large</v>
      </c>
      <c r="I977" t="str">
        <f t="shared" si="75"/>
        <v>XXX Large</v>
      </c>
      <c r="J977" s="1">
        <v>1071.25</v>
      </c>
      <c r="K977">
        <f t="shared" si="76"/>
        <v>0.01</v>
      </c>
      <c r="L977">
        <f t="shared" si="77"/>
        <v>1060.5374999999999</v>
      </c>
      <c r="M977" s="1">
        <f t="shared" si="78"/>
        <v>1065.05</v>
      </c>
      <c r="N977" s="1" t="s">
        <v>10</v>
      </c>
      <c r="O977" s="1">
        <v>6.2</v>
      </c>
    </row>
    <row r="978" spans="4:15" x14ac:dyDescent="0.3">
      <c r="D978" s="1">
        <v>25895</v>
      </c>
      <c r="E978" s="2">
        <v>43572</v>
      </c>
      <c r="F978" s="1" t="s">
        <v>14</v>
      </c>
      <c r="G978" s="1">
        <v>37</v>
      </c>
      <c r="H978" t="str">
        <f t="shared" si="79"/>
        <v>Extra Large</v>
      </c>
      <c r="I978" t="str">
        <f t="shared" si="75"/>
        <v>Extra Large</v>
      </c>
      <c r="J978" s="1">
        <v>759.6</v>
      </c>
      <c r="K978">
        <f t="shared" si="76"/>
        <v>0.01</v>
      </c>
      <c r="L978">
        <f t="shared" si="77"/>
        <v>752.00400000000002</v>
      </c>
      <c r="M978" s="1">
        <f t="shared" si="78"/>
        <v>745.9</v>
      </c>
      <c r="N978" s="1" t="s">
        <v>10</v>
      </c>
      <c r="O978" s="1">
        <v>13.7</v>
      </c>
    </row>
    <row r="979" spans="4:15" x14ac:dyDescent="0.3">
      <c r="D979" s="1">
        <v>52673</v>
      </c>
      <c r="E979" s="2">
        <v>43593</v>
      </c>
      <c r="F979" s="1" t="s">
        <v>14</v>
      </c>
      <c r="G979" s="1">
        <v>4</v>
      </c>
      <c r="H979" t="str">
        <f t="shared" si="79"/>
        <v>Mini</v>
      </c>
      <c r="I979" t="str">
        <f t="shared" si="75"/>
        <v>Mini</v>
      </c>
      <c r="J979" s="1">
        <v>28.26</v>
      </c>
      <c r="K979">
        <f t="shared" si="76"/>
        <v>0</v>
      </c>
      <c r="L979">
        <f t="shared" si="77"/>
        <v>28.26</v>
      </c>
      <c r="M979" s="1">
        <f t="shared" si="78"/>
        <v>28.26</v>
      </c>
      <c r="N979" s="1" t="s">
        <v>10</v>
      </c>
      <c r="O979" s="1">
        <v>6.1</v>
      </c>
    </row>
    <row r="980" spans="4:15" x14ac:dyDescent="0.3">
      <c r="D980" s="1">
        <v>1154</v>
      </c>
      <c r="E980" s="2">
        <v>43509</v>
      </c>
      <c r="F980" s="1" t="s">
        <v>12</v>
      </c>
      <c r="G980" s="1">
        <v>23</v>
      </c>
      <c r="H980" t="str">
        <f t="shared" si="79"/>
        <v>Medium</v>
      </c>
      <c r="I980" t="str">
        <f t="shared" si="75"/>
        <v>Medium</v>
      </c>
      <c r="J980" s="1">
        <v>123.16</v>
      </c>
      <c r="K980">
        <f t="shared" si="76"/>
        <v>0</v>
      </c>
      <c r="L980">
        <f t="shared" si="77"/>
        <v>123.16</v>
      </c>
      <c r="M980" s="1">
        <f t="shared" si="78"/>
        <v>123.16</v>
      </c>
      <c r="N980" s="1" t="s">
        <v>10</v>
      </c>
      <c r="O980" s="1">
        <v>0.5</v>
      </c>
    </row>
    <row r="981" spans="4:15" x14ac:dyDescent="0.3">
      <c r="D981" s="1">
        <v>55462</v>
      </c>
      <c r="E981" s="2">
        <v>43551</v>
      </c>
      <c r="F981" s="1" t="s">
        <v>14</v>
      </c>
      <c r="G981" s="1">
        <v>31</v>
      </c>
      <c r="H981" t="str">
        <f t="shared" si="79"/>
        <v>Large</v>
      </c>
      <c r="I981" t="str">
        <f t="shared" si="75"/>
        <v>Large</v>
      </c>
      <c r="J981" s="1">
        <v>1267.45</v>
      </c>
      <c r="K981">
        <f t="shared" si="76"/>
        <v>0</v>
      </c>
      <c r="L981">
        <f t="shared" si="77"/>
        <v>1267.45</v>
      </c>
      <c r="M981" s="1">
        <f t="shared" si="78"/>
        <v>1267.45</v>
      </c>
      <c r="N981" s="1" t="s">
        <v>10</v>
      </c>
      <c r="O981" s="1">
        <v>7.6</v>
      </c>
    </row>
    <row r="982" spans="4:15" x14ac:dyDescent="0.3">
      <c r="D982" s="1">
        <v>16454</v>
      </c>
      <c r="E982" s="2">
        <v>43596</v>
      </c>
      <c r="F982" s="1" t="s">
        <v>14</v>
      </c>
      <c r="G982" s="1">
        <v>12</v>
      </c>
      <c r="H982" t="str">
        <f t="shared" si="79"/>
        <v>Small</v>
      </c>
      <c r="I982" t="str">
        <f t="shared" si="75"/>
        <v>Small</v>
      </c>
      <c r="J982" s="1">
        <v>101</v>
      </c>
      <c r="K982">
        <f t="shared" si="76"/>
        <v>0</v>
      </c>
      <c r="L982">
        <f t="shared" si="77"/>
        <v>101</v>
      </c>
      <c r="M982" s="1">
        <f t="shared" si="78"/>
        <v>101</v>
      </c>
      <c r="N982" s="1" t="s">
        <v>10</v>
      </c>
      <c r="O982" s="1">
        <v>6.5</v>
      </c>
    </row>
    <row r="983" spans="4:15" x14ac:dyDescent="0.3">
      <c r="D983" s="1">
        <v>59456</v>
      </c>
      <c r="E983" s="2">
        <v>43472</v>
      </c>
      <c r="F983" s="1" t="s">
        <v>7</v>
      </c>
      <c r="G983" s="1">
        <v>30</v>
      </c>
      <c r="H983" t="str">
        <f t="shared" si="79"/>
        <v>Medium-Large</v>
      </c>
      <c r="I983" t="str">
        <f t="shared" si="75"/>
        <v>Medium-Large</v>
      </c>
      <c r="J983" s="1">
        <v>195.72</v>
      </c>
      <c r="K983">
        <f t="shared" si="76"/>
        <v>0</v>
      </c>
      <c r="L983">
        <f t="shared" si="77"/>
        <v>195.72</v>
      </c>
      <c r="M983" s="1">
        <f t="shared" si="78"/>
        <v>195.72</v>
      </c>
      <c r="N983" s="1" t="s">
        <v>10</v>
      </c>
      <c r="O983" s="1">
        <v>52.4</v>
      </c>
    </row>
    <row r="984" spans="4:15" x14ac:dyDescent="0.3">
      <c r="D984" s="1">
        <v>11782</v>
      </c>
      <c r="E984" s="2">
        <v>43674</v>
      </c>
      <c r="F984" s="1" t="s">
        <v>7</v>
      </c>
      <c r="G984" s="1">
        <v>46</v>
      </c>
      <c r="H984" t="str">
        <f t="shared" si="79"/>
        <v>XXX Large</v>
      </c>
      <c r="I984" t="str">
        <f t="shared" si="75"/>
        <v>XXX Large</v>
      </c>
      <c r="J984" s="1">
        <v>264.51</v>
      </c>
      <c r="K984">
        <f t="shared" si="76"/>
        <v>0.01</v>
      </c>
      <c r="L984">
        <f t="shared" si="77"/>
        <v>261.86489999999998</v>
      </c>
      <c r="M984" s="1">
        <f t="shared" si="78"/>
        <v>259.40999999999997</v>
      </c>
      <c r="N984" s="1" t="s">
        <v>10</v>
      </c>
      <c r="O984" s="1">
        <v>5.0999999999999996</v>
      </c>
    </row>
    <row r="985" spans="4:15" x14ac:dyDescent="0.3">
      <c r="D985" s="1">
        <v>45127</v>
      </c>
      <c r="E985" s="2">
        <v>43829</v>
      </c>
      <c r="F985" s="1" t="s">
        <v>14</v>
      </c>
      <c r="G985" s="1">
        <v>10</v>
      </c>
      <c r="H985" t="str">
        <f t="shared" si="79"/>
        <v>Extra Small</v>
      </c>
      <c r="I985" t="str">
        <f t="shared" si="75"/>
        <v>Extra Small</v>
      </c>
      <c r="J985" s="1">
        <v>15.140499999999999</v>
      </c>
      <c r="K985">
        <f t="shared" si="76"/>
        <v>0</v>
      </c>
      <c r="L985">
        <f t="shared" si="77"/>
        <v>15.140499999999999</v>
      </c>
      <c r="M985" s="1">
        <f t="shared" si="78"/>
        <v>15.140499999999999</v>
      </c>
      <c r="N985" s="1" t="s">
        <v>10</v>
      </c>
      <c r="O985" s="1">
        <v>0.7</v>
      </c>
    </row>
    <row r="986" spans="4:15" x14ac:dyDescent="0.3">
      <c r="D986" s="1">
        <v>9409</v>
      </c>
      <c r="E986" s="2">
        <v>43590</v>
      </c>
      <c r="F986" s="1" t="s">
        <v>12</v>
      </c>
      <c r="G986" s="1">
        <v>12</v>
      </c>
      <c r="H986" t="str">
        <f t="shared" si="79"/>
        <v>Small</v>
      </c>
      <c r="I986" t="str">
        <f t="shared" si="75"/>
        <v>Small</v>
      </c>
      <c r="J986" s="1">
        <v>1832.55</v>
      </c>
      <c r="K986">
        <f t="shared" si="76"/>
        <v>0</v>
      </c>
      <c r="L986">
        <f t="shared" si="77"/>
        <v>1832.55</v>
      </c>
      <c r="M986" s="1">
        <f t="shared" si="78"/>
        <v>1832.55</v>
      </c>
      <c r="N986" s="1" t="s">
        <v>10</v>
      </c>
      <c r="O986" s="1">
        <v>4.3</v>
      </c>
    </row>
    <row r="987" spans="4:15" x14ac:dyDescent="0.3">
      <c r="D987" s="1">
        <v>36132</v>
      </c>
      <c r="E987" s="2">
        <v>43564</v>
      </c>
      <c r="F987" s="1" t="s">
        <v>7</v>
      </c>
      <c r="G987" s="1">
        <v>3</v>
      </c>
      <c r="H987" t="str">
        <f t="shared" si="79"/>
        <v>Mini</v>
      </c>
      <c r="I987" t="str">
        <f t="shared" si="75"/>
        <v>Mini</v>
      </c>
      <c r="J987" s="1">
        <v>646.9</v>
      </c>
      <c r="K987">
        <f t="shared" si="76"/>
        <v>0</v>
      </c>
      <c r="L987">
        <f t="shared" si="77"/>
        <v>646.9</v>
      </c>
      <c r="M987" s="1">
        <f t="shared" si="78"/>
        <v>646.9</v>
      </c>
      <c r="N987" s="1" t="s">
        <v>13</v>
      </c>
      <c r="O987" s="1">
        <v>63.4</v>
      </c>
    </row>
    <row r="988" spans="4:15" x14ac:dyDescent="0.3">
      <c r="D988" s="1">
        <v>30913</v>
      </c>
      <c r="E988" s="2">
        <v>43730</v>
      </c>
      <c r="F988" s="1" t="s">
        <v>14</v>
      </c>
      <c r="G988" s="1">
        <v>36</v>
      </c>
      <c r="H988" t="str">
        <f t="shared" si="79"/>
        <v>Extra Large</v>
      </c>
      <c r="I988" t="str">
        <f t="shared" si="75"/>
        <v>Extra Large</v>
      </c>
      <c r="J988" s="1">
        <v>851.21</v>
      </c>
      <c r="K988">
        <f t="shared" si="76"/>
        <v>0.01</v>
      </c>
      <c r="L988">
        <f t="shared" si="77"/>
        <v>842.6979</v>
      </c>
      <c r="M988" s="1">
        <f t="shared" si="78"/>
        <v>849.11</v>
      </c>
      <c r="N988" s="1" t="s">
        <v>10</v>
      </c>
      <c r="O988" s="1">
        <v>2.1</v>
      </c>
    </row>
    <row r="989" spans="4:15" x14ac:dyDescent="0.3">
      <c r="D989" s="1">
        <v>5767</v>
      </c>
      <c r="E989" s="2">
        <v>43583</v>
      </c>
      <c r="F989" s="1" t="s">
        <v>9</v>
      </c>
      <c r="G989" s="1">
        <v>36</v>
      </c>
      <c r="H989" t="str">
        <f t="shared" si="79"/>
        <v>Extra Large</v>
      </c>
      <c r="I989" t="str">
        <f t="shared" si="75"/>
        <v>Extra Large</v>
      </c>
      <c r="J989" s="1">
        <v>174.99</v>
      </c>
      <c r="K989">
        <f t="shared" si="76"/>
        <v>0.01</v>
      </c>
      <c r="L989">
        <f t="shared" si="77"/>
        <v>173.24010000000001</v>
      </c>
      <c r="M989" s="1">
        <f t="shared" si="78"/>
        <v>169.59</v>
      </c>
      <c r="N989" s="1" t="s">
        <v>8</v>
      </c>
      <c r="O989" s="1">
        <v>5.4</v>
      </c>
    </row>
    <row r="990" spans="4:15" x14ac:dyDescent="0.3">
      <c r="D990" s="1">
        <v>36803</v>
      </c>
      <c r="E990" s="2">
        <v>43681</v>
      </c>
      <c r="F990" s="1" t="s">
        <v>11</v>
      </c>
      <c r="G990" s="1">
        <v>2</v>
      </c>
      <c r="H990" t="str">
        <f t="shared" si="79"/>
        <v>Mini</v>
      </c>
      <c r="I990" t="str">
        <f t="shared" si="75"/>
        <v>Mini</v>
      </c>
      <c r="J990" s="1">
        <v>20.350000000000001</v>
      </c>
      <c r="K990">
        <f t="shared" si="76"/>
        <v>0</v>
      </c>
      <c r="L990">
        <f t="shared" si="77"/>
        <v>20.350000000000001</v>
      </c>
      <c r="M990" s="1">
        <f t="shared" si="78"/>
        <v>20.350000000000001</v>
      </c>
      <c r="N990" s="1" t="s">
        <v>8</v>
      </c>
      <c r="O990" s="1">
        <v>5.7</v>
      </c>
    </row>
    <row r="991" spans="4:15" x14ac:dyDescent="0.3">
      <c r="D991" s="1">
        <v>23489</v>
      </c>
      <c r="E991" s="2">
        <v>43705</v>
      </c>
      <c r="F991" s="1" t="s">
        <v>9</v>
      </c>
      <c r="G991" s="1">
        <v>42</v>
      </c>
      <c r="H991" t="str">
        <f t="shared" si="79"/>
        <v>XX Large</v>
      </c>
      <c r="I991" t="str">
        <f t="shared" si="75"/>
        <v>XX Large</v>
      </c>
      <c r="J991" s="1">
        <v>2144.92</v>
      </c>
      <c r="K991">
        <f t="shared" si="76"/>
        <v>0.01</v>
      </c>
      <c r="L991">
        <f t="shared" si="77"/>
        <v>2123.4708000000001</v>
      </c>
      <c r="M991" s="1">
        <f t="shared" si="78"/>
        <v>2141.02</v>
      </c>
      <c r="N991" s="1" t="s">
        <v>8</v>
      </c>
      <c r="O991" s="1">
        <v>3.9</v>
      </c>
    </row>
    <row r="992" spans="4:15" x14ac:dyDescent="0.3">
      <c r="D992" s="1">
        <v>19652</v>
      </c>
      <c r="E992" s="2">
        <v>43618</v>
      </c>
      <c r="F992" s="1" t="s">
        <v>12</v>
      </c>
      <c r="G992" s="1">
        <v>28</v>
      </c>
      <c r="H992" t="str">
        <f t="shared" si="79"/>
        <v>Medium-Large</v>
      </c>
      <c r="I992" t="str">
        <f t="shared" si="75"/>
        <v>Medium-Large</v>
      </c>
      <c r="J992" s="1">
        <v>2900.92</v>
      </c>
      <c r="K992">
        <f t="shared" si="76"/>
        <v>0</v>
      </c>
      <c r="L992">
        <f t="shared" si="77"/>
        <v>2900.92</v>
      </c>
      <c r="M992" s="1">
        <f t="shared" si="78"/>
        <v>2900.92</v>
      </c>
      <c r="N992" s="1" t="s">
        <v>13</v>
      </c>
      <c r="O992" s="1">
        <v>44.9</v>
      </c>
    </row>
    <row r="993" spans="4:15" x14ac:dyDescent="0.3">
      <c r="D993" s="1">
        <v>3650</v>
      </c>
      <c r="E993" s="2">
        <v>43612</v>
      </c>
      <c r="F993" s="1" t="s">
        <v>11</v>
      </c>
      <c r="G993" s="1">
        <v>24</v>
      </c>
      <c r="H993" t="str">
        <f t="shared" si="79"/>
        <v>Medium</v>
      </c>
      <c r="I993" t="str">
        <f t="shared" si="75"/>
        <v>Medium</v>
      </c>
      <c r="J993" s="1">
        <v>5572.03</v>
      </c>
      <c r="K993">
        <f t="shared" si="76"/>
        <v>0</v>
      </c>
      <c r="L993">
        <f t="shared" si="77"/>
        <v>5572.03</v>
      </c>
      <c r="M993" s="1">
        <f t="shared" si="78"/>
        <v>5572.03</v>
      </c>
      <c r="N993" s="1" t="s">
        <v>13</v>
      </c>
      <c r="O993" s="1">
        <v>68.7</v>
      </c>
    </row>
    <row r="994" spans="4:15" x14ac:dyDescent="0.3">
      <c r="D994" s="1">
        <v>23648</v>
      </c>
      <c r="E994" s="2">
        <v>43732</v>
      </c>
      <c r="F994" s="1" t="s">
        <v>12</v>
      </c>
      <c r="G994" s="1">
        <v>4</v>
      </c>
      <c r="H994" t="str">
        <f t="shared" si="79"/>
        <v>Mini</v>
      </c>
      <c r="I994" t="str">
        <f t="shared" si="75"/>
        <v>Mini</v>
      </c>
      <c r="J994" s="1">
        <v>11.4</v>
      </c>
      <c r="K994">
        <f t="shared" si="76"/>
        <v>0</v>
      </c>
      <c r="L994">
        <f t="shared" si="77"/>
        <v>11.4</v>
      </c>
      <c r="M994" s="1">
        <f t="shared" si="78"/>
        <v>11.4</v>
      </c>
      <c r="N994" s="1" t="s">
        <v>10</v>
      </c>
      <c r="O994" s="1">
        <v>0.5</v>
      </c>
    </row>
    <row r="995" spans="4:15" x14ac:dyDescent="0.3">
      <c r="D995" s="1">
        <v>4230</v>
      </c>
      <c r="E995" s="2">
        <v>43527</v>
      </c>
      <c r="F995" s="1" t="s">
        <v>12</v>
      </c>
      <c r="G995" s="1">
        <v>18</v>
      </c>
      <c r="H995" t="str">
        <f t="shared" si="79"/>
        <v>Small-Medium</v>
      </c>
      <c r="I995" t="str">
        <f t="shared" si="75"/>
        <v>Small-Medium</v>
      </c>
      <c r="J995" s="1">
        <v>437.8</v>
      </c>
      <c r="K995">
        <f t="shared" si="76"/>
        <v>0</v>
      </c>
      <c r="L995">
        <f t="shared" si="77"/>
        <v>437.8</v>
      </c>
      <c r="M995" s="1">
        <f t="shared" si="78"/>
        <v>437.8</v>
      </c>
      <c r="N995" s="1" t="s">
        <v>10</v>
      </c>
      <c r="O995" s="1">
        <v>9.6</v>
      </c>
    </row>
    <row r="996" spans="4:15" x14ac:dyDescent="0.3">
      <c r="D996" s="1">
        <v>13158</v>
      </c>
      <c r="E996" s="2">
        <v>43789</v>
      </c>
      <c r="F996" s="1" t="s">
        <v>12</v>
      </c>
      <c r="G996" s="1">
        <v>26</v>
      </c>
      <c r="H996" t="str">
        <f t="shared" si="79"/>
        <v>Medium-Large</v>
      </c>
      <c r="I996" t="str">
        <f t="shared" si="75"/>
        <v>Medium-Large</v>
      </c>
      <c r="J996" s="1">
        <v>200.26</v>
      </c>
      <c r="K996">
        <f t="shared" si="76"/>
        <v>0</v>
      </c>
      <c r="L996">
        <f t="shared" si="77"/>
        <v>200.26</v>
      </c>
      <c r="M996" s="1">
        <f t="shared" si="78"/>
        <v>200.26</v>
      </c>
      <c r="N996" s="1" t="s">
        <v>10</v>
      </c>
      <c r="O996" s="1">
        <v>3.2</v>
      </c>
    </row>
    <row r="997" spans="4:15" x14ac:dyDescent="0.3">
      <c r="D997" s="1">
        <v>8039</v>
      </c>
      <c r="E997" s="2">
        <v>43700</v>
      </c>
      <c r="F997" s="1" t="s">
        <v>14</v>
      </c>
      <c r="G997" s="1">
        <v>37</v>
      </c>
      <c r="H997" t="str">
        <f t="shared" si="79"/>
        <v>Extra Large</v>
      </c>
      <c r="I997" t="str">
        <f t="shared" si="75"/>
        <v>Extra Large</v>
      </c>
      <c r="J997" s="1">
        <v>1283.68</v>
      </c>
      <c r="K997">
        <f t="shared" si="76"/>
        <v>0.01</v>
      </c>
      <c r="L997">
        <f t="shared" si="77"/>
        <v>1270.8432</v>
      </c>
      <c r="M997" s="1">
        <f t="shared" si="78"/>
        <v>1262.78</v>
      </c>
      <c r="N997" s="1" t="s">
        <v>10</v>
      </c>
      <c r="O997" s="1">
        <v>20.9</v>
      </c>
    </row>
    <row r="998" spans="4:15" x14ac:dyDescent="0.3">
      <c r="D998" s="1">
        <v>7106</v>
      </c>
      <c r="E998" s="2">
        <v>43595</v>
      </c>
      <c r="F998" s="1" t="s">
        <v>7</v>
      </c>
      <c r="G998" s="1">
        <v>8</v>
      </c>
      <c r="H998" t="str">
        <f t="shared" si="79"/>
        <v>Extra Small</v>
      </c>
      <c r="I998" t="str">
        <f t="shared" si="75"/>
        <v>Extra Small</v>
      </c>
      <c r="J998" s="1">
        <v>127.31</v>
      </c>
      <c r="K998">
        <f t="shared" si="76"/>
        <v>0</v>
      </c>
      <c r="L998">
        <f t="shared" si="77"/>
        <v>127.31</v>
      </c>
      <c r="M998" s="1">
        <f t="shared" si="78"/>
        <v>127.31</v>
      </c>
      <c r="N998" s="1" t="s">
        <v>10</v>
      </c>
      <c r="O998" s="1">
        <v>7.8</v>
      </c>
    </row>
    <row r="999" spans="4:15" x14ac:dyDescent="0.3">
      <c r="D999" s="1">
        <v>29218</v>
      </c>
      <c r="E999" s="2">
        <v>43614</v>
      </c>
      <c r="F999" s="1" t="s">
        <v>7</v>
      </c>
      <c r="G999" s="1">
        <v>26</v>
      </c>
      <c r="H999" t="str">
        <f t="shared" si="79"/>
        <v>Medium-Large</v>
      </c>
      <c r="I999" t="str">
        <f t="shared" si="75"/>
        <v>Medium-Large</v>
      </c>
      <c r="J999" s="1">
        <v>79.2</v>
      </c>
      <c r="K999">
        <f t="shared" si="76"/>
        <v>0</v>
      </c>
      <c r="L999">
        <f t="shared" si="77"/>
        <v>79.2</v>
      </c>
      <c r="M999" s="1">
        <f t="shared" si="78"/>
        <v>79.2</v>
      </c>
      <c r="N999" s="1" t="s">
        <v>10</v>
      </c>
      <c r="O999" s="1">
        <v>0.7</v>
      </c>
    </row>
    <row r="1000" spans="4:15" x14ac:dyDescent="0.3">
      <c r="D1000" s="1">
        <v>17543</v>
      </c>
      <c r="E1000" s="2">
        <v>43610</v>
      </c>
      <c r="F1000" s="1" t="s">
        <v>12</v>
      </c>
      <c r="G1000" s="1">
        <v>26</v>
      </c>
      <c r="H1000" t="str">
        <f t="shared" si="79"/>
        <v>Medium-Large</v>
      </c>
      <c r="I1000" t="str">
        <f t="shared" si="75"/>
        <v>Medium-Large</v>
      </c>
      <c r="J1000" s="1">
        <v>4601.67</v>
      </c>
      <c r="K1000">
        <f t="shared" si="76"/>
        <v>0</v>
      </c>
      <c r="L1000">
        <f t="shared" si="77"/>
        <v>4601.67</v>
      </c>
      <c r="M1000" s="1">
        <f t="shared" si="78"/>
        <v>4601.67</v>
      </c>
      <c r="N1000" s="1" t="s">
        <v>10</v>
      </c>
      <c r="O1000" s="1">
        <v>8.6</v>
      </c>
    </row>
    <row r="1001" spans="4:15" x14ac:dyDescent="0.3">
      <c r="D1001" s="1">
        <v>17953</v>
      </c>
      <c r="E1001" s="2">
        <v>43697</v>
      </c>
      <c r="F1001" s="1" t="s">
        <v>9</v>
      </c>
      <c r="G1001" s="1">
        <v>17</v>
      </c>
      <c r="H1001" t="str">
        <f t="shared" si="79"/>
        <v>Small-Medium</v>
      </c>
      <c r="I1001" t="str">
        <f t="shared" si="75"/>
        <v>Small-Medium</v>
      </c>
      <c r="J1001" s="1">
        <v>112.82</v>
      </c>
      <c r="K1001">
        <f t="shared" si="76"/>
        <v>0</v>
      </c>
      <c r="L1001">
        <f t="shared" si="77"/>
        <v>112.82</v>
      </c>
      <c r="M1001" s="1">
        <f t="shared" si="78"/>
        <v>112.82</v>
      </c>
      <c r="N1001" s="1" t="s">
        <v>10</v>
      </c>
      <c r="O1001" s="1">
        <v>1.3</v>
      </c>
    </row>
    <row r="1002" spans="4:15" x14ac:dyDescent="0.3">
      <c r="D1002" s="1">
        <v>3361</v>
      </c>
      <c r="E1002" s="2">
        <v>43699</v>
      </c>
      <c r="F1002" s="1" t="s">
        <v>11</v>
      </c>
      <c r="G1002" s="1">
        <v>49</v>
      </c>
      <c r="H1002" t="str">
        <f t="shared" si="79"/>
        <v>XXX Large</v>
      </c>
      <c r="I1002" t="str">
        <f t="shared" si="75"/>
        <v>XXX Large</v>
      </c>
      <c r="J1002" s="1">
        <v>228.67</v>
      </c>
      <c r="K1002">
        <f t="shared" si="76"/>
        <v>0.01</v>
      </c>
      <c r="L1002">
        <f t="shared" si="77"/>
        <v>226.38329999999999</v>
      </c>
      <c r="M1002" s="1">
        <f t="shared" si="78"/>
        <v>221.47</v>
      </c>
      <c r="N1002" s="1" t="s">
        <v>10</v>
      </c>
      <c r="O1002" s="1">
        <v>7.2</v>
      </c>
    </row>
    <row r="1003" spans="4:15" x14ac:dyDescent="0.3">
      <c r="D1003" s="1">
        <v>55749</v>
      </c>
      <c r="E1003" s="2">
        <v>43588</v>
      </c>
      <c r="F1003" s="1" t="s">
        <v>12</v>
      </c>
      <c r="G1003" s="1">
        <v>42</v>
      </c>
      <c r="H1003" t="str">
        <f t="shared" si="79"/>
        <v>XX Large</v>
      </c>
      <c r="I1003" t="str">
        <f t="shared" si="75"/>
        <v>XX Large</v>
      </c>
      <c r="J1003" s="1">
        <v>390.34</v>
      </c>
      <c r="K1003">
        <f t="shared" si="76"/>
        <v>0.01</v>
      </c>
      <c r="L1003">
        <f t="shared" si="77"/>
        <v>386.4366</v>
      </c>
      <c r="M1003" s="1">
        <f t="shared" si="78"/>
        <v>388.84</v>
      </c>
      <c r="N1003" s="1" t="s">
        <v>10</v>
      </c>
      <c r="O1003" s="1">
        <v>1.5</v>
      </c>
    </row>
    <row r="1004" spans="4:15" x14ac:dyDescent="0.3">
      <c r="D1004" s="1">
        <v>56291</v>
      </c>
      <c r="E1004" s="2">
        <v>43725</v>
      </c>
      <c r="F1004" s="1" t="s">
        <v>11</v>
      </c>
      <c r="G1004" s="1">
        <v>22</v>
      </c>
      <c r="H1004" t="str">
        <f t="shared" si="79"/>
        <v>Medium</v>
      </c>
      <c r="I1004" t="str">
        <f t="shared" si="75"/>
        <v>Medium</v>
      </c>
      <c r="J1004" s="1">
        <v>11794.11</v>
      </c>
      <c r="K1004">
        <f t="shared" si="76"/>
        <v>0</v>
      </c>
      <c r="L1004">
        <f t="shared" si="77"/>
        <v>11794.11</v>
      </c>
      <c r="M1004" s="1">
        <f t="shared" si="78"/>
        <v>11794.11</v>
      </c>
      <c r="N1004" s="1" t="s">
        <v>13</v>
      </c>
      <c r="O1004" s="1">
        <v>17.8</v>
      </c>
    </row>
    <row r="1005" spans="4:15" x14ac:dyDescent="0.3">
      <c r="D1005" s="1">
        <v>24450</v>
      </c>
      <c r="E1005" s="2">
        <v>43655</v>
      </c>
      <c r="F1005" s="1" t="s">
        <v>12</v>
      </c>
      <c r="G1005" s="1">
        <v>37</v>
      </c>
      <c r="H1005" t="str">
        <f t="shared" si="79"/>
        <v>Extra Large</v>
      </c>
      <c r="I1005" t="str">
        <f t="shared" si="75"/>
        <v>Extra Large</v>
      </c>
      <c r="J1005" s="1">
        <v>474.38</v>
      </c>
      <c r="K1005">
        <f t="shared" si="76"/>
        <v>0.01</v>
      </c>
      <c r="L1005">
        <f t="shared" si="77"/>
        <v>469.63619999999997</v>
      </c>
      <c r="M1005" s="1">
        <f t="shared" si="78"/>
        <v>469.08</v>
      </c>
      <c r="N1005" s="1" t="s">
        <v>10</v>
      </c>
      <c r="O1005" s="1">
        <v>5.3</v>
      </c>
    </row>
    <row r="1006" spans="4:15" x14ac:dyDescent="0.3">
      <c r="D1006" s="1">
        <v>868</v>
      </c>
      <c r="E1006" s="2">
        <v>43624</v>
      </c>
      <c r="F1006" s="1" t="s">
        <v>11</v>
      </c>
      <c r="G1006" s="1">
        <v>31</v>
      </c>
      <c r="H1006" t="str">
        <f t="shared" si="79"/>
        <v>Large</v>
      </c>
      <c r="I1006" t="str">
        <f t="shared" si="75"/>
        <v>Large</v>
      </c>
      <c r="J1006" s="1">
        <v>1577.5331000000001</v>
      </c>
      <c r="K1006">
        <f t="shared" si="76"/>
        <v>0</v>
      </c>
      <c r="L1006">
        <f t="shared" si="77"/>
        <v>1577.5331000000001</v>
      </c>
      <c r="M1006" s="1">
        <f t="shared" si="78"/>
        <v>1577.5331000000001</v>
      </c>
      <c r="N1006" s="1" t="s">
        <v>10</v>
      </c>
      <c r="O1006" s="1">
        <v>3.9</v>
      </c>
    </row>
    <row r="1007" spans="4:15" x14ac:dyDescent="0.3">
      <c r="D1007" s="1">
        <v>134</v>
      </c>
      <c r="E1007" s="2">
        <v>43585</v>
      </c>
      <c r="F1007" s="1" t="s">
        <v>11</v>
      </c>
      <c r="G1007" s="1">
        <v>11</v>
      </c>
      <c r="H1007" t="str">
        <f t="shared" si="79"/>
        <v>Small</v>
      </c>
      <c r="I1007" t="str">
        <f t="shared" si="75"/>
        <v>Small</v>
      </c>
      <c r="J1007" s="1">
        <v>1211.8800000000001</v>
      </c>
      <c r="K1007">
        <f t="shared" si="76"/>
        <v>0</v>
      </c>
      <c r="L1007">
        <f t="shared" si="77"/>
        <v>1211.8800000000001</v>
      </c>
      <c r="M1007" s="1">
        <f t="shared" si="78"/>
        <v>1211.8800000000001</v>
      </c>
      <c r="N1007" s="1" t="s">
        <v>10</v>
      </c>
      <c r="O1007" s="1">
        <v>37.5</v>
      </c>
    </row>
    <row r="1008" spans="4:15" x14ac:dyDescent="0.3">
      <c r="D1008" s="1">
        <v>38912</v>
      </c>
      <c r="E1008" s="2">
        <v>43766</v>
      </c>
      <c r="F1008" s="1" t="s">
        <v>7</v>
      </c>
      <c r="G1008" s="1">
        <v>26</v>
      </c>
      <c r="H1008" t="str">
        <f t="shared" si="79"/>
        <v>Medium-Large</v>
      </c>
      <c r="I1008" t="str">
        <f t="shared" si="75"/>
        <v>Medium-Large</v>
      </c>
      <c r="J1008" s="1">
        <v>1621.01</v>
      </c>
      <c r="K1008">
        <f t="shared" si="76"/>
        <v>0</v>
      </c>
      <c r="L1008">
        <f t="shared" si="77"/>
        <v>1621.01</v>
      </c>
      <c r="M1008" s="1">
        <f t="shared" si="78"/>
        <v>1621.01</v>
      </c>
      <c r="N1008" s="1" t="s">
        <v>10</v>
      </c>
      <c r="O1008" s="1">
        <v>5.3</v>
      </c>
    </row>
    <row r="1009" spans="4:15" x14ac:dyDescent="0.3">
      <c r="D1009" s="1">
        <v>48993</v>
      </c>
      <c r="E1009" s="2">
        <v>43616</v>
      </c>
      <c r="F1009" s="1" t="s">
        <v>7</v>
      </c>
      <c r="G1009" s="1">
        <v>17</v>
      </c>
      <c r="H1009" t="str">
        <f t="shared" si="79"/>
        <v>Small-Medium</v>
      </c>
      <c r="I1009" t="str">
        <f t="shared" si="75"/>
        <v>Small-Medium</v>
      </c>
      <c r="J1009" s="1">
        <v>130.99</v>
      </c>
      <c r="K1009">
        <f t="shared" si="76"/>
        <v>0</v>
      </c>
      <c r="L1009">
        <f t="shared" si="77"/>
        <v>130.99</v>
      </c>
      <c r="M1009" s="1">
        <f t="shared" si="78"/>
        <v>130.99</v>
      </c>
      <c r="N1009" s="1" t="s">
        <v>8</v>
      </c>
      <c r="O1009" s="1">
        <v>6.7</v>
      </c>
    </row>
    <row r="1010" spans="4:15" x14ac:dyDescent="0.3">
      <c r="D1010" s="1">
        <v>9347</v>
      </c>
      <c r="E1010" s="2">
        <v>43686</v>
      </c>
      <c r="F1010" s="1" t="s">
        <v>7</v>
      </c>
      <c r="G1010" s="1">
        <v>31</v>
      </c>
      <c r="H1010" t="str">
        <f t="shared" si="79"/>
        <v>Large</v>
      </c>
      <c r="I1010" t="str">
        <f t="shared" si="75"/>
        <v>Large</v>
      </c>
      <c r="J1010" s="1">
        <v>140.38</v>
      </c>
      <c r="K1010">
        <f t="shared" si="76"/>
        <v>0</v>
      </c>
      <c r="L1010">
        <f t="shared" si="77"/>
        <v>140.38</v>
      </c>
      <c r="M1010" s="1">
        <f t="shared" si="78"/>
        <v>140.38</v>
      </c>
      <c r="N1010" s="1" t="s">
        <v>10</v>
      </c>
      <c r="O1010" s="1">
        <v>5.5</v>
      </c>
    </row>
    <row r="1011" spans="4:15" x14ac:dyDescent="0.3">
      <c r="D1011" s="1">
        <v>42887</v>
      </c>
      <c r="E1011" s="2">
        <v>43626</v>
      </c>
      <c r="F1011" s="1" t="s">
        <v>14</v>
      </c>
      <c r="G1011" s="1">
        <v>3</v>
      </c>
      <c r="H1011" t="str">
        <f t="shared" si="79"/>
        <v>Mini</v>
      </c>
      <c r="I1011" t="str">
        <f t="shared" si="75"/>
        <v>Mini</v>
      </c>
      <c r="J1011" s="1">
        <v>38.18</v>
      </c>
      <c r="K1011">
        <f t="shared" si="76"/>
        <v>0</v>
      </c>
      <c r="L1011">
        <f t="shared" si="77"/>
        <v>38.18</v>
      </c>
      <c r="M1011" s="1">
        <f t="shared" si="78"/>
        <v>38.18</v>
      </c>
      <c r="N1011" s="1" t="s">
        <v>10</v>
      </c>
      <c r="O1011" s="1">
        <v>6.2</v>
      </c>
    </row>
    <row r="1012" spans="4:15" x14ac:dyDescent="0.3">
      <c r="D1012" s="1">
        <v>32642</v>
      </c>
      <c r="E1012" s="2">
        <v>43553</v>
      </c>
      <c r="F1012" s="1" t="s">
        <v>14</v>
      </c>
      <c r="G1012" s="1">
        <v>50</v>
      </c>
      <c r="H1012" t="str">
        <f t="shared" si="79"/>
        <v>XXX Large</v>
      </c>
      <c r="I1012" t="str">
        <f t="shared" si="75"/>
        <v>XXX Large</v>
      </c>
      <c r="J1012" s="1">
        <v>1612.66</v>
      </c>
      <c r="K1012">
        <f t="shared" si="76"/>
        <v>0.01</v>
      </c>
      <c r="L1012">
        <f t="shared" si="77"/>
        <v>1596.5334</v>
      </c>
      <c r="M1012" s="1">
        <f t="shared" si="78"/>
        <v>1610.5600000000002</v>
      </c>
      <c r="N1012" s="1" t="s">
        <v>10</v>
      </c>
      <c r="O1012" s="1">
        <v>2.1</v>
      </c>
    </row>
    <row r="1013" spans="4:15" x14ac:dyDescent="0.3">
      <c r="D1013" s="1">
        <v>57574</v>
      </c>
      <c r="E1013" s="2">
        <v>43669</v>
      </c>
      <c r="F1013" s="1" t="s">
        <v>12</v>
      </c>
      <c r="G1013" s="1">
        <v>20</v>
      </c>
      <c r="H1013" t="str">
        <f t="shared" si="79"/>
        <v>Small-Medium</v>
      </c>
      <c r="I1013" t="str">
        <f t="shared" si="75"/>
        <v>Small-Medium</v>
      </c>
      <c r="J1013" s="1">
        <v>499.01</v>
      </c>
      <c r="K1013">
        <f t="shared" si="76"/>
        <v>0</v>
      </c>
      <c r="L1013">
        <f t="shared" si="77"/>
        <v>499.01</v>
      </c>
      <c r="M1013" s="1">
        <f t="shared" si="78"/>
        <v>499.01</v>
      </c>
      <c r="N1013" s="1" t="s">
        <v>13</v>
      </c>
      <c r="O1013" s="1">
        <v>16.8</v>
      </c>
    </row>
    <row r="1014" spans="4:15" x14ac:dyDescent="0.3">
      <c r="D1014" s="1">
        <v>9952</v>
      </c>
      <c r="E1014" s="2">
        <v>43586</v>
      </c>
      <c r="F1014" s="1" t="s">
        <v>9</v>
      </c>
      <c r="G1014" s="1">
        <v>47</v>
      </c>
      <c r="H1014" t="str">
        <f t="shared" si="79"/>
        <v>XXX Large</v>
      </c>
      <c r="I1014" t="str">
        <f t="shared" si="75"/>
        <v>XXX Large</v>
      </c>
      <c r="J1014" s="1">
        <v>8443.25</v>
      </c>
      <c r="K1014">
        <f t="shared" si="76"/>
        <v>0.01</v>
      </c>
      <c r="L1014">
        <f t="shared" si="77"/>
        <v>8358.8174999999992</v>
      </c>
      <c r="M1014" s="1">
        <f t="shared" si="78"/>
        <v>8405.75</v>
      </c>
      <c r="N1014" s="1" t="s">
        <v>8</v>
      </c>
      <c r="O1014" s="1">
        <v>37.5</v>
      </c>
    </row>
    <row r="1015" spans="4:15" x14ac:dyDescent="0.3">
      <c r="D1015" s="1">
        <v>2848</v>
      </c>
      <c r="E1015" s="2">
        <v>43533</v>
      </c>
      <c r="F1015" s="1" t="s">
        <v>12</v>
      </c>
      <c r="G1015" s="1">
        <v>8</v>
      </c>
      <c r="H1015" t="str">
        <f t="shared" si="79"/>
        <v>Extra Small</v>
      </c>
      <c r="I1015" t="str">
        <f t="shared" si="75"/>
        <v>Extra Small</v>
      </c>
      <c r="J1015" s="1">
        <v>924.03</v>
      </c>
      <c r="K1015">
        <f t="shared" si="76"/>
        <v>0</v>
      </c>
      <c r="L1015">
        <f t="shared" si="77"/>
        <v>924.03</v>
      </c>
      <c r="M1015" s="1">
        <f t="shared" si="78"/>
        <v>924.03</v>
      </c>
      <c r="N1015" s="1" t="s">
        <v>10</v>
      </c>
      <c r="O1015" s="1">
        <v>9.6</v>
      </c>
    </row>
    <row r="1016" spans="4:15" x14ac:dyDescent="0.3">
      <c r="D1016" s="1">
        <v>59015</v>
      </c>
      <c r="E1016" s="2">
        <v>43611</v>
      </c>
      <c r="F1016" s="1" t="s">
        <v>14</v>
      </c>
      <c r="G1016" s="1">
        <v>32</v>
      </c>
      <c r="H1016" t="str">
        <f t="shared" si="79"/>
        <v>Large</v>
      </c>
      <c r="I1016" t="str">
        <f t="shared" si="75"/>
        <v>Large</v>
      </c>
      <c r="J1016" s="1">
        <v>272.27</v>
      </c>
      <c r="K1016">
        <f t="shared" si="76"/>
        <v>0</v>
      </c>
      <c r="L1016">
        <f t="shared" si="77"/>
        <v>272.27</v>
      </c>
      <c r="M1016" s="1">
        <f t="shared" si="78"/>
        <v>272.27</v>
      </c>
      <c r="N1016" s="1" t="s">
        <v>10</v>
      </c>
      <c r="O1016" s="1">
        <v>2.1</v>
      </c>
    </row>
    <row r="1017" spans="4:15" x14ac:dyDescent="0.3">
      <c r="D1017" s="1">
        <v>16359</v>
      </c>
      <c r="E1017" s="2">
        <v>43599</v>
      </c>
      <c r="F1017" s="1" t="s">
        <v>12</v>
      </c>
      <c r="G1017" s="1">
        <v>8</v>
      </c>
      <c r="H1017" t="str">
        <f t="shared" si="79"/>
        <v>Extra Small</v>
      </c>
      <c r="I1017" t="str">
        <f t="shared" si="75"/>
        <v>Extra Small</v>
      </c>
      <c r="J1017" s="1">
        <v>37.749600000000001</v>
      </c>
      <c r="K1017">
        <f t="shared" si="76"/>
        <v>0</v>
      </c>
      <c r="L1017">
        <f t="shared" si="77"/>
        <v>37.749600000000001</v>
      </c>
      <c r="M1017" s="1">
        <f t="shared" si="78"/>
        <v>37.749600000000001</v>
      </c>
      <c r="N1017" s="1" t="s">
        <v>10</v>
      </c>
      <c r="O1017" s="1">
        <v>8</v>
      </c>
    </row>
    <row r="1018" spans="4:15" x14ac:dyDescent="0.3">
      <c r="D1018" s="1">
        <v>56224</v>
      </c>
      <c r="E1018" s="2">
        <v>43763</v>
      </c>
      <c r="F1018" s="1" t="s">
        <v>14</v>
      </c>
      <c r="G1018" s="1">
        <v>46</v>
      </c>
      <c r="H1018" t="str">
        <f t="shared" si="79"/>
        <v>XXX Large</v>
      </c>
      <c r="I1018" t="str">
        <f t="shared" si="75"/>
        <v>XXX Large</v>
      </c>
      <c r="J1018" s="1">
        <v>363.02</v>
      </c>
      <c r="K1018">
        <f t="shared" si="76"/>
        <v>0.01</v>
      </c>
      <c r="L1018">
        <f t="shared" si="77"/>
        <v>359.38979999999998</v>
      </c>
      <c r="M1018" s="1">
        <f t="shared" si="78"/>
        <v>360.02</v>
      </c>
      <c r="N1018" s="1" t="s">
        <v>10</v>
      </c>
      <c r="O1018" s="1">
        <v>3</v>
      </c>
    </row>
    <row r="1019" spans="4:15" x14ac:dyDescent="0.3">
      <c r="D1019" s="1">
        <v>59781</v>
      </c>
      <c r="E1019" s="2">
        <v>43811</v>
      </c>
      <c r="F1019" s="1" t="s">
        <v>11</v>
      </c>
      <c r="G1019" s="1">
        <v>24</v>
      </c>
      <c r="H1019" t="str">
        <f t="shared" si="79"/>
        <v>Medium</v>
      </c>
      <c r="I1019" t="str">
        <f t="shared" si="75"/>
        <v>Medium</v>
      </c>
      <c r="J1019" s="1">
        <v>4716.8500000000004</v>
      </c>
      <c r="K1019">
        <f t="shared" si="76"/>
        <v>0</v>
      </c>
      <c r="L1019">
        <f t="shared" si="77"/>
        <v>4716.8500000000004</v>
      </c>
      <c r="M1019" s="1">
        <f t="shared" si="78"/>
        <v>4716.8500000000004</v>
      </c>
      <c r="N1019" s="1" t="s">
        <v>13</v>
      </c>
      <c r="O1019" s="1">
        <v>32.1</v>
      </c>
    </row>
    <row r="1020" spans="4:15" x14ac:dyDescent="0.3">
      <c r="D1020" s="1">
        <v>43043</v>
      </c>
      <c r="E1020" s="2">
        <v>43569</v>
      </c>
      <c r="F1020" s="1" t="s">
        <v>12</v>
      </c>
      <c r="G1020" s="1">
        <v>4</v>
      </c>
      <c r="H1020" t="str">
        <f t="shared" si="79"/>
        <v>Mini</v>
      </c>
      <c r="I1020" t="str">
        <f t="shared" si="75"/>
        <v>Mini</v>
      </c>
      <c r="J1020" s="1">
        <v>967.41</v>
      </c>
      <c r="K1020">
        <f t="shared" si="76"/>
        <v>0</v>
      </c>
      <c r="L1020">
        <f t="shared" si="77"/>
        <v>967.41</v>
      </c>
      <c r="M1020" s="1">
        <f t="shared" si="78"/>
        <v>967.41</v>
      </c>
      <c r="N1020" s="1" t="s">
        <v>10</v>
      </c>
      <c r="O1020" s="1">
        <v>12.6</v>
      </c>
    </row>
    <row r="1021" spans="4:15" x14ac:dyDescent="0.3">
      <c r="D1021" s="1">
        <v>6016</v>
      </c>
      <c r="E1021" s="2">
        <v>43484</v>
      </c>
      <c r="F1021" s="1" t="s">
        <v>9</v>
      </c>
      <c r="G1021" s="1">
        <v>19</v>
      </c>
      <c r="H1021" t="str">
        <f t="shared" si="79"/>
        <v>Small-Medium</v>
      </c>
      <c r="I1021" t="str">
        <f t="shared" si="75"/>
        <v>Small-Medium</v>
      </c>
      <c r="J1021" s="1">
        <v>222.8596</v>
      </c>
      <c r="K1021">
        <f t="shared" si="76"/>
        <v>0</v>
      </c>
      <c r="L1021">
        <f t="shared" si="77"/>
        <v>222.8596</v>
      </c>
      <c r="M1021" s="1">
        <f t="shared" si="78"/>
        <v>222.8596</v>
      </c>
      <c r="N1021" s="1" t="s">
        <v>10</v>
      </c>
      <c r="O1021" s="1">
        <v>5.8</v>
      </c>
    </row>
    <row r="1022" spans="4:15" x14ac:dyDescent="0.3">
      <c r="D1022" s="1">
        <v>54020</v>
      </c>
      <c r="E1022" s="2">
        <v>43495</v>
      </c>
      <c r="F1022" s="1" t="s">
        <v>7</v>
      </c>
      <c r="G1022" s="1">
        <v>43</v>
      </c>
      <c r="H1022" t="str">
        <f t="shared" si="79"/>
        <v>XX Large</v>
      </c>
      <c r="I1022" t="str">
        <f t="shared" si="75"/>
        <v>XX Large</v>
      </c>
      <c r="J1022" s="1">
        <v>289.5</v>
      </c>
      <c r="K1022">
        <f t="shared" si="76"/>
        <v>0.01</v>
      </c>
      <c r="L1022">
        <f t="shared" si="77"/>
        <v>286.60500000000002</v>
      </c>
      <c r="M1022" s="1">
        <f t="shared" si="78"/>
        <v>282.2</v>
      </c>
      <c r="N1022" s="1" t="s">
        <v>10</v>
      </c>
      <c r="O1022" s="1">
        <v>7.3</v>
      </c>
    </row>
    <row r="1023" spans="4:15" x14ac:dyDescent="0.3">
      <c r="D1023" s="1">
        <v>57025</v>
      </c>
      <c r="E1023" s="2">
        <v>43642</v>
      </c>
      <c r="F1023" s="1" t="s">
        <v>14</v>
      </c>
      <c r="G1023" s="1">
        <v>8</v>
      </c>
      <c r="H1023" t="str">
        <f t="shared" si="79"/>
        <v>Extra Small</v>
      </c>
      <c r="I1023" t="str">
        <f t="shared" si="75"/>
        <v>Extra Small</v>
      </c>
      <c r="J1023" s="1">
        <v>76.08</v>
      </c>
      <c r="K1023">
        <f t="shared" si="76"/>
        <v>0</v>
      </c>
      <c r="L1023">
        <f t="shared" si="77"/>
        <v>76.08</v>
      </c>
      <c r="M1023" s="1">
        <f t="shared" si="78"/>
        <v>76.08</v>
      </c>
      <c r="N1023" s="1" t="s">
        <v>10</v>
      </c>
      <c r="O1023" s="1">
        <v>3.2</v>
      </c>
    </row>
    <row r="1024" spans="4:15" x14ac:dyDescent="0.3">
      <c r="D1024" s="1">
        <v>7107</v>
      </c>
      <c r="E1024" s="2">
        <v>43468</v>
      </c>
      <c r="F1024" s="1" t="s">
        <v>11</v>
      </c>
      <c r="G1024" s="1">
        <v>32</v>
      </c>
      <c r="H1024" t="str">
        <f t="shared" si="79"/>
        <v>Large</v>
      </c>
      <c r="I1024" t="str">
        <f t="shared" si="75"/>
        <v>Large</v>
      </c>
      <c r="J1024" s="1">
        <v>1845.56</v>
      </c>
      <c r="K1024">
        <f t="shared" si="76"/>
        <v>0</v>
      </c>
      <c r="L1024">
        <f t="shared" si="77"/>
        <v>1845.56</v>
      </c>
      <c r="M1024" s="1">
        <f t="shared" si="78"/>
        <v>1845.56</v>
      </c>
      <c r="N1024" s="1" t="s">
        <v>10</v>
      </c>
      <c r="O1024" s="1">
        <v>5.4</v>
      </c>
    </row>
    <row r="1025" spans="4:15" x14ac:dyDescent="0.3">
      <c r="D1025" s="1">
        <v>7488</v>
      </c>
      <c r="E1025" s="2">
        <v>43588</v>
      </c>
      <c r="F1025" s="1" t="s">
        <v>12</v>
      </c>
      <c r="G1025" s="1">
        <v>9</v>
      </c>
      <c r="H1025" t="str">
        <f t="shared" si="79"/>
        <v>Extra Small</v>
      </c>
      <c r="I1025" t="str">
        <f t="shared" si="75"/>
        <v>Extra Small</v>
      </c>
      <c r="J1025" s="1">
        <v>27.92</v>
      </c>
      <c r="K1025">
        <f t="shared" si="76"/>
        <v>0</v>
      </c>
      <c r="L1025">
        <f t="shared" si="77"/>
        <v>27.92</v>
      </c>
      <c r="M1025" s="1">
        <f t="shared" si="78"/>
        <v>27.92</v>
      </c>
      <c r="N1025" s="1" t="s">
        <v>10</v>
      </c>
      <c r="O1025" s="1">
        <v>1</v>
      </c>
    </row>
    <row r="1026" spans="4:15" x14ac:dyDescent="0.3">
      <c r="D1026" s="1">
        <v>40357</v>
      </c>
      <c r="E1026" s="2">
        <v>43667</v>
      </c>
      <c r="F1026" s="1" t="s">
        <v>11</v>
      </c>
      <c r="G1026" s="1">
        <v>4</v>
      </c>
      <c r="H1026" t="str">
        <f t="shared" si="79"/>
        <v>Mini</v>
      </c>
      <c r="I1026" t="str">
        <f t="shared" si="75"/>
        <v>Mini</v>
      </c>
      <c r="J1026" s="1">
        <v>257.32</v>
      </c>
      <c r="K1026">
        <f t="shared" si="76"/>
        <v>0</v>
      </c>
      <c r="L1026">
        <f t="shared" si="77"/>
        <v>257.32</v>
      </c>
      <c r="M1026" s="1">
        <f t="shared" si="78"/>
        <v>257.32</v>
      </c>
      <c r="N1026" s="1" t="s">
        <v>10</v>
      </c>
      <c r="O1026" s="1">
        <v>14.1</v>
      </c>
    </row>
    <row r="1027" spans="4:15" x14ac:dyDescent="0.3">
      <c r="D1027" s="1">
        <v>11969</v>
      </c>
      <c r="E1027" s="2">
        <v>43483</v>
      </c>
      <c r="F1027" s="1" t="s">
        <v>11</v>
      </c>
      <c r="G1027" s="1">
        <v>9</v>
      </c>
      <c r="H1027" t="str">
        <f t="shared" si="79"/>
        <v>Extra Small</v>
      </c>
      <c r="I1027" t="str">
        <f t="shared" ref="I1027:I1090" si="80">VLOOKUP(G1027, $A$3:$B$12, 2, TRUE)</f>
        <v>Extra Small</v>
      </c>
      <c r="J1027" s="1">
        <v>1778.39</v>
      </c>
      <c r="K1027">
        <f t="shared" ref="K1027:K1090" si="81">IF(OR(I1027="Extra Large", I1027="XX Large", I1027="XXX Large"), 0.01, 0)</f>
        <v>0</v>
      </c>
      <c r="L1027">
        <f t="shared" ref="L1027:L1090" si="82">J1027 * (1 - K1027)</f>
        <v>1778.39</v>
      </c>
      <c r="M1027" s="1">
        <f t="shared" ref="M1027:M1090" si="83">IF(OR(I1027="Extra Large",I1027="XX Large",I1027="XXX Large"),J1027-O1027,J1027)</f>
        <v>1778.39</v>
      </c>
      <c r="N1027" s="1" t="s">
        <v>13</v>
      </c>
      <c r="O1027" s="1">
        <v>117.9</v>
      </c>
    </row>
    <row r="1028" spans="4:15" x14ac:dyDescent="0.3">
      <c r="D1028" s="1">
        <v>16134</v>
      </c>
      <c r="E1028" s="2">
        <v>43788</v>
      </c>
      <c r="F1028" s="1" t="s">
        <v>9</v>
      </c>
      <c r="G1028" s="1">
        <v>43</v>
      </c>
      <c r="H1028" t="str">
        <f t="shared" si="79"/>
        <v>XX Large</v>
      </c>
      <c r="I1028" t="str">
        <f t="shared" si="80"/>
        <v>XX Large</v>
      </c>
      <c r="J1028" s="1">
        <v>23455.77</v>
      </c>
      <c r="K1028">
        <f t="shared" si="81"/>
        <v>0.01</v>
      </c>
      <c r="L1028">
        <f t="shared" si="82"/>
        <v>23221.212299999999</v>
      </c>
      <c r="M1028" s="1">
        <f t="shared" si="83"/>
        <v>23425.670000000002</v>
      </c>
      <c r="N1028" s="1" t="s">
        <v>13</v>
      </c>
      <c r="O1028" s="1">
        <v>30.1</v>
      </c>
    </row>
    <row r="1029" spans="4:15" x14ac:dyDescent="0.3">
      <c r="D1029" s="1">
        <v>28835</v>
      </c>
      <c r="E1029" s="2">
        <v>43555</v>
      </c>
      <c r="F1029" s="1" t="s">
        <v>11</v>
      </c>
      <c r="G1029" s="1">
        <v>1</v>
      </c>
      <c r="H1029" t="str">
        <f t="shared" ref="H1029:H1092" si="84">VLOOKUP(G1029, $A$3:$B$12, 2, TRUE)</f>
        <v>Mini</v>
      </c>
      <c r="I1029" t="str">
        <f t="shared" si="80"/>
        <v>Mini</v>
      </c>
      <c r="J1029" s="1">
        <v>197.07</v>
      </c>
      <c r="K1029">
        <f t="shared" si="81"/>
        <v>0</v>
      </c>
      <c r="L1029">
        <f t="shared" si="82"/>
        <v>197.07</v>
      </c>
      <c r="M1029" s="1">
        <f t="shared" si="83"/>
        <v>197.07</v>
      </c>
      <c r="N1029" s="1" t="s">
        <v>10</v>
      </c>
      <c r="O1029" s="1">
        <v>21.4</v>
      </c>
    </row>
    <row r="1030" spans="4:15" x14ac:dyDescent="0.3">
      <c r="D1030" s="1">
        <v>30208</v>
      </c>
      <c r="E1030" s="2">
        <v>43662</v>
      </c>
      <c r="F1030" s="1" t="s">
        <v>7</v>
      </c>
      <c r="G1030" s="1">
        <v>46</v>
      </c>
      <c r="H1030" t="str">
        <f t="shared" si="84"/>
        <v>XXX Large</v>
      </c>
      <c r="I1030" t="str">
        <f t="shared" si="80"/>
        <v>XXX Large</v>
      </c>
      <c r="J1030" s="1">
        <v>1874.74</v>
      </c>
      <c r="K1030">
        <f t="shared" si="81"/>
        <v>0.01</v>
      </c>
      <c r="L1030">
        <f t="shared" si="82"/>
        <v>1855.9926</v>
      </c>
      <c r="M1030" s="1">
        <f t="shared" si="83"/>
        <v>1869.44</v>
      </c>
      <c r="N1030" s="1" t="s">
        <v>10</v>
      </c>
      <c r="O1030" s="1">
        <v>5.3</v>
      </c>
    </row>
    <row r="1031" spans="4:15" x14ac:dyDescent="0.3">
      <c r="D1031" s="1">
        <v>31744</v>
      </c>
      <c r="E1031" s="2">
        <v>43717</v>
      </c>
      <c r="F1031" s="1" t="s">
        <v>14</v>
      </c>
      <c r="G1031" s="1">
        <v>12</v>
      </c>
      <c r="H1031" t="str">
        <f t="shared" si="84"/>
        <v>Small</v>
      </c>
      <c r="I1031" t="str">
        <f t="shared" si="80"/>
        <v>Small</v>
      </c>
      <c r="J1031" s="1">
        <v>92.76</v>
      </c>
      <c r="K1031">
        <f t="shared" si="81"/>
        <v>0</v>
      </c>
      <c r="L1031">
        <f t="shared" si="82"/>
        <v>92.76</v>
      </c>
      <c r="M1031" s="1">
        <f t="shared" si="83"/>
        <v>92.76</v>
      </c>
      <c r="N1031" s="1" t="s">
        <v>10</v>
      </c>
      <c r="O1031" s="1">
        <v>7.9</v>
      </c>
    </row>
    <row r="1032" spans="4:15" x14ac:dyDescent="0.3">
      <c r="D1032" s="1">
        <v>16164</v>
      </c>
      <c r="E1032" s="2">
        <v>43467</v>
      </c>
      <c r="F1032" s="1" t="s">
        <v>7</v>
      </c>
      <c r="G1032" s="1">
        <v>26</v>
      </c>
      <c r="H1032" t="str">
        <f t="shared" si="84"/>
        <v>Medium-Large</v>
      </c>
      <c r="I1032" t="str">
        <f t="shared" si="80"/>
        <v>Medium-Large</v>
      </c>
      <c r="J1032" s="1">
        <v>2518.94</v>
      </c>
      <c r="K1032">
        <f t="shared" si="81"/>
        <v>0</v>
      </c>
      <c r="L1032">
        <f t="shared" si="82"/>
        <v>2518.94</v>
      </c>
      <c r="M1032" s="1">
        <f t="shared" si="83"/>
        <v>2518.94</v>
      </c>
      <c r="N1032" s="1" t="s">
        <v>13</v>
      </c>
      <c r="O1032" s="1">
        <v>15</v>
      </c>
    </row>
    <row r="1033" spans="4:15" x14ac:dyDescent="0.3">
      <c r="D1033" s="1">
        <v>53667</v>
      </c>
      <c r="E1033" s="2">
        <v>43602</v>
      </c>
      <c r="F1033" s="1" t="s">
        <v>14</v>
      </c>
      <c r="G1033" s="1">
        <v>33</v>
      </c>
      <c r="H1033" t="str">
        <f t="shared" si="84"/>
        <v>Large</v>
      </c>
      <c r="I1033" t="str">
        <f t="shared" si="80"/>
        <v>Large</v>
      </c>
      <c r="J1033" s="1">
        <v>120.23</v>
      </c>
      <c r="K1033">
        <f t="shared" si="81"/>
        <v>0</v>
      </c>
      <c r="L1033">
        <f t="shared" si="82"/>
        <v>120.23</v>
      </c>
      <c r="M1033" s="1">
        <f t="shared" si="83"/>
        <v>120.23</v>
      </c>
      <c r="N1033" s="1" t="s">
        <v>10</v>
      </c>
      <c r="O1033" s="1">
        <v>6.7</v>
      </c>
    </row>
    <row r="1034" spans="4:15" x14ac:dyDescent="0.3">
      <c r="D1034" s="1">
        <v>43045</v>
      </c>
      <c r="E1034" s="2">
        <v>43630</v>
      </c>
      <c r="F1034" s="1" t="s">
        <v>14</v>
      </c>
      <c r="G1034" s="1">
        <v>12</v>
      </c>
      <c r="H1034" t="str">
        <f t="shared" si="84"/>
        <v>Small</v>
      </c>
      <c r="I1034" t="str">
        <f t="shared" si="80"/>
        <v>Small</v>
      </c>
      <c r="J1034" s="1">
        <v>447.73</v>
      </c>
      <c r="K1034">
        <f t="shared" si="81"/>
        <v>0</v>
      </c>
      <c r="L1034">
        <f t="shared" si="82"/>
        <v>447.73</v>
      </c>
      <c r="M1034" s="1">
        <f t="shared" si="83"/>
        <v>447.73</v>
      </c>
      <c r="N1034" s="1" t="s">
        <v>13</v>
      </c>
      <c r="O1034" s="1">
        <v>48.7</v>
      </c>
    </row>
    <row r="1035" spans="4:15" x14ac:dyDescent="0.3">
      <c r="D1035" s="1">
        <v>24448</v>
      </c>
      <c r="E1035" s="2">
        <v>43501</v>
      </c>
      <c r="F1035" s="1" t="s">
        <v>9</v>
      </c>
      <c r="G1035" s="1">
        <v>46</v>
      </c>
      <c r="H1035" t="str">
        <f t="shared" si="84"/>
        <v>XXX Large</v>
      </c>
      <c r="I1035" t="str">
        <f t="shared" si="80"/>
        <v>XXX Large</v>
      </c>
      <c r="J1035" s="1">
        <v>11808.69</v>
      </c>
      <c r="K1035">
        <f t="shared" si="81"/>
        <v>0.01</v>
      </c>
      <c r="L1035">
        <f t="shared" si="82"/>
        <v>11690.6031</v>
      </c>
      <c r="M1035" s="1">
        <f t="shared" si="83"/>
        <v>11745.29</v>
      </c>
      <c r="N1035" s="1" t="s">
        <v>13</v>
      </c>
      <c r="O1035" s="1">
        <v>63.4</v>
      </c>
    </row>
    <row r="1036" spans="4:15" x14ac:dyDescent="0.3">
      <c r="D1036" s="1">
        <v>13345</v>
      </c>
      <c r="E1036" s="2">
        <v>43710</v>
      </c>
      <c r="F1036" s="1" t="s">
        <v>11</v>
      </c>
      <c r="G1036" s="1">
        <v>24</v>
      </c>
      <c r="H1036" t="str">
        <f t="shared" si="84"/>
        <v>Medium</v>
      </c>
      <c r="I1036" t="str">
        <f t="shared" si="80"/>
        <v>Medium</v>
      </c>
      <c r="J1036" s="1">
        <v>125</v>
      </c>
      <c r="K1036">
        <f t="shared" si="81"/>
        <v>0</v>
      </c>
      <c r="L1036">
        <f t="shared" si="82"/>
        <v>125</v>
      </c>
      <c r="M1036" s="1">
        <f t="shared" si="83"/>
        <v>125</v>
      </c>
      <c r="N1036" s="1" t="s">
        <v>10</v>
      </c>
      <c r="O1036" s="1">
        <v>2.6</v>
      </c>
    </row>
    <row r="1037" spans="4:15" x14ac:dyDescent="0.3">
      <c r="D1037" s="1">
        <v>51267</v>
      </c>
      <c r="E1037" s="2">
        <v>43588</v>
      </c>
      <c r="F1037" s="1" t="s">
        <v>7</v>
      </c>
      <c r="G1037" s="1">
        <v>46</v>
      </c>
      <c r="H1037" t="str">
        <f t="shared" si="84"/>
        <v>XXX Large</v>
      </c>
      <c r="I1037" t="str">
        <f t="shared" si="80"/>
        <v>XXX Large</v>
      </c>
      <c r="J1037" s="1">
        <v>4702.41</v>
      </c>
      <c r="K1037">
        <f t="shared" si="81"/>
        <v>0.01</v>
      </c>
      <c r="L1037">
        <f t="shared" si="82"/>
        <v>4655.3859000000002</v>
      </c>
      <c r="M1037" s="1">
        <f t="shared" si="83"/>
        <v>4664.1099999999997</v>
      </c>
      <c r="N1037" s="1" t="s">
        <v>13</v>
      </c>
      <c r="O1037" s="1">
        <v>38.299999999999997</v>
      </c>
    </row>
    <row r="1038" spans="4:15" x14ac:dyDescent="0.3">
      <c r="D1038" s="1">
        <v>26272</v>
      </c>
      <c r="E1038" s="2">
        <v>43645</v>
      </c>
      <c r="F1038" s="1" t="s">
        <v>7</v>
      </c>
      <c r="G1038" s="1">
        <v>6</v>
      </c>
      <c r="H1038" t="str">
        <f t="shared" si="84"/>
        <v>Extra Small</v>
      </c>
      <c r="I1038" t="str">
        <f t="shared" si="80"/>
        <v>Extra Small</v>
      </c>
      <c r="J1038" s="1">
        <v>969.36</v>
      </c>
      <c r="K1038">
        <f t="shared" si="81"/>
        <v>0</v>
      </c>
      <c r="L1038">
        <f t="shared" si="82"/>
        <v>969.36</v>
      </c>
      <c r="M1038" s="1">
        <f t="shared" si="83"/>
        <v>969.36</v>
      </c>
      <c r="N1038" s="1" t="s">
        <v>8</v>
      </c>
      <c r="O1038" s="1">
        <v>26.2</v>
      </c>
    </row>
    <row r="1039" spans="4:15" x14ac:dyDescent="0.3">
      <c r="D1039" s="1">
        <v>13284</v>
      </c>
      <c r="E1039" s="2">
        <v>43689</v>
      </c>
      <c r="F1039" s="1" t="s">
        <v>9</v>
      </c>
      <c r="G1039" s="1">
        <v>22</v>
      </c>
      <c r="H1039" t="str">
        <f t="shared" si="84"/>
        <v>Medium</v>
      </c>
      <c r="I1039" t="str">
        <f t="shared" si="80"/>
        <v>Medium</v>
      </c>
      <c r="J1039" s="1">
        <v>9696.81</v>
      </c>
      <c r="K1039">
        <f t="shared" si="81"/>
        <v>0</v>
      </c>
      <c r="L1039">
        <f t="shared" si="82"/>
        <v>9696.81</v>
      </c>
      <c r="M1039" s="1">
        <f t="shared" si="83"/>
        <v>9696.81</v>
      </c>
      <c r="N1039" s="1" t="s">
        <v>10</v>
      </c>
      <c r="O1039" s="1">
        <v>21.4</v>
      </c>
    </row>
    <row r="1040" spans="4:15" x14ac:dyDescent="0.3">
      <c r="D1040" s="1">
        <v>23745</v>
      </c>
      <c r="E1040" s="2">
        <v>43804</v>
      </c>
      <c r="F1040" s="1" t="s">
        <v>7</v>
      </c>
      <c r="G1040" s="1">
        <v>47</v>
      </c>
      <c r="H1040" t="str">
        <f t="shared" si="84"/>
        <v>XXX Large</v>
      </c>
      <c r="I1040" t="str">
        <f t="shared" si="80"/>
        <v>XXX Large</v>
      </c>
      <c r="J1040" s="1">
        <v>11707.12</v>
      </c>
      <c r="K1040">
        <f t="shared" si="81"/>
        <v>0.01</v>
      </c>
      <c r="L1040">
        <f t="shared" si="82"/>
        <v>11590.0488</v>
      </c>
      <c r="M1040" s="1">
        <f t="shared" si="83"/>
        <v>11672.320000000002</v>
      </c>
      <c r="N1040" s="1" t="s">
        <v>13</v>
      </c>
      <c r="O1040" s="1">
        <v>34.799999999999997</v>
      </c>
    </row>
    <row r="1041" spans="4:15" x14ac:dyDescent="0.3">
      <c r="D1041" s="1">
        <v>26979</v>
      </c>
      <c r="E1041" s="2">
        <v>43552</v>
      </c>
      <c r="F1041" s="1" t="s">
        <v>14</v>
      </c>
      <c r="G1041" s="1">
        <v>43</v>
      </c>
      <c r="H1041" t="str">
        <f t="shared" si="84"/>
        <v>XX Large</v>
      </c>
      <c r="I1041" t="str">
        <f t="shared" si="80"/>
        <v>XX Large</v>
      </c>
      <c r="J1041" s="1">
        <v>360.6</v>
      </c>
      <c r="K1041">
        <f t="shared" si="81"/>
        <v>0.01</v>
      </c>
      <c r="L1041">
        <f t="shared" si="82"/>
        <v>356.99400000000003</v>
      </c>
      <c r="M1041" s="1">
        <f t="shared" si="83"/>
        <v>359.3</v>
      </c>
      <c r="N1041" s="1" t="s">
        <v>10</v>
      </c>
      <c r="O1041" s="1">
        <v>1.3</v>
      </c>
    </row>
    <row r="1042" spans="4:15" x14ac:dyDescent="0.3">
      <c r="D1042" s="1">
        <v>55938</v>
      </c>
      <c r="E1042" s="2">
        <v>43648</v>
      </c>
      <c r="F1042" s="1" t="s">
        <v>11</v>
      </c>
      <c r="G1042" s="1">
        <v>42</v>
      </c>
      <c r="H1042" t="str">
        <f t="shared" si="84"/>
        <v>XX Large</v>
      </c>
      <c r="I1042" t="str">
        <f t="shared" si="80"/>
        <v>XX Large</v>
      </c>
      <c r="J1042" s="1">
        <v>858.63</v>
      </c>
      <c r="K1042">
        <f t="shared" si="81"/>
        <v>0.01</v>
      </c>
      <c r="L1042">
        <f t="shared" si="82"/>
        <v>850.04369999999994</v>
      </c>
      <c r="M1042" s="1">
        <f t="shared" si="83"/>
        <v>852.23</v>
      </c>
      <c r="N1042" s="1" t="s">
        <v>8</v>
      </c>
      <c r="O1042" s="1">
        <v>6.4</v>
      </c>
    </row>
    <row r="1043" spans="4:15" x14ac:dyDescent="0.3">
      <c r="D1043" s="1">
        <v>33670</v>
      </c>
      <c r="E1043" s="2">
        <v>43582</v>
      </c>
      <c r="F1043" s="1" t="s">
        <v>9</v>
      </c>
      <c r="G1043" s="1">
        <v>4</v>
      </c>
      <c r="H1043" t="str">
        <f t="shared" si="84"/>
        <v>Mini</v>
      </c>
      <c r="I1043" t="str">
        <f t="shared" si="80"/>
        <v>Mini</v>
      </c>
      <c r="J1043" s="1">
        <v>18.54</v>
      </c>
      <c r="K1043">
        <f t="shared" si="81"/>
        <v>0</v>
      </c>
      <c r="L1043">
        <f t="shared" si="82"/>
        <v>18.54</v>
      </c>
      <c r="M1043" s="1">
        <f t="shared" si="83"/>
        <v>18.54</v>
      </c>
      <c r="N1043" s="1" t="s">
        <v>10</v>
      </c>
      <c r="O1043" s="1">
        <v>5.4</v>
      </c>
    </row>
    <row r="1044" spans="4:15" x14ac:dyDescent="0.3">
      <c r="D1044" s="1">
        <v>18113</v>
      </c>
      <c r="E1044" s="2">
        <v>43705</v>
      </c>
      <c r="F1044" s="1" t="s">
        <v>11</v>
      </c>
      <c r="G1044" s="1">
        <v>27</v>
      </c>
      <c r="H1044" t="str">
        <f t="shared" si="84"/>
        <v>Medium-Large</v>
      </c>
      <c r="I1044" t="str">
        <f t="shared" si="80"/>
        <v>Medium-Large</v>
      </c>
      <c r="J1044" s="1">
        <v>3548.21</v>
      </c>
      <c r="K1044">
        <f t="shared" si="81"/>
        <v>0</v>
      </c>
      <c r="L1044">
        <f t="shared" si="82"/>
        <v>3548.21</v>
      </c>
      <c r="M1044" s="1">
        <f t="shared" si="83"/>
        <v>3548.21</v>
      </c>
      <c r="N1044" s="1" t="s">
        <v>13</v>
      </c>
      <c r="O1044" s="1">
        <v>32.1</v>
      </c>
    </row>
    <row r="1045" spans="4:15" x14ac:dyDescent="0.3">
      <c r="D1045" s="1">
        <v>9509</v>
      </c>
      <c r="E1045" s="2">
        <v>43745</v>
      </c>
      <c r="F1045" s="1" t="s">
        <v>11</v>
      </c>
      <c r="G1045" s="1">
        <v>5</v>
      </c>
      <c r="H1045" t="str">
        <f t="shared" si="84"/>
        <v>Mini</v>
      </c>
      <c r="I1045" t="str">
        <f t="shared" si="80"/>
        <v>Mini</v>
      </c>
      <c r="J1045" s="1">
        <v>108.29</v>
      </c>
      <c r="K1045">
        <f t="shared" si="81"/>
        <v>0</v>
      </c>
      <c r="L1045">
        <f t="shared" si="82"/>
        <v>108.29</v>
      </c>
      <c r="M1045" s="1">
        <f t="shared" si="83"/>
        <v>108.29</v>
      </c>
      <c r="N1045" s="1" t="s">
        <v>8</v>
      </c>
      <c r="O1045" s="1">
        <v>5.6</v>
      </c>
    </row>
    <row r="1046" spans="4:15" x14ac:dyDescent="0.3">
      <c r="D1046" s="1">
        <v>10053</v>
      </c>
      <c r="E1046" s="2">
        <v>43474</v>
      </c>
      <c r="F1046" s="1" t="s">
        <v>9</v>
      </c>
      <c r="G1046" s="1">
        <v>31</v>
      </c>
      <c r="H1046" t="str">
        <f t="shared" si="84"/>
        <v>Large</v>
      </c>
      <c r="I1046" t="str">
        <f t="shared" si="80"/>
        <v>Large</v>
      </c>
      <c r="J1046" s="1">
        <v>173.96</v>
      </c>
      <c r="K1046">
        <f t="shared" si="81"/>
        <v>0</v>
      </c>
      <c r="L1046">
        <f t="shared" si="82"/>
        <v>173.96</v>
      </c>
      <c r="M1046" s="1">
        <f t="shared" si="83"/>
        <v>173.96</v>
      </c>
      <c r="N1046" s="1" t="s">
        <v>10</v>
      </c>
      <c r="O1046" s="1">
        <v>5.3</v>
      </c>
    </row>
    <row r="1047" spans="4:15" x14ac:dyDescent="0.3">
      <c r="D1047" s="1">
        <v>41760</v>
      </c>
      <c r="E1047" s="2">
        <v>43491</v>
      </c>
      <c r="F1047" s="1" t="s">
        <v>7</v>
      </c>
      <c r="G1047" s="1">
        <v>7</v>
      </c>
      <c r="H1047" t="str">
        <f t="shared" si="84"/>
        <v>Extra Small</v>
      </c>
      <c r="I1047" t="str">
        <f t="shared" si="80"/>
        <v>Extra Small</v>
      </c>
      <c r="J1047" s="1">
        <v>733.72</v>
      </c>
      <c r="K1047">
        <f t="shared" si="81"/>
        <v>0</v>
      </c>
      <c r="L1047">
        <f t="shared" si="82"/>
        <v>733.72</v>
      </c>
      <c r="M1047" s="1">
        <f t="shared" si="83"/>
        <v>733.72</v>
      </c>
      <c r="N1047" s="1" t="s">
        <v>10</v>
      </c>
      <c r="O1047" s="1">
        <v>2.7</v>
      </c>
    </row>
    <row r="1048" spans="4:15" x14ac:dyDescent="0.3">
      <c r="D1048" s="1">
        <v>56548</v>
      </c>
      <c r="E1048" s="2">
        <v>43713</v>
      </c>
      <c r="F1048" s="1" t="s">
        <v>14</v>
      </c>
      <c r="G1048" s="1">
        <v>7</v>
      </c>
      <c r="H1048" t="str">
        <f t="shared" si="84"/>
        <v>Extra Small</v>
      </c>
      <c r="I1048" t="str">
        <f t="shared" si="80"/>
        <v>Extra Small</v>
      </c>
      <c r="J1048" s="1">
        <v>1432.76</v>
      </c>
      <c r="K1048">
        <f t="shared" si="81"/>
        <v>0</v>
      </c>
      <c r="L1048">
        <f t="shared" si="82"/>
        <v>1432.76</v>
      </c>
      <c r="M1048" s="1">
        <f t="shared" si="83"/>
        <v>1432.76</v>
      </c>
      <c r="N1048" s="1" t="s">
        <v>13</v>
      </c>
      <c r="O1048" s="1">
        <v>74.5</v>
      </c>
    </row>
    <row r="1049" spans="4:15" x14ac:dyDescent="0.3">
      <c r="D1049" s="1">
        <v>46055</v>
      </c>
      <c r="E1049" s="2">
        <v>43618</v>
      </c>
      <c r="F1049" s="1" t="s">
        <v>14</v>
      </c>
      <c r="G1049" s="1">
        <v>25</v>
      </c>
      <c r="H1049" t="str">
        <f t="shared" si="84"/>
        <v>Medium</v>
      </c>
      <c r="I1049" t="str">
        <f t="shared" si="80"/>
        <v>Medium</v>
      </c>
      <c r="J1049" s="1">
        <v>1381.5840000000001</v>
      </c>
      <c r="K1049">
        <f t="shared" si="81"/>
        <v>0</v>
      </c>
      <c r="L1049">
        <f t="shared" si="82"/>
        <v>1381.5840000000001</v>
      </c>
      <c r="M1049" s="1">
        <f t="shared" si="83"/>
        <v>1381.5840000000001</v>
      </c>
      <c r="N1049" s="1" t="s">
        <v>10</v>
      </c>
      <c r="O1049" s="1">
        <v>7</v>
      </c>
    </row>
    <row r="1050" spans="4:15" x14ac:dyDescent="0.3">
      <c r="D1050" s="1">
        <v>43815</v>
      </c>
      <c r="E1050" s="2">
        <v>43629</v>
      </c>
      <c r="F1050" s="1" t="s">
        <v>11</v>
      </c>
      <c r="G1050" s="1">
        <v>45</v>
      </c>
      <c r="H1050" t="str">
        <f t="shared" si="84"/>
        <v>XX Large</v>
      </c>
      <c r="I1050" t="str">
        <f t="shared" si="80"/>
        <v>XX Large</v>
      </c>
      <c r="J1050" s="1">
        <v>3828.26</v>
      </c>
      <c r="K1050">
        <f t="shared" si="81"/>
        <v>0.01</v>
      </c>
      <c r="L1050">
        <f t="shared" si="82"/>
        <v>3789.9774000000002</v>
      </c>
      <c r="M1050" s="1">
        <f t="shared" si="83"/>
        <v>3790.76</v>
      </c>
      <c r="N1050" s="1" t="s">
        <v>10</v>
      </c>
      <c r="O1050" s="1">
        <v>37.5</v>
      </c>
    </row>
    <row r="1051" spans="4:15" x14ac:dyDescent="0.3">
      <c r="D1051" s="1">
        <v>2054</v>
      </c>
      <c r="E1051" s="2">
        <v>43623</v>
      </c>
      <c r="F1051" s="1" t="s">
        <v>11</v>
      </c>
      <c r="G1051" s="1">
        <v>1</v>
      </c>
      <c r="H1051" t="str">
        <f t="shared" si="84"/>
        <v>Mini</v>
      </c>
      <c r="I1051" t="str">
        <f t="shared" si="80"/>
        <v>Mini</v>
      </c>
      <c r="J1051" s="1">
        <v>367.84</v>
      </c>
      <c r="K1051">
        <f t="shared" si="81"/>
        <v>0</v>
      </c>
      <c r="L1051">
        <f t="shared" si="82"/>
        <v>367.84</v>
      </c>
      <c r="M1051" s="1">
        <f t="shared" si="83"/>
        <v>367.84</v>
      </c>
      <c r="N1051" s="1" t="s">
        <v>10</v>
      </c>
      <c r="O1051" s="1">
        <v>21.4</v>
      </c>
    </row>
    <row r="1052" spans="4:15" x14ac:dyDescent="0.3">
      <c r="D1052" s="1">
        <v>50950</v>
      </c>
      <c r="E1052" s="2">
        <v>43829</v>
      </c>
      <c r="F1052" s="1" t="s">
        <v>11</v>
      </c>
      <c r="G1052" s="1">
        <v>35</v>
      </c>
      <c r="H1052" t="str">
        <f t="shared" si="84"/>
        <v>Large</v>
      </c>
      <c r="I1052" t="str">
        <f t="shared" si="80"/>
        <v>Large</v>
      </c>
      <c r="J1052" s="1">
        <v>479.46699999999998</v>
      </c>
      <c r="K1052">
        <f t="shared" si="81"/>
        <v>0</v>
      </c>
      <c r="L1052">
        <f t="shared" si="82"/>
        <v>479.46699999999998</v>
      </c>
      <c r="M1052" s="1">
        <f t="shared" si="83"/>
        <v>479.46699999999998</v>
      </c>
      <c r="N1052" s="1" t="s">
        <v>8</v>
      </c>
      <c r="O1052" s="1">
        <v>4.8</v>
      </c>
    </row>
    <row r="1053" spans="4:15" x14ac:dyDescent="0.3">
      <c r="D1053" s="1">
        <v>22434</v>
      </c>
      <c r="E1053" s="2">
        <v>43706</v>
      </c>
      <c r="F1053" s="1" t="s">
        <v>12</v>
      </c>
      <c r="G1053" s="1">
        <v>39</v>
      </c>
      <c r="H1053" t="str">
        <f t="shared" si="84"/>
        <v>Extra Large</v>
      </c>
      <c r="I1053" t="str">
        <f t="shared" si="80"/>
        <v>Extra Large</v>
      </c>
      <c r="J1053" s="1">
        <v>150.59</v>
      </c>
      <c r="K1053">
        <f t="shared" si="81"/>
        <v>0.01</v>
      </c>
      <c r="L1053">
        <f t="shared" si="82"/>
        <v>149.08410000000001</v>
      </c>
      <c r="M1053" s="1">
        <f t="shared" si="83"/>
        <v>146.39000000000001</v>
      </c>
      <c r="N1053" s="1" t="s">
        <v>10</v>
      </c>
      <c r="O1053" s="1">
        <v>4.2</v>
      </c>
    </row>
    <row r="1054" spans="4:15" x14ac:dyDescent="0.3">
      <c r="D1054" s="1">
        <v>54177</v>
      </c>
      <c r="E1054" s="2">
        <v>43489</v>
      </c>
      <c r="F1054" s="1" t="s">
        <v>12</v>
      </c>
      <c r="G1054" s="1">
        <v>12</v>
      </c>
      <c r="H1054" t="str">
        <f t="shared" si="84"/>
        <v>Small</v>
      </c>
      <c r="I1054" t="str">
        <f t="shared" si="80"/>
        <v>Small</v>
      </c>
      <c r="J1054" s="1">
        <v>514.38</v>
      </c>
      <c r="K1054">
        <f t="shared" si="81"/>
        <v>0</v>
      </c>
      <c r="L1054">
        <f t="shared" si="82"/>
        <v>514.38</v>
      </c>
      <c r="M1054" s="1">
        <f t="shared" si="83"/>
        <v>514.38</v>
      </c>
      <c r="N1054" s="1" t="s">
        <v>10</v>
      </c>
      <c r="O1054" s="1">
        <v>3.2</v>
      </c>
    </row>
    <row r="1055" spans="4:15" x14ac:dyDescent="0.3">
      <c r="D1055" s="1">
        <v>29607</v>
      </c>
      <c r="E1055" s="2">
        <v>43537</v>
      </c>
      <c r="F1055" s="1" t="s">
        <v>14</v>
      </c>
      <c r="G1055" s="1">
        <v>20</v>
      </c>
      <c r="H1055" t="str">
        <f t="shared" si="84"/>
        <v>Small-Medium</v>
      </c>
      <c r="I1055" t="str">
        <f t="shared" si="80"/>
        <v>Small-Medium</v>
      </c>
      <c r="J1055" s="1">
        <v>257.58999999999997</v>
      </c>
      <c r="K1055">
        <f t="shared" si="81"/>
        <v>0</v>
      </c>
      <c r="L1055">
        <f t="shared" si="82"/>
        <v>257.58999999999997</v>
      </c>
      <c r="M1055" s="1">
        <f t="shared" si="83"/>
        <v>257.58999999999997</v>
      </c>
      <c r="N1055" s="1" t="s">
        <v>10</v>
      </c>
      <c r="O1055" s="1">
        <v>5.4</v>
      </c>
    </row>
    <row r="1056" spans="4:15" x14ac:dyDescent="0.3">
      <c r="D1056" s="1">
        <v>12352</v>
      </c>
      <c r="E1056" s="2">
        <v>43547</v>
      </c>
      <c r="F1056" s="1" t="s">
        <v>14</v>
      </c>
      <c r="G1056" s="1">
        <v>5</v>
      </c>
      <c r="H1056" t="str">
        <f t="shared" si="84"/>
        <v>Mini</v>
      </c>
      <c r="I1056" t="str">
        <f t="shared" si="80"/>
        <v>Mini</v>
      </c>
      <c r="J1056" s="1">
        <v>39.44</v>
      </c>
      <c r="K1056">
        <f t="shared" si="81"/>
        <v>0</v>
      </c>
      <c r="L1056">
        <f t="shared" si="82"/>
        <v>39.44</v>
      </c>
      <c r="M1056" s="1">
        <f t="shared" si="83"/>
        <v>39.44</v>
      </c>
      <c r="N1056" s="1" t="s">
        <v>10</v>
      </c>
      <c r="O1056" s="1">
        <v>9.1</v>
      </c>
    </row>
    <row r="1057" spans="4:15" x14ac:dyDescent="0.3">
      <c r="D1057" s="1">
        <v>4230</v>
      </c>
      <c r="E1057" s="2">
        <v>43527</v>
      </c>
      <c r="F1057" s="1" t="s">
        <v>12</v>
      </c>
      <c r="G1057" s="1">
        <v>46</v>
      </c>
      <c r="H1057" t="str">
        <f t="shared" si="84"/>
        <v>XXX Large</v>
      </c>
      <c r="I1057" t="str">
        <f t="shared" si="80"/>
        <v>XXX Large</v>
      </c>
      <c r="J1057" s="1">
        <v>2683.9</v>
      </c>
      <c r="K1057">
        <f t="shared" si="81"/>
        <v>0.01</v>
      </c>
      <c r="L1057">
        <f t="shared" si="82"/>
        <v>2657.0610000000001</v>
      </c>
      <c r="M1057" s="1">
        <f t="shared" si="83"/>
        <v>2674.3</v>
      </c>
      <c r="N1057" s="1" t="s">
        <v>8</v>
      </c>
      <c r="O1057" s="1">
        <v>9.6</v>
      </c>
    </row>
    <row r="1058" spans="4:15" x14ac:dyDescent="0.3">
      <c r="D1058" s="1">
        <v>31106</v>
      </c>
      <c r="E1058" s="2">
        <v>43511</v>
      </c>
      <c r="F1058" s="1" t="s">
        <v>7</v>
      </c>
      <c r="G1058" s="1">
        <v>7</v>
      </c>
      <c r="H1058" t="str">
        <f t="shared" si="84"/>
        <v>Extra Small</v>
      </c>
      <c r="I1058" t="str">
        <f t="shared" si="80"/>
        <v>Extra Small</v>
      </c>
      <c r="J1058" s="1">
        <v>200.44</v>
      </c>
      <c r="K1058">
        <f t="shared" si="81"/>
        <v>0</v>
      </c>
      <c r="L1058">
        <f t="shared" si="82"/>
        <v>200.44</v>
      </c>
      <c r="M1058" s="1">
        <f t="shared" si="83"/>
        <v>200.44</v>
      </c>
      <c r="N1058" s="1" t="s">
        <v>10</v>
      </c>
      <c r="O1058" s="1">
        <v>10.6</v>
      </c>
    </row>
    <row r="1059" spans="4:15" x14ac:dyDescent="0.3">
      <c r="D1059" s="1">
        <v>44000</v>
      </c>
      <c r="E1059" s="2">
        <v>43742</v>
      </c>
      <c r="F1059" s="1" t="s">
        <v>11</v>
      </c>
      <c r="G1059" s="1">
        <v>15</v>
      </c>
      <c r="H1059" t="str">
        <f t="shared" si="84"/>
        <v>Small</v>
      </c>
      <c r="I1059" t="str">
        <f t="shared" si="80"/>
        <v>Small</v>
      </c>
      <c r="J1059" s="1">
        <v>538</v>
      </c>
      <c r="K1059">
        <f t="shared" si="81"/>
        <v>0</v>
      </c>
      <c r="L1059">
        <f t="shared" si="82"/>
        <v>538</v>
      </c>
      <c r="M1059" s="1">
        <f t="shared" si="83"/>
        <v>538</v>
      </c>
      <c r="N1059" s="1" t="s">
        <v>10</v>
      </c>
      <c r="O1059" s="1">
        <v>20.9</v>
      </c>
    </row>
    <row r="1060" spans="4:15" x14ac:dyDescent="0.3">
      <c r="D1060" s="1">
        <v>37315</v>
      </c>
      <c r="E1060" s="2">
        <v>43621</v>
      </c>
      <c r="F1060" s="1" t="s">
        <v>7</v>
      </c>
      <c r="G1060" s="1">
        <v>43</v>
      </c>
      <c r="H1060" t="str">
        <f t="shared" si="84"/>
        <v>XX Large</v>
      </c>
      <c r="I1060" t="str">
        <f t="shared" si="80"/>
        <v>XX Large</v>
      </c>
      <c r="J1060" s="1">
        <v>182.77</v>
      </c>
      <c r="K1060">
        <f t="shared" si="81"/>
        <v>0.01</v>
      </c>
      <c r="L1060">
        <f t="shared" si="82"/>
        <v>180.94230000000002</v>
      </c>
      <c r="M1060" s="1">
        <f t="shared" si="83"/>
        <v>177.27</v>
      </c>
      <c r="N1060" s="1" t="s">
        <v>10</v>
      </c>
      <c r="O1060" s="1">
        <v>5.5</v>
      </c>
    </row>
    <row r="1061" spans="4:15" x14ac:dyDescent="0.3">
      <c r="D1061" s="1">
        <v>16036</v>
      </c>
      <c r="E1061" s="2">
        <v>43469</v>
      </c>
      <c r="F1061" s="1" t="s">
        <v>14</v>
      </c>
      <c r="G1061" s="1">
        <v>28</v>
      </c>
      <c r="H1061" t="str">
        <f t="shared" si="84"/>
        <v>Medium-Large</v>
      </c>
      <c r="I1061" t="str">
        <f t="shared" si="80"/>
        <v>Medium-Large</v>
      </c>
      <c r="J1061" s="1">
        <v>181.06540000000001</v>
      </c>
      <c r="K1061">
        <f t="shared" si="81"/>
        <v>0</v>
      </c>
      <c r="L1061">
        <f t="shared" si="82"/>
        <v>181.06540000000001</v>
      </c>
      <c r="M1061" s="1">
        <f t="shared" si="83"/>
        <v>181.06540000000001</v>
      </c>
      <c r="N1061" s="1" t="s">
        <v>10</v>
      </c>
      <c r="O1061" s="1">
        <v>9.1</v>
      </c>
    </row>
    <row r="1062" spans="4:15" x14ac:dyDescent="0.3">
      <c r="D1062" s="1">
        <v>53445</v>
      </c>
      <c r="E1062" s="2">
        <v>43762</v>
      </c>
      <c r="F1062" s="1" t="s">
        <v>9</v>
      </c>
      <c r="G1062" s="1">
        <v>8</v>
      </c>
      <c r="H1062" t="str">
        <f t="shared" si="84"/>
        <v>Extra Small</v>
      </c>
      <c r="I1062" t="str">
        <f t="shared" si="80"/>
        <v>Extra Small</v>
      </c>
      <c r="J1062" s="1">
        <v>113.3665</v>
      </c>
      <c r="K1062">
        <f t="shared" si="81"/>
        <v>0</v>
      </c>
      <c r="L1062">
        <f t="shared" si="82"/>
        <v>113.3665</v>
      </c>
      <c r="M1062" s="1">
        <f t="shared" si="83"/>
        <v>113.3665</v>
      </c>
      <c r="N1062" s="1" t="s">
        <v>10</v>
      </c>
      <c r="O1062" s="1">
        <v>9.6</v>
      </c>
    </row>
    <row r="1063" spans="4:15" x14ac:dyDescent="0.3">
      <c r="D1063" s="1">
        <v>8167</v>
      </c>
      <c r="E1063" s="2">
        <v>43681</v>
      </c>
      <c r="F1063" s="1" t="s">
        <v>12</v>
      </c>
      <c r="G1063" s="1">
        <v>48</v>
      </c>
      <c r="H1063" t="str">
        <f t="shared" si="84"/>
        <v>XXX Large</v>
      </c>
      <c r="I1063" t="str">
        <f t="shared" si="80"/>
        <v>XXX Large</v>
      </c>
      <c r="J1063" s="1">
        <v>1550.75</v>
      </c>
      <c r="K1063">
        <f t="shared" si="81"/>
        <v>0.01</v>
      </c>
      <c r="L1063">
        <f t="shared" si="82"/>
        <v>1535.2425000000001</v>
      </c>
      <c r="M1063" s="1">
        <f t="shared" si="83"/>
        <v>1549.45</v>
      </c>
      <c r="N1063" s="1" t="s">
        <v>10</v>
      </c>
      <c r="O1063" s="1">
        <v>1.3</v>
      </c>
    </row>
    <row r="1064" spans="4:15" x14ac:dyDescent="0.3">
      <c r="D1064" s="1">
        <v>10439</v>
      </c>
      <c r="E1064" s="2">
        <v>43552</v>
      </c>
      <c r="F1064" s="1" t="s">
        <v>11</v>
      </c>
      <c r="G1064" s="1">
        <v>46</v>
      </c>
      <c r="H1064" t="str">
        <f t="shared" si="84"/>
        <v>XXX Large</v>
      </c>
      <c r="I1064" t="str">
        <f t="shared" si="80"/>
        <v>XXX Large</v>
      </c>
      <c r="J1064" s="1">
        <v>240.89</v>
      </c>
      <c r="K1064">
        <f t="shared" si="81"/>
        <v>0.01</v>
      </c>
      <c r="L1064">
        <f t="shared" si="82"/>
        <v>238.4811</v>
      </c>
      <c r="M1064" s="1">
        <f t="shared" si="83"/>
        <v>233.19</v>
      </c>
      <c r="N1064" s="1" t="s">
        <v>8</v>
      </c>
      <c r="O1064" s="1">
        <v>7.7</v>
      </c>
    </row>
    <row r="1065" spans="4:15" x14ac:dyDescent="0.3">
      <c r="D1065" s="1">
        <v>26310</v>
      </c>
      <c r="E1065" s="2">
        <v>43675</v>
      </c>
      <c r="F1065" s="1" t="s">
        <v>11</v>
      </c>
      <c r="G1065" s="1">
        <v>19</v>
      </c>
      <c r="H1065" t="str">
        <f t="shared" si="84"/>
        <v>Small-Medium</v>
      </c>
      <c r="I1065" t="str">
        <f t="shared" si="80"/>
        <v>Small-Medium</v>
      </c>
      <c r="J1065" s="1">
        <v>120.56</v>
      </c>
      <c r="K1065">
        <f t="shared" si="81"/>
        <v>0</v>
      </c>
      <c r="L1065">
        <f t="shared" si="82"/>
        <v>120.56</v>
      </c>
      <c r="M1065" s="1">
        <f t="shared" si="83"/>
        <v>120.56</v>
      </c>
      <c r="N1065" s="1" t="s">
        <v>10</v>
      </c>
      <c r="O1065" s="1">
        <v>5.5</v>
      </c>
    </row>
    <row r="1066" spans="4:15" x14ac:dyDescent="0.3">
      <c r="D1066" s="1">
        <v>33414</v>
      </c>
      <c r="E1066" s="2">
        <v>43505</v>
      </c>
      <c r="F1066" s="1" t="s">
        <v>11</v>
      </c>
      <c r="G1066" s="1">
        <v>9</v>
      </c>
      <c r="H1066" t="str">
        <f t="shared" si="84"/>
        <v>Extra Small</v>
      </c>
      <c r="I1066" t="str">
        <f t="shared" si="80"/>
        <v>Extra Small</v>
      </c>
      <c r="J1066" s="1">
        <v>39.83</v>
      </c>
      <c r="K1066">
        <f t="shared" si="81"/>
        <v>0</v>
      </c>
      <c r="L1066">
        <f t="shared" si="82"/>
        <v>39.83</v>
      </c>
      <c r="M1066" s="1">
        <f t="shared" si="83"/>
        <v>39.83</v>
      </c>
      <c r="N1066" s="1" t="s">
        <v>10</v>
      </c>
      <c r="O1066" s="1">
        <v>1.3</v>
      </c>
    </row>
    <row r="1067" spans="4:15" x14ac:dyDescent="0.3">
      <c r="D1067" s="1">
        <v>30786</v>
      </c>
      <c r="E1067" s="2">
        <v>43662</v>
      </c>
      <c r="F1067" s="1" t="s">
        <v>14</v>
      </c>
      <c r="G1067" s="1">
        <v>23</v>
      </c>
      <c r="H1067" t="str">
        <f t="shared" si="84"/>
        <v>Medium</v>
      </c>
      <c r="I1067" t="str">
        <f t="shared" si="80"/>
        <v>Medium</v>
      </c>
      <c r="J1067" s="1">
        <v>70.523700000000005</v>
      </c>
      <c r="K1067">
        <f t="shared" si="81"/>
        <v>0</v>
      </c>
      <c r="L1067">
        <f t="shared" si="82"/>
        <v>70.523700000000005</v>
      </c>
      <c r="M1067" s="1">
        <f t="shared" si="83"/>
        <v>70.523700000000005</v>
      </c>
      <c r="N1067" s="1" t="s">
        <v>10</v>
      </c>
      <c r="O1067" s="1">
        <v>1.4</v>
      </c>
    </row>
    <row r="1068" spans="4:15" x14ac:dyDescent="0.3">
      <c r="D1068" s="1">
        <v>46048</v>
      </c>
      <c r="E1068" s="2">
        <v>43810</v>
      </c>
      <c r="F1068" s="1" t="s">
        <v>14</v>
      </c>
      <c r="G1068" s="1">
        <v>10</v>
      </c>
      <c r="H1068" t="str">
        <f t="shared" si="84"/>
        <v>Extra Small</v>
      </c>
      <c r="I1068" t="str">
        <f t="shared" si="80"/>
        <v>Extra Small</v>
      </c>
      <c r="J1068" s="1">
        <v>145.27000000000001</v>
      </c>
      <c r="K1068">
        <f t="shared" si="81"/>
        <v>0</v>
      </c>
      <c r="L1068">
        <f t="shared" si="82"/>
        <v>145.27000000000001</v>
      </c>
      <c r="M1068" s="1">
        <f t="shared" si="83"/>
        <v>145.27000000000001</v>
      </c>
      <c r="N1068" s="1" t="s">
        <v>8</v>
      </c>
      <c r="O1068" s="1">
        <v>3.4</v>
      </c>
    </row>
    <row r="1069" spans="4:15" x14ac:dyDescent="0.3">
      <c r="D1069" s="1">
        <v>46979</v>
      </c>
      <c r="E1069" s="2">
        <v>43662</v>
      </c>
      <c r="F1069" s="1" t="s">
        <v>7</v>
      </c>
      <c r="G1069" s="1">
        <v>30</v>
      </c>
      <c r="H1069" t="str">
        <f t="shared" si="84"/>
        <v>Medium-Large</v>
      </c>
      <c r="I1069" t="str">
        <f t="shared" si="80"/>
        <v>Medium-Large</v>
      </c>
      <c r="J1069" s="1">
        <v>9328.75</v>
      </c>
      <c r="K1069">
        <f t="shared" si="81"/>
        <v>0</v>
      </c>
      <c r="L1069">
        <f t="shared" si="82"/>
        <v>9328.75</v>
      </c>
      <c r="M1069" s="1">
        <f t="shared" si="83"/>
        <v>9328.75</v>
      </c>
      <c r="N1069" s="1" t="s">
        <v>13</v>
      </c>
      <c r="O1069" s="1">
        <v>28.4</v>
      </c>
    </row>
    <row r="1070" spans="4:15" x14ac:dyDescent="0.3">
      <c r="D1070" s="1">
        <v>29216</v>
      </c>
      <c r="E1070" s="2">
        <v>43828</v>
      </c>
      <c r="F1070" s="1" t="s">
        <v>12</v>
      </c>
      <c r="G1070" s="1">
        <v>46</v>
      </c>
      <c r="H1070" t="str">
        <f t="shared" si="84"/>
        <v>XXX Large</v>
      </c>
      <c r="I1070" t="str">
        <f t="shared" si="80"/>
        <v>XXX Large</v>
      </c>
      <c r="J1070" s="1">
        <v>2072</v>
      </c>
      <c r="K1070">
        <f t="shared" si="81"/>
        <v>0.01</v>
      </c>
      <c r="L1070">
        <f t="shared" si="82"/>
        <v>2051.2800000000002</v>
      </c>
      <c r="M1070" s="1">
        <f t="shared" si="83"/>
        <v>2067.6999999999998</v>
      </c>
      <c r="N1070" s="1" t="s">
        <v>10</v>
      </c>
      <c r="O1070" s="1">
        <v>4.3</v>
      </c>
    </row>
    <row r="1071" spans="4:15" x14ac:dyDescent="0.3">
      <c r="D1071" s="1">
        <v>46852</v>
      </c>
      <c r="E1071" s="2">
        <v>43492</v>
      </c>
      <c r="F1071" s="1" t="s">
        <v>11</v>
      </c>
      <c r="G1071" s="1">
        <v>44</v>
      </c>
      <c r="H1071" t="str">
        <f t="shared" si="84"/>
        <v>XX Large</v>
      </c>
      <c r="I1071" t="str">
        <f t="shared" si="80"/>
        <v>XX Large</v>
      </c>
      <c r="J1071" s="1">
        <v>235.47</v>
      </c>
      <c r="K1071">
        <f t="shared" si="81"/>
        <v>0.01</v>
      </c>
      <c r="L1071">
        <f t="shared" si="82"/>
        <v>233.11529999999999</v>
      </c>
      <c r="M1071" s="1">
        <f t="shared" si="83"/>
        <v>230.17</v>
      </c>
      <c r="N1071" s="1" t="s">
        <v>10</v>
      </c>
      <c r="O1071" s="1">
        <v>5.3</v>
      </c>
    </row>
    <row r="1072" spans="4:15" x14ac:dyDescent="0.3">
      <c r="D1072" s="1">
        <v>56514</v>
      </c>
      <c r="E1072" s="2">
        <v>43506</v>
      </c>
      <c r="F1072" s="1" t="s">
        <v>7</v>
      </c>
      <c r="G1072" s="1">
        <v>3</v>
      </c>
      <c r="H1072" t="str">
        <f t="shared" si="84"/>
        <v>Mini</v>
      </c>
      <c r="I1072" t="str">
        <f t="shared" si="80"/>
        <v>Mini</v>
      </c>
      <c r="J1072" s="1">
        <v>117.7</v>
      </c>
      <c r="K1072">
        <f t="shared" si="81"/>
        <v>0</v>
      </c>
      <c r="L1072">
        <f t="shared" si="82"/>
        <v>117.7</v>
      </c>
      <c r="M1072" s="1">
        <f t="shared" si="83"/>
        <v>117.7</v>
      </c>
      <c r="N1072" s="1" t="s">
        <v>10</v>
      </c>
      <c r="O1072" s="1">
        <v>12.4</v>
      </c>
    </row>
    <row r="1073" spans="4:15" x14ac:dyDescent="0.3">
      <c r="D1073" s="1">
        <v>33731</v>
      </c>
      <c r="E1073" s="2">
        <v>43746</v>
      </c>
      <c r="F1073" s="1" t="s">
        <v>9</v>
      </c>
      <c r="G1073" s="1">
        <v>32</v>
      </c>
      <c r="H1073" t="str">
        <f t="shared" si="84"/>
        <v>Large</v>
      </c>
      <c r="I1073" t="str">
        <f t="shared" si="80"/>
        <v>Large</v>
      </c>
      <c r="J1073" s="1">
        <v>116.64</v>
      </c>
      <c r="K1073">
        <f t="shared" si="81"/>
        <v>0</v>
      </c>
      <c r="L1073">
        <f t="shared" si="82"/>
        <v>116.64</v>
      </c>
      <c r="M1073" s="1">
        <f t="shared" si="83"/>
        <v>116.64</v>
      </c>
      <c r="N1073" s="1" t="s">
        <v>10</v>
      </c>
      <c r="O1073" s="1">
        <v>1.7</v>
      </c>
    </row>
    <row r="1074" spans="4:15" x14ac:dyDescent="0.3">
      <c r="D1074" s="1">
        <v>30436</v>
      </c>
      <c r="E1074" s="2">
        <v>43653</v>
      </c>
      <c r="F1074" s="1" t="s">
        <v>7</v>
      </c>
      <c r="G1074" s="1">
        <v>30</v>
      </c>
      <c r="H1074" t="str">
        <f t="shared" si="84"/>
        <v>Medium-Large</v>
      </c>
      <c r="I1074" t="str">
        <f t="shared" si="80"/>
        <v>Medium-Large</v>
      </c>
      <c r="J1074" s="1">
        <v>129.67330000000001</v>
      </c>
      <c r="K1074">
        <f t="shared" si="81"/>
        <v>0</v>
      </c>
      <c r="L1074">
        <f t="shared" si="82"/>
        <v>129.67330000000001</v>
      </c>
      <c r="M1074" s="1">
        <f t="shared" si="83"/>
        <v>129.67330000000001</v>
      </c>
      <c r="N1074" s="1" t="s">
        <v>8</v>
      </c>
      <c r="O1074" s="1">
        <v>7.5</v>
      </c>
    </row>
    <row r="1075" spans="4:15" x14ac:dyDescent="0.3">
      <c r="D1075" s="1">
        <v>10982</v>
      </c>
      <c r="E1075" s="2">
        <v>43809</v>
      </c>
      <c r="F1075" s="1" t="s">
        <v>11</v>
      </c>
      <c r="G1075" s="1">
        <v>29</v>
      </c>
      <c r="H1075" t="str">
        <f t="shared" si="84"/>
        <v>Medium-Large</v>
      </c>
      <c r="I1075" t="str">
        <f t="shared" si="80"/>
        <v>Medium-Large</v>
      </c>
      <c r="J1075" s="1">
        <v>575.95000000000005</v>
      </c>
      <c r="K1075">
        <f t="shared" si="81"/>
        <v>0</v>
      </c>
      <c r="L1075">
        <f t="shared" si="82"/>
        <v>575.95000000000005</v>
      </c>
      <c r="M1075" s="1">
        <f t="shared" si="83"/>
        <v>575.95000000000005</v>
      </c>
      <c r="N1075" s="1" t="s">
        <v>10</v>
      </c>
      <c r="O1075" s="1">
        <v>1.6</v>
      </c>
    </row>
    <row r="1076" spans="4:15" x14ac:dyDescent="0.3">
      <c r="D1076" s="1">
        <v>1701</v>
      </c>
      <c r="E1076" s="2">
        <v>43603</v>
      </c>
      <c r="F1076" s="1" t="s">
        <v>9</v>
      </c>
      <c r="G1076" s="1">
        <v>1</v>
      </c>
      <c r="H1076" t="str">
        <f t="shared" si="84"/>
        <v>Mini</v>
      </c>
      <c r="I1076" t="str">
        <f t="shared" si="80"/>
        <v>Mini</v>
      </c>
      <c r="J1076" s="1">
        <v>60.57</v>
      </c>
      <c r="K1076">
        <f t="shared" si="81"/>
        <v>0</v>
      </c>
      <c r="L1076">
        <f t="shared" si="82"/>
        <v>60.57</v>
      </c>
      <c r="M1076" s="1">
        <f t="shared" si="83"/>
        <v>60.57</v>
      </c>
      <c r="N1076" s="1" t="s">
        <v>10</v>
      </c>
      <c r="O1076" s="1">
        <v>15.5</v>
      </c>
    </row>
    <row r="1077" spans="4:15" x14ac:dyDescent="0.3">
      <c r="D1077" s="1">
        <v>22432</v>
      </c>
      <c r="E1077" s="2">
        <v>43797</v>
      </c>
      <c r="F1077" s="1" t="s">
        <v>11</v>
      </c>
      <c r="G1077" s="1">
        <v>45</v>
      </c>
      <c r="H1077" t="str">
        <f t="shared" si="84"/>
        <v>XX Large</v>
      </c>
      <c r="I1077" t="str">
        <f t="shared" si="80"/>
        <v>XX Large</v>
      </c>
      <c r="J1077" s="1">
        <v>2919.4094</v>
      </c>
      <c r="K1077">
        <f t="shared" si="81"/>
        <v>0.01</v>
      </c>
      <c r="L1077">
        <f t="shared" si="82"/>
        <v>2890.2153060000001</v>
      </c>
      <c r="M1077" s="1">
        <f t="shared" si="83"/>
        <v>2898.0093999999999</v>
      </c>
      <c r="N1077" s="1" t="s">
        <v>10</v>
      </c>
      <c r="O1077" s="1">
        <v>21.4</v>
      </c>
    </row>
    <row r="1078" spans="4:15" x14ac:dyDescent="0.3">
      <c r="D1078" s="1">
        <v>22085</v>
      </c>
      <c r="E1078" s="2">
        <v>43533</v>
      </c>
      <c r="F1078" s="1" t="s">
        <v>7</v>
      </c>
      <c r="G1078" s="1">
        <v>41</v>
      </c>
      <c r="H1078" t="str">
        <f t="shared" si="84"/>
        <v>XX Large</v>
      </c>
      <c r="I1078" t="str">
        <f t="shared" si="80"/>
        <v>XX Large</v>
      </c>
      <c r="J1078" s="1">
        <v>284.2</v>
      </c>
      <c r="K1078">
        <f t="shared" si="81"/>
        <v>0.01</v>
      </c>
      <c r="L1078">
        <f t="shared" si="82"/>
        <v>281.358</v>
      </c>
      <c r="M1078" s="1">
        <f t="shared" si="83"/>
        <v>276.3</v>
      </c>
      <c r="N1078" s="1" t="s">
        <v>10</v>
      </c>
      <c r="O1078" s="1">
        <v>7.9</v>
      </c>
    </row>
    <row r="1079" spans="4:15" x14ac:dyDescent="0.3">
      <c r="D1079" s="1">
        <v>59685</v>
      </c>
      <c r="E1079" s="2">
        <v>43809</v>
      </c>
      <c r="F1079" s="1" t="s">
        <v>12</v>
      </c>
      <c r="G1079" s="1">
        <v>12</v>
      </c>
      <c r="H1079" t="str">
        <f t="shared" si="84"/>
        <v>Small</v>
      </c>
      <c r="I1079" t="str">
        <f t="shared" si="80"/>
        <v>Small</v>
      </c>
      <c r="J1079" s="1">
        <v>540.55999999999995</v>
      </c>
      <c r="K1079">
        <f t="shared" si="81"/>
        <v>0</v>
      </c>
      <c r="L1079">
        <f t="shared" si="82"/>
        <v>540.55999999999995</v>
      </c>
      <c r="M1079" s="1">
        <f t="shared" si="83"/>
        <v>540.55999999999995</v>
      </c>
      <c r="N1079" s="1" t="s">
        <v>10</v>
      </c>
      <c r="O1079" s="1">
        <v>5.7</v>
      </c>
    </row>
    <row r="1080" spans="4:15" x14ac:dyDescent="0.3">
      <c r="D1080" s="1">
        <v>40901</v>
      </c>
      <c r="E1080" s="2">
        <v>43675</v>
      </c>
      <c r="F1080" s="1" t="s">
        <v>14</v>
      </c>
      <c r="G1080" s="1">
        <v>40</v>
      </c>
      <c r="H1080" t="str">
        <f t="shared" si="84"/>
        <v>Extra Large</v>
      </c>
      <c r="I1080" t="str">
        <f t="shared" si="80"/>
        <v>Extra Large</v>
      </c>
      <c r="J1080" s="1">
        <v>292.25979999999998</v>
      </c>
      <c r="K1080">
        <f t="shared" si="81"/>
        <v>0.01</v>
      </c>
      <c r="L1080">
        <f t="shared" si="82"/>
        <v>289.33720199999999</v>
      </c>
      <c r="M1080" s="1">
        <f t="shared" si="83"/>
        <v>287.85980000000001</v>
      </c>
      <c r="N1080" s="1" t="s">
        <v>10</v>
      </c>
      <c r="O1080" s="1">
        <v>4.4000000000000004</v>
      </c>
    </row>
    <row r="1081" spans="4:15" x14ac:dyDescent="0.3">
      <c r="D1081" s="1">
        <v>21223</v>
      </c>
      <c r="E1081" s="2">
        <v>43539</v>
      </c>
      <c r="F1081" s="1" t="s">
        <v>11</v>
      </c>
      <c r="G1081" s="1">
        <v>8</v>
      </c>
      <c r="H1081" t="str">
        <f t="shared" si="84"/>
        <v>Extra Small</v>
      </c>
      <c r="I1081" t="str">
        <f t="shared" si="80"/>
        <v>Extra Small</v>
      </c>
      <c r="J1081" s="1">
        <v>465.76</v>
      </c>
      <c r="K1081">
        <f t="shared" si="81"/>
        <v>0</v>
      </c>
      <c r="L1081">
        <f t="shared" si="82"/>
        <v>465.76</v>
      </c>
      <c r="M1081" s="1">
        <f t="shared" si="83"/>
        <v>465.76</v>
      </c>
      <c r="N1081" s="1" t="s">
        <v>10</v>
      </c>
      <c r="O1081" s="1">
        <v>19.7</v>
      </c>
    </row>
    <row r="1082" spans="4:15" x14ac:dyDescent="0.3">
      <c r="D1082" s="1">
        <v>57093</v>
      </c>
      <c r="E1082" s="2">
        <v>43587</v>
      </c>
      <c r="F1082" s="1" t="s">
        <v>7</v>
      </c>
      <c r="G1082" s="1">
        <v>3</v>
      </c>
      <c r="H1082" t="str">
        <f t="shared" si="84"/>
        <v>Mini</v>
      </c>
      <c r="I1082" t="str">
        <f t="shared" si="80"/>
        <v>Mini</v>
      </c>
      <c r="J1082" s="1">
        <v>20.3</v>
      </c>
      <c r="K1082">
        <f t="shared" si="81"/>
        <v>0</v>
      </c>
      <c r="L1082">
        <f t="shared" si="82"/>
        <v>20.3</v>
      </c>
      <c r="M1082" s="1">
        <f t="shared" si="83"/>
        <v>20.3</v>
      </c>
      <c r="N1082" s="1" t="s">
        <v>10</v>
      </c>
      <c r="O1082" s="1">
        <v>3.2</v>
      </c>
    </row>
    <row r="1083" spans="4:15" x14ac:dyDescent="0.3">
      <c r="D1083" s="1">
        <v>55170</v>
      </c>
      <c r="E1083" s="2">
        <v>43729</v>
      </c>
      <c r="F1083" s="1" t="s">
        <v>12</v>
      </c>
      <c r="G1083" s="1">
        <v>22</v>
      </c>
      <c r="H1083" t="str">
        <f t="shared" si="84"/>
        <v>Medium</v>
      </c>
      <c r="I1083" t="str">
        <f t="shared" si="80"/>
        <v>Medium</v>
      </c>
      <c r="J1083" s="1">
        <v>1054.26</v>
      </c>
      <c r="K1083">
        <f t="shared" si="81"/>
        <v>0</v>
      </c>
      <c r="L1083">
        <f t="shared" si="82"/>
        <v>1054.26</v>
      </c>
      <c r="M1083" s="1">
        <f t="shared" si="83"/>
        <v>1054.26</v>
      </c>
      <c r="N1083" s="1" t="s">
        <v>8</v>
      </c>
      <c r="O1083" s="1">
        <v>9.6</v>
      </c>
    </row>
    <row r="1084" spans="4:15" x14ac:dyDescent="0.3">
      <c r="D1084" s="1">
        <v>55239</v>
      </c>
      <c r="E1084" s="2">
        <v>43802</v>
      </c>
      <c r="F1084" s="1" t="s">
        <v>12</v>
      </c>
      <c r="G1084" s="1">
        <v>13</v>
      </c>
      <c r="H1084" t="str">
        <f t="shared" si="84"/>
        <v>Small</v>
      </c>
      <c r="I1084" t="str">
        <f t="shared" si="80"/>
        <v>Small</v>
      </c>
      <c r="J1084" s="1">
        <v>102.38</v>
      </c>
      <c r="K1084">
        <f t="shared" si="81"/>
        <v>0</v>
      </c>
      <c r="L1084">
        <f t="shared" si="82"/>
        <v>102.38</v>
      </c>
      <c r="M1084" s="1">
        <f t="shared" si="83"/>
        <v>102.38</v>
      </c>
      <c r="N1084" s="1" t="s">
        <v>8</v>
      </c>
      <c r="O1084" s="1">
        <v>5.5</v>
      </c>
    </row>
    <row r="1085" spans="4:15" x14ac:dyDescent="0.3">
      <c r="D1085" s="1">
        <v>11362</v>
      </c>
      <c r="E1085" s="2">
        <v>43718</v>
      </c>
      <c r="F1085" s="1" t="s">
        <v>7</v>
      </c>
      <c r="G1085" s="1">
        <v>25</v>
      </c>
      <c r="H1085" t="str">
        <f t="shared" si="84"/>
        <v>Medium</v>
      </c>
      <c r="I1085" t="str">
        <f t="shared" si="80"/>
        <v>Medium</v>
      </c>
      <c r="J1085" s="1">
        <v>2576.23</v>
      </c>
      <c r="K1085">
        <f t="shared" si="81"/>
        <v>0</v>
      </c>
      <c r="L1085">
        <f t="shared" si="82"/>
        <v>2576.23</v>
      </c>
      <c r="M1085" s="1">
        <f t="shared" si="83"/>
        <v>2576.23</v>
      </c>
      <c r="N1085" s="1" t="s">
        <v>10</v>
      </c>
      <c r="O1085" s="1">
        <v>9.6</v>
      </c>
    </row>
    <row r="1086" spans="4:15" x14ac:dyDescent="0.3">
      <c r="D1086" s="1">
        <v>15712</v>
      </c>
      <c r="E1086" s="2">
        <v>43803</v>
      </c>
      <c r="F1086" s="1" t="s">
        <v>9</v>
      </c>
      <c r="G1086" s="1">
        <v>1</v>
      </c>
      <c r="H1086" t="str">
        <f t="shared" si="84"/>
        <v>Mini</v>
      </c>
      <c r="I1086" t="str">
        <f t="shared" si="80"/>
        <v>Mini</v>
      </c>
      <c r="J1086" s="1">
        <v>110.1</v>
      </c>
      <c r="K1086">
        <f t="shared" si="81"/>
        <v>0</v>
      </c>
      <c r="L1086">
        <f t="shared" si="82"/>
        <v>110.1</v>
      </c>
      <c r="M1086" s="1">
        <f t="shared" si="83"/>
        <v>110.1</v>
      </c>
      <c r="N1086" s="1" t="s">
        <v>13</v>
      </c>
      <c r="O1086" s="1">
        <v>57.9</v>
      </c>
    </row>
    <row r="1087" spans="4:15" x14ac:dyDescent="0.3">
      <c r="D1087" s="1">
        <v>43523</v>
      </c>
      <c r="E1087" s="2">
        <v>43608</v>
      </c>
      <c r="F1087" s="1" t="s">
        <v>14</v>
      </c>
      <c r="G1087" s="1">
        <v>50</v>
      </c>
      <c r="H1087" t="str">
        <f t="shared" si="84"/>
        <v>XXX Large</v>
      </c>
      <c r="I1087" t="str">
        <f t="shared" si="80"/>
        <v>XXX Large</v>
      </c>
      <c r="J1087" s="1">
        <v>316.05</v>
      </c>
      <c r="K1087">
        <f t="shared" si="81"/>
        <v>0.01</v>
      </c>
      <c r="L1087">
        <f t="shared" si="82"/>
        <v>312.8895</v>
      </c>
      <c r="M1087" s="1">
        <f t="shared" si="83"/>
        <v>310.25</v>
      </c>
      <c r="N1087" s="1" t="s">
        <v>10</v>
      </c>
      <c r="O1087" s="1">
        <v>5.8</v>
      </c>
    </row>
    <row r="1088" spans="4:15" x14ac:dyDescent="0.3">
      <c r="D1088" s="1">
        <v>5860</v>
      </c>
      <c r="E1088" s="2">
        <v>43514</v>
      </c>
      <c r="F1088" s="1" t="s">
        <v>11</v>
      </c>
      <c r="G1088" s="1">
        <v>12</v>
      </c>
      <c r="H1088" t="str">
        <f t="shared" si="84"/>
        <v>Small</v>
      </c>
      <c r="I1088" t="str">
        <f t="shared" si="80"/>
        <v>Small</v>
      </c>
      <c r="J1088" s="1">
        <v>60.7</v>
      </c>
      <c r="K1088">
        <f t="shared" si="81"/>
        <v>0</v>
      </c>
      <c r="L1088">
        <f t="shared" si="82"/>
        <v>60.7</v>
      </c>
      <c r="M1088" s="1">
        <f t="shared" si="83"/>
        <v>60.7</v>
      </c>
      <c r="N1088" s="1" t="s">
        <v>10</v>
      </c>
      <c r="O1088" s="1">
        <v>0.8</v>
      </c>
    </row>
    <row r="1089" spans="4:15" x14ac:dyDescent="0.3">
      <c r="D1089" s="1">
        <v>130</v>
      </c>
      <c r="E1089" s="2">
        <v>43592</v>
      </c>
      <c r="F1089" s="1" t="s">
        <v>9</v>
      </c>
      <c r="G1089" s="1">
        <v>3</v>
      </c>
      <c r="H1089" t="str">
        <f t="shared" si="84"/>
        <v>Mini</v>
      </c>
      <c r="I1089" t="str">
        <f t="shared" si="80"/>
        <v>Mini</v>
      </c>
      <c r="J1089" s="1">
        <v>494.22</v>
      </c>
      <c r="K1089">
        <f t="shared" si="81"/>
        <v>0</v>
      </c>
      <c r="L1089">
        <f t="shared" si="82"/>
        <v>494.22</v>
      </c>
      <c r="M1089" s="1">
        <f t="shared" si="83"/>
        <v>494.22</v>
      </c>
      <c r="N1089" s="1" t="s">
        <v>8</v>
      </c>
      <c r="O1089" s="1">
        <v>15</v>
      </c>
    </row>
    <row r="1090" spans="4:15" x14ac:dyDescent="0.3">
      <c r="D1090" s="1">
        <v>33541</v>
      </c>
      <c r="E1090" s="2">
        <v>43635</v>
      </c>
      <c r="F1090" s="1" t="s">
        <v>12</v>
      </c>
      <c r="G1090" s="1">
        <v>43</v>
      </c>
      <c r="H1090" t="str">
        <f t="shared" si="84"/>
        <v>XX Large</v>
      </c>
      <c r="I1090" t="str">
        <f t="shared" si="80"/>
        <v>XX Large</v>
      </c>
      <c r="J1090" s="1">
        <v>548.66999999999996</v>
      </c>
      <c r="K1090">
        <f t="shared" si="81"/>
        <v>0.01</v>
      </c>
      <c r="L1090">
        <f t="shared" si="82"/>
        <v>543.18329999999992</v>
      </c>
      <c r="M1090" s="1">
        <f t="shared" si="83"/>
        <v>542.27</v>
      </c>
      <c r="N1090" s="1" t="s">
        <v>10</v>
      </c>
      <c r="O1090" s="1">
        <v>6.4</v>
      </c>
    </row>
    <row r="1091" spans="4:15" x14ac:dyDescent="0.3">
      <c r="D1091" s="1">
        <v>37895</v>
      </c>
      <c r="E1091" s="2">
        <v>43554</v>
      </c>
      <c r="F1091" s="1" t="s">
        <v>12</v>
      </c>
      <c r="G1091" s="1">
        <v>14</v>
      </c>
      <c r="H1091" t="str">
        <f t="shared" si="84"/>
        <v>Small</v>
      </c>
      <c r="I1091" t="str">
        <f t="shared" ref="I1091:I1154" si="85">VLOOKUP(G1091, $A$3:$B$12, 2, TRUE)</f>
        <v>Small</v>
      </c>
      <c r="J1091" s="1">
        <v>325.98</v>
      </c>
      <c r="K1091">
        <f t="shared" ref="K1091:K1154" si="86">IF(OR(I1091="Extra Large", I1091="XX Large", I1091="XXX Large"), 0.01, 0)</f>
        <v>0</v>
      </c>
      <c r="L1091">
        <f t="shared" ref="L1091:L1154" si="87">J1091 * (1 - K1091)</f>
        <v>325.98</v>
      </c>
      <c r="M1091" s="1">
        <f t="shared" ref="M1091:M1154" si="88">IF(OR(I1091="Extra Large",I1091="XX Large",I1091="XXX Large"),J1091-O1091,J1091)</f>
        <v>325.98</v>
      </c>
      <c r="N1091" s="1" t="s">
        <v>10</v>
      </c>
      <c r="O1091" s="1">
        <v>8.9</v>
      </c>
    </row>
    <row r="1092" spans="4:15" x14ac:dyDescent="0.3">
      <c r="D1092" s="1">
        <v>46566</v>
      </c>
      <c r="E1092" s="2">
        <v>43564</v>
      </c>
      <c r="F1092" s="1" t="s">
        <v>14</v>
      </c>
      <c r="G1092" s="1">
        <v>49</v>
      </c>
      <c r="H1092" t="str">
        <f t="shared" si="84"/>
        <v>XXX Large</v>
      </c>
      <c r="I1092" t="str">
        <f t="shared" si="85"/>
        <v>XXX Large</v>
      </c>
      <c r="J1092" s="1">
        <v>1642.13</v>
      </c>
      <c r="K1092">
        <f t="shared" si="86"/>
        <v>0.01</v>
      </c>
      <c r="L1092">
        <f t="shared" si="87"/>
        <v>1625.7087000000001</v>
      </c>
      <c r="M1092" s="1">
        <f t="shared" si="88"/>
        <v>1638.23</v>
      </c>
      <c r="N1092" s="1" t="s">
        <v>10</v>
      </c>
      <c r="O1092" s="1">
        <v>3.9</v>
      </c>
    </row>
    <row r="1093" spans="4:15" x14ac:dyDescent="0.3">
      <c r="D1093" s="1">
        <v>4705</v>
      </c>
      <c r="E1093" s="2">
        <v>43545</v>
      </c>
      <c r="F1093" s="1" t="s">
        <v>11</v>
      </c>
      <c r="G1093" s="1">
        <v>16</v>
      </c>
      <c r="H1093" t="str">
        <f t="shared" ref="H1093:H1156" si="89">VLOOKUP(G1093, $A$3:$B$12, 2, TRUE)</f>
        <v>Small-Medium</v>
      </c>
      <c r="I1093" t="str">
        <f t="shared" si="85"/>
        <v>Small-Medium</v>
      </c>
      <c r="J1093" s="1">
        <v>132.52000000000001</v>
      </c>
      <c r="K1093">
        <f t="shared" si="86"/>
        <v>0</v>
      </c>
      <c r="L1093">
        <f t="shared" si="87"/>
        <v>132.52000000000001</v>
      </c>
      <c r="M1093" s="1">
        <f t="shared" si="88"/>
        <v>132.52000000000001</v>
      </c>
      <c r="N1093" s="1" t="s">
        <v>10</v>
      </c>
      <c r="O1093" s="1">
        <v>7</v>
      </c>
    </row>
    <row r="1094" spans="4:15" x14ac:dyDescent="0.3">
      <c r="D1094" s="1">
        <v>27780</v>
      </c>
      <c r="E1094" s="2">
        <v>43758</v>
      </c>
      <c r="F1094" s="1" t="s">
        <v>12</v>
      </c>
      <c r="G1094" s="1">
        <v>39</v>
      </c>
      <c r="H1094" t="str">
        <f t="shared" si="89"/>
        <v>Extra Large</v>
      </c>
      <c r="I1094" t="str">
        <f t="shared" si="85"/>
        <v>Extra Large</v>
      </c>
      <c r="J1094" s="1">
        <v>1795.82</v>
      </c>
      <c r="K1094">
        <f t="shared" si="86"/>
        <v>0.01</v>
      </c>
      <c r="L1094">
        <f t="shared" si="87"/>
        <v>1777.8617999999999</v>
      </c>
      <c r="M1094" s="1">
        <f t="shared" si="88"/>
        <v>1793.72</v>
      </c>
      <c r="N1094" s="1" t="s">
        <v>10</v>
      </c>
      <c r="O1094" s="1">
        <v>2.1</v>
      </c>
    </row>
    <row r="1095" spans="4:15" x14ac:dyDescent="0.3">
      <c r="D1095" s="1">
        <v>2630</v>
      </c>
      <c r="E1095" s="2">
        <v>43761</v>
      </c>
      <c r="F1095" s="1" t="s">
        <v>7</v>
      </c>
      <c r="G1095" s="1">
        <v>31</v>
      </c>
      <c r="H1095" t="str">
        <f t="shared" si="89"/>
        <v>Large</v>
      </c>
      <c r="I1095" t="str">
        <f t="shared" si="85"/>
        <v>Large</v>
      </c>
      <c r="J1095" s="1">
        <v>156.77000000000001</v>
      </c>
      <c r="K1095">
        <f t="shared" si="86"/>
        <v>0</v>
      </c>
      <c r="L1095">
        <f t="shared" si="87"/>
        <v>156.77000000000001</v>
      </c>
      <c r="M1095" s="1">
        <f t="shared" si="88"/>
        <v>156.77000000000001</v>
      </c>
      <c r="N1095" s="1" t="s">
        <v>10</v>
      </c>
      <c r="O1095" s="1">
        <v>1.6</v>
      </c>
    </row>
    <row r="1096" spans="4:15" x14ac:dyDescent="0.3">
      <c r="D1096" s="1">
        <v>50532</v>
      </c>
      <c r="E1096" s="2">
        <v>43691</v>
      </c>
      <c r="F1096" s="1" t="s">
        <v>14</v>
      </c>
      <c r="G1096" s="1">
        <v>10</v>
      </c>
      <c r="H1096" t="str">
        <f t="shared" si="89"/>
        <v>Extra Small</v>
      </c>
      <c r="I1096" t="str">
        <f t="shared" si="85"/>
        <v>Extra Small</v>
      </c>
      <c r="J1096" s="1">
        <v>285.75</v>
      </c>
      <c r="K1096">
        <f t="shared" si="86"/>
        <v>0</v>
      </c>
      <c r="L1096">
        <f t="shared" si="87"/>
        <v>285.75</v>
      </c>
      <c r="M1096" s="1">
        <f t="shared" si="88"/>
        <v>285.75</v>
      </c>
      <c r="N1096" s="1" t="s">
        <v>10</v>
      </c>
      <c r="O1096" s="1">
        <v>3.2</v>
      </c>
    </row>
    <row r="1097" spans="4:15" x14ac:dyDescent="0.3">
      <c r="D1097" s="1">
        <v>23649</v>
      </c>
      <c r="E1097" s="2">
        <v>43713</v>
      </c>
      <c r="F1097" s="1" t="s">
        <v>11</v>
      </c>
      <c r="G1097" s="1">
        <v>30</v>
      </c>
      <c r="H1097" t="str">
        <f t="shared" si="89"/>
        <v>Medium-Large</v>
      </c>
      <c r="I1097" t="str">
        <f t="shared" si="85"/>
        <v>Medium-Large</v>
      </c>
      <c r="J1097" s="1">
        <v>4909.08</v>
      </c>
      <c r="K1097">
        <f t="shared" si="86"/>
        <v>0</v>
      </c>
      <c r="L1097">
        <f t="shared" si="87"/>
        <v>4909.08</v>
      </c>
      <c r="M1097" s="1">
        <f t="shared" si="88"/>
        <v>4909.08</v>
      </c>
      <c r="N1097" s="1" t="s">
        <v>10</v>
      </c>
      <c r="O1097" s="1">
        <v>4.5</v>
      </c>
    </row>
    <row r="1098" spans="4:15" x14ac:dyDescent="0.3">
      <c r="D1098" s="1">
        <v>1221</v>
      </c>
      <c r="E1098" s="2">
        <v>43573</v>
      </c>
      <c r="F1098" s="1" t="s">
        <v>11</v>
      </c>
      <c r="G1098" s="1">
        <v>16</v>
      </c>
      <c r="H1098" t="str">
        <f t="shared" si="89"/>
        <v>Small-Medium</v>
      </c>
      <c r="I1098" t="str">
        <f t="shared" si="85"/>
        <v>Small-Medium</v>
      </c>
      <c r="J1098" s="1">
        <v>73.239999999999995</v>
      </c>
      <c r="K1098">
        <f t="shared" si="86"/>
        <v>0</v>
      </c>
      <c r="L1098">
        <f t="shared" si="87"/>
        <v>73.239999999999995</v>
      </c>
      <c r="M1098" s="1">
        <f t="shared" si="88"/>
        <v>73.239999999999995</v>
      </c>
      <c r="N1098" s="1" t="s">
        <v>10</v>
      </c>
      <c r="O1098" s="1">
        <v>5.8</v>
      </c>
    </row>
    <row r="1099" spans="4:15" x14ac:dyDescent="0.3">
      <c r="D1099" s="1">
        <v>39686</v>
      </c>
      <c r="E1099" s="2">
        <v>43624</v>
      </c>
      <c r="F1099" s="1" t="s">
        <v>11</v>
      </c>
      <c r="G1099" s="1">
        <v>48</v>
      </c>
      <c r="H1099" t="str">
        <f t="shared" si="89"/>
        <v>XXX Large</v>
      </c>
      <c r="I1099" t="str">
        <f t="shared" si="85"/>
        <v>XXX Large</v>
      </c>
      <c r="J1099" s="1">
        <v>2943.26</v>
      </c>
      <c r="K1099">
        <f t="shared" si="86"/>
        <v>0.01</v>
      </c>
      <c r="L1099">
        <f t="shared" si="87"/>
        <v>2913.8274000000001</v>
      </c>
      <c r="M1099" s="1">
        <f t="shared" si="88"/>
        <v>2937.6600000000003</v>
      </c>
      <c r="N1099" s="1" t="s">
        <v>10</v>
      </c>
      <c r="O1099" s="1">
        <v>5.6</v>
      </c>
    </row>
    <row r="1100" spans="4:15" x14ac:dyDescent="0.3">
      <c r="D1100" s="1">
        <v>16231</v>
      </c>
      <c r="E1100" s="2">
        <v>43712</v>
      </c>
      <c r="F1100" s="1" t="s">
        <v>7</v>
      </c>
      <c r="G1100" s="1">
        <v>20</v>
      </c>
      <c r="H1100" t="str">
        <f t="shared" si="89"/>
        <v>Small-Medium</v>
      </c>
      <c r="I1100" t="str">
        <f t="shared" si="85"/>
        <v>Small-Medium</v>
      </c>
      <c r="J1100" s="1">
        <v>2681.83</v>
      </c>
      <c r="K1100">
        <f t="shared" si="86"/>
        <v>0</v>
      </c>
      <c r="L1100">
        <f t="shared" si="87"/>
        <v>2681.83</v>
      </c>
      <c r="M1100" s="1">
        <f t="shared" si="88"/>
        <v>2681.83</v>
      </c>
      <c r="N1100" s="1" t="s">
        <v>13</v>
      </c>
      <c r="O1100" s="1">
        <v>55.6</v>
      </c>
    </row>
    <row r="1101" spans="4:15" x14ac:dyDescent="0.3">
      <c r="D1101" s="1">
        <v>45767</v>
      </c>
      <c r="E1101" s="2">
        <v>43656</v>
      </c>
      <c r="F1101" s="1" t="s">
        <v>9</v>
      </c>
      <c r="G1101" s="1">
        <v>49</v>
      </c>
      <c r="H1101" t="str">
        <f t="shared" si="89"/>
        <v>XXX Large</v>
      </c>
      <c r="I1101" t="str">
        <f t="shared" si="85"/>
        <v>XXX Large</v>
      </c>
      <c r="J1101" s="1">
        <v>900.42</v>
      </c>
      <c r="K1101">
        <f t="shared" si="86"/>
        <v>0.01</v>
      </c>
      <c r="L1101">
        <f t="shared" si="87"/>
        <v>891.41579999999999</v>
      </c>
      <c r="M1101" s="1">
        <f t="shared" si="88"/>
        <v>893.71999999999991</v>
      </c>
      <c r="N1101" s="1" t="s">
        <v>8</v>
      </c>
      <c r="O1101" s="1">
        <v>6.7</v>
      </c>
    </row>
    <row r="1102" spans="4:15" x14ac:dyDescent="0.3">
      <c r="D1102" s="1">
        <v>6</v>
      </c>
      <c r="E1102" s="2">
        <v>43515</v>
      </c>
      <c r="F1102" s="1" t="s">
        <v>11</v>
      </c>
      <c r="G1102" s="1">
        <v>2</v>
      </c>
      <c r="H1102" t="str">
        <f t="shared" si="89"/>
        <v>Mini</v>
      </c>
      <c r="I1102" t="str">
        <f t="shared" si="85"/>
        <v>Mini</v>
      </c>
      <c r="J1102" s="1">
        <v>7.4150999999999998</v>
      </c>
      <c r="K1102">
        <f t="shared" si="86"/>
        <v>0</v>
      </c>
      <c r="L1102">
        <f t="shared" si="87"/>
        <v>7.4150999999999998</v>
      </c>
      <c r="M1102" s="1">
        <f t="shared" si="88"/>
        <v>7.4150999999999998</v>
      </c>
      <c r="N1102" s="1" t="s">
        <v>10</v>
      </c>
      <c r="O1102" s="1">
        <v>2.7</v>
      </c>
    </row>
    <row r="1103" spans="4:15" x14ac:dyDescent="0.3">
      <c r="D1103" s="1">
        <v>37313</v>
      </c>
      <c r="E1103" s="2">
        <v>43648</v>
      </c>
      <c r="F1103" s="1" t="s">
        <v>11</v>
      </c>
      <c r="G1103" s="1">
        <v>17</v>
      </c>
      <c r="H1103" t="str">
        <f t="shared" si="89"/>
        <v>Small-Medium</v>
      </c>
      <c r="I1103" t="str">
        <f t="shared" si="85"/>
        <v>Small-Medium</v>
      </c>
      <c r="J1103" s="1">
        <v>972</v>
      </c>
      <c r="K1103">
        <f t="shared" si="86"/>
        <v>0</v>
      </c>
      <c r="L1103">
        <f t="shared" si="87"/>
        <v>972</v>
      </c>
      <c r="M1103" s="1">
        <f t="shared" si="88"/>
        <v>972</v>
      </c>
      <c r="N1103" s="1" t="s">
        <v>8</v>
      </c>
      <c r="O1103" s="1">
        <v>9.6</v>
      </c>
    </row>
    <row r="1104" spans="4:15" x14ac:dyDescent="0.3">
      <c r="D1104" s="1">
        <v>24039</v>
      </c>
      <c r="E1104" s="2">
        <v>43663</v>
      </c>
      <c r="F1104" s="1" t="s">
        <v>11</v>
      </c>
      <c r="G1104" s="1">
        <v>5</v>
      </c>
      <c r="H1104" t="str">
        <f t="shared" si="89"/>
        <v>Mini</v>
      </c>
      <c r="I1104" t="str">
        <f t="shared" si="85"/>
        <v>Mini</v>
      </c>
      <c r="J1104" s="1">
        <v>213.10120000000001</v>
      </c>
      <c r="K1104">
        <f t="shared" si="86"/>
        <v>0</v>
      </c>
      <c r="L1104">
        <f t="shared" si="87"/>
        <v>213.10120000000001</v>
      </c>
      <c r="M1104" s="1">
        <f t="shared" si="88"/>
        <v>213.10120000000001</v>
      </c>
      <c r="N1104" s="1" t="s">
        <v>10</v>
      </c>
      <c r="O1104" s="1">
        <v>2.1</v>
      </c>
    </row>
    <row r="1105" spans="4:15" x14ac:dyDescent="0.3">
      <c r="D1105" s="1">
        <v>59425</v>
      </c>
      <c r="E1105" s="2">
        <v>43602</v>
      </c>
      <c r="F1105" s="1" t="s">
        <v>14</v>
      </c>
      <c r="G1105" s="1">
        <v>24</v>
      </c>
      <c r="H1105" t="str">
        <f t="shared" si="89"/>
        <v>Medium</v>
      </c>
      <c r="I1105" t="str">
        <f t="shared" si="85"/>
        <v>Medium</v>
      </c>
      <c r="J1105" s="1">
        <v>2240.7084</v>
      </c>
      <c r="K1105">
        <f t="shared" si="86"/>
        <v>0</v>
      </c>
      <c r="L1105">
        <f t="shared" si="87"/>
        <v>2240.7084</v>
      </c>
      <c r="M1105" s="1">
        <f t="shared" si="88"/>
        <v>2240.7084</v>
      </c>
      <c r="N1105" s="1" t="s">
        <v>10</v>
      </c>
      <c r="O1105" s="1">
        <v>6.6</v>
      </c>
    </row>
    <row r="1106" spans="4:15" x14ac:dyDescent="0.3">
      <c r="D1106" s="1">
        <v>46053</v>
      </c>
      <c r="E1106" s="2">
        <v>43721</v>
      </c>
      <c r="F1106" s="1" t="s">
        <v>9</v>
      </c>
      <c r="G1106" s="1">
        <v>25</v>
      </c>
      <c r="H1106" t="str">
        <f t="shared" si="89"/>
        <v>Medium</v>
      </c>
      <c r="I1106" t="str">
        <f t="shared" si="85"/>
        <v>Medium</v>
      </c>
      <c r="J1106" s="1">
        <v>1560.95</v>
      </c>
      <c r="K1106">
        <f t="shared" si="86"/>
        <v>0</v>
      </c>
      <c r="L1106">
        <f t="shared" si="87"/>
        <v>1560.95</v>
      </c>
      <c r="M1106" s="1">
        <f t="shared" si="88"/>
        <v>1560.95</v>
      </c>
      <c r="N1106" s="1" t="s">
        <v>10</v>
      </c>
      <c r="O1106" s="1">
        <v>3.7</v>
      </c>
    </row>
    <row r="1107" spans="4:15" x14ac:dyDescent="0.3">
      <c r="D1107" s="1">
        <v>41830</v>
      </c>
      <c r="E1107" s="2">
        <v>43512</v>
      </c>
      <c r="F1107" s="1" t="s">
        <v>7</v>
      </c>
      <c r="G1107" s="1">
        <v>42</v>
      </c>
      <c r="H1107" t="str">
        <f t="shared" si="89"/>
        <v>XX Large</v>
      </c>
      <c r="I1107" t="str">
        <f t="shared" si="85"/>
        <v>XX Large</v>
      </c>
      <c r="J1107" s="1">
        <v>5736.3555999999999</v>
      </c>
      <c r="K1107">
        <f t="shared" si="86"/>
        <v>0.01</v>
      </c>
      <c r="L1107">
        <f t="shared" si="87"/>
        <v>5678.9920439999996</v>
      </c>
      <c r="M1107" s="1">
        <f t="shared" si="88"/>
        <v>5708.2555999999995</v>
      </c>
      <c r="N1107" s="1" t="s">
        <v>13</v>
      </c>
      <c r="O1107" s="1">
        <v>28.1</v>
      </c>
    </row>
    <row r="1108" spans="4:15" x14ac:dyDescent="0.3">
      <c r="D1108" s="1">
        <v>15329</v>
      </c>
      <c r="E1108" s="2">
        <v>43582</v>
      </c>
      <c r="F1108" s="1" t="s">
        <v>9</v>
      </c>
      <c r="G1108" s="1">
        <v>34</v>
      </c>
      <c r="H1108" t="str">
        <f t="shared" si="89"/>
        <v>Large</v>
      </c>
      <c r="I1108" t="str">
        <f t="shared" si="85"/>
        <v>Large</v>
      </c>
      <c r="J1108" s="1">
        <v>1085.9100000000001</v>
      </c>
      <c r="K1108">
        <f t="shared" si="86"/>
        <v>0</v>
      </c>
      <c r="L1108">
        <f t="shared" si="87"/>
        <v>1085.9100000000001</v>
      </c>
      <c r="M1108" s="1">
        <f t="shared" si="88"/>
        <v>1085.9100000000001</v>
      </c>
      <c r="N1108" s="1" t="s">
        <v>8</v>
      </c>
      <c r="O1108" s="1">
        <v>2.1</v>
      </c>
    </row>
    <row r="1109" spans="4:15" x14ac:dyDescent="0.3">
      <c r="D1109" s="1">
        <v>11168</v>
      </c>
      <c r="E1109" s="2">
        <v>43759</v>
      </c>
      <c r="F1109" s="1" t="s">
        <v>12</v>
      </c>
      <c r="G1109" s="1">
        <v>35</v>
      </c>
      <c r="H1109" t="str">
        <f t="shared" si="89"/>
        <v>Large</v>
      </c>
      <c r="I1109" t="str">
        <f t="shared" si="85"/>
        <v>Large</v>
      </c>
      <c r="J1109" s="1">
        <v>195.66</v>
      </c>
      <c r="K1109">
        <f t="shared" si="86"/>
        <v>0</v>
      </c>
      <c r="L1109">
        <f t="shared" si="87"/>
        <v>195.66</v>
      </c>
      <c r="M1109" s="1">
        <f t="shared" si="88"/>
        <v>195.66</v>
      </c>
      <c r="N1109" s="1" t="s">
        <v>10</v>
      </c>
      <c r="O1109" s="1">
        <v>6.1</v>
      </c>
    </row>
    <row r="1110" spans="4:15" x14ac:dyDescent="0.3">
      <c r="D1110" s="1">
        <v>56069</v>
      </c>
      <c r="E1110" s="2">
        <v>43752</v>
      </c>
      <c r="F1110" s="1" t="s">
        <v>7</v>
      </c>
      <c r="G1110" s="1">
        <v>10</v>
      </c>
      <c r="H1110" t="str">
        <f t="shared" si="89"/>
        <v>Extra Small</v>
      </c>
      <c r="I1110" t="str">
        <f t="shared" si="85"/>
        <v>Extra Small</v>
      </c>
      <c r="J1110" s="1">
        <v>59.56</v>
      </c>
      <c r="K1110">
        <f t="shared" si="86"/>
        <v>0</v>
      </c>
      <c r="L1110">
        <f t="shared" si="87"/>
        <v>59.56</v>
      </c>
      <c r="M1110" s="1">
        <f t="shared" si="88"/>
        <v>59.56</v>
      </c>
      <c r="N1110" s="1" t="s">
        <v>10</v>
      </c>
      <c r="O1110" s="1">
        <v>1.5</v>
      </c>
    </row>
    <row r="1111" spans="4:15" x14ac:dyDescent="0.3">
      <c r="D1111" s="1">
        <v>16164</v>
      </c>
      <c r="E1111" s="2">
        <v>43467</v>
      </c>
      <c r="F1111" s="1" t="s">
        <v>7</v>
      </c>
      <c r="G1111" s="1">
        <v>26</v>
      </c>
      <c r="H1111" t="str">
        <f t="shared" si="89"/>
        <v>Medium-Large</v>
      </c>
      <c r="I1111" t="str">
        <f t="shared" si="85"/>
        <v>Medium-Large</v>
      </c>
      <c r="J1111" s="1">
        <v>74.239999999999995</v>
      </c>
      <c r="K1111">
        <f t="shared" si="86"/>
        <v>0</v>
      </c>
      <c r="L1111">
        <f t="shared" si="87"/>
        <v>74.239999999999995</v>
      </c>
      <c r="M1111" s="1">
        <f t="shared" si="88"/>
        <v>74.239999999999995</v>
      </c>
      <c r="N1111" s="1" t="s">
        <v>10</v>
      </c>
      <c r="O1111" s="1">
        <v>4.5999999999999996</v>
      </c>
    </row>
    <row r="1112" spans="4:15" x14ac:dyDescent="0.3">
      <c r="D1112" s="1">
        <v>58278</v>
      </c>
      <c r="E1112" s="2">
        <v>43718</v>
      </c>
      <c r="F1112" s="1" t="s">
        <v>9</v>
      </c>
      <c r="G1112" s="1">
        <v>37</v>
      </c>
      <c r="H1112" t="str">
        <f t="shared" si="89"/>
        <v>Extra Large</v>
      </c>
      <c r="I1112" t="str">
        <f t="shared" si="85"/>
        <v>Extra Large</v>
      </c>
      <c r="J1112" s="1">
        <v>3758.8</v>
      </c>
      <c r="K1112">
        <f t="shared" si="86"/>
        <v>0.01</v>
      </c>
      <c r="L1112">
        <f t="shared" si="87"/>
        <v>3721.212</v>
      </c>
      <c r="M1112" s="1">
        <f t="shared" si="88"/>
        <v>3749.2000000000003</v>
      </c>
      <c r="N1112" s="1" t="s">
        <v>10</v>
      </c>
      <c r="O1112" s="1">
        <v>9.6</v>
      </c>
    </row>
    <row r="1113" spans="4:15" x14ac:dyDescent="0.3">
      <c r="D1113" s="1">
        <v>16036</v>
      </c>
      <c r="E1113" s="2">
        <v>43469</v>
      </c>
      <c r="F1113" s="1" t="s">
        <v>14</v>
      </c>
      <c r="G1113" s="1">
        <v>28</v>
      </c>
      <c r="H1113" t="str">
        <f t="shared" si="89"/>
        <v>Medium-Large</v>
      </c>
      <c r="I1113" t="str">
        <f t="shared" si="85"/>
        <v>Medium-Large</v>
      </c>
      <c r="J1113" s="1">
        <v>2311.4899999999998</v>
      </c>
      <c r="K1113">
        <f t="shared" si="86"/>
        <v>0</v>
      </c>
      <c r="L1113">
        <f t="shared" si="87"/>
        <v>2311.4899999999998</v>
      </c>
      <c r="M1113" s="1">
        <f t="shared" si="88"/>
        <v>2311.4899999999998</v>
      </c>
      <c r="N1113" s="1" t="s">
        <v>10</v>
      </c>
      <c r="O1113" s="1">
        <v>37.5</v>
      </c>
    </row>
    <row r="1114" spans="4:15" x14ac:dyDescent="0.3">
      <c r="D1114" s="1">
        <v>25635</v>
      </c>
      <c r="E1114" s="2">
        <v>43614</v>
      </c>
      <c r="F1114" s="1" t="s">
        <v>12</v>
      </c>
      <c r="G1114" s="1">
        <v>14</v>
      </c>
      <c r="H1114" t="str">
        <f t="shared" si="89"/>
        <v>Small</v>
      </c>
      <c r="I1114" t="str">
        <f t="shared" si="85"/>
        <v>Small</v>
      </c>
      <c r="J1114" s="1">
        <v>677.39559999999994</v>
      </c>
      <c r="K1114">
        <f t="shared" si="86"/>
        <v>0</v>
      </c>
      <c r="L1114">
        <f t="shared" si="87"/>
        <v>677.39559999999994</v>
      </c>
      <c r="M1114" s="1">
        <f t="shared" si="88"/>
        <v>677.39559999999994</v>
      </c>
      <c r="N1114" s="1" t="s">
        <v>8</v>
      </c>
      <c r="O1114" s="1">
        <v>4.9000000000000004</v>
      </c>
    </row>
    <row r="1115" spans="4:15" x14ac:dyDescent="0.3">
      <c r="D1115" s="1">
        <v>56418</v>
      </c>
      <c r="E1115" s="2">
        <v>43567</v>
      </c>
      <c r="F1115" s="1" t="s">
        <v>12</v>
      </c>
      <c r="G1115" s="1">
        <v>47</v>
      </c>
      <c r="H1115" t="str">
        <f t="shared" si="89"/>
        <v>XXX Large</v>
      </c>
      <c r="I1115" t="str">
        <f t="shared" si="85"/>
        <v>XXX Large</v>
      </c>
      <c r="J1115" s="1">
        <v>1726.81</v>
      </c>
      <c r="K1115">
        <f t="shared" si="86"/>
        <v>0.01</v>
      </c>
      <c r="L1115">
        <f t="shared" si="87"/>
        <v>1709.5418999999999</v>
      </c>
      <c r="M1115" s="1">
        <f t="shared" si="88"/>
        <v>1718.01</v>
      </c>
      <c r="N1115" s="1" t="s">
        <v>10</v>
      </c>
      <c r="O1115" s="1">
        <v>8.8000000000000007</v>
      </c>
    </row>
    <row r="1116" spans="4:15" x14ac:dyDescent="0.3">
      <c r="D1116" s="1">
        <v>57058</v>
      </c>
      <c r="E1116" s="2">
        <v>43594</v>
      </c>
      <c r="F1116" s="1" t="s">
        <v>14</v>
      </c>
      <c r="G1116" s="1">
        <v>28</v>
      </c>
      <c r="H1116" t="str">
        <f t="shared" si="89"/>
        <v>Medium-Large</v>
      </c>
      <c r="I1116" t="str">
        <f t="shared" si="85"/>
        <v>Medium-Large</v>
      </c>
      <c r="J1116" s="1">
        <v>219.81</v>
      </c>
      <c r="K1116">
        <f t="shared" si="86"/>
        <v>0</v>
      </c>
      <c r="L1116">
        <f t="shared" si="87"/>
        <v>219.81</v>
      </c>
      <c r="M1116" s="1">
        <f t="shared" si="88"/>
        <v>219.81</v>
      </c>
      <c r="N1116" s="1" t="s">
        <v>8</v>
      </c>
      <c r="O1116" s="1">
        <v>5.6</v>
      </c>
    </row>
    <row r="1117" spans="4:15" x14ac:dyDescent="0.3">
      <c r="D1117" s="1">
        <v>53698</v>
      </c>
      <c r="E1117" s="2">
        <v>43632</v>
      </c>
      <c r="F1117" s="1" t="s">
        <v>14</v>
      </c>
      <c r="G1117" s="1">
        <v>10</v>
      </c>
      <c r="H1117" t="str">
        <f t="shared" si="89"/>
        <v>Extra Small</v>
      </c>
      <c r="I1117" t="str">
        <f t="shared" si="85"/>
        <v>Extra Small</v>
      </c>
      <c r="J1117" s="1">
        <v>59.2</v>
      </c>
      <c r="K1117">
        <f t="shared" si="86"/>
        <v>0</v>
      </c>
      <c r="L1117">
        <f t="shared" si="87"/>
        <v>59.2</v>
      </c>
      <c r="M1117" s="1">
        <f t="shared" si="88"/>
        <v>59.2</v>
      </c>
      <c r="N1117" s="1" t="s">
        <v>8</v>
      </c>
      <c r="O1117" s="1">
        <v>0.8</v>
      </c>
    </row>
    <row r="1118" spans="4:15" x14ac:dyDescent="0.3">
      <c r="D1118" s="1">
        <v>44000</v>
      </c>
      <c r="E1118" s="2">
        <v>43742</v>
      </c>
      <c r="F1118" s="1" t="s">
        <v>11</v>
      </c>
      <c r="G1118" s="1">
        <v>19</v>
      </c>
      <c r="H1118" t="str">
        <f t="shared" si="89"/>
        <v>Small-Medium</v>
      </c>
      <c r="I1118" t="str">
        <f t="shared" si="85"/>
        <v>Small-Medium</v>
      </c>
      <c r="J1118" s="1">
        <v>355.64659999999998</v>
      </c>
      <c r="K1118">
        <f t="shared" si="86"/>
        <v>0</v>
      </c>
      <c r="L1118">
        <f t="shared" si="87"/>
        <v>355.64659999999998</v>
      </c>
      <c r="M1118" s="1">
        <f t="shared" si="88"/>
        <v>355.64659999999998</v>
      </c>
      <c r="N1118" s="1" t="s">
        <v>10</v>
      </c>
      <c r="O1118" s="1">
        <v>5.4</v>
      </c>
    </row>
    <row r="1119" spans="4:15" x14ac:dyDescent="0.3">
      <c r="D1119" s="1">
        <v>39266</v>
      </c>
      <c r="E1119" s="2">
        <v>43704</v>
      </c>
      <c r="F1119" s="1" t="s">
        <v>9</v>
      </c>
      <c r="G1119" s="1">
        <v>14</v>
      </c>
      <c r="H1119" t="str">
        <f t="shared" si="89"/>
        <v>Small</v>
      </c>
      <c r="I1119" t="str">
        <f t="shared" si="85"/>
        <v>Small</v>
      </c>
      <c r="J1119" s="1">
        <v>38.96</v>
      </c>
      <c r="K1119">
        <f t="shared" si="86"/>
        <v>0</v>
      </c>
      <c r="L1119">
        <f t="shared" si="87"/>
        <v>38.96</v>
      </c>
      <c r="M1119" s="1">
        <f t="shared" si="88"/>
        <v>38.96</v>
      </c>
      <c r="N1119" s="1" t="s">
        <v>10</v>
      </c>
      <c r="O1119" s="1">
        <v>0.5</v>
      </c>
    </row>
    <row r="1120" spans="4:15" x14ac:dyDescent="0.3">
      <c r="D1120" s="1">
        <v>22182</v>
      </c>
      <c r="E1120" s="2">
        <v>43713</v>
      </c>
      <c r="F1120" s="1" t="s">
        <v>14</v>
      </c>
      <c r="G1120" s="1">
        <v>9</v>
      </c>
      <c r="H1120" t="str">
        <f t="shared" si="89"/>
        <v>Extra Small</v>
      </c>
      <c r="I1120" t="str">
        <f t="shared" si="85"/>
        <v>Extra Small</v>
      </c>
      <c r="J1120" s="1">
        <v>186.95</v>
      </c>
      <c r="K1120">
        <f t="shared" si="86"/>
        <v>0</v>
      </c>
      <c r="L1120">
        <f t="shared" si="87"/>
        <v>186.95</v>
      </c>
      <c r="M1120" s="1">
        <f t="shared" si="88"/>
        <v>186.95</v>
      </c>
      <c r="N1120" s="1" t="s">
        <v>10</v>
      </c>
      <c r="O1120" s="1">
        <v>4.3</v>
      </c>
    </row>
    <row r="1121" spans="4:15" x14ac:dyDescent="0.3">
      <c r="D1121" s="1">
        <v>13988</v>
      </c>
      <c r="E1121" s="2">
        <v>43678</v>
      </c>
      <c r="F1121" s="1" t="s">
        <v>11</v>
      </c>
      <c r="G1121" s="1">
        <v>18</v>
      </c>
      <c r="H1121" t="str">
        <f t="shared" si="89"/>
        <v>Small-Medium</v>
      </c>
      <c r="I1121" t="str">
        <f t="shared" si="85"/>
        <v>Small-Medium</v>
      </c>
      <c r="J1121" s="1">
        <v>252.85</v>
      </c>
      <c r="K1121">
        <f t="shared" si="86"/>
        <v>0</v>
      </c>
      <c r="L1121">
        <f t="shared" si="87"/>
        <v>252.85</v>
      </c>
      <c r="M1121" s="1">
        <f t="shared" si="88"/>
        <v>252.85</v>
      </c>
      <c r="N1121" s="1" t="s">
        <v>8</v>
      </c>
      <c r="O1121" s="1">
        <v>5.3</v>
      </c>
    </row>
    <row r="1122" spans="4:15" x14ac:dyDescent="0.3">
      <c r="D1122" s="1">
        <v>32610</v>
      </c>
      <c r="E1122" s="2">
        <v>43696</v>
      </c>
      <c r="F1122" s="1" t="s">
        <v>11</v>
      </c>
      <c r="G1122" s="1">
        <v>20</v>
      </c>
      <c r="H1122" t="str">
        <f t="shared" si="89"/>
        <v>Small-Medium</v>
      </c>
      <c r="I1122" t="str">
        <f t="shared" si="85"/>
        <v>Small-Medium</v>
      </c>
      <c r="J1122" s="1">
        <v>2131.3314</v>
      </c>
      <c r="K1122">
        <f t="shared" si="86"/>
        <v>0</v>
      </c>
      <c r="L1122">
        <f t="shared" si="87"/>
        <v>2131.3314</v>
      </c>
      <c r="M1122" s="1">
        <f t="shared" si="88"/>
        <v>2131.3314</v>
      </c>
      <c r="N1122" s="1" t="s">
        <v>10</v>
      </c>
      <c r="O1122" s="1">
        <v>8.1999999999999993</v>
      </c>
    </row>
    <row r="1123" spans="4:15" x14ac:dyDescent="0.3">
      <c r="D1123" s="1">
        <v>17543</v>
      </c>
      <c r="E1123" s="2">
        <v>43610</v>
      </c>
      <c r="F1123" s="1" t="s">
        <v>12</v>
      </c>
      <c r="G1123" s="1">
        <v>1</v>
      </c>
      <c r="H1123" t="str">
        <f t="shared" si="89"/>
        <v>Mini</v>
      </c>
      <c r="I1123" t="str">
        <f t="shared" si="85"/>
        <v>Mini</v>
      </c>
      <c r="J1123" s="1">
        <v>16.829999999999998</v>
      </c>
      <c r="K1123">
        <f t="shared" si="86"/>
        <v>0</v>
      </c>
      <c r="L1123">
        <f t="shared" si="87"/>
        <v>16.829999999999998</v>
      </c>
      <c r="M1123" s="1">
        <f t="shared" si="88"/>
        <v>16.829999999999998</v>
      </c>
      <c r="N1123" s="1" t="s">
        <v>10</v>
      </c>
      <c r="O1123" s="1">
        <v>10.199999999999999</v>
      </c>
    </row>
    <row r="1124" spans="4:15" x14ac:dyDescent="0.3">
      <c r="D1124" s="1">
        <v>4706</v>
      </c>
      <c r="E1124" s="2">
        <v>43827</v>
      </c>
      <c r="F1124" s="1" t="s">
        <v>11</v>
      </c>
      <c r="G1124" s="1">
        <v>30</v>
      </c>
      <c r="H1124" t="str">
        <f t="shared" si="89"/>
        <v>Medium-Large</v>
      </c>
      <c r="I1124" t="str">
        <f t="shared" si="85"/>
        <v>Medium-Large</v>
      </c>
      <c r="J1124" s="1">
        <v>2264.87</v>
      </c>
      <c r="K1124">
        <f t="shared" si="86"/>
        <v>0</v>
      </c>
      <c r="L1124">
        <f t="shared" si="87"/>
        <v>2264.87</v>
      </c>
      <c r="M1124" s="1">
        <f t="shared" si="88"/>
        <v>2264.87</v>
      </c>
      <c r="N1124" s="1" t="s">
        <v>10</v>
      </c>
      <c r="O1124" s="1">
        <v>21.4</v>
      </c>
    </row>
    <row r="1125" spans="4:15" x14ac:dyDescent="0.3">
      <c r="D1125" s="1">
        <v>13894</v>
      </c>
      <c r="E1125" s="2">
        <v>43565</v>
      </c>
      <c r="F1125" s="1" t="s">
        <v>14</v>
      </c>
      <c r="G1125" s="1">
        <v>31</v>
      </c>
      <c r="H1125" t="str">
        <f t="shared" si="89"/>
        <v>Large</v>
      </c>
      <c r="I1125" t="str">
        <f t="shared" si="85"/>
        <v>Large</v>
      </c>
      <c r="J1125" s="1">
        <v>95.42</v>
      </c>
      <c r="K1125">
        <f t="shared" si="86"/>
        <v>0</v>
      </c>
      <c r="L1125">
        <f t="shared" si="87"/>
        <v>95.42</v>
      </c>
      <c r="M1125" s="1">
        <f t="shared" si="88"/>
        <v>95.42</v>
      </c>
      <c r="N1125" s="1" t="s">
        <v>10</v>
      </c>
      <c r="O1125" s="1">
        <v>0.9</v>
      </c>
    </row>
    <row r="1126" spans="4:15" x14ac:dyDescent="0.3">
      <c r="D1126" s="1">
        <v>6885</v>
      </c>
      <c r="E1126" s="2">
        <v>43635</v>
      </c>
      <c r="F1126" s="1" t="s">
        <v>7</v>
      </c>
      <c r="G1126" s="1">
        <v>40</v>
      </c>
      <c r="H1126" t="str">
        <f t="shared" si="89"/>
        <v>Extra Large</v>
      </c>
      <c r="I1126" t="str">
        <f t="shared" si="85"/>
        <v>Extra Large</v>
      </c>
      <c r="J1126" s="1">
        <v>941.11</v>
      </c>
      <c r="K1126">
        <f t="shared" si="86"/>
        <v>0.01</v>
      </c>
      <c r="L1126">
        <f t="shared" si="87"/>
        <v>931.69889999999998</v>
      </c>
      <c r="M1126" s="1">
        <f t="shared" si="88"/>
        <v>934.41</v>
      </c>
      <c r="N1126" s="1" t="s">
        <v>10</v>
      </c>
      <c r="O1126" s="1">
        <v>6.7</v>
      </c>
    </row>
    <row r="1127" spans="4:15" x14ac:dyDescent="0.3">
      <c r="D1127" s="1">
        <v>19652</v>
      </c>
      <c r="E1127" s="2">
        <v>43618</v>
      </c>
      <c r="F1127" s="1" t="s">
        <v>12</v>
      </c>
      <c r="G1127" s="1">
        <v>34</v>
      </c>
      <c r="H1127" t="str">
        <f t="shared" si="89"/>
        <v>Large</v>
      </c>
      <c r="I1127" t="str">
        <f t="shared" si="85"/>
        <v>Large</v>
      </c>
      <c r="J1127" s="1">
        <v>1957.96</v>
      </c>
      <c r="K1127">
        <f t="shared" si="86"/>
        <v>0</v>
      </c>
      <c r="L1127">
        <f t="shared" si="87"/>
        <v>1957.96</v>
      </c>
      <c r="M1127" s="1">
        <f t="shared" si="88"/>
        <v>1957.96</v>
      </c>
      <c r="N1127" s="1" t="s">
        <v>10</v>
      </c>
      <c r="O1127" s="1">
        <v>4.3</v>
      </c>
    </row>
    <row r="1128" spans="4:15" x14ac:dyDescent="0.3">
      <c r="D1128" s="1">
        <v>21028</v>
      </c>
      <c r="E1128" s="2">
        <v>43623</v>
      </c>
      <c r="F1128" s="1" t="s">
        <v>12</v>
      </c>
      <c r="G1128" s="1">
        <v>38</v>
      </c>
      <c r="H1128" t="str">
        <f t="shared" si="89"/>
        <v>Extra Large</v>
      </c>
      <c r="I1128" t="str">
        <f t="shared" si="85"/>
        <v>Extra Large</v>
      </c>
      <c r="J1128" s="1">
        <v>468.5102</v>
      </c>
      <c r="K1128">
        <f t="shared" si="86"/>
        <v>0.01</v>
      </c>
      <c r="L1128">
        <f t="shared" si="87"/>
        <v>463.82509799999997</v>
      </c>
      <c r="M1128" s="1">
        <f t="shared" si="88"/>
        <v>461.0102</v>
      </c>
      <c r="N1128" s="1" t="s">
        <v>10</v>
      </c>
      <c r="O1128" s="1">
        <v>7.5</v>
      </c>
    </row>
    <row r="1129" spans="4:15" x14ac:dyDescent="0.3">
      <c r="D1129" s="1">
        <v>47846</v>
      </c>
      <c r="E1129" s="2">
        <v>43688</v>
      </c>
      <c r="F1129" s="1" t="s">
        <v>9</v>
      </c>
      <c r="G1129" s="1">
        <v>5</v>
      </c>
      <c r="H1129" t="str">
        <f t="shared" si="89"/>
        <v>Mini</v>
      </c>
      <c r="I1129" t="str">
        <f t="shared" si="85"/>
        <v>Mini</v>
      </c>
      <c r="J1129" s="1">
        <v>71.08</v>
      </c>
      <c r="K1129">
        <f t="shared" si="86"/>
        <v>0</v>
      </c>
      <c r="L1129">
        <f t="shared" si="87"/>
        <v>71.08</v>
      </c>
      <c r="M1129" s="1">
        <f t="shared" si="88"/>
        <v>71.08</v>
      </c>
      <c r="N1129" s="1" t="s">
        <v>10</v>
      </c>
      <c r="O1129" s="1">
        <v>14</v>
      </c>
    </row>
    <row r="1130" spans="4:15" x14ac:dyDescent="0.3">
      <c r="D1130" s="1">
        <v>38661</v>
      </c>
      <c r="E1130" s="2">
        <v>43507</v>
      </c>
      <c r="F1130" s="1" t="s">
        <v>9</v>
      </c>
      <c r="G1130" s="1">
        <v>6</v>
      </c>
      <c r="H1130" t="str">
        <f t="shared" si="89"/>
        <v>Extra Small</v>
      </c>
      <c r="I1130" t="str">
        <f t="shared" si="85"/>
        <v>Extra Small</v>
      </c>
      <c r="J1130" s="1">
        <v>182.3</v>
      </c>
      <c r="K1130">
        <f t="shared" si="86"/>
        <v>0</v>
      </c>
      <c r="L1130">
        <f t="shared" si="87"/>
        <v>182.3</v>
      </c>
      <c r="M1130" s="1">
        <f t="shared" si="88"/>
        <v>182.3</v>
      </c>
      <c r="N1130" s="1" t="s">
        <v>10</v>
      </c>
      <c r="O1130" s="1">
        <v>1.1000000000000001</v>
      </c>
    </row>
    <row r="1131" spans="4:15" x14ac:dyDescent="0.3">
      <c r="D1131" s="1">
        <v>55458</v>
      </c>
      <c r="E1131" s="2">
        <v>43540</v>
      </c>
      <c r="F1131" s="1" t="s">
        <v>9</v>
      </c>
      <c r="G1131" s="1">
        <v>13</v>
      </c>
      <c r="H1131" t="str">
        <f t="shared" si="89"/>
        <v>Small</v>
      </c>
      <c r="I1131" t="str">
        <f t="shared" si="85"/>
        <v>Small</v>
      </c>
      <c r="J1131" s="1">
        <v>224.94</v>
      </c>
      <c r="K1131">
        <f t="shared" si="86"/>
        <v>0</v>
      </c>
      <c r="L1131">
        <f t="shared" si="87"/>
        <v>224.94</v>
      </c>
      <c r="M1131" s="1">
        <f t="shared" si="88"/>
        <v>224.94</v>
      </c>
      <c r="N1131" s="1" t="s">
        <v>10</v>
      </c>
      <c r="O1131" s="1">
        <v>8.1999999999999993</v>
      </c>
    </row>
    <row r="1132" spans="4:15" x14ac:dyDescent="0.3">
      <c r="D1132" s="1">
        <v>50977</v>
      </c>
      <c r="E1132" s="2">
        <v>43627</v>
      </c>
      <c r="F1132" s="1" t="s">
        <v>7</v>
      </c>
      <c r="G1132" s="1">
        <v>1</v>
      </c>
      <c r="H1132" t="str">
        <f t="shared" si="89"/>
        <v>Mini</v>
      </c>
      <c r="I1132" t="str">
        <f t="shared" si="85"/>
        <v>Mini</v>
      </c>
      <c r="J1132" s="1">
        <v>36.479999999999997</v>
      </c>
      <c r="K1132">
        <f t="shared" si="86"/>
        <v>0</v>
      </c>
      <c r="L1132">
        <f t="shared" si="87"/>
        <v>36.479999999999997</v>
      </c>
      <c r="M1132" s="1">
        <f t="shared" si="88"/>
        <v>36.479999999999997</v>
      </c>
      <c r="N1132" s="1" t="s">
        <v>8</v>
      </c>
      <c r="O1132" s="1">
        <v>9.6999999999999993</v>
      </c>
    </row>
    <row r="1133" spans="4:15" x14ac:dyDescent="0.3">
      <c r="D1133" s="1">
        <v>38178</v>
      </c>
      <c r="E1133" s="2">
        <v>43706</v>
      </c>
      <c r="F1133" s="1" t="s">
        <v>14</v>
      </c>
      <c r="G1133" s="1">
        <v>32</v>
      </c>
      <c r="H1133" t="str">
        <f t="shared" si="89"/>
        <v>Large</v>
      </c>
      <c r="I1133" t="str">
        <f t="shared" si="85"/>
        <v>Large</v>
      </c>
      <c r="J1133" s="1">
        <v>164.76</v>
      </c>
      <c r="K1133">
        <f t="shared" si="86"/>
        <v>0</v>
      </c>
      <c r="L1133">
        <f t="shared" si="87"/>
        <v>164.76</v>
      </c>
      <c r="M1133" s="1">
        <f t="shared" si="88"/>
        <v>164.76</v>
      </c>
      <c r="N1133" s="1" t="s">
        <v>10</v>
      </c>
      <c r="O1133" s="1">
        <v>0.5</v>
      </c>
    </row>
    <row r="1134" spans="4:15" x14ac:dyDescent="0.3">
      <c r="D1134" s="1">
        <v>51107</v>
      </c>
      <c r="E1134" s="2">
        <v>43733</v>
      </c>
      <c r="F1134" s="1" t="s">
        <v>11</v>
      </c>
      <c r="G1134" s="1">
        <v>36</v>
      </c>
      <c r="H1134" t="str">
        <f t="shared" si="89"/>
        <v>Extra Large</v>
      </c>
      <c r="I1134" t="str">
        <f t="shared" si="85"/>
        <v>Extra Large</v>
      </c>
      <c r="J1134" s="1">
        <v>826.76</v>
      </c>
      <c r="K1134">
        <f t="shared" si="86"/>
        <v>0.01</v>
      </c>
      <c r="L1134">
        <f t="shared" si="87"/>
        <v>818.49239999999998</v>
      </c>
      <c r="M1134" s="1">
        <f t="shared" si="88"/>
        <v>823.56</v>
      </c>
      <c r="N1134" s="1" t="s">
        <v>10</v>
      </c>
      <c r="O1134" s="1">
        <v>3.2</v>
      </c>
    </row>
    <row r="1135" spans="4:15" x14ac:dyDescent="0.3">
      <c r="D1135" s="1">
        <v>26919</v>
      </c>
      <c r="E1135" s="2">
        <v>43809</v>
      </c>
      <c r="F1135" s="1" t="s">
        <v>7</v>
      </c>
      <c r="G1135" s="1">
        <v>32</v>
      </c>
      <c r="H1135" t="str">
        <f t="shared" si="89"/>
        <v>Large</v>
      </c>
      <c r="I1135" t="str">
        <f t="shared" si="85"/>
        <v>Large</v>
      </c>
      <c r="J1135" s="1">
        <v>166.14</v>
      </c>
      <c r="K1135">
        <f t="shared" si="86"/>
        <v>0</v>
      </c>
      <c r="L1135">
        <f t="shared" si="87"/>
        <v>166.14</v>
      </c>
      <c r="M1135" s="1">
        <f t="shared" si="88"/>
        <v>166.14</v>
      </c>
      <c r="N1135" s="1" t="s">
        <v>10</v>
      </c>
      <c r="O1135" s="1">
        <v>8.1</v>
      </c>
    </row>
    <row r="1136" spans="4:15" x14ac:dyDescent="0.3">
      <c r="D1136" s="1">
        <v>32100</v>
      </c>
      <c r="E1136" s="2">
        <v>43608</v>
      </c>
      <c r="F1136" s="1" t="s">
        <v>14</v>
      </c>
      <c r="G1136" s="1">
        <v>29</v>
      </c>
      <c r="H1136" t="str">
        <f t="shared" si="89"/>
        <v>Medium-Large</v>
      </c>
      <c r="I1136" t="str">
        <f t="shared" si="85"/>
        <v>Medium-Large</v>
      </c>
      <c r="J1136" s="1">
        <v>1181.58</v>
      </c>
      <c r="K1136">
        <f t="shared" si="86"/>
        <v>0</v>
      </c>
      <c r="L1136">
        <f t="shared" si="87"/>
        <v>1181.58</v>
      </c>
      <c r="M1136" s="1">
        <f t="shared" si="88"/>
        <v>1181.58</v>
      </c>
      <c r="N1136" s="1" t="s">
        <v>10</v>
      </c>
      <c r="O1136" s="1">
        <v>2.1</v>
      </c>
    </row>
    <row r="1137" spans="4:15" x14ac:dyDescent="0.3">
      <c r="D1137" s="1">
        <v>50017</v>
      </c>
      <c r="E1137" s="2">
        <v>43789</v>
      </c>
      <c r="F1137" s="1" t="s">
        <v>7</v>
      </c>
      <c r="G1137" s="1">
        <v>24</v>
      </c>
      <c r="H1137" t="str">
        <f t="shared" si="89"/>
        <v>Medium</v>
      </c>
      <c r="I1137" t="str">
        <f t="shared" si="85"/>
        <v>Medium</v>
      </c>
      <c r="J1137" s="1">
        <v>2155.12</v>
      </c>
      <c r="K1137">
        <f t="shared" si="86"/>
        <v>0</v>
      </c>
      <c r="L1137">
        <f t="shared" si="87"/>
        <v>2155.12</v>
      </c>
      <c r="M1137" s="1">
        <f t="shared" si="88"/>
        <v>2155.12</v>
      </c>
      <c r="N1137" s="1" t="s">
        <v>10</v>
      </c>
      <c r="O1137" s="1">
        <v>37.5</v>
      </c>
    </row>
    <row r="1138" spans="4:15" x14ac:dyDescent="0.3">
      <c r="D1138" s="1">
        <v>2209</v>
      </c>
      <c r="E1138" s="2">
        <v>43655</v>
      </c>
      <c r="F1138" s="1" t="s">
        <v>9</v>
      </c>
      <c r="G1138" s="1">
        <v>27</v>
      </c>
      <c r="H1138" t="str">
        <f t="shared" si="89"/>
        <v>Medium-Large</v>
      </c>
      <c r="I1138" t="str">
        <f t="shared" si="85"/>
        <v>Medium-Large</v>
      </c>
      <c r="J1138" s="1">
        <v>10078.040000000001</v>
      </c>
      <c r="K1138">
        <f t="shared" si="86"/>
        <v>0</v>
      </c>
      <c r="L1138">
        <f t="shared" si="87"/>
        <v>10078.040000000001</v>
      </c>
      <c r="M1138" s="1">
        <f t="shared" si="88"/>
        <v>10078.040000000001</v>
      </c>
      <c r="N1138" s="1" t="s">
        <v>13</v>
      </c>
      <c r="O1138" s="1">
        <v>63.1</v>
      </c>
    </row>
    <row r="1139" spans="4:15" x14ac:dyDescent="0.3">
      <c r="D1139" s="1">
        <v>57798</v>
      </c>
      <c r="E1139" s="2">
        <v>43723</v>
      </c>
      <c r="F1139" s="1" t="s">
        <v>9</v>
      </c>
      <c r="G1139" s="1">
        <v>20</v>
      </c>
      <c r="H1139" t="str">
        <f t="shared" si="89"/>
        <v>Small-Medium</v>
      </c>
      <c r="I1139" t="str">
        <f t="shared" si="85"/>
        <v>Small-Medium</v>
      </c>
      <c r="J1139" s="1">
        <v>3264.37</v>
      </c>
      <c r="K1139">
        <f t="shared" si="86"/>
        <v>0</v>
      </c>
      <c r="L1139">
        <f t="shared" si="87"/>
        <v>3264.37</v>
      </c>
      <c r="M1139" s="1">
        <f t="shared" si="88"/>
        <v>3264.37</v>
      </c>
      <c r="N1139" s="1" t="s">
        <v>13</v>
      </c>
      <c r="O1139" s="1">
        <v>38.6</v>
      </c>
    </row>
    <row r="1140" spans="4:15" x14ac:dyDescent="0.3">
      <c r="D1140" s="1">
        <v>47682</v>
      </c>
      <c r="E1140" s="2">
        <v>43785</v>
      </c>
      <c r="F1140" s="1" t="s">
        <v>11</v>
      </c>
      <c r="G1140" s="1">
        <v>38</v>
      </c>
      <c r="H1140" t="str">
        <f t="shared" si="89"/>
        <v>Extra Large</v>
      </c>
      <c r="I1140" t="str">
        <f t="shared" si="85"/>
        <v>Extra Large</v>
      </c>
      <c r="J1140" s="1">
        <v>3414.6268</v>
      </c>
      <c r="K1140">
        <f t="shared" si="86"/>
        <v>0.01</v>
      </c>
      <c r="L1140">
        <f t="shared" si="87"/>
        <v>3380.480532</v>
      </c>
      <c r="M1140" s="1">
        <f t="shared" si="88"/>
        <v>3409.2267999999999</v>
      </c>
      <c r="N1140" s="1" t="s">
        <v>10</v>
      </c>
      <c r="O1140" s="1">
        <v>5.4</v>
      </c>
    </row>
    <row r="1141" spans="4:15" x14ac:dyDescent="0.3">
      <c r="D1141" s="1">
        <v>20642</v>
      </c>
      <c r="E1141" s="2">
        <v>43604</v>
      </c>
      <c r="F1141" s="1" t="s">
        <v>9</v>
      </c>
      <c r="G1141" s="1">
        <v>47</v>
      </c>
      <c r="H1141" t="str">
        <f t="shared" si="89"/>
        <v>XXX Large</v>
      </c>
      <c r="I1141" t="str">
        <f t="shared" si="85"/>
        <v>XXX Large</v>
      </c>
      <c r="J1141" s="1">
        <v>1154.51</v>
      </c>
      <c r="K1141">
        <f t="shared" si="86"/>
        <v>0.01</v>
      </c>
      <c r="L1141">
        <f t="shared" si="87"/>
        <v>1142.9648999999999</v>
      </c>
      <c r="M1141" s="1">
        <f t="shared" si="88"/>
        <v>1106.31</v>
      </c>
      <c r="N1141" s="1" t="s">
        <v>13</v>
      </c>
      <c r="O1141" s="1">
        <v>48.2</v>
      </c>
    </row>
    <row r="1142" spans="4:15" x14ac:dyDescent="0.3">
      <c r="D1142" s="1">
        <v>56453</v>
      </c>
      <c r="E1142" s="2">
        <v>43566</v>
      </c>
      <c r="F1142" s="1" t="s">
        <v>12</v>
      </c>
      <c r="G1142" s="1">
        <v>1</v>
      </c>
      <c r="H1142" t="str">
        <f t="shared" si="89"/>
        <v>Mini</v>
      </c>
      <c r="I1142" t="str">
        <f t="shared" si="85"/>
        <v>Mini</v>
      </c>
      <c r="J1142" s="1">
        <v>2919.66</v>
      </c>
      <c r="K1142">
        <f t="shared" si="86"/>
        <v>0</v>
      </c>
      <c r="L1142">
        <f t="shared" si="87"/>
        <v>2919.66</v>
      </c>
      <c r="M1142" s="1">
        <f t="shared" si="88"/>
        <v>2919.66</v>
      </c>
      <c r="N1142" s="1" t="s">
        <v>13</v>
      </c>
      <c r="O1142" s="1">
        <v>31.8</v>
      </c>
    </row>
    <row r="1143" spans="4:15" x14ac:dyDescent="0.3">
      <c r="D1143" s="1">
        <v>59680</v>
      </c>
      <c r="E1143" s="2">
        <v>43634</v>
      </c>
      <c r="F1143" s="1" t="s">
        <v>12</v>
      </c>
      <c r="G1143" s="1">
        <v>15</v>
      </c>
      <c r="H1143" t="str">
        <f t="shared" si="89"/>
        <v>Small</v>
      </c>
      <c r="I1143" t="str">
        <f t="shared" si="85"/>
        <v>Small</v>
      </c>
      <c r="J1143" s="1">
        <v>19.010000000000002</v>
      </c>
      <c r="K1143">
        <f t="shared" si="86"/>
        <v>0</v>
      </c>
      <c r="L1143">
        <f t="shared" si="87"/>
        <v>19.010000000000002</v>
      </c>
      <c r="M1143" s="1">
        <f t="shared" si="88"/>
        <v>19.010000000000002</v>
      </c>
      <c r="N1143" s="1" t="s">
        <v>10</v>
      </c>
      <c r="O1143" s="1">
        <v>3.2</v>
      </c>
    </row>
    <row r="1144" spans="4:15" x14ac:dyDescent="0.3">
      <c r="D1144" s="1">
        <v>15651</v>
      </c>
      <c r="E1144" s="2">
        <v>43742</v>
      </c>
      <c r="F1144" s="1" t="s">
        <v>12</v>
      </c>
      <c r="G1144" s="1">
        <v>14</v>
      </c>
      <c r="H1144" t="str">
        <f t="shared" si="89"/>
        <v>Small</v>
      </c>
      <c r="I1144" t="str">
        <f t="shared" si="85"/>
        <v>Small</v>
      </c>
      <c r="J1144" s="1">
        <v>1224.45</v>
      </c>
      <c r="K1144">
        <f t="shared" si="86"/>
        <v>0</v>
      </c>
      <c r="L1144">
        <f t="shared" si="87"/>
        <v>1224.45</v>
      </c>
      <c r="M1144" s="1">
        <f t="shared" si="88"/>
        <v>1224.45</v>
      </c>
      <c r="N1144" s="1" t="s">
        <v>10</v>
      </c>
      <c r="O1144" s="1">
        <v>37.5</v>
      </c>
    </row>
    <row r="1145" spans="4:15" x14ac:dyDescent="0.3">
      <c r="D1145" s="1">
        <v>51559</v>
      </c>
      <c r="E1145" s="2">
        <v>43528</v>
      </c>
      <c r="F1145" s="1" t="s">
        <v>7</v>
      </c>
      <c r="G1145" s="1">
        <v>34</v>
      </c>
      <c r="H1145" t="str">
        <f t="shared" si="89"/>
        <v>Large</v>
      </c>
      <c r="I1145" t="str">
        <f t="shared" si="85"/>
        <v>Large</v>
      </c>
      <c r="J1145" s="1">
        <v>881.66</v>
      </c>
      <c r="K1145">
        <f t="shared" si="86"/>
        <v>0</v>
      </c>
      <c r="L1145">
        <f t="shared" si="87"/>
        <v>881.66</v>
      </c>
      <c r="M1145" s="1">
        <f t="shared" si="88"/>
        <v>881.66</v>
      </c>
      <c r="N1145" s="1" t="s">
        <v>10</v>
      </c>
      <c r="O1145" s="1">
        <v>4.4000000000000004</v>
      </c>
    </row>
    <row r="1146" spans="4:15" x14ac:dyDescent="0.3">
      <c r="D1146" s="1">
        <v>19936</v>
      </c>
      <c r="E1146" s="2">
        <v>43782</v>
      </c>
      <c r="F1146" s="1" t="s">
        <v>12</v>
      </c>
      <c r="G1146" s="1">
        <v>41</v>
      </c>
      <c r="H1146" t="str">
        <f t="shared" si="89"/>
        <v>XX Large</v>
      </c>
      <c r="I1146" t="str">
        <f t="shared" si="85"/>
        <v>XX Large</v>
      </c>
      <c r="J1146" s="1">
        <v>1193.26</v>
      </c>
      <c r="K1146">
        <f t="shared" si="86"/>
        <v>0.01</v>
      </c>
      <c r="L1146">
        <f t="shared" si="87"/>
        <v>1181.3273999999999</v>
      </c>
      <c r="M1146" s="1">
        <f t="shared" si="88"/>
        <v>1191.1600000000001</v>
      </c>
      <c r="N1146" s="1" t="s">
        <v>10</v>
      </c>
      <c r="O1146" s="1">
        <v>2.1</v>
      </c>
    </row>
    <row r="1147" spans="4:15" x14ac:dyDescent="0.3">
      <c r="D1147" s="1">
        <v>26407</v>
      </c>
      <c r="E1147" s="2">
        <v>43635</v>
      </c>
      <c r="F1147" s="1" t="s">
        <v>12</v>
      </c>
      <c r="G1147" s="1">
        <v>34</v>
      </c>
      <c r="H1147" t="str">
        <f t="shared" si="89"/>
        <v>Large</v>
      </c>
      <c r="I1147" t="str">
        <f t="shared" si="85"/>
        <v>Large</v>
      </c>
      <c r="J1147" s="1">
        <v>10188.67</v>
      </c>
      <c r="K1147">
        <f t="shared" si="86"/>
        <v>0</v>
      </c>
      <c r="L1147">
        <f t="shared" si="87"/>
        <v>10188.67</v>
      </c>
      <c r="M1147" s="1">
        <f t="shared" si="88"/>
        <v>10188.67</v>
      </c>
      <c r="N1147" s="1" t="s">
        <v>10</v>
      </c>
      <c r="O1147" s="1">
        <v>37.5</v>
      </c>
    </row>
    <row r="1148" spans="4:15" x14ac:dyDescent="0.3">
      <c r="D1148" s="1">
        <v>34182</v>
      </c>
      <c r="E1148" s="2">
        <v>43755</v>
      </c>
      <c r="F1148" s="1" t="s">
        <v>12</v>
      </c>
      <c r="G1148" s="1">
        <v>31</v>
      </c>
      <c r="H1148" t="str">
        <f t="shared" si="89"/>
        <v>Large</v>
      </c>
      <c r="I1148" t="str">
        <f t="shared" si="85"/>
        <v>Large</v>
      </c>
      <c r="J1148" s="1">
        <v>359.88</v>
      </c>
      <c r="K1148">
        <f t="shared" si="86"/>
        <v>0</v>
      </c>
      <c r="L1148">
        <f t="shared" si="87"/>
        <v>359.88</v>
      </c>
      <c r="M1148" s="1">
        <f t="shared" si="88"/>
        <v>359.88</v>
      </c>
      <c r="N1148" s="1" t="s">
        <v>10</v>
      </c>
      <c r="O1148" s="1">
        <v>8.5</v>
      </c>
    </row>
    <row r="1149" spans="4:15" x14ac:dyDescent="0.3">
      <c r="D1149" s="1">
        <v>54053</v>
      </c>
      <c r="E1149" s="2">
        <v>43509</v>
      </c>
      <c r="F1149" s="1" t="s">
        <v>9</v>
      </c>
      <c r="G1149" s="1">
        <v>34</v>
      </c>
      <c r="H1149" t="str">
        <f t="shared" si="89"/>
        <v>Large</v>
      </c>
      <c r="I1149" t="str">
        <f t="shared" si="85"/>
        <v>Large</v>
      </c>
      <c r="J1149" s="1">
        <v>6028.76</v>
      </c>
      <c r="K1149">
        <f t="shared" si="86"/>
        <v>0</v>
      </c>
      <c r="L1149">
        <f t="shared" si="87"/>
        <v>6028.76</v>
      </c>
      <c r="M1149" s="1">
        <f t="shared" si="88"/>
        <v>6028.76</v>
      </c>
      <c r="N1149" s="1" t="s">
        <v>10</v>
      </c>
      <c r="O1149" s="1">
        <v>8.6</v>
      </c>
    </row>
    <row r="1150" spans="4:15" x14ac:dyDescent="0.3">
      <c r="D1150" s="1">
        <v>52320</v>
      </c>
      <c r="E1150" s="2">
        <v>43732</v>
      </c>
      <c r="F1150" s="1" t="s">
        <v>7</v>
      </c>
      <c r="G1150" s="1">
        <v>41</v>
      </c>
      <c r="H1150" t="str">
        <f t="shared" si="89"/>
        <v>XX Large</v>
      </c>
      <c r="I1150" t="str">
        <f t="shared" si="85"/>
        <v>XX Large</v>
      </c>
      <c r="J1150" s="1">
        <v>120.48</v>
      </c>
      <c r="K1150">
        <f t="shared" si="86"/>
        <v>0.01</v>
      </c>
      <c r="L1150">
        <f t="shared" si="87"/>
        <v>119.2752</v>
      </c>
      <c r="M1150" s="1">
        <f t="shared" si="88"/>
        <v>119.38000000000001</v>
      </c>
      <c r="N1150" s="1" t="s">
        <v>10</v>
      </c>
      <c r="O1150" s="1">
        <v>1.1000000000000001</v>
      </c>
    </row>
    <row r="1151" spans="4:15" x14ac:dyDescent="0.3">
      <c r="D1151" s="1">
        <v>24613</v>
      </c>
      <c r="E1151" s="2">
        <v>43662</v>
      </c>
      <c r="F1151" s="1" t="s">
        <v>7</v>
      </c>
      <c r="G1151" s="1">
        <v>16</v>
      </c>
      <c r="H1151" t="str">
        <f t="shared" si="89"/>
        <v>Small-Medium</v>
      </c>
      <c r="I1151" t="str">
        <f t="shared" si="85"/>
        <v>Small-Medium</v>
      </c>
      <c r="J1151" s="1">
        <v>10374.549999999999</v>
      </c>
      <c r="K1151">
        <f t="shared" si="86"/>
        <v>0</v>
      </c>
      <c r="L1151">
        <f t="shared" si="87"/>
        <v>10374.549999999999</v>
      </c>
      <c r="M1151" s="1">
        <f t="shared" si="88"/>
        <v>10374.549999999999</v>
      </c>
      <c r="N1151" s="1" t="s">
        <v>10</v>
      </c>
      <c r="O1151" s="1">
        <v>26.2</v>
      </c>
    </row>
    <row r="1152" spans="4:15" x14ac:dyDescent="0.3">
      <c r="D1152" s="1">
        <v>42944</v>
      </c>
      <c r="E1152" s="2">
        <v>43787</v>
      </c>
      <c r="F1152" s="1" t="s">
        <v>12</v>
      </c>
      <c r="G1152" s="1">
        <v>43</v>
      </c>
      <c r="H1152" t="str">
        <f t="shared" si="89"/>
        <v>XX Large</v>
      </c>
      <c r="I1152" t="str">
        <f t="shared" si="85"/>
        <v>XX Large</v>
      </c>
      <c r="J1152" s="1">
        <v>10433.09</v>
      </c>
      <c r="K1152">
        <f t="shared" si="86"/>
        <v>0.01</v>
      </c>
      <c r="L1152">
        <f t="shared" si="87"/>
        <v>10328.759099999999</v>
      </c>
      <c r="M1152" s="1">
        <f t="shared" si="88"/>
        <v>10364.39</v>
      </c>
      <c r="N1152" s="1" t="s">
        <v>13</v>
      </c>
      <c r="O1152" s="1">
        <v>68.7</v>
      </c>
    </row>
    <row r="1153" spans="4:15" x14ac:dyDescent="0.3">
      <c r="D1153" s="1">
        <v>57638</v>
      </c>
      <c r="E1153" s="2">
        <v>43577</v>
      </c>
      <c r="F1153" s="1" t="s">
        <v>7</v>
      </c>
      <c r="G1153" s="1">
        <v>49</v>
      </c>
      <c r="H1153" t="str">
        <f t="shared" si="89"/>
        <v>XXX Large</v>
      </c>
      <c r="I1153" t="str">
        <f t="shared" si="85"/>
        <v>XXX Large</v>
      </c>
      <c r="J1153" s="1">
        <v>107.09</v>
      </c>
      <c r="K1153">
        <f t="shared" si="86"/>
        <v>0.01</v>
      </c>
      <c r="L1153">
        <f t="shared" si="87"/>
        <v>106.01910000000001</v>
      </c>
      <c r="M1153" s="1">
        <f t="shared" si="88"/>
        <v>104.39</v>
      </c>
      <c r="N1153" s="1" t="s">
        <v>10</v>
      </c>
      <c r="O1153" s="1">
        <v>2.7</v>
      </c>
    </row>
    <row r="1154" spans="4:15" x14ac:dyDescent="0.3">
      <c r="D1154" s="1">
        <v>14210</v>
      </c>
      <c r="E1154" s="2">
        <v>43642</v>
      </c>
      <c r="F1154" s="1" t="s">
        <v>11</v>
      </c>
      <c r="G1154" s="1">
        <v>19</v>
      </c>
      <c r="H1154" t="str">
        <f t="shared" si="89"/>
        <v>Small-Medium</v>
      </c>
      <c r="I1154" t="str">
        <f t="shared" si="85"/>
        <v>Small-Medium</v>
      </c>
      <c r="J1154" s="1">
        <v>724.17</v>
      </c>
      <c r="K1154">
        <f t="shared" si="86"/>
        <v>0</v>
      </c>
      <c r="L1154">
        <f t="shared" si="87"/>
        <v>724.17</v>
      </c>
      <c r="M1154" s="1">
        <f t="shared" si="88"/>
        <v>724.17</v>
      </c>
      <c r="N1154" s="1" t="s">
        <v>10</v>
      </c>
      <c r="O1154" s="1">
        <v>2.1</v>
      </c>
    </row>
    <row r="1155" spans="4:15" x14ac:dyDescent="0.3">
      <c r="D1155" s="1">
        <v>55655</v>
      </c>
      <c r="E1155" s="2">
        <v>43732</v>
      </c>
      <c r="F1155" s="1" t="s">
        <v>7</v>
      </c>
      <c r="G1155" s="1">
        <v>33</v>
      </c>
      <c r="H1155" t="str">
        <f t="shared" si="89"/>
        <v>Large</v>
      </c>
      <c r="I1155" t="str">
        <f t="shared" ref="I1155:I1218" si="90">VLOOKUP(G1155, $A$3:$B$12, 2, TRUE)</f>
        <v>Large</v>
      </c>
      <c r="J1155" s="1">
        <v>3928.12</v>
      </c>
      <c r="K1155">
        <f t="shared" ref="K1155:K1218" si="91">IF(OR(I1155="Extra Large", I1155="XX Large", I1155="XXX Large"), 0.01, 0)</f>
        <v>0</v>
      </c>
      <c r="L1155">
        <f t="shared" ref="L1155:L1218" si="92">J1155 * (1 - K1155)</f>
        <v>3928.12</v>
      </c>
      <c r="M1155" s="1">
        <f t="shared" ref="M1155:M1218" si="93">IF(OR(I1155="Extra Large",I1155="XX Large",I1155="XXX Large"),J1155-O1155,J1155)</f>
        <v>3928.12</v>
      </c>
      <c r="N1155" s="1" t="s">
        <v>10</v>
      </c>
      <c r="O1155" s="1">
        <v>9.6</v>
      </c>
    </row>
    <row r="1156" spans="4:15" x14ac:dyDescent="0.3">
      <c r="D1156" s="1">
        <v>6535</v>
      </c>
      <c r="E1156" s="2">
        <v>43628</v>
      </c>
      <c r="F1156" s="1" t="s">
        <v>12</v>
      </c>
      <c r="G1156" s="1">
        <v>11</v>
      </c>
      <c r="H1156" t="str">
        <f t="shared" si="89"/>
        <v>Small</v>
      </c>
      <c r="I1156" t="str">
        <f t="shared" si="90"/>
        <v>Small</v>
      </c>
      <c r="J1156" s="1">
        <v>334.23</v>
      </c>
      <c r="K1156">
        <f t="shared" si="91"/>
        <v>0</v>
      </c>
      <c r="L1156">
        <f t="shared" si="92"/>
        <v>334.23</v>
      </c>
      <c r="M1156" s="1">
        <f t="shared" si="93"/>
        <v>334.23</v>
      </c>
      <c r="N1156" s="1" t="s">
        <v>8</v>
      </c>
      <c r="O1156" s="1">
        <v>9.6</v>
      </c>
    </row>
    <row r="1157" spans="4:15" x14ac:dyDescent="0.3">
      <c r="D1157" s="1">
        <v>49953</v>
      </c>
      <c r="E1157" s="2">
        <v>43541</v>
      </c>
      <c r="F1157" s="1" t="s">
        <v>11</v>
      </c>
      <c r="G1157" s="1">
        <v>36</v>
      </c>
      <c r="H1157" t="str">
        <f t="shared" ref="H1157:H1220" si="94">VLOOKUP(G1157, $A$3:$B$12, 2, TRUE)</f>
        <v>Extra Large</v>
      </c>
      <c r="I1157" t="str">
        <f t="shared" si="90"/>
        <v>Extra Large</v>
      </c>
      <c r="J1157" s="1">
        <v>259.08</v>
      </c>
      <c r="K1157">
        <f t="shared" si="91"/>
        <v>0.01</v>
      </c>
      <c r="L1157">
        <f t="shared" si="92"/>
        <v>256.48919999999998</v>
      </c>
      <c r="M1157" s="1">
        <f t="shared" si="93"/>
        <v>251.98</v>
      </c>
      <c r="N1157" s="1" t="s">
        <v>8</v>
      </c>
      <c r="O1157" s="1">
        <v>7.1</v>
      </c>
    </row>
    <row r="1158" spans="4:15" x14ac:dyDescent="0.3">
      <c r="D1158" s="1">
        <v>43460</v>
      </c>
      <c r="E1158" s="2">
        <v>43627</v>
      </c>
      <c r="F1158" s="1" t="s">
        <v>14</v>
      </c>
      <c r="G1158" s="1">
        <v>2</v>
      </c>
      <c r="H1158" t="str">
        <f t="shared" si="94"/>
        <v>Mini</v>
      </c>
      <c r="I1158" t="str">
        <f t="shared" si="90"/>
        <v>Mini</v>
      </c>
      <c r="J1158" s="1">
        <v>26.85</v>
      </c>
      <c r="K1158">
        <f t="shared" si="91"/>
        <v>0</v>
      </c>
      <c r="L1158">
        <f t="shared" si="92"/>
        <v>26.85</v>
      </c>
      <c r="M1158" s="1">
        <f t="shared" si="93"/>
        <v>26.85</v>
      </c>
      <c r="N1158" s="1" t="s">
        <v>10</v>
      </c>
      <c r="O1158" s="1">
        <v>9.6</v>
      </c>
    </row>
    <row r="1159" spans="4:15" x14ac:dyDescent="0.3">
      <c r="D1159" s="1">
        <v>36832</v>
      </c>
      <c r="E1159" s="2">
        <v>43617</v>
      </c>
      <c r="F1159" s="1" t="s">
        <v>7</v>
      </c>
      <c r="G1159" s="1">
        <v>43</v>
      </c>
      <c r="H1159" t="str">
        <f t="shared" si="94"/>
        <v>XX Large</v>
      </c>
      <c r="I1159" t="str">
        <f t="shared" si="90"/>
        <v>XX Large</v>
      </c>
      <c r="J1159" s="1">
        <v>570.19000000000005</v>
      </c>
      <c r="K1159">
        <f t="shared" si="91"/>
        <v>0.01</v>
      </c>
      <c r="L1159">
        <f t="shared" si="92"/>
        <v>564.48810000000003</v>
      </c>
      <c r="M1159" s="1">
        <f t="shared" si="93"/>
        <v>568.59</v>
      </c>
      <c r="N1159" s="1" t="s">
        <v>10</v>
      </c>
      <c r="O1159" s="1">
        <v>1.6</v>
      </c>
    </row>
    <row r="1160" spans="4:15" x14ac:dyDescent="0.3">
      <c r="D1160" s="1">
        <v>43203</v>
      </c>
      <c r="E1160" s="2">
        <v>43509</v>
      </c>
      <c r="F1160" s="1" t="s">
        <v>11</v>
      </c>
      <c r="G1160" s="1">
        <v>32</v>
      </c>
      <c r="H1160" t="str">
        <f t="shared" si="94"/>
        <v>Large</v>
      </c>
      <c r="I1160" t="str">
        <f t="shared" si="90"/>
        <v>Large</v>
      </c>
      <c r="J1160" s="1">
        <v>240.92</v>
      </c>
      <c r="K1160">
        <f t="shared" si="91"/>
        <v>0</v>
      </c>
      <c r="L1160">
        <f t="shared" si="92"/>
        <v>240.92</v>
      </c>
      <c r="M1160" s="1">
        <f t="shared" si="93"/>
        <v>240.92</v>
      </c>
      <c r="N1160" s="1" t="s">
        <v>10</v>
      </c>
      <c r="O1160" s="1">
        <v>5.6</v>
      </c>
    </row>
    <row r="1161" spans="4:15" x14ac:dyDescent="0.3">
      <c r="D1161" s="1">
        <v>32325</v>
      </c>
      <c r="E1161" s="2">
        <v>43770</v>
      </c>
      <c r="F1161" s="1" t="s">
        <v>12</v>
      </c>
      <c r="G1161" s="1">
        <v>45</v>
      </c>
      <c r="H1161" t="str">
        <f t="shared" si="94"/>
        <v>XX Large</v>
      </c>
      <c r="I1161" t="str">
        <f t="shared" si="90"/>
        <v>XX Large</v>
      </c>
      <c r="J1161" s="1">
        <v>1180.99</v>
      </c>
      <c r="K1161">
        <f t="shared" si="91"/>
        <v>0.01</v>
      </c>
      <c r="L1161">
        <f t="shared" si="92"/>
        <v>1169.1801</v>
      </c>
      <c r="M1161" s="1">
        <f t="shared" si="93"/>
        <v>1172.8900000000001</v>
      </c>
      <c r="N1161" s="1" t="s">
        <v>10</v>
      </c>
      <c r="O1161" s="1">
        <v>8.1</v>
      </c>
    </row>
    <row r="1162" spans="4:15" x14ac:dyDescent="0.3">
      <c r="D1162" s="1">
        <v>22465</v>
      </c>
      <c r="E1162" s="2">
        <v>43667</v>
      </c>
      <c r="F1162" s="1" t="s">
        <v>11</v>
      </c>
      <c r="G1162" s="1">
        <v>4</v>
      </c>
      <c r="H1162" t="str">
        <f t="shared" si="94"/>
        <v>Mini</v>
      </c>
      <c r="I1162" t="str">
        <f t="shared" si="90"/>
        <v>Mini</v>
      </c>
      <c r="J1162" s="1">
        <v>1200.3</v>
      </c>
      <c r="K1162">
        <f t="shared" si="91"/>
        <v>0</v>
      </c>
      <c r="L1162">
        <f t="shared" si="92"/>
        <v>1200.3</v>
      </c>
      <c r="M1162" s="1">
        <f t="shared" si="93"/>
        <v>1200.3</v>
      </c>
      <c r="N1162" s="1" t="s">
        <v>13</v>
      </c>
      <c r="O1162" s="1">
        <v>53.5</v>
      </c>
    </row>
    <row r="1163" spans="4:15" x14ac:dyDescent="0.3">
      <c r="D1163" s="1">
        <v>5095</v>
      </c>
      <c r="E1163" s="2">
        <v>43576</v>
      </c>
      <c r="F1163" s="1" t="s">
        <v>9</v>
      </c>
      <c r="G1163" s="1">
        <v>7</v>
      </c>
      <c r="H1163" t="str">
        <f t="shared" si="94"/>
        <v>Extra Small</v>
      </c>
      <c r="I1163" t="str">
        <f t="shared" si="90"/>
        <v>Extra Small</v>
      </c>
      <c r="J1163" s="1">
        <v>841.74</v>
      </c>
      <c r="K1163">
        <f t="shared" si="91"/>
        <v>0</v>
      </c>
      <c r="L1163">
        <f t="shared" si="92"/>
        <v>841.74</v>
      </c>
      <c r="M1163" s="1">
        <f t="shared" si="93"/>
        <v>841.74</v>
      </c>
      <c r="N1163" s="1" t="s">
        <v>10</v>
      </c>
      <c r="O1163" s="1">
        <v>9.4</v>
      </c>
    </row>
    <row r="1164" spans="4:15" x14ac:dyDescent="0.3">
      <c r="D1164" s="1">
        <v>21634</v>
      </c>
      <c r="E1164" s="2">
        <v>43766</v>
      </c>
      <c r="F1164" s="1" t="s">
        <v>11</v>
      </c>
      <c r="G1164" s="1">
        <v>8</v>
      </c>
      <c r="H1164" t="str">
        <f t="shared" si="94"/>
        <v>Extra Small</v>
      </c>
      <c r="I1164" t="str">
        <f t="shared" si="90"/>
        <v>Extra Small</v>
      </c>
      <c r="J1164" s="1">
        <v>1724.5510999999999</v>
      </c>
      <c r="K1164">
        <f t="shared" si="91"/>
        <v>0</v>
      </c>
      <c r="L1164">
        <f t="shared" si="92"/>
        <v>1724.5510999999999</v>
      </c>
      <c r="M1164" s="1">
        <f t="shared" si="93"/>
        <v>1724.5510999999999</v>
      </c>
      <c r="N1164" s="1" t="s">
        <v>13</v>
      </c>
      <c r="O1164" s="1">
        <v>72.8</v>
      </c>
    </row>
    <row r="1165" spans="4:15" x14ac:dyDescent="0.3">
      <c r="D1165" s="1">
        <v>38848</v>
      </c>
      <c r="E1165" s="2">
        <v>43815</v>
      </c>
      <c r="F1165" s="1" t="s">
        <v>9</v>
      </c>
      <c r="G1165" s="1">
        <v>6</v>
      </c>
      <c r="H1165" t="str">
        <f t="shared" si="94"/>
        <v>Extra Small</v>
      </c>
      <c r="I1165" t="str">
        <f t="shared" si="90"/>
        <v>Extra Small</v>
      </c>
      <c r="J1165" s="1">
        <v>277.69</v>
      </c>
      <c r="K1165">
        <f t="shared" si="91"/>
        <v>0</v>
      </c>
      <c r="L1165">
        <f t="shared" si="92"/>
        <v>277.69</v>
      </c>
      <c r="M1165" s="1">
        <f t="shared" si="93"/>
        <v>277.69</v>
      </c>
      <c r="N1165" s="1" t="s">
        <v>10</v>
      </c>
      <c r="O1165" s="1">
        <v>3.2</v>
      </c>
    </row>
    <row r="1166" spans="4:15" x14ac:dyDescent="0.3">
      <c r="D1166" s="1">
        <v>15399</v>
      </c>
      <c r="E1166" s="2">
        <v>43598</v>
      </c>
      <c r="F1166" s="1" t="s">
        <v>12</v>
      </c>
      <c r="G1166" s="1">
        <v>46</v>
      </c>
      <c r="H1166" t="str">
        <f t="shared" si="94"/>
        <v>XXX Large</v>
      </c>
      <c r="I1166" t="str">
        <f t="shared" si="90"/>
        <v>XXX Large</v>
      </c>
      <c r="J1166" s="1">
        <v>2690.53</v>
      </c>
      <c r="K1166">
        <f t="shared" si="91"/>
        <v>0.01</v>
      </c>
      <c r="L1166">
        <f t="shared" si="92"/>
        <v>2663.6247000000003</v>
      </c>
      <c r="M1166" s="1">
        <f t="shared" si="93"/>
        <v>2685.23</v>
      </c>
      <c r="N1166" s="1" t="s">
        <v>8</v>
      </c>
      <c r="O1166" s="1">
        <v>5.3</v>
      </c>
    </row>
    <row r="1167" spans="4:15" x14ac:dyDescent="0.3">
      <c r="D1167" s="1">
        <v>37253</v>
      </c>
      <c r="E1167" s="2">
        <v>43709</v>
      </c>
      <c r="F1167" s="1" t="s">
        <v>9</v>
      </c>
      <c r="G1167" s="1">
        <v>46</v>
      </c>
      <c r="H1167" t="str">
        <f t="shared" si="94"/>
        <v>XXX Large</v>
      </c>
      <c r="I1167" t="str">
        <f t="shared" si="90"/>
        <v>XXX Large</v>
      </c>
      <c r="J1167" s="1">
        <v>1267.22</v>
      </c>
      <c r="K1167">
        <f t="shared" si="91"/>
        <v>0.01</v>
      </c>
      <c r="L1167">
        <f t="shared" si="92"/>
        <v>1254.5478000000001</v>
      </c>
      <c r="M1167" s="1">
        <f t="shared" si="93"/>
        <v>1260.92</v>
      </c>
      <c r="N1167" s="1" t="s">
        <v>10</v>
      </c>
      <c r="O1167" s="1">
        <v>6.3</v>
      </c>
    </row>
    <row r="1168" spans="4:15" x14ac:dyDescent="0.3">
      <c r="D1168" s="1">
        <v>21729</v>
      </c>
      <c r="E1168" s="2">
        <v>43805</v>
      </c>
      <c r="F1168" s="1" t="s">
        <v>7</v>
      </c>
      <c r="G1168" s="1">
        <v>28</v>
      </c>
      <c r="H1168" t="str">
        <f t="shared" si="94"/>
        <v>Medium-Large</v>
      </c>
      <c r="I1168" t="str">
        <f t="shared" si="90"/>
        <v>Medium-Large</v>
      </c>
      <c r="J1168" s="1">
        <v>129.44999999999999</v>
      </c>
      <c r="K1168">
        <f t="shared" si="91"/>
        <v>0</v>
      </c>
      <c r="L1168">
        <f t="shared" si="92"/>
        <v>129.44999999999999</v>
      </c>
      <c r="M1168" s="1">
        <f t="shared" si="93"/>
        <v>129.44999999999999</v>
      </c>
      <c r="N1168" s="1" t="s">
        <v>10</v>
      </c>
      <c r="O1168" s="1">
        <v>5.7</v>
      </c>
    </row>
    <row r="1169" spans="4:15" x14ac:dyDescent="0.3">
      <c r="D1169" s="1">
        <v>32966</v>
      </c>
      <c r="E1169" s="2">
        <v>43490</v>
      </c>
      <c r="F1169" s="1" t="s">
        <v>7</v>
      </c>
      <c r="G1169" s="1">
        <v>4</v>
      </c>
      <c r="H1169" t="str">
        <f t="shared" si="94"/>
        <v>Mini</v>
      </c>
      <c r="I1169" t="str">
        <f t="shared" si="90"/>
        <v>Mini</v>
      </c>
      <c r="J1169" s="1">
        <v>1107.664</v>
      </c>
      <c r="K1169">
        <f t="shared" si="91"/>
        <v>0</v>
      </c>
      <c r="L1169">
        <f t="shared" si="92"/>
        <v>1107.664</v>
      </c>
      <c r="M1169" s="1">
        <f t="shared" si="93"/>
        <v>1107.664</v>
      </c>
      <c r="N1169" s="1" t="s">
        <v>13</v>
      </c>
      <c r="O1169" s="1">
        <v>30</v>
      </c>
    </row>
    <row r="1170" spans="4:15" x14ac:dyDescent="0.3">
      <c r="D1170" s="1">
        <v>51424</v>
      </c>
      <c r="E1170" s="2">
        <v>43473</v>
      </c>
      <c r="F1170" s="1" t="s">
        <v>11</v>
      </c>
      <c r="G1170" s="1">
        <v>5</v>
      </c>
      <c r="H1170" t="str">
        <f t="shared" si="94"/>
        <v>Mini</v>
      </c>
      <c r="I1170" t="str">
        <f t="shared" si="90"/>
        <v>Mini</v>
      </c>
      <c r="J1170" s="1">
        <v>95.165800000000004</v>
      </c>
      <c r="K1170">
        <f t="shared" si="91"/>
        <v>0</v>
      </c>
      <c r="L1170">
        <f t="shared" si="92"/>
        <v>95.165800000000004</v>
      </c>
      <c r="M1170" s="1">
        <f t="shared" si="93"/>
        <v>95.165800000000004</v>
      </c>
      <c r="N1170" s="1" t="s">
        <v>10</v>
      </c>
      <c r="O1170" s="1">
        <v>7.5</v>
      </c>
    </row>
    <row r="1171" spans="4:15" x14ac:dyDescent="0.3">
      <c r="D1171" s="1">
        <v>8803</v>
      </c>
      <c r="E1171" s="2">
        <v>43819</v>
      </c>
      <c r="F1171" s="1" t="s">
        <v>11</v>
      </c>
      <c r="G1171" s="1">
        <v>17</v>
      </c>
      <c r="H1171" t="str">
        <f t="shared" si="94"/>
        <v>Small-Medium</v>
      </c>
      <c r="I1171" t="str">
        <f t="shared" si="90"/>
        <v>Small-Medium</v>
      </c>
      <c r="J1171" s="1">
        <v>550.21540000000005</v>
      </c>
      <c r="K1171">
        <f t="shared" si="91"/>
        <v>0</v>
      </c>
      <c r="L1171">
        <f t="shared" si="92"/>
        <v>550.21540000000005</v>
      </c>
      <c r="M1171" s="1">
        <f t="shared" si="93"/>
        <v>550.21540000000005</v>
      </c>
      <c r="N1171" s="1" t="s">
        <v>10</v>
      </c>
      <c r="O1171" s="1">
        <v>3.2</v>
      </c>
    </row>
    <row r="1172" spans="4:15" x14ac:dyDescent="0.3">
      <c r="D1172" s="1">
        <v>43713</v>
      </c>
      <c r="E1172" s="2">
        <v>43715</v>
      </c>
      <c r="F1172" s="1" t="s">
        <v>14</v>
      </c>
      <c r="G1172" s="1">
        <v>12</v>
      </c>
      <c r="H1172" t="str">
        <f t="shared" si="94"/>
        <v>Small</v>
      </c>
      <c r="I1172" t="str">
        <f t="shared" si="90"/>
        <v>Small</v>
      </c>
      <c r="J1172" s="1">
        <v>36.8187</v>
      </c>
      <c r="K1172">
        <f t="shared" si="91"/>
        <v>0</v>
      </c>
      <c r="L1172">
        <f t="shared" si="92"/>
        <v>36.8187</v>
      </c>
      <c r="M1172" s="1">
        <f t="shared" si="93"/>
        <v>36.8187</v>
      </c>
      <c r="N1172" s="1" t="s">
        <v>10</v>
      </c>
      <c r="O1172" s="1">
        <v>2.6</v>
      </c>
    </row>
    <row r="1173" spans="4:15" x14ac:dyDescent="0.3">
      <c r="D1173" s="1">
        <v>14851</v>
      </c>
      <c r="E1173" s="2">
        <v>43596</v>
      </c>
      <c r="F1173" s="1" t="s">
        <v>11</v>
      </c>
      <c r="G1173" s="1">
        <v>6</v>
      </c>
      <c r="H1173" t="str">
        <f t="shared" si="94"/>
        <v>Extra Small</v>
      </c>
      <c r="I1173" t="str">
        <f t="shared" si="90"/>
        <v>Extra Small</v>
      </c>
      <c r="J1173" s="1">
        <v>3614.65</v>
      </c>
      <c r="K1173">
        <f t="shared" si="91"/>
        <v>0</v>
      </c>
      <c r="L1173">
        <f t="shared" si="92"/>
        <v>3614.65</v>
      </c>
      <c r="M1173" s="1">
        <f t="shared" si="93"/>
        <v>3614.65</v>
      </c>
      <c r="N1173" s="1" t="s">
        <v>10</v>
      </c>
      <c r="O1173" s="1">
        <v>26.2</v>
      </c>
    </row>
    <row r="1174" spans="4:15" x14ac:dyDescent="0.3">
      <c r="D1174" s="1">
        <v>8034</v>
      </c>
      <c r="E1174" s="2">
        <v>43483</v>
      </c>
      <c r="F1174" s="1" t="s">
        <v>9</v>
      </c>
      <c r="G1174" s="1">
        <v>31</v>
      </c>
      <c r="H1174" t="str">
        <f t="shared" si="94"/>
        <v>Large</v>
      </c>
      <c r="I1174" t="str">
        <f t="shared" si="90"/>
        <v>Large</v>
      </c>
      <c r="J1174" s="1">
        <v>379.26</v>
      </c>
      <c r="K1174">
        <f t="shared" si="91"/>
        <v>0</v>
      </c>
      <c r="L1174">
        <f t="shared" si="92"/>
        <v>379.26</v>
      </c>
      <c r="M1174" s="1">
        <f t="shared" si="93"/>
        <v>379.26</v>
      </c>
      <c r="N1174" s="1" t="s">
        <v>10</v>
      </c>
      <c r="O1174" s="1">
        <v>4.3</v>
      </c>
    </row>
    <row r="1175" spans="4:15" x14ac:dyDescent="0.3">
      <c r="D1175" s="1">
        <v>3521</v>
      </c>
      <c r="E1175" s="2">
        <v>43763</v>
      </c>
      <c r="F1175" s="1" t="s">
        <v>7</v>
      </c>
      <c r="G1175" s="1">
        <v>50</v>
      </c>
      <c r="H1175" t="str">
        <f t="shared" si="94"/>
        <v>XXX Large</v>
      </c>
      <c r="I1175" t="str">
        <f t="shared" si="90"/>
        <v>XXX Large</v>
      </c>
      <c r="J1175" s="1">
        <v>218.4</v>
      </c>
      <c r="K1175">
        <f t="shared" si="91"/>
        <v>0.01</v>
      </c>
      <c r="L1175">
        <f t="shared" si="92"/>
        <v>216.21600000000001</v>
      </c>
      <c r="M1175" s="1">
        <f t="shared" si="93"/>
        <v>217.4</v>
      </c>
      <c r="N1175" s="1" t="s">
        <v>10</v>
      </c>
      <c r="O1175" s="1">
        <v>1</v>
      </c>
    </row>
    <row r="1176" spans="4:15" x14ac:dyDescent="0.3">
      <c r="D1176" s="1">
        <v>40839</v>
      </c>
      <c r="E1176" s="2">
        <v>43555</v>
      </c>
      <c r="F1176" s="1" t="s">
        <v>14</v>
      </c>
      <c r="G1176" s="1">
        <v>23</v>
      </c>
      <c r="H1176" t="str">
        <f t="shared" si="94"/>
        <v>Medium</v>
      </c>
      <c r="I1176" t="str">
        <f t="shared" si="90"/>
        <v>Medium</v>
      </c>
      <c r="J1176" s="1">
        <v>2923.25</v>
      </c>
      <c r="K1176">
        <f t="shared" si="91"/>
        <v>0</v>
      </c>
      <c r="L1176">
        <f t="shared" si="92"/>
        <v>2923.25</v>
      </c>
      <c r="M1176" s="1">
        <f t="shared" si="93"/>
        <v>2923.25</v>
      </c>
      <c r="N1176" s="1" t="s">
        <v>13</v>
      </c>
      <c r="O1176" s="1">
        <v>60.1</v>
      </c>
    </row>
    <row r="1177" spans="4:15" x14ac:dyDescent="0.3">
      <c r="D1177" s="1">
        <v>44071</v>
      </c>
      <c r="E1177" s="2">
        <v>43570</v>
      </c>
      <c r="F1177" s="1" t="s">
        <v>11</v>
      </c>
      <c r="G1177" s="1">
        <v>20</v>
      </c>
      <c r="H1177" t="str">
        <f t="shared" si="94"/>
        <v>Small-Medium</v>
      </c>
      <c r="I1177" t="str">
        <f t="shared" si="90"/>
        <v>Small-Medium</v>
      </c>
      <c r="J1177" s="1">
        <v>1244.54</v>
      </c>
      <c r="K1177">
        <f t="shared" si="91"/>
        <v>0</v>
      </c>
      <c r="L1177">
        <f t="shared" si="92"/>
        <v>1244.54</v>
      </c>
      <c r="M1177" s="1">
        <f t="shared" si="93"/>
        <v>1244.54</v>
      </c>
      <c r="N1177" s="1" t="s">
        <v>10</v>
      </c>
      <c r="O1177" s="1">
        <v>9.6</v>
      </c>
    </row>
    <row r="1178" spans="4:15" x14ac:dyDescent="0.3">
      <c r="D1178" s="1">
        <v>59683</v>
      </c>
      <c r="E1178" s="2">
        <v>43751</v>
      </c>
      <c r="F1178" s="1" t="s">
        <v>11</v>
      </c>
      <c r="G1178" s="1">
        <v>37</v>
      </c>
      <c r="H1178" t="str">
        <f t="shared" si="94"/>
        <v>Extra Large</v>
      </c>
      <c r="I1178" t="str">
        <f t="shared" si="90"/>
        <v>Extra Large</v>
      </c>
      <c r="J1178" s="1">
        <v>204.7552</v>
      </c>
      <c r="K1178">
        <f t="shared" si="91"/>
        <v>0.01</v>
      </c>
      <c r="L1178">
        <f t="shared" si="92"/>
        <v>202.70764800000001</v>
      </c>
      <c r="M1178" s="1">
        <f t="shared" si="93"/>
        <v>199.45519999999999</v>
      </c>
      <c r="N1178" s="1" t="s">
        <v>10</v>
      </c>
      <c r="O1178" s="1">
        <v>5.3</v>
      </c>
    </row>
    <row r="1179" spans="4:15" x14ac:dyDescent="0.3">
      <c r="D1179" s="1">
        <v>17698</v>
      </c>
      <c r="E1179" s="2">
        <v>43598</v>
      </c>
      <c r="F1179" s="1" t="s">
        <v>9</v>
      </c>
      <c r="G1179" s="1">
        <v>43</v>
      </c>
      <c r="H1179" t="str">
        <f t="shared" si="94"/>
        <v>XX Large</v>
      </c>
      <c r="I1179" t="str">
        <f t="shared" si="90"/>
        <v>XX Large</v>
      </c>
      <c r="J1179" s="1">
        <v>2015.69</v>
      </c>
      <c r="K1179">
        <f t="shared" si="91"/>
        <v>0.01</v>
      </c>
      <c r="L1179">
        <f t="shared" si="92"/>
        <v>1995.5331000000001</v>
      </c>
      <c r="M1179" s="1">
        <f t="shared" si="93"/>
        <v>2011.99</v>
      </c>
      <c r="N1179" s="1" t="s">
        <v>10</v>
      </c>
      <c r="O1179" s="1">
        <v>3.7</v>
      </c>
    </row>
    <row r="1180" spans="4:15" x14ac:dyDescent="0.3">
      <c r="D1180" s="1">
        <v>40901</v>
      </c>
      <c r="E1180" s="2">
        <v>43675</v>
      </c>
      <c r="F1180" s="1" t="s">
        <v>14</v>
      </c>
      <c r="G1180" s="1">
        <v>22</v>
      </c>
      <c r="H1180" t="str">
        <f t="shared" si="94"/>
        <v>Medium</v>
      </c>
      <c r="I1180" t="str">
        <f t="shared" si="90"/>
        <v>Medium</v>
      </c>
      <c r="J1180" s="1">
        <v>3317.12</v>
      </c>
      <c r="K1180">
        <f t="shared" si="91"/>
        <v>0</v>
      </c>
      <c r="L1180">
        <f t="shared" si="92"/>
        <v>3317.12</v>
      </c>
      <c r="M1180" s="1">
        <f t="shared" si="93"/>
        <v>3317.12</v>
      </c>
      <c r="N1180" s="1" t="s">
        <v>8</v>
      </c>
      <c r="O1180" s="1">
        <v>8.6</v>
      </c>
    </row>
    <row r="1181" spans="4:15" x14ac:dyDescent="0.3">
      <c r="D1181" s="1">
        <v>30343</v>
      </c>
      <c r="E1181" s="2">
        <v>43606</v>
      </c>
      <c r="F1181" s="1" t="s">
        <v>12</v>
      </c>
      <c r="G1181" s="1">
        <v>8</v>
      </c>
      <c r="H1181" t="str">
        <f t="shared" si="94"/>
        <v>Extra Small</v>
      </c>
      <c r="I1181" t="str">
        <f t="shared" si="90"/>
        <v>Extra Small</v>
      </c>
      <c r="J1181" s="1">
        <v>44237.23</v>
      </c>
      <c r="K1181">
        <f t="shared" si="91"/>
        <v>0</v>
      </c>
      <c r="L1181">
        <f t="shared" si="92"/>
        <v>44237.23</v>
      </c>
      <c r="M1181" s="1">
        <f t="shared" si="93"/>
        <v>44237.23</v>
      </c>
      <c r="N1181" s="1" t="s">
        <v>10</v>
      </c>
      <c r="O1181" s="1">
        <v>26.2</v>
      </c>
    </row>
    <row r="1182" spans="4:15" x14ac:dyDescent="0.3">
      <c r="D1182" s="1">
        <v>30051</v>
      </c>
      <c r="E1182" s="2">
        <v>43544</v>
      </c>
      <c r="F1182" s="1" t="s">
        <v>11</v>
      </c>
      <c r="G1182" s="1">
        <v>42</v>
      </c>
      <c r="H1182" t="str">
        <f t="shared" si="94"/>
        <v>XX Large</v>
      </c>
      <c r="I1182" t="str">
        <f t="shared" si="90"/>
        <v>XX Large</v>
      </c>
      <c r="J1182" s="1">
        <v>260.07</v>
      </c>
      <c r="K1182">
        <f t="shared" si="91"/>
        <v>0.01</v>
      </c>
      <c r="L1182">
        <f t="shared" si="92"/>
        <v>257.46929999999998</v>
      </c>
      <c r="M1182" s="1">
        <f t="shared" si="93"/>
        <v>257.67</v>
      </c>
      <c r="N1182" s="1" t="s">
        <v>10</v>
      </c>
      <c r="O1182" s="1">
        <v>2.4</v>
      </c>
    </row>
    <row r="1183" spans="4:15" x14ac:dyDescent="0.3">
      <c r="D1183" s="1">
        <v>27392</v>
      </c>
      <c r="E1183" s="2">
        <v>43526</v>
      </c>
      <c r="F1183" s="1" t="s">
        <v>7</v>
      </c>
      <c r="G1183" s="1">
        <v>37</v>
      </c>
      <c r="H1183" t="str">
        <f t="shared" si="94"/>
        <v>Extra Large</v>
      </c>
      <c r="I1183" t="str">
        <f t="shared" si="90"/>
        <v>Extra Large</v>
      </c>
      <c r="J1183" s="1">
        <v>6156.62</v>
      </c>
      <c r="K1183">
        <f t="shared" si="91"/>
        <v>0.01</v>
      </c>
      <c r="L1183">
        <f t="shared" si="92"/>
        <v>6095.0537999999997</v>
      </c>
      <c r="M1183" s="1">
        <f t="shared" si="93"/>
        <v>6141.62</v>
      </c>
      <c r="N1183" s="1" t="s">
        <v>10</v>
      </c>
      <c r="O1183" s="1">
        <v>15</v>
      </c>
    </row>
    <row r="1184" spans="4:15" x14ac:dyDescent="0.3">
      <c r="D1184" s="1">
        <v>4581</v>
      </c>
      <c r="E1184" s="2">
        <v>43711</v>
      </c>
      <c r="F1184" s="1" t="s">
        <v>11</v>
      </c>
      <c r="G1184" s="1">
        <v>25</v>
      </c>
      <c r="H1184" t="str">
        <f t="shared" si="94"/>
        <v>Medium</v>
      </c>
      <c r="I1184" t="str">
        <f t="shared" si="90"/>
        <v>Medium</v>
      </c>
      <c r="J1184" s="1">
        <v>2488.1994</v>
      </c>
      <c r="K1184">
        <f t="shared" si="91"/>
        <v>0</v>
      </c>
      <c r="L1184">
        <f t="shared" si="92"/>
        <v>2488.1994</v>
      </c>
      <c r="M1184" s="1">
        <f t="shared" si="93"/>
        <v>2488.1994</v>
      </c>
      <c r="N1184" s="1" t="s">
        <v>10</v>
      </c>
      <c r="O1184" s="1">
        <v>21.4</v>
      </c>
    </row>
    <row r="1185" spans="4:15" x14ac:dyDescent="0.3">
      <c r="D1185" s="1">
        <v>55618</v>
      </c>
      <c r="E1185" s="2">
        <v>43485</v>
      </c>
      <c r="F1185" s="1" t="s">
        <v>14</v>
      </c>
      <c r="G1185" s="1">
        <v>48</v>
      </c>
      <c r="H1185" t="str">
        <f t="shared" si="94"/>
        <v>XXX Large</v>
      </c>
      <c r="I1185" t="str">
        <f t="shared" si="90"/>
        <v>XXX Large</v>
      </c>
      <c r="J1185" s="1">
        <v>1598.83</v>
      </c>
      <c r="K1185">
        <f t="shared" si="91"/>
        <v>0.01</v>
      </c>
      <c r="L1185">
        <f t="shared" si="92"/>
        <v>1582.8416999999999</v>
      </c>
      <c r="M1185" s="1">
        <f t="shared" si="93"/>
        <v>1597.53</v>
      </c>
      <c r="N1185" s="1" t="s">
        <v>10</v>
      </c>
      <c r="O1185" s="1">
        <v>1.3</v>
      </c>
    </row>
    <row r="1186" spans="4:15" x14ac:dyDescent="0.3">
      <c r="D1186" s="1">
        <v>18464</v>
      </c>
      <c r="E1186" s="2">
        <v>43552</v>
      </c>
      <c r="F1186" s="1" t="s">
        <v>9</v>
      </c>
      <c r="G1186" s="1">
        <v>31</v>
      </c>
      <c r="H1186" t="str">
        <f t="shared" si="94"/>
        <v>Large</v>
      </c>
      <c r="I1186" t="str">
        <f t="shared" si="90"/>
        <v>Large</v>
      </c>
      <c r="J1186" s="1">
        <v>220.94</v>
      </c>
      <c r="K1186">
        <f t="shared" si="91"/>
        <v>0</v>
      </c>
      <c r="L1186">
        <f t="shared" si="92"/>
        <v>220.94</v>
      </c>
      <c r="M1186" s="1">
        <f t="shared" si="93"/>
        <v>220.94</v>
      </c>
      <c r="N1186" s="1" t="s">
        <v>10</v>
      </c>
      <c r="O1186" s="1">
        <v>1.4</v>
      </c>
    </row>
    <row r="1187" spans="4:15" x14ac:dyDescent="0.3">
      <c r="D1187" s="1">
        <v>3202</v>
      </c>
      <c r="E1187" s="2">
        <v>43822</v>
      </c>
      <c r="F1187" s="1" t="s">
        <v>7</v>
      </c>
      <c r="G1187" s="1">
        <v>10</v>
      </c>
      <c r="H1187" t="str">
        <f t="shared" si="94"/>
        <v>Extra Small</v>
      </c>
      <c r="I1187" t="str">
        <f t="shared" si="90"/>
        <v>Extra Small</v>
      </c>
      <c r="J1187" s="1">
        <v>593</v>
      </c>
      <c r="K1187">
        <f t="shared" si="91"/>
        <v>0</v>
      </c>
      <c r="L1187">
        <f t="shared" si="92"/>
        <v>593</v>
      </c>
      <c r="M1187" s="1">
        <f t="shared" si="93"/>
        <v>593</v>
      </c>
      <c r="N1187" s="1" t="s">
        <v>10</v>
      </c>
      <c r="O1187" s="1">
        <v>5.9</v>
      </c>
    </row>
    <row r="1188" spans="4:15" x14ac:dyDescent="0.3">
      <c r="D1188" s="1">
        <v>30597</v>
      </c>
      <c r="E1188" s="2">
        <v>43682</v>
      </c>
      <c r="F1188" s="1" t="s">
        <v>9</v>
      </c>
      <c r="G1188" s="1">
        <v>42</v>
      </c>
      <c r="H1188" t="str">
        <f t="shared" si="94"/>
        <v>XX Large</v>
      </c>
      <c r="I1188" t="str">
        <f t="shared" si="90"/>
        <v>XX Large</v>
      </c>
      <c r="J1188" s="1">
        <v>684.62879999999996</v>
      </c>
      <c r="K1188">
        <f t="shared" si="91"/>
        <v>0.01</v>
      </c>
      <c r="L1188">
        <f t="shared" si="92"/>
        <v>677.782512</v>
      </c>
      <c r="M1188" s="1">
        <f t="shared" si="93"/>
        <v>679.8288</v>
      </c>
      <c r="N1188" s="1" t="s">
        <v>10</v>
      </c>
      <c r="O1188" s="1">
        <v>4.8</v>
      </c>
    </row>
    <row r="1189" spans="4:15" x14ac:dyDescent="0.3">
      <c r="D1189" s="1">
        <v>44486</v>
      </c>
      <c r="E1189" s="2">
        <v>43655</v>
      </c>
      <c r="F1189" s="1" t="s">
        <v>12</v>
      </c>
      <c r="G1189" s="1">
        <v>36</v>
      </c>
      <c r="H1189" t="str">
        <f t="shared" si="94"/>
        <v>Extra Large</v>
      </c>
      <c r="I1189" t="str">
        <f t="shared" si="90"/>
        <v>Extra Large</v>
      </c>
      <c r="J1189" s="1">
        <v>211.97</v>
      </c>
      <c r="K1189">
        <f t="shared" si="91"/>
        <v>0.01</v>
      </c>
      <c r="L1189">
        <f t="shared" si="92"/>
        <v>209.8503</v>
      </c>
      <c r="M1189" s="1">
        <f t="shared" si="93"/>
        <v>206.67</v>
      </c>
      <c r="N1189" s="1" t="s">
        <v>10</v>
      </c>
      <c r="O1189" s="1">
        <v>5.3</v>
      </c>
    </row>
    <row r="1190" spans="4:15" x14ac:dyDescent="0.3">
      <c r="D1190" s="1">
        <v>53477</v>
      </c>
      <c r="E1190" s="2">
        <v>43590</v>
      </c>
      <c r="F1190" s="1" t="s">
        <v>9</v>
      </c>
      <c r="G1190" s="1">
        <v>28</v>
      </c>
      <c r="H1190" t="str">
        <f t="shared" si="94"/>
        <v>Medium-Large</v>
      </c>
      <c r="I1190" t="str">
        <f t="shared" si="90"/>
        <v>Medium-Large</v>
      </c>
      <c r="J1190" s="1">
        <v>4792.7012000000004</v>
      </c>
      <c r="K1190">
        <f t="shared" si="91"/>
        <v>0</v>
      </c>
      <c r="L1190">
        <f t="shared" si="92"/>
        <v>4792.7012000000004</v>
      </c>
      <c r="M1190" s="1">
        <f t="shared" si="93"/>
        <v>4792.7012000000004</v>
      </c>
      <c r="N1190" s="1" t="s">
        <v>10</v>
      </c>
      <c r="O1190" s="1">
        <v>21.4</v>
      </c>
    </row>
    <row r="1191" spans="4:15" x14ac:dyDescent="0.3">
      <c r="D1191" s="1">
        <v>49351</v>
      </c>
      <c r="E1191" s="2">
        <v>43554</v>
      </c>
      <c r="F1191" s="1" t="s">
        <v>7</v>
      </c>
      <c r="G1191" s="1">
        <v>27</v>
      </c>
      <c r="H1191" t="str">
        <f t="shared" si="94"/>
        <v>Medium-Large</v>
      </c>
      <c r="I1191" t="str">
        <f t="shared" si="90"/>
        <v>Medium-Large</v>
      </c>
      <c r="J1191" s="1">
        <v>117.61</v>
      </c>
      <c r="K1191">
        <f t="shared" si="91"/>
        <v>0</v>
      </c>
      <c r="L1191">
        <f t="shared" si="92"/>
        <v>117.61</v>
      </c>
      <c r="M1191" s="1">
        <f t="shared" si="93"/>
        <v>117.61</v>
      </c>
      <c r="N1191" s="1" t="s">
        <v>10</v>
      </c>
      <c r="O1191" s="1">
        <v>0.9</v>
      </c>
    </row>
    <row r="1192" spans="4:15" x14ac:dyDescent="0.3">
      <c r="D1192" s="1">
        <v>34406</v>
      </c>
      <c r="E1192" s="2">
        <v>43736</v>
      </c>
      <c r="F1192" s="1" t="s">
        <v>14</v>
      </c>
      <c r="G1192" s="1">
        <v>29</v>
      </c>
      <c r="H1192" t="str">
        <f t="shared" si="94"/>
        <v>Medium-Large</v>
      </c>
      <c r="I1192" t="str">
        <f t="shared" si="90"/>
        <v>Medium-Large</v>
      </c>
      <c r="J1192" s="1">
        <v>152.57</v>
      </c>
      <c r="K1192">
        <f t="shared" si="91"/>
        <v>0</v>
      </c>
      <c r="L1192">
        <f t="shared" si="92"/>
        <v>152.57</v>
      </c>
      <c r="M1192" s="1">
        <f t="shared" si="93"/>
        <v>152.57</v>
      </c>
      <c r="N1192" s="1" t="s">
        <v>10</v>
      </c>
      <c r="O1192" s="1">
        <v>0.7</v>
      </c>
    </row>
    <row r="1193" spans="4:15" x14ac:dyDescent="0.3">
      <c r="D1193" s="1">
        <v>54339</v>
      </c>
      <c r="E1193" s="2">
        <v>43587</v>
      </c>
      <c r="F1193" s="1" t="s">
        <v>7</v>
      </c>
      <c r="G1193" s="1">
        <v>48</v>
      </c>
      <c r="H1193" t="str">
        <f t="shared" si="94"/>
        <v>XXX Large</v>
      </c>
      <c r="I1193" t="str">
        <f t="shared" si="90"/>
        <v>XXX Large</v>
      </c>
      <c r="J1193" s="1">
        <v>3216.14</v>
      </c>
      <c r="K1193">
        <f t="shared" si="91"/>
        <v>0.01</v>
      </c>
      <c r="L1193">
        <f t="shared" si="92"/>
        <v>3183.9785999999999</v>
      </c>
      <c r="M1193" s="1">
        <f t="shared" si="93"/>
        <v>3211.8399999999997</v>
      </c>
      <c r="N1193" s="1" t="s">
        <v>8</v>
      </c>
      <c r="O1193" s="1">
        <v>4.3</v>
      </c>
    </row>
    <row r="1194" spans="4:15" x14ac:dyDescent="0.3">
      <c r="D1194" s="1">
        <v>43874</v>
      </c>
      <c r="E1194" s="2">
        <v>43626</v>
      </c>
      <c r="F1194" s="1" t="s">
        <v>9</v>
      </c>
      <c r="G1194" s="1">
        <v>46</v>
      </c>
      <c r="H1194" t="str">
        <f t="shared" si="94"/>
        <v>XXX Large</v>
      </c>
      <c r="I1194" t="str">
        <f t="shared" si="90"/>
        <v>XXX Large</v>
      </c>
      <c r="J1194" s="1">
        <v>164.01</v>
      </c>
      <c r="K1194">
        <f t="shared" si="91"/>
        <v>0.01</v>
      </c>
      <c r="L1194">
        <f t="shared" si="92"/>
        <v>162.3699</v>
      </c>
      <c r="M1194" s="1">
        <f t="shared" si="93"/>
        <v>158.60999999999999</v>
      </c>
      <c r="N1194" s="1" t="s">
        <v>10</v>
      </c>
      <c r="O1194" s="1">
        <v>5.4</v>
      </c>
    </row>
    <row r="1195" spans="4:15" x14ac:dyDescent="0.3">
      <c r="D1195" s="1">
        <v>57280</v>
      </c>
      <c r="E1195" s="2">
        <v>43495</v>
      </c>
      <c r="F1195" s="1" t="s">
        <v>14</v>
      </c>
      <c r="G1195" s="1">
        <v>44</v>
      </c>
      <c r="H1195" t="str">
        <f t="shared" si="94"/>
        <v>XX Large</v>
      </c>
      <c r="I1195" t="str">
        <f t="shared" si="90"/>
        <v>XX Large</v>
      </c>
      <c r="J1195" s="1">
        <v>320.83999999999997</v>
      </c>
      <c r="K1195">
        <f t="shared" si="91"/>
        <v>0.01</v>
      </c>
      <c r="L1195">
        <f t="shared" si="92"/>
        <v>317.63159999999999</v>
      </c>
      <c r="M1195" s="1">
        <f t="shared" si="93"/>
        <v>310.03999999999996</v>
      </c>
      <c r="N1195" s="1" t="s">
        <v>8</v>
      </c>
      <c r="O1195" s="1">
        <v>10.8</v>
      </c>
    </row>
    <row r="1196" spans="4:15" x14ac:dyDescent="0.3">
      <c r="D1196" s="1">
        <v>17091</v>
      </c>
      <c r="E1196" s="2">
        <v>43667</v>
      </c>
      <c r="F1196" s="1" t="s">
        <v>14</v>
      </c>
      <c r="G1196" s="1">
        <v>45</v>
      </c>
      <c r="H1196" t="str">
        <f t="shared" si="94"/>
        <v>XX Large</v>
      </c>
      <c r="I1196" t="str">
        <f t="shared" si="90"/>
        <v>XX Large</v>
      </c>
      <c r="J1196" s="1">
        <v>2786.6170999999999</v>
      </c>
      <c r="K1196">
        <f t="shared" si="91"/>
        <v>0.01</v>
      </c>
      <c r="L1196">
        <f t="shared" si="92"/>
        <v>2758.7509289999998</v>
      </c>
      <c r="M1196" s="1">
        <f t="shared" si="93"/>
        <v>2781.0171</v>
      </c>
      <c r="N1196" s="1" t="s">
        <v>10</v>
      </c>
      <c r="O1196" s="1">
        <v>5.6</v>
      </c>
    </row>
    <row r="1197" spans="4:15" x14ac:dyDescent="0.3">
      <c r="D1197" s="1">
        <v>13507</v>
      </c>
      <c r="E1197" s="2">
        <v>43828</v>
      </c>
      <c r="F1197" s="1" t="s">
        <v>14</v>
      </c>
      <c r="G1197" s="1">
        <v>27</v>
      </c>
      <c r="H1197" t="str">
        <f t="shared" si="94"/>
        <v>Medium-Large</v>
      </c>
      <c r="I1197" t="str">
        <f t="shared" si="90"/>
        <v>Medium-Large</v>
      </c>
      <c r="J1197" s="1">
        <v>188.43</v>
      </c>
      <c r="K1197">
        <f t="shared" si="91"/>
        <v>0</v>
      </c>
      <c r="L1197">
        <f t="shared" si="92"/>
        <v>188.43</v>
      </c>
      <c r="M1197" s="1">
        <f t="shared" si="93"/>
        <v>188.43</v>
      </c>
      <c r="N1197" s="1" t="s">
        <v>10</v>
      </c>
      <c r="O1197" s="1">
        <v>6.6</v>
      </c>
    </row>
    <row r="1198" spans="4:15" x14ac:dyDescent="0.3">
      <c r="D1198" s="1">
        <v>53378</v>
      </c>
      <c r="E1198" s="2">
        <v>43659</v>
      </c>
      <c r="F1198" s="1" t="s">
        <v>14</v>
      </c>
      <c r="G1198" s="1">
        <v>38</v>
      </c>
      <c r="H1198" t="str">
        <f t="shared" si="94"/>
        <v>Extra Large</v>
      </c>
      <c r="I1198" t="str">
        <f t="shared" si="90"/>
        <v>Extra Large</v>
      </c>
      <c r="J1198" s="1">
        <v>1320.12</v>
      </c>
      <c r="K1198">
        <f t="shared" si="91"/>
        <v>0.01</v>
      </c>
      <c r="L1198">
        <f t="shared" si="92"/>
        <v>1306.9187999999999</v>
      </c>
      <c r="M1198" s="1">
        <f t="shared" si="93"/>
        <v>1298.7199999999998</v>
      </c>
      <c r="N1198" s="1" t="s">
        <v>10</v>
      </c>
      <c r="O1198" s="1">
        <v>21.4</v>
      </c>
    </row>
    <row r="1199" spans="4:15" x14ac:dyDescent="0.3">
      <c r="D1199" s="1">
        <v>59969</v>
      </c>
      <c r="E1199" s="2">
        <v>43475</v>
      </c>
      <c r="F1199" s="1" t="s">
        <v>9</v>
      </c>
      <c r="G1199" s="1">
        <v>42</v>
      </c>
      <c r="H1199" t="str">
        <f t="shared" si="94"/>
        <v>XX Large</v>
      </c>
      <c r="I1199" t="str">
        <f t="shared" si="90"/>
        <v>XX Large</v>
      </c>
      <c r="J1199" s="1">
        <v>468.37</v>
      </c>
      <c r="K1199">
        <f t="shared" si="91"/>
        <v>0.01</v>
      </c>
      <c r="L1199">
        <f t="shared" si="92"/>
        <v>463.68630000000002</v>
      </c>
      <c r="M1199" s="1">
        <f t="shared" si="93"/>
        <v>466.87</v>
      </c>
      <c r="N1199" s="1" t="s">
        <v>10</v>
      </c>
      <c r="O1199" s="1">
        <v>1.5</v>
      </c>
    </row>
    <row r="1200" spans="4:15" x14ac:dyDescent="0.3">
      <c r="D1200" s="1">
        <v>28387</v>
      </c>
      <c r="E1200" s="2">
        <v>43645</v>
      </c>
      <c r="F1200" s="1" t="s">
        <v>11</v>
      </c>
      <c r="G1200" s="1">
        <v>13</v>
      </c>
      <c r="H1200" t="str">
        <f t="shared" si="94"/>
        <v>Small</v>
      </c>
      <c r="I1200" t="str">
        <f t="shared" si="90"/>
        <v>Small</v>
      </c>
      <c r="J1200" s="1">
        <v>313.45999999999998</v>
      </c>
      <c r="K1200">
        <f t="shared" si="91"/>
        <v>0</v>
      </c>
      <c r="L1200">
        <f t="shared" si="92"/>
        <v>313.45999999999998</v>
      </c>
      <c r="M1200" s="1">
        <f t="shared" si="93"/>
        <v>313.45999999999998</v>
      </c>
      <c r="N1200" s="1" t="s">
        <v>10</v>
      </c>
      <c r="O1200" s="1">
        <v>5.9</v>
      </c>
    </row>
    <row r="1201" spans="4:15" x14ac:dyDescent="0.3">
      <c r="D1201" s="1">
        <v>549</v>
      </c>
      <c r="E1201" s="2">
        <v>43658</v>
      </c>
      <c r="F1201" s="1" t="s">
        <v>12</v>
      </c>
      <c r="G1201" s="1">
        <v>5</v>
      </c>
      <c r="H1201" t="str">
        <f t="shared" si="94"/>
        <v>Mini</v>
      </c>
      <c r="I1201" t="str">
        <f t="shared" si="90"/>
        <v>Mini</v>
      </c>
      <c r="J1201" s="1">
        <v>43.6</v>
      </c>
      <c r="K1201">
        <f t="shared" si="91"/>
        <v>0</v>
      </c>
      <c r="L1201">
        <f t="shared" si="92"/>
        <v>43.6</v>
      </c>
      <c r="M1201" s="1">
        <f t="shared" si="93"/>
        <v>43.6</v>
      </c>
      <c r="N1201" s="1" t="s">
        <v>10</v>
      </c>
      <c r="O1201" s="1">
        <v>9.4</v>
      </c>
    </row>
    <row r="1202" spans="4:15" x14ac:dyDescent="0.3">
      <c r="D1202" s="1">
        <v>32902</v>
      </c>
      <c r="E1202" s="2">
        <v>43527</v>
      </c>
      <c r="F1202" s="1" t="s">
        <v>9</v>
      </c>
      <c r="G1202" s="1">
        <v>34</v>
      </c>
      <c r="H1202" t="str">
        <f t="shared" si="94"/>
        <v>Large</v>
      </c>
      <c r="I1202" t="str">
        <f t="shared" si="90"/>
        <v>Large</v>
      </c>
      <c r="J1202" s="1">
        <v>155.66</v>
      </c>
      <c r="K1202">
        <f t="shared" si="91"/>
        <v>0</v>
      </c>
      <c r="L1202">
        <f t="shared" si="92"/>
        <v>155.66</v>
      </c>
      <c r="M1202" s="1">
        <f t="shared" si="93"/>
        <v>155.66</v>
      </c>
      <c r="N1202" s="1" t="s">
        <v>8</v>
      </c>
      <c r="O1202" s="1">
        <v>1.3</v>
      </c>
    </row>
    <row r="1203" spans="4:15" x14ac:dyDescent="0.3">
      <c r="D1203" s="1">
        <v>51940</v>
      </c>
      <c r="E1203" s="2">
        <v>43755</v>
      </c>
      <c r="F1203" s="1" t="s">
        <v>9</v>
      </c>
      <c r="G1203" s="1">
        <v>11</v>
      </c>
      <c r="H1203" t="str">
        <f t="shared" si="94"/>
        <v>Small</v>
      </c>
      <c r="I1203" t="str">
        <f t="shared" si="90"/>
        <v>Small</v>
      </c>
      <c r="J1203" s="1">
        <v>70.09</v>
      </c>
      <c r="K1203">
        <f t="shared" si="91"/>
        <v>0</v>
      </c>
      <c r="L1203">
        <f t="shared" si="92"/>
        <v>70.09</v>
      </c>
      <c r="M1203" s="1">
        <f t="shared" si="93"/>
        <v>70.09</v>
      </c>
      <c r="N1203" s="1" t="s">
        <v>10</v>
      </c>
      <c r="O1203" s="1">
        <v>4.7</v>
      </c>
    </row>
    <row r="1204" spans="4:15" x14ac:dyDescent="0.3">
      <c r="D1204" s="1">
        <v>31874</v>
      </c>
      <c r="E1204" s="2">
        <v>43723</v>
      </c>
      <c r="F1204" s="1" t="s">
        <v>9</v>
      </c>
      <c r="G1204" s="1">
        <v>39</v>
      </c>
      <c r="H1204" t="str">
        <f t="shared" si="94"/>
        <v>Extra Large</v>
      </c>
      <c r="I1204" t="str">
        <f t="shared" si="90"/>
        <v>Extra Large</v>
      </c>
      <c r="J1204" s="1">
        <v>14171.12</v>
      </c>
      <c r="K1204">
        <f t="shared" si="91"/>
        <v>0.01</v>
      </c>
      <c r="L1204">
        <f t="shared" si="92"/>
        <v>14029.408800000001</v>
      </c>
      <c r="M1204" s="1">
        <f t="shared" si="93"/>
        <v>14080.320000000002</v>
      </c>
      <c r="N1204" s="1" t="s">
        <v>13</v>
      </c>
      <c r="O1204" s="1">
        <v>90.8</v>
      </c>
    </row>
    <row r="1205" spans="4:15" x14ac:dyDescent="0.3">
      <c r="D1205" s="1">
        <v>21478</v>
      </c>
      <c r="E1205" s="2">
        <v>43526</v>
      </c>
      <c r="F1205" s="1" t="s">
        <v>7</v>
      </c>
      <c r="G1205" s="1">
        <v>16</v>
      </c>
      <c r="H1205" t="str">
        <f t="shared" si="94"/>
        <v>Small-Medium</v>
      </c>
      <c r="I1205" t="str">
        <f t="shared" si="90"/>
        <v>Small-Medium</v>
      </c>
      <c r="J1205" s="1">
        <v>452.68</v>
      </c>
      <c r="K1205">
        <f t="shared" si="91"/>
        <v>0</v>
      </c>
      <c r="L1205">
        <f t="shared" si="92"/>
        <v>452.68</v>
      </c>
      <c r="M1205" s="1">
        <f t="shared" si="93"/>
        <v>452.68</v>
      </c>
      <c r="N1205" s="1" t="s">
        <v>10</v>
      </c>
      <c r="O1205" s="1">
        <v>9.6</v>
      </c>
    </row>
    <row r="1206" spans="4:15" x14ac:dyDescent="0.3">
      <c r="D1206" s="1">
        <v>48577</v>
      </c>
      <c r="E1206" s="2">
        <v>43654</v>
      </c>
      <c r="F1206" s="1" t="s">
        <v>14</v>
      </c>
      <c r="G1206" s="1">
        <v>6</v>
      </c>
      <c r="H1206" t="str">
        <f t="shared" si="94"/>
        <v>Extra Small</v>
      </c>
      <c r="I1206" t="str">
        <f t="shared" si="90"/>
        <v>Extra Small</v>
      </c>
      <c r="J1206" s="1">
        <v>215.96</v>
      </c>
      <c r="K1206">
        <f t="shared" si="91"/>
        <v>0</v>
      </c>
      <c r="L1206">
        <f t="shared" si="92"/>
        <v>215.96</v>
      </c>
      <c r="M1206" s="1">
        <f t="shared" si="93"/>
        <v>215.96</v>
      </c>
      <c r="N1206" s="1" t="s">
        <v>10</v>
      </c>
      <c r="O1206" s="1">
        <v>5.4</v>
      </c>
    </row>
    <row r="1207" spans="4:15" x14ac:dyDescent="0.3">
      <c r="D1207" s="1">
        <v>6018</v>
      </c>
      <c r="E1207" s="2">
        <v>43695</v>
      </c>
      <c r="F1207" s="1" t="s">
        <v>7</v>
      </c>
      <c r="G1207" s="1">
        <v>2</v>
      </c>
      <c r="H1207" t="str">
        <f t="shared" si="94"/>
        <v>Mini</v>
      </c>
      <c r="I1207" t="str">
        <f t="shared" si="90"/>
        <v>Mini</v>
      </c>
      <c r="J1207" s="1">
        <v>132.94999999999999</v>
      </c>
      <c r="K1207">
        <f t="shared" si="91"/>
        <v>0</v>
      </c>
      <c r="L1207">
        <f t="shared" si="92"/>
        <v>132.94999999999999</v>
      </c>
      <c r="M1207" s="1">
        <f t="shared" si="93"/>
        <v>132.94999999999999</v>
      </c>
      <c r="N1207" s="1" t="s">
        <v>10</v>
      </c>
      <c r="O1207" s="1">
        <v>14.9</v>
      </c>
    </row>
    <row r="1208" spans="4:15" x14ac:dyDescent="0.3">
      <c r="D1208" s="1">
        <v>38437</v>
      </c>
      <c r="E1208" s="2">
        <v>43593</v>
      </c>
      <c r="F1208" s="1" t="s">
        <v>12</v>
      </c>
      <c r="G1208" s="1">
        <v>17</v>
      </c>
      <c r="H1208" t="str">
        <f t="shared" si="94"/>
        <v>Small-Medium</v>
      </c>
      <c r="I1208" t="str">
        <f t="shared" si="90"/>
        <v>Small-Medium</v>
      </c>
      <c r="J1208" s="1">
        <v>59.56</v>
      </c>
      <c r="K1208">
        <f t="shared" si="91"/>
        <v>0</v>
      </c>
      <c r="L1208">
        <f t="shared" si="92"/>
        <v>59.56</v>
      </c>
      <c r="M1208" s="1">
        <f t="shared" si="93"/>
        <v>59.56</v>
      </c>
      <c r="N1208" s="1" t="s">
        <v>10</v>
      </c>
      <c r="O1208" s="1">
        <v>2.5</v>
      </c>
    </row>
    <row r="1209" spans="4:15" x14ac:dyDescent="0.3">
      <c r="D1209" s="1">
        <v>6182</v>
      </c>
      <c r="E1209" s="2">
        <v>43667</v>
      </c>
      <c r="F1209" s="1" t="s">
        <v>7</v>
      </c>
      <c r="G1209" s="1">
        <v>18</v>
      </c>
      <c r="H1209" t="str">
        <f t="shared" si="94"/>
        <v>Small-Medium</v>
      </c>
      <c r="I1209" t="str">
        <f t="shared" si="90"/>
        <v>Small-Medium</v>
      </c>
      <c r="J1209" s="1">
        <v>139.44</v>
      </c>
      <c r="K1209">
        <f t="shared" si="91"/>
        <v>0</v>
      </c>
      <c r="L1209">
        <f t="shared" si="92"/>
        <v>139.44</v>
      </c>
      <c r="M1209" s="1">
        <f t="shared" si="93"/>
        <v>139.44</v>
      </c>
      <c r="N1209" s="1" t="s">
        <v>8</v>
      </c>
      <c r="O1209" s="1">
        <v>8.4</v>
      </c>
    </row>
    <row r="1210" spans="4:15" x14ac:dyDescent="0.3">
      <c r="D1210" s="1">
        <v>45825</v>
      </c>
      <c r="E1210" s="2">
        <v>43745</v>
      </c>
      <c r="F1210" s="1" t="s">
        <v>14</v>
      </c>
      <c r="G1210" s="1">
        <v>43</v>
      </c>
      <c r="H1210" t="str">
        <f t="shared" si="94"/>
        <v>XX Large</v>
      </c>
      <c r="I1210" t="str">
        <f t="shared" si="90"/>
        <v>XX Large</v>
      </c>
      <c r="J1210" s="1">
        <v>291.70999999999998</v>
      </c>
      <c r="K1210">
        <f t="shared" si="91"/>
        <v>0.01</v>
      </c>
      <c r="L1210">
        <f t="shared" si="92"/>
        <v>288.79289999999997</v>
      </c>
      <c r="M1210" s="1">
        <f t="shared" si="93"/>
        <v>286.20999999999998</v>
      </c>
      <c r="N1210" s="1" t="s">
        <v>10</v>
      </c>
      <c r="O1210" s="1">
        <v>5.5</v>
      </c>
    </row>
    <row r="1211" spans="4:15" x14ac:dyDescent="0.3">
      <c r="D1211" s="1">
        <v>37763</v>
      </c>
      <c r="E1211" s="2">
        <v>43503</v>
      </c>
      <c r="F1211" s="1" t="s">
        <v>11</v>
      </c>
      <c r="G1211" s="1">
        <v>24</v>
      </c>
      <c r="H1211" t="str">
        <f t="shared" si="94"/>
        <v>Medium</v>
      </c>
      <c r="I1211" t="str">
        <f t="shared" si="90"/>
        <v>Medium</v>
      </c>
      <c r="J1211" s="1">
        <v>1335.28</v>
      </c>
      <c r="K1211">
        <f t="shared" si="91"/>
        <v>0</v>
      </c>
      <c r="L1211">
        <f t="shared" si="92"/>
        <v>1335.28</v>
      </c>
      <c r="M1211" s="1">
        <f t="shared" si="93"/>
        <v>1335.28</v>
      </c>
      <c r="N1211" s="1" t="s">
        <v>10</v>
      </c>
      <c r="O1211" s="1">
        <v>2.7</v>
      </c>
    </row>
    <row r="1212" spans="4:15" x14ac:dyDescent="0.3">
      <c r="D1212" s="1">
        <v>13444</v>
      </c>
      <c r="E1212" s="2">
        <v>43469</v>
      </c>
      <c r="F1212" s="1" t="s">
        <v>9</v>
      </c>
      <c r="G1212" s="1">
        <v>33</v>
      </c>
      <c r="H1212" t="str">
        <f t="shared" si="94"/>
        <v>Large</v>
      </c>
      <c r="I1212" t="str">
        <f t="shared" si="90"/>
        <v>Large</v>
      </c>
      <c r="J1212" s="1">
        <v>165.2508</v>
      </c>
      <c r="K1212">
        <f t="shared" si="91"/>
        <v>0</v>
      </c>
      <c r="L1212">
        <f t="shared" si="92"/>
        <v>165.2508</v>
      </c>
      <c r="M1212" s="1">
        <f t="shared" si="93"/>
        <v>165.2508</v>
      </c>
      <c r="N1212" s="1" t="s">
        <v>10</v>
      </c>
      <c r="O1212" s="1">
        <v>0.9</v>
      </c>
    </row>
    <row r="1213" spans="4:15" x14ac:dyDescent="0.3">
      <c r="D1213" s="1">
        <v>44386</v>
      </c>
      <c r="E1213" s="2">
        <v>43564</v>
      </c>
      <c r="F1213" s="1" t="s">
        <v>14</v>
      </c>
      <c r="G1213" s="1">
        <v>43</v>
      </c>
      <c r="H1213" t="str">
        <f t="shared" si="94"/>
        <v>XX Large</v>
      </c>
      <c r="I1213" t="str">
        <f t="shared" si="90"/>
        <v>XX Large</v>
      </c>
      <c r="J1213" s="1">
        <v>1323.2</v>
      </c>
      <c r="K1213">
        <f t="shared" si="91"/>
        <v>0.01</v>
      </c>
      <c r="L1213">
        <f t="shared" si="92"/>
        <v>1309.9680000000001</v>
      </c>
      <c r="M1213" s="1">
        <f t="shared" si="93"/>
        <v>1321.1000000000001</v>
      </c>
      <c r="N1213" s="1" t="s">
        <v>10</v>
      </c>
      <c r="O1213" s="1">
        <v>2.1</v>
      </c>
    </row>
    <row r="1214" spans="4:15" x14ac:dyDescent="0.3">
      <c r="D1214" s="1">
        <v>41441</v>
      </c>
      <c r="E1214" s="2">
        <v>43487</v>
      </c>
      <c r="F1214" s="1" t="s">
        <v>14</v>
      </c>
      <c r="G1214" s="1">
        <v>41</v>
      </c>
      <c r="H1214" t="str">
        <f t="shared" si="94"/>
        <v>XX Large</v>
      </c>
      <c r="I1214" t="str">
        <f t="shared" si="90"/>
        <v>XX Large</v>
      </c>
      <c r="J1214" s="1">
        <v>236.56</v>
      </c>
      <c r="K1214">
        <f t="shared" si="91"/>
        <v>0.01</v>
      </c>
      <c r="L1214">
        <f t="shared" si="92"/>
        <v>234.1944</v>
      </c>
      <c r="M1214" s="1">
        <f t="shared" si="93"/>
        <v>230.46</v>
      </c>
      <c r="N1214" s="1" t="s">
        <v>10</v>
      </c>
      <c r="O1214" s="1">
        <v>6.1</v>
      </c>
    </row>
    <row r="1215" spans="4:15" x14ac:dyDescent="0.3">
      <c r="D1215" s="1">
        <v>48423</v>
      </c>
      <c r="E1215" s="2">
        <v>43769</v>
      </c>
      <c r="F1215" s="1" t="s">
        <v>9</v>
      </c>
      <c r="G1215" s="1">
        <v>49</v>
      </c>
      <c r="H1215" t="str">
        <f t="shared" si="94"/>
        <v>XXX Large</v>
      </c>
      <c r="I1215" t="str">
        <f t="shared" si="90"/>
        <v>XXX Large</v>
      </c>
      <c r="J1215" s="1">
        <v>443.1</v>
      </c>
      <c r="K1215">
        <f t="shared" si="91"/>
        <v>0.01</v>
      </c>
      <c r="L1215">
        <f t="shared" si="92"/>
        <v>438.66900000000004</v>
      </c>
      <c r="M1215" s="1">
        <f t="shared" si="93"/>
        <v>434.20000000000005</v>
      </c>
      <c r="N1215" s="1" t="s">
        <v>10</v>
      </c>
      <c r="O1215" s="1">
        <v>8.9</v>
      </c>
    </row>
    <row r="1216" spans="4:15" x14ac:dyDescent="0.3">
      <c r="D1216" s="1">
        <v>43109</v>
      </c>
      <c r="E1216" s="2">
        <v>43820</v>
      </c>
      <c r="F1216" s="1" t="s">
        <v>12</v>
      </c>
      <c r="G1216" s="1">
        <v>19</v>
      </c>
      <c r="H1216" t="str">
        <f t="shared" si="94"/>
        <v>Small-Medium</v>
      </c>
      <c r="I1216" t="str">
        <f t="shared" si="90"/>
        <v>Small-Medium</v>
      </c>
      <c r="J1216" s="1">
        <v>301.57</v>
      </c>
      <c r="K1216">
        <f t="shared" si="91"/>
        <v>0</v>
      </c>
      <c r="L1216">
        <f t="shared" si="92"/>
        <v>301.57</v>
      </c>
      <c r="M1216" s="1">
        <f t="shared" si="93"/>
        <v>301.57</v>
      </c>
      <c r="N1216" s="1" t="s">
        <v>10</v>
      </c>
      <c r="O1216" s="1">
        <v>9</v>
      </c>
    </row>
    <row r="1217" spans="4:15" x14ac:dyDescent="0.3">
      <c r="D1217" s="1">
        <v>26021</v>
      </c>
      <c r="E1217" s="2">
        <v>43722</v>
      </c>
      <c r="F1217" s="1" t="s">
        <v>12</v>
      </c>
      <c r="G1217" s="1">
        <v>17</v>
      </c>
      <c r="H1217" t="str">
        <f t="shared" si="94"/>
        <v>Small-Medium</v>
      </c>
      <c r="I1217" t="str">
        <f t="shared" si="90"/>
        <v>Small-Medium</v>
      </c>
      <c r="J1217" s="1">
        <v>351.63</v>
      </c>
      <c r="K1217">
        <f t="shared" si="91"/>
        <v>0</v>
      </c>
      <c r="L1217">
        <f t="shared" si="92"/>
        <v>351.63</v>
      </c>
      <c r="M1217" s="1">
        <f t="shared" si="93"/>
        <v>351.63</v>
      </c>
      <c r="N1217" s="1" t="s">
        <v>10</v>
      </c>
      <c r="O1217" s="1">
        <v>5.0999999999999996</v>
      </c>
    </row>
    <row r="1218" spans="4:15" x14ac:dyDescent="0.3">
      <c r="D1218" s="1">
        <v>40838</v>
      </c>
      <c r="E1218" s="2">
        <v>43795</v>
      </c>
      <c r="F1218" s="1" t="s">
        <v>11</v>
      </c>
      <c r="G1218" s="1">
        <v>40</v>
      </c>
      <c r="H1218" t="str">
        <f t="shared" si="94"/>
        <v>Extra Large</v>
      </c>
      <c r="I1218" t="str">
        <f t="shared" si="90"/>
        <v>Extra Large</v>
      </c>
      <c r="J1218" s="1">
        <v>346.64</v>
      </c>
      <c r="K1218">
        <f t="shared" si="91"/>
        <v>0.01</v>
      </c>
      <c r="L1218">
        <f t="shared" si="92"/>
        <v>343.17359999999996</v>
      </c>
      <c r="M1218" s="1">
        <f t="shared" si="93"/>
        <v>338.14</v>
      </c>
      <c r="N1218" s="1" t="s">
        <v>10</v>
      </c>
      <c r="O1218" s="1">
        <v>8.5</v>
      </c>
    </row>
    <row r="1219" spans="4:15" x14ac:dyDescent="0.3">
      <c r="D1219" s="1">
        <v>48742</v>
      </c>
      <c r="E1219" s="2">
        <v>43572</v>
      </c>
      <c r="F1219" s="1" t="s">
        <v>11</v>
      </c>
      <c r="G1219" s="1">
        <v>42</v>
      </c>
      <c r="H1219" t="str">
        <f t="shared" si="94"/>
        <v>XX Large</v>
      </c>
      <c r="I1219" t="str">
        <f t="shared" ref="I1219:I1282" si="95">VLOOKUP(G1219, $A$3:$B$12, 2, TRUE)</f>
        <v>XX Large</v>
      </c>
      <c r="J1219" s="1">
        <v>883.42</v>
      </c>
      <c r="K1219">
        <f t="shared" ref="K1219:K1282" si="96">IF(OR(I1219="Extra Large", I1219="XX Large", I1219="XXX Large"), 0.01, 0)</f>
        <v>0.01</v>
      </c>
      <c r="L1219">
        <f t="shared" ref="L1219:L1282" si="97">J1219 * (1 - K1219)</f>
        <v>874.58579999999995</v>
      </c>
      <c r="M1219" s="1">
        <f t="shared" ref="M1219:M1282" si="98">IF(OR(I1219="Extra Large",I1219="XX Large",I1219="XXX Large"),J1219-O1219,J1219)</f>
        <v>881.81999999999994</v>
      </c>
      <c r="N1219" s="1" t="s">
        <v>10</v>
      </c>
      <c r="O1219" s="1">
        <v>1.6</v>
      </c>
    </row>
    <row r="1220" spans="4:15" x14ac:dyDescent="0.3">
      <c r="D1220" s="1">
        <v>16452</v>
      </c>
      <c r="E1220" s="2">
        <v>43700</v>
      </c>
      <c r="F1220" s="1" t="s">
        <v>14</v>
      </c>
      <c r="G1220" s="1">
        <v>46</v>
      </c>
      <c r="H1220" t="str">
        <f t="shared" si="94"/>
        <v>XXX Large</v>
      </c>
      <c r="I1220" t="str">
        <f t="shared" si="95"/>
        <v>XXX Large</v>
      </c>
      <c r="J1220" s="1">
        <v>143.83000000000001</v>
      </c>
      <c r="K1220">
        <f t="shared" si="96"/>
        <v>0.01</v>
      </c>
      <c r="L1220">
        <f t="shared" si="97"/>
        <v>142.39170000000001</v>
      </c>
      <c r="M1220" s="1">
        <f t="shared" si="98"/>
        <v>142.73000000000002</v>
      </c>
      <c r="N1220" s="1" t="s">
        <v>10</v>
      </c>
      <c r="O1220" s="1">
        <v>1.1000000000000001</v>
      </c>
    </row>
    <row r="1221" spans="4:15" x14ac:dyDescent="0.3">
      <c r="D1221" s="1">
        <v>21509</v>
      </c>
      <c r="E1221" s="2">
        <v>43649</v>
      </c>
      <c r="F1221" s="1" t="s">
        <v>9</v>
      </c>
      <c r="G1221" s="1">
        <v>13</v>
      </c>
      <c r="H1221" t="str">
        <f t="shared" ref="H1221:H1284" si="99">VLOOKUP(G1221, $A$3:$B$12, 2, TRUE)</f>
        <v>Small</v>
      </c>
      <c r="I1221" t="str">
        <f t="shared" si="95"/>
        <v>Small</v>
      </c>
      <c r="J1221" s="1">
        <v>51.29</v>
      </c>
      <c r="K1221">
        <f t="shared" si="96"/>
        <v>0</v>
      </c>
      <c r="L1221">
        <f t="shared" si="97"/>
        <v>51.29</v>
      </c>
      <c r="M1221" s="1">
        <f t="shared" si="98"/>
        <v>51.29</v>
      </c>
      <c r="N1221" s="1" t="s">
        <v>10</v>
      </c>
      <c r="O1221" s="1">
        <v>0.5</v>
      </c>
    </row>
    <row r="1222" spans="4:15" x14ac:dyDescent="0.3">
      <c r="D1222" s="1">
        <v>33568</v>
      </c>
      <c r="E1222" s="2">
        <v>43667</v>
      </c>
      <c r="F1222" s="1" t="s">
        <v>14</v>
      </c>
      <c r="G1222" s="1">
        <v>23</v>
      </c>
      <c r="H1222" t="str">
        <f t="shared" si="99"/>
        <v>Medium</v>
      </c>
      <c r="I1222" t="str">
        <f t="shared" si="95"/>
        <v>Medium</v>
      </c>
      <c r="J1222" s="1">
        <v>412.82</v>
      </c>
      <c r="K1222">
        <f t="shared" si="96"/>
        <v>0</v>
      </c>
      <c r="L1222">
        <f t="shared" si="97"/>
        <v>412.82</v>
      </c>
      <c r="M1222" s="1">
        <f t="shared" si="98"/>
        <v>412.82</v>
      </c>
      <c r="N1222" s="1" t="s">
        <v>8</v>
      </c>
      <c r="O1222" s="1">
        <v>6.2</v>
      </c>
    </row>
    <row r="1223" spans="4:15" x14ac:dyDescent="0.3">
      <c r="D1223" s="1">
        <v>3168</v>
      </c>
      <c r="E1223" s="2">
        <v>43493</v>
      </c>
      <c r="F1223" s="1" t="s">
        <v>7</v>
      </c>
      <c r="G1223" s="1">
        <v>14</v>
      </c>
      <c r="H1223" t="str">
        <f t="shared" si="99"/>
        <v>Small</v>
      </c>
      <c r="I1223" t="str">
        <f t="shared" si="95"/>
        <v>Small</v>
      </c>
      <c r="J1223" s="1">
        <v>86.242000000000004</v>
      </c>
      <c r="K1223">
        <f t="shared" si="96"/>
        <v>0</v>
      </c>
      <c r="L1223">
        <f t="shared" si="97"/>
        <v>86.242000000000004</v>
      </c>
      <c r="M1223" s="1">
        <f t="shared" si="98"/>
        <v>86.242000000000004</v>
      </c>
      <c r="N1223" s="1" t="s">
        <v>10</v>
      </c>
      <c r="O1223" s="1">
        <v>4.2</v>
      </c>
    </row>
    <row r="1224" spans="4:15" x14ac:dyDescent="0.3">
      <c r="D1224" s="1">
        <v>45664</v>
      </c>
      <c r="E1224" s="2">
        <v>43625</v>
      </c>
      <c r="F1224" s="1" t="s">
        <v>11</v>
      </c>
      <c r="G1224" s="1">
        <v>24</v>
      </c>
      <c r="H1224" t="str">
        <f t="shared" si="99"/>
        <v>Medium</v>
      </c>
      <c r="I1224" t="str">
        <f t="shared" si="95"/>
        <v>Medium</v>
      </c>
      <c r="J1224" s="1">
        <v>506.14</v>
      </c>
      <c r="K1224">
        <f t="shared" si="96"/>
        <v>0</v>
      </c>
      <c r="L1224">
        <f t="shared" si="97"/>
        <v>506.14</v>
      </c>
      <c r="M1224" s="1">
        <f t="shared" si="98"/>
        <v>506.14</v>
      </c>
      <c r="N1224" s="1" t="s">
        <v>10</v>
      </c>
      <c r="O1224" s="1">
        <v>11.2</v>
      </c>
    </row>
    <row r="1225" spans="4:15" x14ac:dyDescent="0.3">
      <c r="D1225" s="1">
        <v>35938</v>
      </c>
      <c r="E1225" s="2">
        <v>43786</v>
      </c>
      <c r="F1225" s="1" t="s">
        <v>11</v>
      </c>
      <c r="G1225" s="1">
        <v>48</v>
      </c>
      <c r="H1225" t="str">
        <f t="shared" si="99"/>
        <v>XXX Large</v>
      </c>
      <c r="I1225" t="str">
        <f t="shared" si="95"/>
        <v>XXX Large</v>
      </c>
      <c r="J1225" s="1">
        <v>672.31309999999996</v>
      </c>
      <c r="K1225">
        <f t="shared" si="96"/>
        <v>0.01</v>
      </c>
      <c r="L1225">
        <f t="shared" si="97"/>
        <v>665.589969</v>
      </c>
      <c r="M1225" s="1">
        <f t="shared" si="98"/>
        <v>662.31309999999996</v>
      </c>
      <c r="N1225" s="1" t="s">
        <v>10</v>
      </c>
      <c r="O1225" s="1">
        <v>10</v>
      </c>
    </row>
    <row r="1226" spans="4:15" x14ac:dyDescent="0.3">
      <c r="D1226" s="1">
        <v>4261</v>
      </c>
      <c r="E1226" s="2">
        <v>43740</v>
      </c>
      <c r="F1226" s="1" t="s">
        <v>12</v>
      </c>
      <c r="G1226" s="1">
        <v>33</v>
      </c>
      <c r="H1226" t="str">
        <f t="shared" si="99"/>
        <v>Large</v>
      </c>
      <c r="I1226" t="str">
        <f t="shared" si="95"/>
        <v>Large</v>
      </c>
      <c r="J1226" s="1">
        <v>209.7</v>
      </c>
      <c r="K1226">
        <f t="shared" si="96"/>
        <v>0</v>
      </c>
      <c r="L1226">
        <f t="shared" si="97"/>
        <v>209.7</v>
      </c>
      <c r="M1226" s="1">
        <f t="shared" si="98"/>
        <v>209.7</v>
      </c>
      <c r="N1226" s="1" t="s">
        <v>10</v>
      </c>
      <c r="O1226" s="1">
        <v>5.7</v>
      </c>
    </row>
    <row r="1227" spans="4:15" x14ac:dyDescent="0.3">
      <c r="D1227" s="1">
        <v>10053</v>
      </c>
      <c r="E1227" s="2">
        <v>43474</v>
      </c>
      <c r="F1227" s="1" t="s">
        <v>9</v>
      </c>
      <c r="G1227" s="1">
        <v>44</v>
      </c>
      <c r="H1227" t="str">
        <f t="shared" si="99"/>
        <v>XX Large</v>
      </c>
      <c r="I1227" t="str">
        <f t="shared" si="95"/>
        <v>XX Large</v>
      </c>
      <c r="J1227" s="1">
        <v>7292.3</v>
      </c>
      <c r="K1227">
        <f t="shared" si="96"/>
        <v>0.01</v>
      </c>
      <c r="L1227">
        <f t="shared" si="97"/>
        <v>7219.3770000000004</v>
      </c>
      <c r="M1227" s="1">
        <f t="shared" si="98"/>
        <v>7250.3</v>
      </c>
      <c r="N1227" s="1" t="s">
        <v>13</v>
      </c>
      <c r="O1227" s="1">
        <v>42</v>
      </c>
    </row>
    <row r="1228" spans="4:15" x14ac:dyDescent="0.3">
      <c r="D1228" s="1">
        <v>20995</v>
      </c>
      <c r="E1228" s="2">
        <v>43551</v>
      </c>
      <c r="F1228" s="1" t="s">
        <v>14</v>
      </c>
      <c r="G1228" s="1">
        <v>37</v>
      </c>
      <c r="H1228" t="str">
        <f t="shared" si="99"/>
        <v>Extra Large</v>
      </c>
      <c r="I1228" t="str">
        <f t="shared" si="95"/>
        <v>Extra Large</v>
      </c>
      <c r="J1228" s="1">
        <v>6225.13</v>
      </c>
      <c r="K1228">
        <f t="shared" si="96"/>
        <v>0.01</v>
      </c>
      <c r="L1228">
        <f t="shared" si="97"/>
        <v>6162.8787000000002</v>
      </c>
      <c r="M1228" s="1">
        <f t="shared" si="98"/>
        <v>6154.2300000000005</v>
      </c>
      <c r="N1228" s="1" t="s">
        <v>13</v>
      </c>
      <c r="O1228" s="1">
        <v>70.900000000000006</v>
      </c>
    </row>
    <row r="1229" spans="4:15" x14ac:dyDescent="0.3">
      <c r="D1229" s="1">
        <v>55431</v>
      </c>
      <c r="E1229" s="2">
        <v>43624</v>
      </c>
      <c r="F1229" s="1" t="s">
        <v>11</v>
      </c>
      <c r="G1229" s="1">
        <v>13</v>
      </c>
      <c r="H1229" t="str">
        <f t="shared" si="99"/>
        <v>Small</v>
      </c>
      <c r="I1229" t="str">
        <f t="shared" si="95"/>
        <v>Small</v>
      </c>
      <c r="J1229" s="1">
        <v>3984.67</v>
      </c>
      <c r="K1229">
        <f t="shared" si="96"/>
        <v>0</v>
      </c>
      <c r="L1229">
        <f t="shared" si="97"/>
        <v>3984.67</v>
      </c>
      <c r="M1229" s="1">
        <f t="shared" si="98"/>
        <v>3984.67</v>
      </c>
      <c r="N1229" s="1" t="s">
        <v>10</v>
      </c>
      <c r="O1229" s="1">
        <v>21.4</v>
      </c>
    </row>
    <row r="1230" spans="4:15" x14ac:dyDescent="0.3">
      <c r="D1230" s="1">
        <v>29536</v>
      </c>
      <c r="E1230" s="2">
        <v>43715</v>
      </c>
      <c r="F1230" s="1" t="s">
        <v>14</v>
      </c>
      <c r="G1230" s="1">
        <v>26</v>
      </c>
      <c r="H1230" t="str">
        <f t="shared" si="99"/>
        <v>Medium-Large</v>
      </c>
      <c r="I1230" t="str">
        <f t="shared" si="95"/>
        <v>Medium-Large</v>
      </c>
      <c r="J1230" s="1">
        <v>1035.1300000000001</v>
      </c>
      <c r="K1230">
        <f t="shared" si="96"/>
        <v>0</v>
      </c>
      <c r="L1230">
        <f t="shared" si="97"/>
        <v>1035.1300000000001</v>
      </c>
      <c r="M1230" s="1">
        <f t="shared" si="98"/>
        <v>1035.1300000000001</v>
      </c>
      <c r="N1230" s="1" t="s">
        <v>10</v>
      </c>
      <c r="O1230" s="1">
        <v>21.4</v>
      </c>
    </row>
    <row r="1231" spans="4:15" x14ac:dyDescent="0.3">
      <c r="D1231" s="1">
        <v>30786</v>
      </c>
      <c r="E1231" s="2">
        <v>43662</v>
      </c>
      <c r="F1231" s="1" t="s">
        <v>14</v>
      </c>
      <c r="G1231" s="1">
        <v>4</v>
      </c>
      <c r="H1231" t="str">
        <f t="shared" si="99"/>
        <v>Mini</v>
      </c>
      <c r="I1231" t="str">
        <f t="shared" si="95"/>
        <v>Mini</v>
      </c>
      <c r="J1231" s="1">
        <v>77.81</v>
      </c>
      <c r="K1231">
        <f t="shared" si="96"/>
        <v>0</v>
      </c>
      <c r="L1231">
        <f t="shared" si="97"/>
        <v>77.81</v>
      </c>
      <c r="M1231" s="1">
        <f t="shared" si="98"/>
        <v>77.81</v>
      </c>
      <c r="N1231" s="1" t="s">
        <v>10</v>
      </c>
      <c r="O1231" s="1">
        <v>11.4</v>
      </c>
    </row>
    <row r="1232" spans="4:15" x14ac:dyDescent="0.3">
      <c r="D1232" s="1">
        <v>38182</v>
      </c>
      <c r="E1232" s="2">
        <v>43607</v>
      </c>
      <c r="F1232" s="1" t="s">
        <v>9</v>
      </c>
      <c r="G1232" s="1">
        <v>45</v>
      </c>
      <c r="H1232" t="str">
        <f t="shared" si="99"/>
        <v>XX Large</v>
      </c>
      <c r="I1232" t="str">
        <f t="shared" si="95"/>
        <v>XX Large</v>
      </c>
      <c r="J1232" s="1">
        <v>3048.25</v>
      </c>
      <c r="K1232">
        <f t="shared" si="96"/>
        <v>0.01</v>
      </c>
      <c r="L1232">
        <f t="shared" si="97"/>
        <v>3017.7674999999999</v>
      </c>
      <c r="M1232" s="1">
        <f t="shared" si="98"/>
        <v>3010.75</v>
      </c>
      <c r="N1232" s="1" t="s">
        <v>10</v>
      </c>
      <c r="O1232" s="1">
        <v>37.5</v>
      </c>
    </row>
    <row r="1233" spans="4:15" x14ac:dyDescent="0.3">
      <c r="D1233" s="1">
        <v>34022</v>
      </c>
      <c r="E1233" s="2">
        <v>43772</v>
      </c>
      <c r="F1233" s="1" t="s">
        <v>11</v>
      </c>
      <c r="G1233" s="1">
        <v>6</v>
      </c>
      <c r="H1233" t="str">
        <f t="shared" si="99"/>
        <v>Extra Small</v>
      </c>
      <c r="I1233" t="str">
        <f t="shared" si="95"/>
        <v>Extra Small</v>
      </c>
      <c r="J1233" s="1">
        <v>46.97</v>
      </c>
      <c r="K1233">
        <f t="shared" si="96"/>
        <v>0</v>
      </c>
      <c r="L1233">
        <f t="shared" si="97"/>
        <v>46.97</v>
      </c>
      <c r="M1233" s="1">
        <f t="shared" si="98"/>
        <v>46.97</v>
      </c>
      <c r="N1233" s="1" t="s">
        <v>10</v>
      </c>
      <c r="O1233" s="1">
        <v>5.3</v>
      </c>
    </row>
    <row r="1234" spans="4:15" x14ac:dyDescent="0.3">
      <c r="D1234" s="1">
        <v>18849</v>
      </c>
      <c r="E1234" s="2">
        <v>43682</v>
      </c>
      <c r="F1234" s="1" t="s">
        <v>9</v>
      </c>
      <c r="G1234" s="1">
        <v>43</v>
      </c>
      <c r="H1234" t="str">
        <f t="shared" si="99"/>
        <v>XX Large</v>
      </c>
      <c r="I1234" t="str">
        <f t="shared" si="95"/>
        <v>XX Large</v>
      </c>
      <c r="J1234" s="1">
        <v>504.9</v>
      </c>
      <c r="K1234">
        <f t="shared" si="96"/>
        <v>0.01</v>
      </c>
      <c r="L1234">
        <f t="shared" si="97"/>
        <v>499.851</v>
      </c>
      <c r="M1234" s="1">
        <f t="shared" si="98"/>
        <v>499.29999999999995</v>
      </c>
      <c r="N1234" s="1" t="s">
        <v>10</v>
      </c>
      <c r="O1234" s="1">
        <v>5.6</v>
      </c>
    </row>
    <row r="1235" spans="4:15" x14ac:dyDescent="0.3">
      <c r="D1235" s="1">
        <v>18112</v>
      </c>
      <c r="E1235" s="2">
        <v>43540</v>
      </c>
      <c r="F1235" s="1" t="s">
        <v>11</v>
      </c>
      <c r="G1235" s="1">
        <v>13</v>
      </c>
      <c r="H1235" t="str">
        <f t="shared" si="99"/>
        <v>Small</v>
      </c>
      <c r="I1235" t="str">
        <f t="shared" si="95"/>
        <v>Small</v>
      </c>
      <c r="J1235" s="1">
        <v>89.14</v>
      </c>
      <c r="K1235">
        <f t="shared" si="96"/>
        <v>0</v>
      </c>
      <c r="L1235">
        <f t="shared" si="97"/>
        <v>89.14</v>
      </c>
      <c r="M1235" s="1">
        <f t="shared" si="98"/>
        <v>89.14</v>
      </c>
      <c r="N1235" s="1" t="s">
        <v>10</v>
      </c>
      <c r="O1235" s="1">
        <v>1.4</v>
      </c>
    </row>
    <row r="1236" spans="4:15" x14ac:dyDescent="0.3">
      <c r="D1236" s="1">
        <v>58917</v>
      </c>
      <c r="E1236" s="2">
        <v>43526</v>
      </c>
      <c r="F1236" s="1" t="s">
        <v>9</v>
      </c>
      <c r="G1236" s="1">
        <v>3</v>
      </c>
      <c r="H1236" t="str">
        <f t="shared" si="99"/>
        <v>Mini</v>
      </c>
      <c r="I1236" t="str">
        <f t="shared" si="95"/>
        <v>Mini</v>
      </c>
      <c r="J1236" s="1">
        <v>67.28</v>
      </c>
      <c r="K1236">
        <f t="shared" si="96"/>
        <v>0</v>
      </c>
      <c r="L1236">
        <f t="shared" si="97"/>
        <v>67.28</v>
      </c>
      <c r="M1236" s="1">
        <f t="shared" si="98"/>
        <v>67.28</v>
      </c>
      <c r="N1236" s="1" t="s">
        <v>10</v>
      </c>
      <c r="O1236" s="1">
        <v>3.1</v>
      </c>
    </row>
    <row r="1237" spans="4:15" x14ac:dyDescent="0.3">
      <c r="D1237" s="1">
        <v>25793</v>
      </c>
      <c r="E1237" s="2">
        <v>43562</v>
      </c>
      <c r="F1237" s="1" t="s">
        <v>7</v>
      </c>
      <c r="G1237" s="1">
        <v>27</v>
      </c>
      <c r="H1237" t="str">
        <f t="shared" si="99"/>
        <v>Medium-Large</v>
      </c>
      <c r="I1237" t="str">
        <f t="shared" si="95"/>
        <v>Medium-Large</v>
      </c>
      <c r="J1237" s="1">
        <v>3677.34</v>
      </c>
      <c r="K1237">
        <f t="shared" si="96"/>
        <v>0</v>
      </c>
      <c r="L1237">
        <f t="shared" si="97"/>
        <v>3677.34</v>
      </c>
      <c r="M1237" s="1">
        <f t="shared" si="98"/>
        <v>3677.34</v>
      </c>
      <c r="N1237" s="1" t="s">
        <v>10</v>
      </c>
      <c r="O1237" s="1">
        <v>9.6</v>
      </c>
    </row>
    <row r="1238" spans="4:15" x14ac:dyDescent="0.3">
      <c r="D1238" s="1">
        <v>44423</v>
      </c>
      <c r="E1238" s="2">
        <v>43675</v>
      </c>
      <c r="F1238" s="1" t="s">
        <v>12</v>
      </c>
      <c r="G1238" s="1">
        <v>39</v>
      </c>
      <c r="H1238" t="str">
        <f t="shared" si="99"/>
        <v>Extra Large</v>
      </c>
      <c r="I1238" t="str">
        <f t="shared" si="95"/>
        <v>Extra Large</v>
      </c>
      <c r="J1238" s="1">
        <v>266.04000000000002</v>
      </c>
      <c r="K1238">
        <f t="shared" si="96"/>
        <v>0.01</v>
      </c>
      <c r="L1238">
        <f t="shared" si="97"/>
        <v>263.37960000000004</v>
      </c>
      <c r="M1238" s="1">
        <f t="shared" si="98"/>
        <v>260.34000000000003</v>
      </c>
      <c r="N1238" s="1" t="s">
        <v>10</v>
      </c>
      <c r="O1238" s="1">
        <v>5.7</v>
      </c>
    </row>
    <row r="1239" spans="4:15" x14ac:dyDescent="0.3">
      <c r="D1239" s="1">
        <v>1701</v>
      </c>
      <c r="E1239" s="2">
        <v>43603</v>
      </c>
      <c r="F1239" s="1" t="s">
        <v>9</v>
      </c>
      <c r="G1239" s="1">
        <v>49</v>
      </c>
      <c r="H1239" t="str">
        <f t="shared" si="99"/>
        <v>XXX Large</v>
      </c>
      <c r="I1239" t="str">
        <f t="shared" si="95"/>
        <v>XXX Large</v>
      </c>
      <c r="J1239" s="1">
        <v>2190.91</v>
      </c>
      <c r="K1239">
        <f t="shared" si="96"/>
        <v>0.01</v>
      </c>
      <c r="L1239">
        <f t="shared" si="97"/>
        <v>2169.0009</v>
      </c>
      <c r="M1239" s="1">
        <f t="shared" si="98"/>
        <v>2188.81</v>
      </c>
      <c r="N1239" s="1" t="s">
        <v>10</v>
      </c>
      <c r="O1239" s="1">
        <v>2.1</v>
      </c>
    </row>
    <row r="1240" spans="4:15" x14ac:dyDescent="0.3">
      <c r="D1240" s="1">
        <v>35713</v>
      </c>
      <c r="E1240" s="2">
        <v>43755</v>
      </c>
      <c r="F1240" s="1" t="s">
        <v>14</v>
      </c>
      <c r="G1240" s="1">
        <v>49</v>
      </c>
      <c r="H1240" t="str">
        <f t="shared" si="99"/>
        <v>XXX Large</v>
      </c>
      <c r="I1240" t="str">
        <f t="shared" si="95"/>
        <v>XXX Large</v>
      </c>
      <c r="J1240" s="1">
        <v>1450.35</v>
      </c>
      <c r="K1240">
        <f t="shared" si="96"/>
        <v>0.01</v>
      </c>
      <c r="L1240">
        <f t="shared" si="97"/>
        <v>1435.8464999999999</v>
      </c>
      <c r="M1240" s="1">
        <f t="shared" si="98"/>
        <v>1448.75</v>
      </c>
      <c r="N1240" s="1" t="s">
        <v>10</v>
      </c>
      <c r="O1240" s="1">
        <v>1.6</v>
      </c>
    </row>
    <row r="1241" spans="4:15" x14ac:dyDescent="0.3">
      <c r="D1241" s="1">
        <v>22688</v>
      </c>
      <c r="E1241" s="2">
        <v>43572</v>
      </c>
      <c r="F1241" s="1" t="s">
        <v>14</v>
      </c>
      <c r="G1241" s="1">
        <v>40</v>
      </c>
      <c r="H1241" t="str">
        <f t="shared" si="99"/>
        <v>Extra Large</v>
      </c>
      <c r="I1241" t="str">
        <f t="shared" si="95"/>
        <v>Extra Large</v>
      </c>
      <c r="J1241" s="1">
        <v>2187.37</v>
      </c>
      <c r="K1241">
        <f t="shared" si="96"/>
        <v>0.01</v>
      </c>
      <c r="L1241">
        <f t="shared" si="97"/>
        <v>2165.4962999999998</v>
      </c>
      <c r="M1241" s="1">
        <f t="shared" si="98"/>
        <v>2181.37</v>
      </c>
      <c r="N1241" s="1" t="s">
        <v>10</v>
      </c>
      <c r="O1241" s="1">
        <v>6</v>
      </c>
    </row>
    <row r="1242" spans="4:15" x14ac:dyDescent="0.3">
      <c r="D1242" s="1">
        <v>57699</v>
      </c>
      <c r="E1242" s="2">
        <v>43779</v>
      </c>
      <c r="F1242" s="1" t="s">
        <v>7</v>
      </c>
      <c r="G1242" s="1">
        <v>36</v>
      </c>
      <c r="H1242" t="str">
        <f t="shared" si="99"/>
        <v>Extra Large</v>
      </c>
      <c r="I1242" t="str">
        <f t="shared" si="95"/>
        <v>Extra Large</v>
      </c>
      <c r="J1242" s="1">
        <v>2312.0880999999999</v>
      </c>
      <c r="K1242">
        <f t="shared" si="96"/>
        <v>0.01</v>
      </c>
      <c r="L1242">
        <f t="shared" si="97"/>
        <v>2288.9672190000001</v>
      </c>
      <c r="M1242" s="1">
        <f t="shared" si="98"/>
        <v>2290.6880999999998</v>
      </c>
      <c r="N1242" s="1" t="s">
        <v>10</v>
      </c>
      <c r="O1242" s="1">
        <v>21.4</v>
      </c>
    </row>
    <row r="1243" spans="4:15" x14ac:dyDescent="0.3">
      <c r="D1243" s="1">
        <v>36229</v>
      </c>
      <c r="E1243" s="2">
        <v>43729</v>
      </c>
      <c r="F1243" s="1" t="s">
        <v>11</v>
      </c>
      <c r="G1243" s="1">
        <v>24</v>
      </c>
      <c r="H1243" t="str">
        <f t="shared" si="99"/>
        <v>Medium</v>
      </c>
      <c r="I1243" t="str">
        <f t="shared" si="95"/>
        <v>Medium</v>
      </c>
      <c r="J1243" s="1">
        <v>3841.65</v>
      </c>
      <c r="K1243">
        <f t="shared" si="96"/>
        <v>0</v>
      </c>
      <c r="L1243">
        <f t="shared" si="97"/>
        <v>3841.65</v>
      </c>
      <c r="M1243" s="1">
        <f t="shared" si="98"/>
        <v>3841.65</v>
      </c>
      <c r="N1243" s="1" t="s">
        <v>13</v>
      </c>
      <c r="O1243" s="1">
        <v>46.8</v>
      </c>
    </row>
    <row r="1244" spans="4:15" x14ac:dyDescent="0.3">
      <c r="D1244" s="1">
        <v>13923</v>
      </c>
      <c r="E1244" s="2">
        <v>43654</v>
      </c>
      <c r="F1244" s="1" t="s">
        <v>9</v>
      </c>
      <c r="G1244" s="1">
        <v>28</v>
      </c>
      <c r="H1244" t="str">
        <f t="shared" si="99"/>
        <v>Medium-Large</v>
      </c>
      <c r="I1244" t="str">
        <f t="shared" si="95"/>
        <v>Medium-Large</v>
      </c>
      <c r="J1244" s="1">
        <v>4635.5609999999997</v>
      </c>
      <c r="K1244">
        <f t="shared" si="96"/>
        <v>0</v>
      </c>
      <c r="L1244">
        <f t="shared" si="97"/>
        <v>4635.5609999999997</v>
      </c>
      <c r="M1244" s="1">
        <f t="shared" si="98"/>
        <v>4635.5609999999997</v>
      </c>
      <c r="N1244" s="1" t="s">
        <v>13</v>
      </c>
      <c r="O1244" s="1">
        <v>16.7</v>
      </c>
    </row>
    <row r="1245" spans="4:15" x14ac:dyDescent="0.3">
      <c r="D1245" s="1">
        <v>40801</v>
      </c>
      <c r="E1245" s="2">
        <v>43647</v>
      </c>
      <c r="F1245" s="1" t="s">
        <v>11</v>
      </c>
      <c r="G1245" s="1">
        <v>20</v>
      </c>
      <c r="H1245" t="str">
        <f t="shared" si="99"/>
        <v>Small-Medium</v>
      </c>
      <c r="I1245" t="str">
        <f t="shared" si="95"/>
        <v>Small-Medium</v>
      </c>
      <c r="J1245" s="1">
        <v>138.19999999999999</v>
      </c>
      <c r="K1245">
        <f t="shared" si="96"/>
        <v>0</v>
      </c>
      <c r="L1245">
        <f t="shared" si="97"/>
        <v>138.19999999999999</v>
      </c>
      <c r="M1245" s="1">
        <f t="shared" si="98"/>
        <v>138.19999999999999</v>
      </c>
      <c r="N1245" s="1" t="s">
        <v>10</v>
      </c>
      <c r="O1245" s="1">
        <v>6.7</v>
      </c>
    </row>
    <row r="1246" spans="4:15" x14ac:dyDescent="0.3">
      <c r="D1246" s="1">
        <v>22663</v>
      </c>
      <c r="E1246" s="2">
        <v>43475</v>
      </c>
      <c r="F1246" s="1" t="s">
        <v>7</v>
      </c>
      <c r="G1246" s="1">
        <v>15</v>
      </c>
      <c r="H1246" t="str">
        <f t="shared" si="99"/>
        <v>Small</v>
      </c>
      <c r="I1246" t="str">
        <f t="shared" si="95"/>
        <v>Small</v>
      </c>
      <c r="J1246" s="1">
        <v>7693.3642</v>
      </c>
      <c r="K1246">
        <f t="shared" si="96"/>
        <v>0</v>
      </c>
      <c r="L1246">
        <f t="shared" si="97"/>
        <v>7693.3642</v>
      </c>
      <c r="M1246" s="1">
        <f t="shared" si="98"/>
        <v>7693.3642</v>
      </c>
      <c r="N1246" s="1" t="s">
        <v>13</v>
      </c>
      <c r="O1246" s="1">
        <v>30.1</v>
      </c>
    </row>
    <row r="1247" spans="4:15" x14ac:dyDescent="0.3">
      <c r="D1247" s="1">
        <v>4800</v>
      </c>
      <c r="E1247" s="2">
        <v>43469</v>
      </c>
      <c r="F1247" s="1" t="s">
        <v>7</v>
      </c>
      <c r="G1247" s="1">
        <v>7</v>
      </c>
      <c r="H1247" t="str">
        <f t="shared" si="99"/>
        <v>Extra Small</v>
      </c>
      <c r="I1247" t="str">
        <f t="shared" si="95"/>
        <v>Extra Small</v>
      </c>
      <c r="J1247" s="1">
        <v>85.4</v>
      </c>
      <c r="K1247">
        <f t="shared" si="96"/>
        <v>0</v>
      </c>
      <c r="L1247">
        <f t="shared" si="97"/>
        <v>85.4</v>
      </c>
      <c r="M1247" s="1">
        <f t="shared" si="98"/>
        <v>85.4</v>
      </c>
      <c r="N1247" s="1" t="s">
        <v>10</v>
      </c>
      <c r="O1247" s="1">
        <v>2.5</v>
      </c>
    </row>
    <row r="1248" spans="4:15" x14ac:dyDescent="0.3">
      <c r="D1248" s="1">
        <v>16098</v>
      </c>
      <c r="E1248" s="2">
        <v>43667</v>
      </c>
      <c r="F1248" s="1" t="s">
        <v>7</v>
      </c>
      <c r="G1248" s="1">
        <v>44</v>
      </c>
      <c r="H1248" t="str">
        <f t="shared" si="99"/>
        <v>XX Large</v>
      </c>
      <c r="I1248" t="str">
        <f t="shared" si="95"/>
        <v>XX Large</v>
      </c>
      <c r="J1248" s="1">
        <v>1072.1300000000001</v>
      </c>
      <c r="K1248">
        <f t="shared" si="96"/>
        <v>0.01</v>
      </c>
      <c r="L1248">
        <f t="shared" si="97"/>
        <v>1061.4087000000002</v>
      </c>
      <c r="M1248" s="1">
        <f t="shared" si="98"/>
        <v>1068.93</v>
      </c>
      <c r="N1248" s="1" t="s">
        <v>10</v>
      </c>
      <c r="O1248" s="1">
        <v>3.2</v>
      </c>
    </row>
    <row r="1249" spans="4:15" x14ac:dyDescent="0.3">
      <c r="D1249" s="1">
        <v>17414</v>
      </c>
      <c r="E1249" s="2">
        <v>43645</v>
      </c>
      <c r="F1249" s="1" t="s">
        <v>9</v>
      </c>
      <c r="G1249" s="1">
        <v>32</v>
      </c>
      <c r="H1249" t="str">
        <f t="shared" si="99"/>
        <v>Large</v>
      </c>
      <c r="I1249" t="str">
        <f t="shared" si="95"/>
        <v>Large</v>
      </c>
      <c r="J1249" s="1">
        <v>372.29</v>
      </c>
      <c r="K1249">
        <f t="shared" si="96"/>
        <v>0</v>
      </c>
      <c r="L1249">
        <f t="shared" si="97"/>
        <v>372.29</v>
      </c>
      <c r="M1249" s="1">
        <f t="shared" si="98"/>
        <v>372.29</v>
      </c>
      <c r="N1249" s="1" t="s">
        <v>10</v>
      </c>
      <c r="O1249" s="1">
        <v>5.4</v>
      </c>
    </row>
    <row r="1250" spans="4:15" x14ac:dyDescent="0.3">
      <c r="D1250" s="1">
        <v>54177</v>
      </c>
      <c r="E1250" s="2">
        <v>43489</v>
      </c>
      <c r="F1250" s="1" t="s">
        <v>12</v>
      </c>
      <c r="G1250" s="1">
        <v>25</v>
      </c>
      <c r="H1250" t="str">
        <f t="shared" si="99"/>
        <v>Medium</v>
      </c>
      <c r="I1250" t="str">
        <f t="shared" si="95"/>
        <v>Medium</v>
      </c>
      <c r="J1250" s="1">
        <v>170.13</v>
      </c>
      <c r="K1250">
        <f t="shared" si="96"/>
        <v>0</v>
      </c>
      <c r="L1250">
        <f t="shared" si="97"/>
        <v>170.13</v>
      </c>
      <c r="M1250" s="1">
        <f t="shared" si="98"/>
        <v>170.13</v>
      </c>
      <c r="N1250" s="1" t="s">
        <v>10</v>
      </c>
      <c r="O1250" s="1">
        <v>7.9</v>
      </c>
    </row>
    <row r="1251" spans="4:15" x14ac:dyDescent="0.3">
      <c r="D1251" s="1">
        <v>8294</v>
      </c>
      <c r="E1251" s="2">
        <v>43636</v>
      </c>
      <c r="F1251" s="1" t="s">
        <v>14</v>
      </c>
      <c r="G1251" s="1">
        <v>28</v>
      </c>
      <c r="H1251" t="str">
        <f t="shared" si="99"/>
        <v>Medium-Large</v>
      </c>
      <c r="I1251" t="str">
        <f t="shared" si="95"/>
        <v>Medium-Large</v>
      </c>
      <c r="J1251" s="1">
        <v>211.4</v>
      </c>
      <c r="K1251">
        <f t="shared" si="96"/>
        <v>0</v>
      </c>
      <c r="L1251">
        <f t="shared" si="97"/>
        <v>211.4</v>
      </c>
      <c r="M1251" s="1">
        <f t="shared" si="98"/>
        <v>211.4</v>
      </c>
      <c r="N1251" s="1" t="s">
        <v>10</v>
      </c>
      <c r="O1251" s="1">
        <v>5.4</v>
      </c>
    </row>
    <row r="1252" spans="4:15" x14ac:dyDescent="0.3">
      <c r="D1252" s="1">
        <v>19874</v>
      </c>
      <c r="E1252" s="2">
        <v>43624</v>
      </c>
      <c r="F1252" s="1" t="s">
        <v>9</v>
      </c>
      <c r="G1252" s="1">
        <v>31</v>
      </c>
      <c r="H1252" t="str">
        <f t="shared" si="99"/>
        <v>Large</v>
      </c>
      <c r="I1252" t="str">
        <f t="shared" si="95"/>
        <v>Large</v>
      </c>
      <c r="J1252" s="1">
        <v>332.19</v>
      </c>
      <c r="K1252">
        <f t="shared" si="96"/>
        <v>0</v>
      </c>
      <c r="L1252">
        <f t="shared" si="97"/>
        <v>332.19</v>
      </c>
      <c r="M1252" s="1">
        <f t="shared" si="98"/>
        <v>332.19</v>
      </c>
      <c r="N1252" s="1" t="s">
        <v>10</v>
      </c>
      <c r="O1252" s="1">
        <v>10.1</v>
      </c>
    </row>
    <row r="1253" spans="4:15" x14ac:dyDescent="0.3">
      <c r="D1253" s="1">
        <v>58658</v>
      </c>
      <c r="E1253" s="2">
        <v>43627</v>
      </c>
      <c r="F1253" s="1" t="s">
        <v>14</v>
      </c>
      <c r="G1253" s="1">
        <v>7</v>
      </c>
      <c r="H1253" t="str">
        <f t="shared" si="99"/>
        <v>Extra Small</v>
      </c>
      <c r="I1253" t="str">
        <f t="shared" si="95"/>
        <v>Extra Small</v>
      </c>
      <c r="J1253" s="1">
        <v>945.06</v>
      </c>
      <c r="K1253">
        <f t="shared" si="96"/>
        <v>0</v>
      </c>
      <c r="L1253">
        <f t="shared" si="97"/>
        <v>945.06</v>
      </c>
      <c r="M1253" s="1">
        <f t="shared" si="98"/>
        <v>945.06</v>
      </c>
      <c r="N1253" s="1" t="s">
        <v>13</v>
      </c>
      <c r="O1253" s="1">
        <v>62.7</v>
      </c>
    </row>
    <row r="1254" spans="4:15" x14ac:dyDescent="0.3">
      <c r="D1254" s="1">
        <v>23618</v>
      </c>
      <c r="E1254" s="2">
        <v>43796</v>
      </c>
      <c r="F1254" s="1" t="s">
        <v>14</v>
      </c>
      <c r="G1254" s="1">
        <v>45</v>
      </c>
      <c r="H1254" t="str">
        <f t="shared" si="99"/>
        <v>XX Large</v>
      </c>
      <c r="I1254" t="str">
        <f t="shared" si="95"/>
        <v>XX Large</v>
      </c>
      <c r="J1254" s="1">
        <v>2783.92</v>
      </c>
      <c r="K1254">
        <f t="shared" si="96"/>
        <v>0.01</v>
      </c>
      <c r="L1254">
        <f t="shared" si="97"/>
        <v>2756.0808000000002</v>
      </c>
      <c r="M1254" s="1">
        <f t="shared" si="98"/>
        <v>2778.32</v>
      </c>
      <c r="N1254" s="1" t="s">
        <v>10</v>
      </c>
      <c r="O1254" s="1">
        <v>5.6</v>
      </c>
    </row>
    <row r="1255" spans="4:15" x14ac:dyDescent="0.3">
      <c r="D1255" s="1">
        <v>31874</v>
      </c>
      <c r="E1255" s="2">
        <v>43723</v>
      </c>
      <c r="F1255" s="1" t="s">
        <v>9</v>
      </c>
      <c r="G1255" s="1">
        <v>29</v>
      </c>
      <c r="H1255" t="str">
        <f t="shared" si="99"/>
        <v>Medium-Large</v>
      </c>
      <c r="I1255" t="str">
        <f t="shared" si="95"/>
        <v>Medium-Large</v>
      </c>
      <c r="J1255" s="1">
        <v>344.48649999999998</v>
      </c>
      <c r="K1255">
        <f t="shared" si="96"/>
        <v>0</v>
      </c>
      <c r="L1255">
        <f t="shared" si="97"/>
        <v>344.48649999999998</v>
      </c>
      <c r="M1255" s="1">
        <f t="shared" si="98"/>
        <v>344.48649999999998</v>
      </c>
      <c r="N1255" s="1" t="s">
        <v>8</v>
      </c>
      <c r="O1255" s="1">
        <v>3.6</v>
      </c>
    </row>
    <row r="1256" spans="4:15" x14ac:dyDescent="0.3">
      <c r="D1256" s="1">
        <v>21638</v>
      </c>
      <c r="E1256" s="2">
        <v>43571</v>
      </c>
      <c r="F1256" s="1" t="s">
        <v>9</v>
      </c>
      <c r="G1256" s="1">
        <v>13</v>
      </c>
      <c r="H1256" t="str">
        <f t="shared" si="99"/>
        <v>Small</v>
      </c>
      <c r="I1256" t="str">
        <f t="shared" si="95"/>
        <v>Small</v>
      </c>
      <c r="J1256" s="1">
        <v>448.25510000000003</v>
      </c>
      <c r="K1256">
        <f t="shared" si="96"/>
        <v>0</v>
      </c>
      <c r="L1256">
        <f t="shared" si="97"/>
        <v>448.25510000000003</v>
      </c>
      <c r="M1256" s="1">
        <f t="shared" si="98"/>
        <v>448.25510000000003</v>
      </c>
      <c r="N1256" s="1" t="s">
        <v>10</v>
      </c>
      <c r="O1256" s="1">
        <v>9.4</v>
      </c>
    </row>
    <row r="1257" spans="4:15" x14ac:dyDescent="0.3">
      <c r="D1257" s="1">
        <v>41063</v>
      </c>
      <c r="E1257" s="2">
        <v>43790</v>
      </c>
      <c r="F1257" s="1" t="s">
        <v>7</v>
      </c>
      <c r="G1257" s="1">
        <v>22</v>
      </c>
      <c r="H1257" t="str">
        <f t="shared" si="99"/>
        <v>Medium</v>
      </c>
      <c r="I1257" t="str">
        <f t="shared" si="95"/>
        <v>Medium</v>
      </c>
      <c r="J1257" s="1">
        <v>517.84</v>
      </c>
      <c r="K1257">
        <f t="shared" si="96"/>
        <v>0</v>
      </c>
      <c r="L1257">
        <f t="shared" si="97"/>
        <v>517.84</v>
      </c>
      <c r="M1257" s="1">
        <f t="shared" si="98"/>
        <v>517.84</v>
      </c>
      <c r="N1257" s="1" t="s">
        <v>10</v>
      </c>
      <c r="O1257" s="1">
        <v>9.6</v>
      </c>
    </row>
    <row r="1258" spans="4:15" x14ac:dyDescent="0.3">
      <c r="D1258" s="1">
        <v>44167</v>
      </c>
      <c r="E1258" s="2">
        <v>43494</v>
      </c>
      <c r="F1258" s="1" t="s">
        <v>12</v>
      </c>
      <c r="G1258" s="1">
        <v>23</v>
      </c>
      <c r="H1258" t="str">
        <f t="shared" si="99"/>
        <v>Medium</v>
      </c>
      <c r="I1258" t="str">
        <f t="shared" si="95"/>
        <v>Medium</v>
      </c>
      <c r="J1258" s="1">
        <v>3417.63</v>
      </c>
      <c r="K1258">
        <f t="shared" si="96"/>
        <v>0</v>
      </c>
      <c r="L1258">
        <f t="shared" si="97"/>
        <v>3417.63</v>
      </c>
      <c r="M1258" s="1">
        <f t="shared" si="98"/>
        <v>3417.63</v>
      </c>
      <c r="N1258" s="1" t="s">
        <v>10</v>
      </c>
      <c r="O1258" s="1">
        <v>21.4</v>
      </c>
    </row>
    <row r="1259" spans="4:15" x14ac:dyDescent="0.3">
      <c r="D1259" s="1">
        <v>45346</v>
      </c>
      <c r="E1259" s="2">
        <v>43784</v>
      </c>
      <c r="F1259" s="1" t="s">
        <v>9</v>
      </c>
      <c r="G1259" s="1">
        <v>37</v>
      </c>
      <c r="H1259" t="str">
        <f t="shared" si="99"/>
        <v>Extra Large</v>
      </c>
      <c r="I1259" t="str">
        <f t="shared" si="95"/>
        <v>Extra Large</v>
      </c>
      <c r="J1259" s="1">
        <v>740.6</v>
      </c>
      <c r="K1259">
        <f t="shared" si="96"/>
        <v>0.01</v>
      </c>
      <c r="L1259">
        <f t="shared" si="97"/>
        <v>733.19399999999996</v>
      </c>
      <c r="M1259" s="1">
        <f t="shared" si="98"/>
        <v>734.2</v>
      </c>
      <c r="N1259" s="1" t="s">
        <v>10</v>
      </c>
      <c r="O1259" s="1">
        <v>6.4</v>
      </c>
    </row>
    <row r="1260" spans="4:15" x14ac:dyDescent="0.3">
      <c r="D1260" s="1">
        <v>4804</v>
      </c>
      <c r="E1260" s="2">
        <v>43491</v>
      </c>
      <c r="F1260" s="1" t="s">
        <v>9</v>
      </c>
      <c r="G1260" s="1">
        <v>13</v>
      </c>
      <c r="H1260" t="str">
        <f t="shared" si="99"/>
        <v>Small</v>
      </c>
      <c r="I1260" t="str">
        <f t="shared" si="95"/>
        <v>Small</v>
      </c>
      <c r="J1260" s="1">
        <v>496.29809999999998</v>
      </c>
      <c r="K1260">
        <f t="shared" si="96"/>
        <v>0</v>
      </c>
      <c r="L1260">
        <f t="shared" si="97"/>
        <v>496.29809999999998</v>
      </c>
      <c r="M1260" s="1">
        <f t="shared" si="98"/>
        <v>496.29809999999998</v>
      </c>
      <c r="N1260" s="1" t="s">
        <v>10</v>
      </c>
      <c r="O1260" s="1">
        <v>2.1</v>
      </c>
    </row>
    <row r="1261" spans="4:15" x14ac:dyDescent="0.3">
      <c r="D1261" s="1">
        <v>23555</v>
      </c>
      <c r="E1261" s="2">
        <v>43810</v>
      </c>
      <c r="F1261" s="1" t="s">
        <v>9</v>
      </c>
      <c r="G1261" s="1">
        <v>5</v>
      </c>
      <c r="H1261" t="str">
        <f t="shared" si="99"/>
        <v>Mini</v>
      </c>
      <c r="I1261" t="str">
        <f t="shared" si="95"/>
        <v>Mini</v>
      </c>
      <c r="J1261" s="1">
        <v>304.36</v>
      </c>
      <c r="K1261">
        <f t="shared" si="96"/>
        <v>0</v>
      </c>
      <c r="L1261">
        <f t="shared" si="97"/>
        <v>304.36</v>
      </c>
      <c r="M1261" s="1">
        <f t="shared" si="98"/>
        <v>304.36</v>
      </c>
      <c r="N1261" s="1" t="s">
        <v>10</v>
      </c>
      <c r="O1261" s="1">
        <v>9.6</v>
      </c>
    </row>
    <row r="1262" spans="4:15" x14ac:dyDescent="0.3">
      <c r="D1262" s="1">
        <v>51876</v>
      </c>
      <c r="E1262" s="2">
        <v>43530</v>
      </c>
      <c r="F1262" s="1" t="s">
        <v>12</v>
      </c>
      <c r="G1262" s="1">
        <v>2</v>
      </c>
      <c r="H1262" t="str">
        <f t="shared" si="99"/>
        <v>Mini</v>
      </c>
      <c r="I1262" t="str">
        <f t="shared" si="95"/>
        <v>Mini</v>
      </c>
      <c r="J1262" s="1">
        <v>101.71</v>
      </c>
      <c r="K1262">
        <f t="shared" si="96"/>
        <v>0</v>
      </c>
      <c r="L1262">
        <f t="shared" si="97"/>
        <v>101.71</v>
      </c>
      <c r="M1262" s="1">
        <f t="shared" si="98"/>
        <v>101.71</v>
      </c>
      <c r="N1262" s="1" t="s">
        <v>10</v>
      </c>
      <c r="O1262" s="1">
        <v>5.4</v>
      </c>
    </row>
    <row r="1263" spans="4:15" x14ac:dyDescent="0.3">
      <c r="D1263" s="1">
        <v>59905</v>
      </c>
      <c r="E1263" s="2">
        <v>43569</v>
      </c>
      <c r="F1263" s="1" t="s">
        <v>9</v>
      </c>
      <c r="G1263" s="1">
        <v>19</v>
      </c>
      <c r="H1263" t="str">
        <f t="shared" si="99"/>
        <v>Small-Medium</v>
      </c>
      <c r="I1263" t="str">
        <f t="shared" si="95"/>
        <v>Small-Medium</v>
      </c>
      <c r="J1263" s="1">
        <v>170.39</v>
      </c>
      <c r="K1263">
        <f t="shared" si="96"/>
        <v>0</v>
      </c>
      <c r="L1263">
        <f t="shared" si="97"/>
        <v>170.39</v>
      </c>
      <c r="M1263" s="1">
        <f t="shared" si="98"/>
        <v>170.39</v>
      </c>
      <c r="N1263" s="1" t="s">
        <v>10</v>
      </c>
      <c r="O1263" s="1">
        <v>2.1</v>
      </c>
    </row>
    <row r="1264" spans="4:15" x14ac:dyDescent="0.3">
      <c r="D1264" s="1">
        <v>22085</v>
      </c>
      <c r="E1264" s="2">
        <v>43533</v>
      </c>
      <c r="F1264" s="1" t="s">
        <v>7</v>
      </c>
      <c r="G1264" s="1">
        <v>27</v>
      </c>
      <c r="H1264" t="str">
        <f t="shared" si="99"/>
        <v>Medium-Large</v>
      </c>
      <c r="I1264" t="str">
        <f t="shared" si="95"/>
        <v>Medium-Large</v>
      </c>
      <c r="J1264" s="1">
        <v>518.98209999999995</v>
      </c>
      <c r="K1264">
        <f t="shared" si="96"/>
        <v>0</v>
      </c>
      <c r="L1264">
        <f t="shared" si="97"/>
        <v>518.98209999999995</v>
      </c>
      <c r="M1264" s="1">
        <f t="shared" si="98"/>
        <v>518.98209999999995</v>
      </c>
      <c r="N1264" s="1" t="s">
        <v>10</v>
      </c>
      <c r="O1264" s="1">
        <v>10.1</v>
      </c>
    </row>
    <row r="1265" spans="4:15" x14ac:dyDescent="0.3">
      <c r="D1265" s="1">
        <v>9765</v>
      </c>
      <c r="E1265" s="2">
        <v>43750</v>
      </c>
      <c r="F1265" s="1" t="s">
        <v>7</v>
      </c>
      <c r="G1265" s="1">
        <v>26</v>
      </c>
      <c r="H1265" t="str">
        <f t="shared" si="99"/>
        <v>Medium-Large</v>
      </c>
      <c r="I1265" t="str">
        <f t="shared" si="95"/>
        <v>Medium-Large</v>
      </c>
      <c r="J1265" s="1">
        <v>3750.99</v>
      </c>
      <c r="K1265">
        <f t="shared" si="96"/>
        <v>0</v>
      </c>
      <c r="L1265">
        <f t="shared" si="97"/>
        <v>3750.99</v>
      </c>
      <c r="M1265" s="1">
        <f t="shared" si="98"/>
        <v>3750.99</v>
      </c>
      <c r="N1265" s="1" t="s">
        <v>10</v>
      </c>
      <c r="O1265" s="1">
        <v>13.5</v>
      </c>
    </row>
    <row r="1266" spans="4:15" x14ac:dyDescent="0.3">
      <c r="D1266" s="1">
        <v>52706</v>
      </c>
      <c r="E1266" s="2">
        <v>43655</v>
      </c>
      <c r="F1266" s="1" t="s">
        <v>7</v>
      </c>
      <c r="G1266" s="1">
        <v>34</v>
      </c>
      <c r="H1266" t="str">
        <f t="shared" si="99"/>
        <v>Large</v>
      </c>
      <c r="I1266" t="str">
        <f t="shared" si="95"/>
        <v>Large</v>
      </c>
      <c r="J1266" s="1">
        <v>1114.58</v>
      </c>
      <c r="K1266">
        <f t="shared" si="96"/>
        <v>0</v>
      </c>
      <c r="L1266">
        <f t="shared" si="97"/>
        <v>1114.58</v>
      </c>
      <c r="M1266" s="1">
        <f t="shared" si="98"/>
        <v>1114.58</v>
      </c>
      <c r="N1266" s="1" t="s">
        <v>8</v>
      </c>
      <c r="O1266" s="1">
        <v>1.6</v>
      </c>
    </row>
    <row r="1267" spans="4:15" x14ac:dyDescent="0.3">
      <c r="D1267" s="1">
        <v>35554</v>
      </c>
      <c r="E1267" s="2">
        <v>43732</v>
      </c>
      <c r="F1267" s="1" t="s">
        <v>11</v>
      </c>
      <c r="G1267" s="1">
        <v>34</v>
      </c>
      <c r="H1267" t="str">
        <f t="shared" si="99"/>
        <v>Large</v>
      </c>
      <c r="I1267" t="str">
        <f t="shared" si="95"/>
        <v>Large</v>
      </c>
      <c r="J1267" s="1">
        <v>4902.25</v>
      </c>
      <c r="K1267">
        <f t="shared" si="96"/>
        <v>0</v>
      </c>
      <c r="L1267">
        <f t="shared" si="97"/>
        <v>4902.25</v>
      </c>
      <c r="M1267" s="1">
        <f t="shared" si="98"/>
        <v>4902.25</v>
      </c>
      <c r="N1267" s="1" t="s">
        <v>13</v>
      </c>
      <c r="O1267" s="1">
        <v>58.6</v>
      </c>
    </row>
    <row r="1268" spans="4:15" x14ac:dyDescent="0.3">
      <c r="D1268" s="1">
        <v>11173</v>
      </c>
      <c r="E1268" s="2">
        <v>43554</v>
      </c>
      <c r="F1268" s="1" t="s">
        <v>12</v>
      </c>
      <c r="G1268" s="1">
        <v>37</v>
      </c>
      <c r="H1268" t="str">
        <f t="shared" si="99"/>
        <v>Extra Large</v>
      </c>
      <c r="I1268" t="str">
        <f t="shared" si="95"/>
        <v>Extra Large</v>
      </c>
      <c r="J1268" s="1">
        <v>237.18</v>
      </c>
      <c r="K1268">
        <f t="shared" si="96"/>
        <v>0.01</v>
      </c>
      <c r="L1268">
        <f t="shared" si="97"/>
        <v>234.8082</v>
      </c>
      <c r="M1268" s="1">
        <f t="shared" si="98"/>
        <v>233.08</v>
      </c>
      <c r="N1268" s="1" t="s">
        <v>10</v>
      </c>
      <c r="O1268" s="1">
        <v>4.0999999999999996</v>
      </c>
    </row>
    <row r="1269" spans="4:15" x14ac:dyDescent="0.3">
      <c r="D1269" s="1">
        <v>6886</v>
      </c>
      <c r="E1269" s="2">
        <v>43483</v>
      </c>
      <c r="F1269" s="1" t="s">
        <v>9</v>
      </c>
      <c r="G1269" s="1">
        <v>46</v>
      </c>
      <c r="H1269" t="str">
        <f t="shared" si="99"/>
        <v>XXX Large</v>
      </c>
      <c r="I1269" t="str">
        <f t="shared" si="95"/>
        <v>XXX Large</v>
      </c>
      <c r="J1269" s="1">
        <v>8749.4599999999991</v>
      </c>
      <c r="K1269">
        <f t="shared" si="96"/>
        <v>0.01</v>
      </c>
      <c r="L1269">
        <f t="shared" si="97"/>
        <v>8661.9653999999991</v>
      </c>
      <c r="M1269" s="1">
        <f t="shared" si="98"/>
        <v>8728.06</v>
      </c>
      <c r="N1269" s="1" t="s">
        <v>10</v>
      </c>
      <c r="O1269" s="1">
        <v>21.4</v>
      </c>
    </row>
    <row r="1270" spans="4:15" x14ac:dyDescent="0.3">
      <c r="D1270" s="1">
        <v>22663</v>
      </c>
      <c r="E1270" s="2">
        <v>43475</v>
      </c>
      <c r="F1270" s="1" t="s">
        <v>7</v>
      </c>
      <c r="G1270" s="1">
        <v>35</v>
      </c>
      <c r="H1270" t="str">
        <f t="shared" si="99"/>
        <v>Large</v>
      </c>
      <c r="I1270" t="str">
        <f t="shared" si="95"/>
        <v>Large</v>
      </c>
      <c r="J1270" s="1">
        <v>10532.13</v>
      </c>
      <c r="K1270">
        <f t="shared" si="96"/>
        <v>0</v>
      </c>
      <c r="L1270">
        <f t="shared" si="97"/>
        <v>10532.13</v>
      </c>
      <c r="M1270" s="1">
        <f t="shared" si="98"/>
        <v>10532.13</v>
      </c>
      <c r="N1270" s="1" t="s">
        <v>13</v>
      </c>
      <c r="O1270" s="1">
        <v>61</v>
      </c>
    </row>
    <row r="1271" spans="4:15" x14ac:dyDescent="0.3">
      <c r="D1271" s="1">
        <v>614</v>
      </c>
      <c r="E1271" s="2">
        <v>43799</v>
      </c>
      <c r="F1271" s="1" t="s">
        <v>9</v>
      </c>
      <c r="G1271" s="1">
        <v>41</v>
      </c>
      <c r="H1271" t="str">
        <f t="shared" si="99"/>
        <v>XX Large</v>
      </c>
      <c r="I1271" t="str">
        <f t="shared" si="95"/>
        <v>XX Large</v>
      </c>
      <c r="J1271" s="1">
        <v>672.2</v>
      </c>
      <c r="K1271">
        <f t="shared" si="96"/>
        <v>0.01</v>
      </c>
      <c r="L1271">
        <f t="shared" si="97"/>
        <v>665.47800000000007</v>
      </c>
      <c r="M1271" s="1">
        <f t="shared" si="98"/>
        <v>666.80000000000007</v>
      </c>
      <c r="N1271" s="1" t="s">
        <v>10</v>
      </c>
      <c r="O1271" s="1">
        <v>5.4</v>
      </c>
    </row>
    <row r="1272" spans="4:15" x14ac:dyDescent="0.3">
      <c r="D1272" s="1">
        <v>31681</v>
      </c>
      <c r="E1272" s="2">
        <v>43776</v>
      </c>
      <c r="F1272" s="1" t="s">
        <v>11</v>
      </c>
      <c r="G1272" s="1">
        <v>38</v>
      </c>
      <c r="H1272" t="str">
        <f t="shared" si="99"/>
        <v>Extra Large</v>
      </c>
      <c r="I1272" t="str">
        <f t="shared" si="95"/>
        <v>Extra Large</v>
      </c>
      <c r="J1272" s="1">
        <v>226.97</v>
      </c>
      <c r="K1272">
        <f t="shared" si="96"/>
        <v>0.01</v>
      </c>
      <c r="L1272">
        <f t="shared" si="97"/>
        <v>224.7003</v>
      </c>
      <c r="M1272" s="1">
        <f t="shared" si="98"/>
        <v>220.87</v>
      </c>
      <c r="N1272" s="1" t="s">
        <v>10</v>
      </c>
      <c r="O1272" s="1">
        <v>6.1</v>
      </c>
    </row>
    <row r="1273" spans="4:15" x14ac:dyDescent="0.3">
      <c r="D1273" s="1">
        <v>59878</v>
      </c>
      <c r="E1273" s="2">
        <v>43613</v>
      </c>
      <c r="F1273" s="1" t="s">
        <v>9</v>
      </c>
      <c r="G1273" s="1">
        <v>6</v>
      </c>
      <c r="H1273" t="str">
        <f t="shared" si="99"/>
        <v>Extra Small</v>
      </c>
      <c r="I1273" t="str">
        <f t="shared" si="95"/>
        <v>Extra Small</v>
      </c>
      <c r="J1273" s="1">
        <v>120.27</v>
      </c>
      <c r="K1273">
        <f t="shared" si="96"/>
        <v>0</v>
      </c>
      <c r="L1273">
        <f t="shared" si="97"/>
        <v>120.27</v>
      </c>
      <c r="M1273" s="1">
        <f t="shared" si="98"/>
        <v>120.27</v>
      </c>
      <c r="N1273" s="1" t="s">
        <v>10</v>
      </c>
      <c r="O1273" s="1">
        <v>9.1</v>
      </c>
    </row>
    <row r="1274" spans="4:15" x14ac:dyDescent="0.3">
      <c r="D1274" s="1">
        <v>41831</v>
      </c>
      <c r="E1274" s="2">
        <v>43667</v>
      </c>
      <c r="F1274" s="1" t="s">
        <v>11</v>
      </c>
      <c r="G1274" s="1">
        <v>38</v>
      </c>
      <c r="H1274" t="str">
        <f t="shared" si="99"/>
        <v>Extra Large</v>
      </c>
      <c r="I1274" t="str">
        <f t="shared" si="95"/>
        <v>Extra Large</v>
      </c>
      <c r="J1274" s="1">
        <v>224.28</v>
      </c>
      <c r="K1274">
        <f t="shared" si="96"/>
        <v>0.01</v>
      </c>
      <c r="L1274">
        <f t="shared" si="97"/>
        <v>222.03720000000001</v>
      </c>
      <c r="M1274" s="1">
        <f t="shared" si="98"/>
        <v>218.18</v>
      </c>
      <c r="N1274" s="1" t="s">
        <v>10</v>
      </c>
      <c r="O1274" s="1">
        <v>6.1</v>
      </c>
    </row>
    <row r="1275" spans="4:15" x14ac:dyDescent="0.3">
      <c r="D1275" s="1">
        <v>17218</v>
      </c>
      <c r="E1275" s="2">
        <v>43669</v>
      </c>
      <c r="F1275" s="1" t="s">
        <v>12</v>
      </c>
      <c r="G1275" s="1">
        <v>32</v>
      </c>
      <c r="H1275" t="str">
        <f t="shared" si="99"/>
        <v>Large</v>
      </c>
      <c r="I1275" t="str">
        <f t="shared" si="95"/>
        <v>Large</v>
      </c>
      <c r="J1275" s="1">
        <v>168.9</v>
      </c>
      <c r="K1275">
        <f t="shared" si="96"/>
        <v>0</v>
      </c>
      <c r="L1275">
        <f t="shared" si="97"/>
        <v>168.9</v>
      </c>
      <c r="M1275" s="1">
        <f t="shared" si="98"/>
        <v>168.9</v>
      </c>
      <c r="N1275" s="1" t="s">
        <v>10</v>
      </c>
      <c r="O1275" s="1">
        <v>2.2000000000000002</v>
      </c>
    </row>
    <row r="1276" spans="4:15" x14ac:dyDescent="0.3">
      <c r="D1276" s="1">
        <v>2054</v>
      </c>
      <c r="E1276" s="2">
        <v>43623</v>
      </c>
      <c r="F1276" s="1" t="s">
        <v>11</v>
      </c>
      <c r="G1276" s="1">
        <v>34</v>
      </c>
      <c r="H1276" t="str">
        <f t="shared" si="99"/>
        <v>Large</v>
      </c>
      <c r="I1276" t="str">
        <f t="shared" si="95"/>
        <v>Large</v>
      </c>
      <c r="J1276" s="1">
        <v>883.91629999999998</v>
      </c>
      <c r="K1276">
        <f t="shared" si="96"/>
        <v>0</v>
      </c>
      <c r="L1276">
        <f t="shared" si="97"/>
        <v>883.91629999999998</v>
      </c>
      <c r="M1276" s="1">
        <f t="shared" si="98"/>
        <v>883.91629999999998</v>
      </c>
      <c r="N1276" s="1" t="s">
        <v>10</v>
      </c>
      <c r="O1276" s="1">
        <v>8.1</v>
      </c>
    </row>
    <row r="1277" spans="4:15" x14ac:dyDescent="0.3">
      <c r="D1277" s="1">
        <v>48615</v>
      </c>
      <c r="E1277" s="2">
        <v>43802</v>
      </c>
      <c r="F1277" s="1" t="s">
        <v>7</v>
      </c>
      <c r="G1277" s="1">
        <v>4</v>
      </c>
      <c r="H1277" t="str">
        <f t="shared" si="99"/>
        <v>Mini</v>
      </c>
      <c r="I1277" t="str">
        <f t="shared" si="95"/>
        <v>Mini</v>
      </c>
      <c r="J1277" s="1">
        <v>18.09</v>
      </c>
      <c r="K1277">
        <f t="shared" si="96"/>
        <v>0</v>
      </c>
      <c r="L1277">
        <f t="shared" si="97"/>
        <v>18.09</v>
      </c>
      <c r="M1277" s="1">
        <f t="shared" si="98"/>
        <v>18.09</v>
      </c>
      <c r="N1277" s="1" t="s">
        <v>10</v>
      </c>
      <c r="O1277" s="1">
        <v>0.5</v>
      </c>
    </row>
    <row r="1278" spans="4:15" x14ac:dyDescent="0.3">
      <c r="D1278" s="1">
        <v>3680</v>
      </c>
      <c r="E1278" s="2">
        <v>43808</v>
      </c>
      <c r="F1278" s="1" t="s">
        <v>11</v>
      </c>
      <c r="G1278" s="1">
        <v>27</v>
      </c>
      <c r="H1278" t="str">
        <f t="shared" si="99"/>
        <v>Medium-Large</v>
      </c>
      <c r="I1278" t="str">
        <f t="shared" si="95"/>
        <v>Medium-Large</v>
      </c>
      <c r="J1278" s="1">
        <v>190.41</v>
      </c>
      <c r="K1278">
        <f t="shared" si="96"/>
        <v>0</v>
      </c>
      <c r="L1278">
        <f t="shared" si="97"/>
        <v>190.41</v>
      </c>
      <c r="M1278" s="1">
        <f t="shared" si="98"/>
        <v>190.41</v>
      </c>
      <c r="N1278" s="1" t="s">
        <v>10</v>
      </c>
      <c r="O1278" s="1">
        <v>6.4</v>
      </c>
    </row>
    <row r="1279" spans="4:15" x14ac:dyDescent="0.3">
      <c r="D1279" s="1">
        <v>44737</v>
      </c>
      <c r="E1279" s="2">
        <v>43788</v>
      </c>
      <c r="F1279" s="1" t="s">
        <v>14</v>
      </c>
      <c r="G1279" s="1">
        <v>16</v>
      </c>
      <c r="H1279" t="str">
        <f t="shared" si="99"/>
        <v>Small-Medium</v>
      </c>
      <c r="I1279" t="str">
        <f t="shared" si="95"/>
        <v>Small-Medium</v>
      </c>
      <c r="J1279" s="1">
        <v>323.28179999999998</v>
      </c>
      <c r="K1279">
        <f t="shared" si="96"/>
        <v>0</v>
      </c>
      <c r="L1279">
        <f t="shared" si="97"/>
        <v>323.28179999999998</v>
      </c>
      <c r="M1279" s="1">
        <f t="shared" si="98"/>
        <v>323.28179999999998</v>
      </c>
      <c r="N1279" s="1" t="s">
        <v>10</v>
      </c>
      <c r="O1279" s="1">
        <v>1.1000000000000001</v>
      </c>
    </row>
    <row r="1280" spans="4:15" x14ac:dyDescent="0.3">
      <c r="D1280" s="1">
        <v>56930</v>
      </c>
      <c r="E1280" s="2">
        <v>43694</v>
      </c>
      <c r="F1280" s="1" t="s">
        <v>7</v>
      </c>
      <c r="G1280" s="1">
        <v>10</v>
      </c>
      <c r="H1280" t="str">
        <f t="shared" si="99"/>
        <v>Extra Small</v>
      </c>
      <c r="I1280" t="str">
        <f t="shared" si="95"/>
        <v>Extra Small</v>
      </c>
      <c r="J1280" s="1">
        <v>1056.67</v>
      </c>
      <c r="K1280">
        <f t="shared" si="96"/>
        <v>0</v>
      </c>
      <c r="L1280">
        <f t="shared" si="97"/>
        <v>1056.67</v>
      </c>
      <c r="M1280" s="1">
        <f t="shared" si="98"/>
        <v>1056.67</v>
      </c>
      <c r="N1280" s="1" t="s">
        <v>10</v>
      </c>
      <c r="O1280" s="1">
        <v>37.5</v>
      </c>
    </row>
    <row r="1281" spans="4:15" x14ac:dyDescent="0.3">
      <c r="D1281" s="1">
        <v>2688</v>
      </c>
      <c r="E1281" s="2">
        <v>43487</v>
      </c>
      <c r="F1281" s="1" t="s">
        <v>9</v>
      </c>
      <c r="G1281" s="1">
        <v>31</v>
      </c>
      <c r="H1281" t="str">
        <f t="shared" si="99"/>
        <v>Large</v>
      </c>
      <c r="I1281" t="str">
        <f t="shared" si="95"/>
        <v>Large</v>
      </c>
      <c r="J1281" s="1">
        <v>2225.64</v>
      </c>
      <c r="K1281">
        <f t="shared" si="96"/>
        <v>0</v>
      </c>
      <c r="L1281">
        <f t="shared" si="97"/>
        <v>2225.64</v>
      </c>
      <c r="M1281" s="1">
        <f t="shared" si="98"/>
        <v>2225.64</v>
      </c>
      <c r="N1281" s="1" t="s">
        <v>10</v>
      </c>
      <c r="O1281" s="1">
        <v>1.3</v>
      </c>
    </row>
    <row r="1282" spans="4:15" x14ac:dyDescent="0.3">
      <c r="D1282" s="1">
        <v>16161</v>
      </c>
      <c r="E1282" s="2">
        <v>43674</v>
      </c>
      <c r="F1282" s="1" t="s">
        <v>14</v>
      </c>
      <c r="G1282" s="1">
        <v>38</v>
      </c>
      <c r="H1282" t="str">
        <f t="shared" si="99"/>
        <v>Extra Large</v>
      </c>
      <c r="I1282" t="str">
        <f t="shared" si="95"/>
        <v>Extra Large</v>
      </c>
      <c r="J1282" s="1">
        <v>161.77000000000001</v>
      </c>
      <c r="K1282">
        <f t="shared" si="96"/>
        <v>0.01</v>
      </c>
      <c r="L1282">
        <f t="shared" si="97"/>
        <v>160.1523</v>
      </c>
      <c r="M1282" s="1">
        <f t="shared" si="98"/>
        <v>160.97</v>
      </c>
      <c r="N1282" s="1" t="s">
        <v>10</v>
      </c>
      <c r="O1282" s="1">
        <v>0.8</v>
      </c>
    </row>
    <row r="1283" spans="4:15" x14ac:dyDescent="0.3">
      <c r="D1283" s="1">
        <v>18500</v>
      </c>
      <c r="E1283" s="2">
        <v>43506</v>
      </c>
      <c r="F1283" s="1" t="s">
        <v>14</v>
      </c>
      <c r="G1283" s="1">
        <v>44</v>
      </c>
      <c r="H1283" t="str">
        <f t="shared" si="99"/>
        <v>XX Large</v>
      </c>
      <c r="I1283" t="str">
        <f t="shared" ref="I1283:I1346" si="100">VLOOKUP(G1283, $A$3:$B$12, 2, TRUE)</f>
        <v>XX Large</v>
      </c>
      <c r="J1283" s="1">
        <v>2683.34</v>
      </c>
      <c r="K1283">
        <f t="shared" ref="K1283:K1346" si="101">IF(OR(I1283="Extra Large", I1283="XX Large", I1283="XXX Large"), 0.01, 0)</f>
        <v>0.01</v>
      </c>
      <c r="L1283">
        <f t="shared" ref="L1283:L1346" si="102">J1283 * (1 - K1283)</f>
        <v>2656.5066000000002</v>
      </c>
      <c r="M1283" s="1">
        <f t="shared" ref="M1283:M1346" si="103">IF(OR(I1283="Extra Large",I1283="XX Large",I1283="XXX Large"),J1283-O1283,J1283)</f>
        <v>2644.1400000000003</v>
      </c>
      <c r="N1283" s="1" t="s">
        <v>13</v>
      </c>
      <c r="O1283" s="1">
        <v>39.200000000000003</v>
      </c>
    </row>
    <row r="1284" spans="4:15" x14ac:dyDescent="0.3">
      <c r="D1284" s="1">
        <v>10823</v>
      </c>
      <c r="E1284" s="2">
        <v>43628</v>
      </c>
      <c r="F1284" s="1" t="s">
        <v>7</v>
      </c>
      <c r="G1284" s="1">
        <v>3</v>
      </c>
      <c r="H1284" t="str">
        <f t="shared" si="99"/>
        <v>Mini</v>
      </c>
      <c r="I1284" t="str">
        <f t="shared" si="100"/>
        <v>Mini</v>
      </c>
      <c r="J1284" s="1">
        <v>143.27000000000001</v>
      </c>
      <c r="K1284">
        <f t="shared" si="101"/>
        <v>0</v>
      </c>
      <c r="L1284">
        <f t="shared" si="102"/>
        <v>143.27000000000001</v>
      </c>
      <c r="M1284" s="1">
        <f t="shared" si="103"/>
        <v>143.27000000000001</v>
      </c>
      <c r="N1284" s="1" t="s">
        <v>10</v>
      </c>
      <c r="O1284" s="1">
        <v>3.2</v>
      </c>
    </row>
    <row r="1285" spans="4:15" x14ac:dyDescent="0.3">
      <c r="D1285" s="1">
        <v>13991</v>
      </c>
      <c r="E1285" s="2">
        <v>43530</v>
      </c>
      <c r="F1285" s="1" t="s">
        <v>9</v>
      </c>
      <c r="G1285" s="1">
        <v>24</v>
      </c>
      <c r="H1285" t="str">
        <f t="shared" ref="H1285:H1348" si="104">VLOOKUP(G1285, $A$3:$B$12, 2, TRUE)</f>
        <v>Medium</v>
      </c>
      <c r="I1285" t="str">
        <f t="shared" si="100"/>
        <v>Medium</v>
      </c>
      <c r="J1285" s="1">
        <v>182.65</v>
      </c>
      <c r="K1285">
        <f t="shared" si="101"/>
        <v>0</v>
      </c>
      <c r="L1285">
        <f t="shared" si="102"/>
        <v>182.65</v>
      </c>
      <c r="M1285" s="1">
        <f t="shared" si="103"/>
        <v>182.65</v>
      </c>
      <c r="N1285" s="1" t="s">
        <v>10</v>
      </c>
      <c r="O1285" s="1">
        <v>2.9</v>
      </c>
    </row>
    <row r="1286" spans="4:15" x14ac:dyDescent="0.3">
      <c r="D1286" s="1">
        <v>1344</v>
      </c>
      <c r="E1286" s="2">
        <v>43570</v>
      </c>
      <c r="F1286" s="1" t="s">
        <v>7</v>
      </c>
      <c r="G1286" s="1">
        <v>15</v>
      </c>
      <c r="H1286" t="str">
        <f t="shared" si="104"/>
        <v>Small</v>
      </c>
      <c r="I1286" t="str">
        <f t="shared" si="100"/>
        <v>Small</v>
      </c>
      <c r="J1286" s="1">
        <v>893.35</v>
      </c>
      <c r="K1286">
        <f t="shared" si="101"/>
        <v>0</v>
      </c>
      <c r="L1286">
        <f t="shared" si="102"/>
        <v>893.35</v>
      </c>
      <c r="M1286" s="1">
        <f t="shared" si="103"/>
        <v>893.35</v>
      </c>
      <c r="N1286" s="1" t="s">
        <v>10</v>
      </c>
      <c r="O1286" s="1">
        <v>5.6</v>
      </c>
    </row>
    <row r="1287" spans="4:15" x14ac:dyDescent="0.3">
      <c r="D1287" s="1">
        <v>14272</v>
      </c>
      <c r="E1287" s="2">
        <v>43507</v>
      </c>
      <c r="F1287" s="1" t="s">
        <v>14</v>
      </c>
      <c r="G1287" s="1">
        <v>32</v>
      </c>
      <c r="H1287" t="str">
        <f t="shared" si="104"/>
        <v>Large</v>
      </c>
      <c r="I1287" t="str">
        <f t="shared" si="100"/>
        <v>Large</v>
      </c>
      <c r="J1287" s="1">
        <v>2578.66</v>
      </c>
      <c r="K1287">
        <f t="shared" si="101"/>
        <v>0</v>
      </c>
      <c r="L1287">
        <f t="shared" si="102"/>
        <v>2578.66</v>
      </c>
      <c r="M1287" s="1">
        <f t="shared" si="103"/>
        <v>2578.66</v>
      </c>
      <c r="N1287" s="1" t="s">
        <v>10</v>
      </c>
      <c r="O1287" s="1">
        <v>4.8</v>
      </c>
    </row>
    <row r="1288" spans="4:15" x14ac:dyDescent="0.3">
      <c r="D1288" s="1">
        <v>41671</v>
      </c>
      <c r="E1288" s="2">
        <v>43802</v>
      </c>
      <c r="F1288" s="1" t="s">
        <v>12</v>
      </c>
      <c r="G1288" s="1">
        <v>49</v>
      </c>
      <c r="H1288" t="str">
        <f t="shared" si="104"/>
        <v>XXX Large</v>
      </c>
      <c r="I1288" t="str">
        <f t="shared" si="100"/>
        <v>XXX Large</v>
      </c>
      <c r="J1288" s="1">
        <v>683.63369999999998</v>
      </c>
      <c r="K1288">
        <f t="shared" si="101"/>
        <v>0.01</v>
      </c>
      <c r="L1288">
        <f t="shared" si="102"/>
        <v>676.79736300000002</v>
      </c>
      <c r="M1288" s="1">
        <f t="shared" si="103"/>
        <v>680.2337</v>
      </c>
      <c r="N1288" s="1" t="s">
        <v>10</v>
      </c>
      <c r="O1288" s="1">
        <v>3.4</v>
      </c>
    </row>
    <row r="1289" spans="4:15" x14ac:dyDescent="0.3">
      <c r="D1289" s="1">
        <v>4896</v>
      </c>
      <c r="E1289" s="2">
        <v>43698</v>
      </c>
      <c r="F1289" s="1" t="s">
        <v>12</v>
      </c>
      <c r="G1289" s="1">
        <v>21</v>
      </c>
      <c r="H1289" t="str">
        <f t="shared" si="104"/>
        <v>Medium</v>
      </c>
      <c r="I1289" t="str">
        <f t="shared" si="100"/>
        <v>Medium</v>
      </c>
      <c r="J1289" s="1">
        <v>129.79</v>
      </c>
      <c r="K1289">
        <f t="shared" si="101"/>
        <v>0</v>
      </c>
      <c r="L1289">
        <f t="shared" si="102"/>
        <v>129.79</v>
      </c>
      <c r="M1289" s="1">
        <f t="shared" si="103"/>
        <v>129.79</v>
      </c>
      <c r="N1289" s="1" t="s">
        <v>10</v>
      </c>
      <c r="O1289" s="1">
        <v>6</v>
      </c>
    </row>
    <row r="1290" spans="4:15" x14ac:dyDescent="0.3">
      <c r="D1290" s="1">
        <v>11650</v>
      </c>
      <c r="E1290" s="2">
        <v>43732</v>
      </c>
      <c r="F1290" s="1" t="s">
        <v>11</v>
      </c>
      <c r="G1290" s="1">
        <v>30</v>
      </c>
      <c r="H1290" t="str">
        <f t="shared" si="104"/>
        <v>Medium-Large</v>
      </c>
      <c r="I1290" t="str">
        <f t="shared" si="100"/>
        <v>Medium-Large</v>
      </c>
      <c r="J1290" s="1">
        <v>260.52999999999997</v>
      </c>
      <c r="K1290">
        <f t="shared" si="101"/>
        <v>0</v>
      </c>
      <c r="L1290">
        <f t="shared" si="102"/>
        <v>260.52999999999997</v>
      </c>
      <c r="M1290" s="1">
        <f t="shared" si="103"/>
        <v>260.52999999999997</v>
      </c>
      <c r="N1290" s="1" t="s">
        <v>10</v>
      </c>
      <c r="O1290" s="1">
        <v>2.5</v>
      </c>
    </row>
    <row r="1291" spans="4:15" x14ac:dyDescent="0.3">
      <c r="D1291" s="1">
        <v>25377</v>
      </c>
      <c r="E1291" s="2">
        <v>43795</v>
      </c>
      <c r="F1291" s="1" t="s">
        <v>7</v>
      </c>
      <c r="G1291" s="1">
        <v>3</v>
      </c>
      <c r="H1291" t="str">
        <f t="shared" si="104"/>
        <v>Mini</v>
      </c>
      <c r="I1291" t="str">
        <f t="shared" si="100"/>
        <v>Mini</v>
      </c>
      <c r="J1291" s="1">
        <v>4647.5600000000004</v>
      </c>
      <c r="K1291">
        <f t="shared" si="101"/>
        <v>0</v>
      </c>
      <c r="L1291">
        <f t="shared" si="102"/>
        <v>4647.5600000000004</v>
      </c>
      <c r="M1291" s="1">
        <f t="shared" si="103"/>
        <v>4647.5600000000004</v>
      </c>
      <c r="N1291" s="1" t="s">
        <v>13</v>
      </c>
      <c r="O1291" s="1">
        <v>31.8</v>
      </c>
    </row>
    <row r="1292" spans="4:15" x14ac:dyDescent="0.3">
      <c r="D1292" s="1">
        <v>43104</v>
      </c>
      <c r="E1292" s="2">
        <v>43766</v>
      </c>
      <c r="F1292" s="1" t="s">
        <v>9</v>
      </c>
      <c r="G1292" s="1">
        <v>50</v>
      </c>
      <c r="H1292" t="str">
        <f t="shared" si="104"/>
        <v>XXX Large</v>
      </c>
      <c r="I1292" t="str">
        <f t="shared" si="100"/>
        <v>XXX Large</v>
      </c>
      <c r="J1292" s="1">
        <v>4973.9164000000001</v>
      </c>
      <c r="K1292">
        <f t="shared" si="101"/>
        <v>0.01</v>
      </c>
      <c r="L1292">
        <f t="shared" si="102"/>
        <v>4924.1772360000004</v>
      </c>
      <c r="M1292" s="1">
        <f t="shared" si="103"/>
        <v>4958.9164000000001</v>
      </c>
      <c r="N1292" s="1" t="s">
        <v>13</v>
      </c>
      <c r="O1292" s="1">
        <v>15</v>
      </c>
    </row>
    <row r="1293" spans="4:15" x14ac:dyDescent="0.3">
      <c r="D1293" s="1">
        <v>59558</v>
      </c>
      <c r="E1293" s="2">
        <v>43662</v>
      </c>
      <c r="F1293" s="1" t="s">
        <v>11</v>
      </c>
      <c r="G1293" s="1">
        <v>34</v>
      </c>
      <c r="H1293" t="str">
        <f t="shared" si="104"/>
        <v>Large</v>
      </c>
      <c r="I1293" t="str">
        <f t="shared" si="100"/>
        <v>Large</v>
      </c>
      <c r="J1293" s="1">
        <v>101.17919999999999</v>
      </c>
      <c r="K1293">
        <f t="shared" si="101"/>
        <v>0</v>
      </c>
      <c r="L1293">
        <f t="shared" si="102"/>
        <v>101.17919999999999</v>
      </c>
      <c r="M1293" s="1">
        <f t="shared" si="103"/>
        <v>101.17919999999999</v>
      </c>
      <c r="N1293" s="1" t="s">
        <v>10</v>
      </c>
      <c r="O1293" s="1">
        <v>0.5</v>
      </c>
    </row>
    <row r="1294" spans="4:15" x14ac:dyDescent="0.3">
      <c r="D1294" s="1">
        <v>57638</v>
      </c>
      <c r="E1294" s="2">
        <v>43577</v>
      </c>
      <c r="F1294" s="1" t="s">
        <v>7</v>
      </c>
      <c r="G1294" s="1">
        <v>35</v>
      </c>
      <c r="H1294" t="str">
        <f t="shared" si="104"/>
        <v>Large</v>
      </c>
      <c r="I1294" t="str">
        <f t="shared" si="100"/>
        <v>Large</v>
      </c>
      <c r="J1294" s="1">
        <v>6142.47</v>
      </c>
      <c r="K1294">
        <f t="shared" si="101"/>
        <v>0</v>
      </c>
      <c r="L1294">
        <f t="shared" si="102"/>
        <v>6142.47</v>
      </c>
      <c r="M1294" s="1">
        <f t="shared" si="103"/>
        <v>6142.47</v>
      </c>
      <c r="N1294" s="1" t="s">
        <v>13</v>
      </c>
      <c r="O1294" s="1">
        <v>31.1</v>
      </c>
    </row>
    <row r="1295" spans="4:15" x14ac:dyDescent="0.3">
      <c r="D1295" s="1">
        <v>2912</v>
      </c>
      <c r="E1295" s="2">
        <v>43535</v>
      </c>
      <c r="F1295" s="1" t="s">
        <v>7</v>
      </c>
      <c r="G1295" s="1">
        <v>7</v>
      </c>
      <c r="H1295" t="str">
        <f t="shared" si="104"/>
        <v>Extra Small</v>
      </c>
      <c r="I1295" t="str">
        <f t="shared" si="100"/>
        <v>Extra Small</v>
      </c>
      <c r="J1295" s="1">
        <v>17748.23</v>
      </c>
      <c r="K1295">
        <f t="shared" si="101"/>
        <v>0</v>
      </c>
      <c r="L1295">
        <f t="shared" si="102"/>
        <v>17748.23</v>
      </c>
      <c r="M1295" s="1">
        <f t="shared" si="103"/>
        <v>17748.23</v>
      </c>
      <c r="N1295" s="1" t="s">
        <v>13</v>
      </c>
      <c r="O1295" s="1">
        <v>31.8</v>
      </c>
    </row>
    <row r="1296" spans="4:15" x14ac:dyDescent="0.3">
      <c r="D1296" s="1">
        <v>35712</v>
      </c>
      <c r="E1296" s="2">
        <v>43761</v>
      </c>
      <c r="F1296" s="1" t="s">
        <v>9</v>
      </c>
      <c r="G1296" s="1">
        <v>42</v>
      </c>
      <c r="H1296" t="str">
        <f t="shared" si="104"/>
        <v>XX Large</v>
      </c>
      <c r="I1296" t="str">
        <f t="shared" si="100"/>
        <v>XX Large</v>
      </c>
      <c r="J1296" s="1">
        <v>4206.3500000000004</v>
      </c>
      <c r="K1296">
        <f t="shared" si="101"/>
        <v>0.01</v>
      </c>
      <c r="L1296">
        <f t="shared" si="102"/>
        <v>4164.2865000000002</v>
      </c>
      <c r="M1296" s="1">
        <f t="shared" si="103"/>
        <v>4198.6500000000005</v>
      </c>
      <c r="N1296" s="1" t="s">
        <v>10</v>
      </c>
      <c r="O1296" s="1">
        <v>7.7</v>
      </c>
    </row>
    <row r="1297" spans="4:15" x14ac:dyDescent="0.3">
      <c r="D1297" s="1">
        <v>58368</v>
      </c>
      <c r="E1297" s="2">
        <v>43655</v>
      </c>
      <c r="F1297" s="1" t="s">
        <v>9</v>
      </c>
      <c r="G1297" s="1">
        <v>4</v>
      </c>
      <c r="H1297" t="str">
        <f t="shared" si="104"/>
        <v>Mini</v>
      </c>
      <c r="I1297" t="str">
        <f t="shared" si="100"/>
        <v>Mini</v>
      </c>
      <c r="J1297" s="1">
        <v>15.23</v>
      </c>
      <c r="K1297">
        <f t="shared" si="101"/>
        <v>0</v>
      </c>
      <c r="L1297">
        <f t="shared" si="102"/>
        <v>15.23</v>
      </c>
      <c r="M1297" s="1">
        <f t="shared" si="103"/>
        <v>15.23</v>
      </c>
      <c r="N1297" s="1" t="s">
        <v>10</v>
      </c>
      <c r="O1297" s="1">
        <v>5.7</v>
      </c>
    </row>
    <row r="1298" spans="4:15" x14ac:dyDescent="0.3">
      <c r="D1298" s="1">
        <v>57570</v>
      </c>
      <c r="E1298" s="2">
        <v>43736</v>
      </c>
      <c r="F1298" s="1" t="s">
        <v>9</v>
      </c>
      <c r="G1298" s="1">
        <v>15</v>
      </c>
      <c r="H1298" t="str">
        <f t="shared" si="104"/>
        <v>Small</v>
      </c>
      <c r="I1298" t="str">
        <f t="shared" si="100"/>
        <v>Small</v>
      </c>
      <c r="J1298" s="1">
        <v>722.5</v>
      </c>
      <c r="K1298">
        <f t="shared" si="101"/>
        <v>0</v>
      </c>
      <c r="L1298">
        <f t="shared" si="102"/>
        <v>722.5</v>
      </c>
      <c r="M1298" s="1">
        <f t="shared" si="103"/>
        <v>722.5</v>
      </c>
      <c r="N1298" s="1" t="s">
        <v>10</v>
      </c>
      <c r="O1298" s="1">
        <v>7.7</v>
      </c>
    </row>
    <row r="1299" spans="4:15" x14ac:dyDescent="0.3">
      <c r="D1299" s="1">
        <v>19745</v>
      </c>
      <c r="E1299" s="2">
        <v>43817</v>
      </c>
      <c r="F1299" s="1" t="s">
        <v>9</v>
      </c>
      <c r="G1299" s="1">
        <v>29</v>
      </c>
      <c r="H1299" t="str">
        <f t="shared" si="104"/>
        <v>Medium-Large</v>
      </c>
      <c r="I1299" t="str">
        <f t="shared" si="100"/>
        <v>Medium-Large</v>
      </c>
      <c r="J1299" s="1">
        <v>9240.1</v>
      </c>
      <c r="K1299">
        <f t="shared" si="101"/>
        <v>0</v>
      </c>
      <c r="L1299">
        <f t="shared" si="102"/>
        <v>9240.1</v>
      </c>
      <c r="M1299" s="1">
        <f t="shared" si="103"/>
        <v>9240.1</v>
      </c>
      <c r="N1299" s="1" t="s">
        <v>10</v>
      </c>
      <c r="O1299" s="1">
        <v>7.7</v>
      </c>
    </row>
    <row r="1300" spans="4:15" x14ac:dyDescent="0.3">
      <c r="D1300" s="1">
        <v>23174</v>
      </c>
      <c r="E1300" s="2">
        <v>43672</v>
      </c>
      <c r="F1300" s="1" t="s">
        <v>7</v>
      </c>
      <c r="G1300" s="1">
        <v>16</v>
      </c>
      <c r="H1300" t="str">
        <f t="shared" si="104"/>
        <v>Small-Medium</v>
      </c>
      <c r="I1300" t="str">
        <f t="shared" si="100"/>
        <v>Small-Medium</v>
      </c>
      <c r="J1300" s="1">
        <v>3798.39</v>
      </c>
      <c r="K1300">
        <f t="shared" si="101"/>
        <v>0</v>
      </c>
      <c r="L1300">
        <f t="shared" si="102"/>
        <v>3798.39</v>
      </c>
      <c r="M1300" s="1">
        <f t="shared" si="103"/>
        <v>3798.39</v>
      </c>
      <c r="N1300" s="1" t="s">
        <v>13</v>
      </c>
      <c r="O1300" s="1">
        <v>68.7</v>
      </c>
    </row>
    <row r="1301" spans="4:15" x14ac:dyDescent="0.3">
      <c r="D1301" s="1">
        <v>51333</v>
      </c>
      <c r="E1301" s="2">
        <v>43742</v>
      </c>
      <c r="F1301" s="1" t="s">
        <v>11</v>
      </c>
      <c r="G1301" s="1">
        <v>25</v>
      </c>
      <c r="H1301" t="str">
        <f t="shared" si="104"/>
        <v>Medium</v>
      </c>
      <c r="I1301" t="str">
        <f t="shared" si="100"/>
        <v>Medium</v>
      </c>
      <c r="J1301" s="1">
        <v>253.98</v>
      </c>
      <c r="K1301">
        <f t="shared" si="101"/>
        <v>0</v>
      </c>
      <c r="L1301">
        <f t="shared" si="102"/>
        <v>253.98</v>
      </c>
      <c r="M1301" s="1">
        <f t="shared" si="103"/>
        <v>253.98</v>
      </c>
      <c r="N1301" s="1" t="s">
        <v>10</v>
      </c>
      <c r="O1301" s="1">
        <v>10.6</v>
      </c>
    </row>
    <row r="1302" spans="4:15" x14ac:dyDescent="0.3">
      <c r="D1302" s="1">
        <v>832</v>
      </c>
      <c r="E1302" s="2">
        <v>43573</v>
      </c>
      <c r="F1302" s="1" t="s">
        <v>7</v>
      </c>
      <c r="G1302" s="1">
        <v>7</v>
      </c>
      <c r="H1302" t="str">
        <f t="shared" si="104"/>
        <v>Extra Small</v>
      </c>
      <c r="I1302" t="str">
        <f t="shared" si="100"/>
        <v>Extra Small</v>
      </c>
      <c r="J1302" s="1">
        <v>57.2</v>
      </c>
      <c r="K1302">
        <f t="shared" si="101"/>
        <v>0</v>
      </c>
      <c r="L1302">
        <f t="shared" si="102"/>
        <v>57.2</v>
      </c>
      <c r="M1302" s="1">
        <f t="shared" si="103"/>
        <v>57.2</v>
      </c>
      <c r="N1302" s="1" t="s">
        <v>10</v>
      </c>
      <c r="O1302" s="1">
        <v>6.3</v>
      </c>
    </row>
    <row r="1303" spans="4:15" x14ac:dyDescent="0.3">
      <c r="D1303" s="1">
        <v>24775</v>
      </c>
      <c r="E1303" s="2">
        <v>43512</v>
      </c>
      <c r="F1303" s="1" t="s">
        <v>12</v>
      </c>
      <c r="G1303" s="1">
        <v>15</v>
      </c>
      <c r="H1303" t="str">
        <f t="shared" si="104"/>
        <v>Small</v>
      </c>
      <c r="I1303" t="str">
        <f t="shared" si="100"/>
        <v>Small</v>
      </c>
      <c r="J1303" s="1">
        <v>1729.83</v>
      </c>
      <c r="K1303">
        <f t="shared" si="101"/>
        <v>0</v>
      </c>
      <c r="L1303">
        <f t="shared" si="102"/>
        <v>1729.83</v>
      </c>
      <c r="M1303" s="1">
        <f t="shared" si="103"/>
        <v>1729.83</v>
      </c>
      <c r="N1303" s="1" t="s">
        <v>13</v>
      </c>
      <c r="O1303" s="1">
        <v>60.2</v>
      </c>
    </row>
    <row r="1304" spans="4:15" x14ac:dyDescent="0.3">
      <c r="D1304" s="1">
        <v>18208</v>
      </c>
      <c r="E1304" s="2">
        <v>43556</v>
      </c>
      <c r="F1304" s="1" t="s">
        <v>11</v>
      </c>
      <c r="G1304" s="1">
        <v>34</v>
      </c>
      <c r="H1304" t="str">
        <f t="shared" si="104"/>
        <v>Large</v>
      </c>
      <c r="I1304" t="str">
        <f t="shared" si="100"/>
        <v>Large</v>
      </c>
      <c r="J1304" s="1">
        <v>211.27</v>
      </c>
      <c r="K1304">
        <f t="shared" si="101"/>
        <v>0</v>
      </c>
      <c r="L1304">
        <f t="shared" si="102"/>
        <v>211.27</v>
      </c>
      <c r="M1304" s="1">
        <f t="shared" si="103"/>
        <v>211.27</v>
      </c>
      <c r="N1304" s="1" t="s">
        <v>10</v>
      </c>
      <c r="O1304" s="1">
        <v>1.5</v>
      </c>
    </row>
    <row r="1305" spans="4:15" x14ac:dyDescent="0.3">
      <c r="D1305" s="1">
        <v>51140</v>
      </c>
      <c r="E1305" s="2">
        <v>43722</v>
      </c>
      <c r="F1305" s="1" t="s">
        <v>7</v>
      </c>
      <c r="G1305" s="1">
        <v>28</v>
      </c>
      <c r="H1305" t="str">
        <f t="shared" si="104"/>
        <v>Medium-Large</v>
      </c>
      <c r="I1305" t="str">
        <f t="shared" si="100"/>
        <v>Medium-Large</v>
      </c>
      <c r="J1305" s="1">
        <v>141.25</v>
      </c>
      <c r="K1305">
        <f t="shared" si="101"/>
        <v>0</v>
      </c>
      <c r="L1305">
        <f t="shared" si="102"/>
        <v>141.25</v>
      </c>
      <c r="M1305" s="1">
        <f t="shared" si="103"/>
        <v>141.25</v>
      </c>
      <c r="N1305" s="1" t="s">
        <v>10</v>
      </c>
      <c r="O1305" s="1">
        <v>5.5</v>
      </c>
    </row>
    <row r="1306" spans="4:15" x14ac:dyDescent="0.3">
      <c r="D1306" s="1">
        <v>28929</v>
      </c>
      <c r="E1306" s="2">
        <v>43747</v>
      </c>
      <c r="F1306" s="1" t="s">
        <v>14</v>
      </c>
      <c r="G1306" s="1">
        <v>37</v>
      </c>
      <c r="H1306" t="str">
        <f t="shared" si="104"/>
        <v>Extra Large</v>
      </c>
      <c r="I1306" t="str">
        <f t="shared" si="100"/>
        <v>Extra Large</v>
      </c>
      <c r="J1306" s="1">
        <v>247.14</v>
      </c>
      <c r="K1306">
        <f t="shared" si="101"/>
        <v>0.01</v>
      </c>
      <c r="L1306">
        <f t="shared" si="102"/>
        <v>244.6686</v>
      </c>
      <c r="M1306" s="1">
        <f t="shared" si="103"/>
        <v>238.33999999999997</v>
      </c>
      <c r="N1306" s="1" t="s">
        <v>10</v>
      </c>
      <c r="O1306" s="1">
        <v>8.8000000000000007</v>
      </c>
    </row>
    <row r="1307" spans="4:15" x14ac:dyDescent="0.3">
      <c r="D1307" s="1">
        <v>8033</v>
      </c>
      <c r="E1307" s="2">
        <v>43579</v>
      </c>
      <c r="F1307" s="1" t="s">
        <v>9</v>
      </c>
      <c r="G1307" s="1">
        <v>27</v>
      </c>
      <c r="H1307" t="str">
        <f t="shared" si="104"/>
        <v>Medium-Large</v>
      </c>
      <c r="I1307" t="str">
        <f t="shared" si="100"/>
        <v>Medium-Large</v>
      </c>
      <c r="J1307" s="1">
        <v>126.45</v>
      </c>
      <c r="K1307">
        <f t="shared" si="101"/>
        <v>0</v>
      </c>
      <c r="L1307">
        <f t="shared" si="102"/>
        <v>126.45</v>
      </c>
      <c r="M1307" s="1">
        <f t="shared" si="103"/>
        <v>126.45</v>
      </c>
      <c r="N1307" s="1" t="s">
        <v>10</v>
      </c>
      <c r="O1307" s="1">
        <v>7.4</v>
      </c>
    </row>
    <row r="1308" spans="4:15" x14ac:dyDescent="0.3">
      <c r="D1308" s="1">
        <v>50403</v>
      </c>
      <c r="E1308" s="2">
        <v>43597</v>
      </c>
      <c r="F1308" s="1" t="s">
        <v>11</v>
      </c>
      <c r="G1308" s="1">
        <v>38</v>
      </c>
      <c r="H1308" t="str">
        <f t="shared" si="104"/>
        <v>Extra Large</v>
      </c>
      <c r="I1308" t="str">
        <f t="shared" si="100"/>
        <v>Extra Large</v>
      </c>
      <c r="J1308" s="1">
        <v>283.46440000000001</v>
      </c>
      <c r="K1308">
        <f t="shared" si="101"/>
        <v>0.01</v>
      </c>
      <c r="L1308">
        <f t="shared" si="102"/>
        <v>280.62975599999999</v>
      </c>
      <c r="M1308" s="1">
        <f t="shared" si="103"/>
        <v>276.96440000000001</v>
      </c>
      <c r="N1308" s="1" t="s">
        <v>10</v>
      </c>
      <c r="O1308" s="1">
        <v>6.5</v>
      </c>
    </row>
    <row r="1309" spans="4:15" x14ac:dyDescent="0.3">
      <c r="D1309" s="1">
        <v>59015</v>
      </c>
      <c r="E1309" s="2">
        <v>43611</v>
      </c>
      <c r="F1309" s="1" t="s">
        <v>14</v>
      </c>
      <c r="G1309" s="1">
        <v>32</v>
      </c>
      <c r="H1309" t="str">
        <f t="shared" si="104"/>
        <v>Large</v>
      </c>
      <c r="I1309" t="str">
        <f t="shared" si="100"/>
        <v>Large</v>
      </c>
      <c r="J1309" s="1">
        <v>297.66000000000003</v>
      </c>
      <c r="K1309">
        <f t="shared" si="101"/>
        <v>0</v>
      </c>
      <c r="L1309">
        <f t="shared" si="102"/>
        <v>297.66000000000003</v>
      </c>
      <c r="M1309" s="1">
        <f t="shared" si="103"/>
        <v>297.66000000000003</v>
      </c>
      <c r="N1309" s="1" t="s">
        <v>10</v>
      </c>
      <c r="O1309" s="1">
        <v>1</v>
      </c>
    </row>
    <row r="1310" spans="4:15" x14ac:dyDescent="0.3">
      <c r="D1310" s="1">
        <v>41063</v>
      </c>
      <c r="E1310" s="2">
        <v>43790</v>
      </c>
      <c r="F1310" s="1" t="s">
        <v>7</v>
      </c>
      <c r="G1310" s="1">
        <v>10</v>
      </c>
      <c r="H1310" t="str">
        <f t="shared" si="104"/>
        <v>Extra Small</v>
      </c>
      <c r="I1310" t="str">
        <f t="shared" si="100"/>
        <v>Extra Small</v>
      </c>
      <c r="J1310" s="1">
        <v>329.95</v>
      </c>
      <c r="K1310">
        <f t="shared" si="101"/>
        <v>0</v>
      </c>
      <c r="L1310">
        <f t="shared" si="102"/>
        <v>329.95</v>
      </c>
      <c r="M1310" s="1">
        <f t="shared" si="103"/>
        <v>329.95</v>
      </c>
      <c r="N1310" s="1" t="s">
        <v>10</v>
      </c>
      <c r="O1310" s="1">
        <v>1.1000000000000001</v>
      </c>
    </row>
    <row r="1311" spans="4:15" x14ac:dyDescent="0.3">
      <c r="D1311" s="1">
        <v>17959</v>
      </c>
      <c r="E1311" s="2">
        <v>43717</v>
      </c>
      <c r="F1311" s="1" t="s">
        <v>14</v>
      </c>
      <c r="G1311" s="1">
        <v>21</v>
      </c>
      <c r="H1311" t="str">
        <f t="shared" si="104"/>
        <v>Medium</v>
      </c>
      <c r="I1311" t="str">
        <f t="shared" si="100"/>
        <v>Medium</v>
      </c>
      <c r="J1311" s="1">
        <v>2979.49</v>
      </c>
      <c r="K1311">
        <f t="shared" si="101"/>
        <v>0</v>
      </c>
      <c r="L1311">
        <f t="shared" si="102"/>
        <v>2979.49</v>
      </c>
      <c r="M1311" s="1">
        <f t="shared" si="103"/>
        <v>2979.49</v>
      </c>
      <c r="N1311" s="1" t="s">
        <v>10</v>
      </c>
      <c r="O1311" s="1">
        <v>26.2</v>
      </c>
    </row>
    <row r="1312" spans="4:15" x14ac:dyDescent="0.3">
      <c r="D1312" s="1">
        <v>20003</v>
      </c>
      <c r="E1312" s="2">
        <v>43494</v>
      </c>
      <c r="F1312" s="1" t="s">
        <v>14</v>
      </c>
      <c r="G1312" s="1">
        <v>5</v>
      </c>
      <c r="H1312" t="str">
        <f t="shared" si="104"/>
        <v>Mini</v>
      </c>
      <c r="I1312" t="str">
        <f t="shared" si="100"/>
        <v>Mini</v>
      </c>
      <c r="J1312" s="1">
        <v>151.91</v>
      </c>
      <c r="K1312">
        <f t="shared" si="101"/>
        <v>0</v>
      </c>
      <c r="L1312">
        <f t="shared" si="102"/>
        <v>151.91</v>
      </c>
      <c r="M1312" s="1">
        <f t="shared" si="103"/>
        <v>151.91</v>
      </c>
      <c r="N1312" s="1" t="s">
        <v>10</v>
      </c>
      <c r="O1312" s="1">
        <v>1.1000000000000001</v>
      </c>
    </row>
    <row r="1313" spans="4:15" x14ac:dyDescent="0.3">
      <c r="D1313" s="1">
        <v>31523</v>
      </c>
      <c r="E1313" s="2">
        <v>43532</v>
      </c>
      <c r="F1313" s="1" t="s">
        <v>7</v>
      </c>
      <c r="G1313" s="1">
        <v>17</v>
      </c>
      <c r="H1313" t="str">
        <f t="shared" si="104"/>
        <v>Small-Medium</v>
      </c>
      <c r="I1313" t="str">
        <f t="shared" si="100"/>
        <v>Small-Medium</v>
      </c>
      <c r="J1313" s="1">
        <v>113.2595</v>
      </c>
      <c r="K1313">
        <f t="shared" si="101"/>
        <v>0</v>
      </c>
      <c r="L1313">
        <f t="shared" si="102"/>
        <v>113.2595</v>
      </c>
      <c r="M1313" s="1">
        <f t="shared" si="103"/>
        <v>113.2595</v>
      </c>
      <c r="N1313" s="1" t="s">
        <v>10</v>
      </c>
      <c r="O1313" s="1">
        <v>2.9</v>
      </c>
    </row>
    <row r="1314" spans="4:15" x14ac:dyDescent="0.3">
      <c r="D1314" s="1">
        <v>24672</v>
      </c>
      <c r="E1314" s="2">
        <v>43541</v>
      </c>
      <c r="F1314" s="1" t="s">
        <v>14</v>
      </c>
      <c r="G1314" s="1">
        <v>5</v>
      </c>
      <c r="H1314" t="str">
        <f t="shared" si="104"/>
        <v>Mini</v>
      </c>
      <c r="I1314" t="str">
        <f t="shared" si="100"/>
        <v>Mini</v>
      </c>
      <c r="J1314" s="1">
        <v>47.26</v>
      </c>
      <c r="K1314">
        <f t="shared" si="101"/>
        <v>0</v>
      </c>
      <c r="L1314">
        <f t="shared" si="102"/>
        <v>47.26</v>
      </c>
      <c r="M1314" s="1">
        <f t="shared" si="103"/>
        <v>47.26</v>
      </c>
      <c r="N1314" s="1" t="s">
        <v>10</v>
      </c>
      <c r="O1314" s="1">
        <v>4.3</v>
      </c>
    </row>
    <row r="1315" spans="4:15" x14ac:dyDescent="0.3">
      <c r="D1315" s="1">
        <v>41921</v>
      </c>
      <c r="E1315" s="2">
        <v>43518</v>
      </c>
      <c r="F1315" s="1" t="s">
        <v>14</v>
      </c>
      <c r="G1315" s="1">
        <v>32</v>
      </c>
      <c r="H1315" t="str">
        <f t="shared" si="104"/>
        <v>Large</v>
      </c>
      <c r="I1315" t="str">
        <f t="shared" si="100"/>
        <v>Large</v>
      </c>
      <c r="J1315" s="1">
        <v>17455.46</v>
      </c>
      <c r="K1315">
        <f t="shared" si="101"/>
        <v>0</v>
      </c>
      <c r="L1315">
        <f t="shared" si="102"/>
        <v>17455.46</v>
      </c>
      <c r="M1315" s="1">
        <f t="shared" si="103"/>
        <v>17455.46</v>
      </c>
      <c r="N1315" s="1" t="s">
        <v>13</v>
      </c>
      <c r="O1315" s="1">
        <v>27.8</v>
      </c>
    </row>
    <row r="1316" spans="4:15" x14ac:dyDescent="0.3">
      <c r="D1316" s="1">
        <v>18275</v>
      </c>
      <c r="E1316" s="2">
        <v>43474</v>
      </c>
      <c r="F1316" s="1" t="s">
        <v>7</v>
      </c>
      <c r="G1316" s="1">
        <v>25</v>
      </c>
      <c r="H1316" t="str">
        <f t="shared" si="104"/>
        <v>Medium</v>
      </c>
      <c r="I1316" t="str">
        <f t="shared" si="100"/>
        <v>Medium</v>
      </c>
      <c r="J1316" s="1">
        <v>345.32</v>
      </c>
      <c r="K1316">
        <f t="shared" si="101"/>
        <v>0</v>
      </c>
      <c r="L1316">
        <f t="shared" si="102"/>
        <v>345.32</v>
      </c>
      <c r="M1316" s="1">
        <f t="shared" si="103"/>
        <v>345.32</v>
      </c>
      <c r="N1316" s="1" t="s">
        <v>10</v>
      </c>
      <c r="O1316" s="1">
        <v>5.3</v>
      </c>
    </row>
    <row r="1317" spans="4:15" x14ac:dyDescent="0.3">
      <c r="D1317" s="1">
        <v>33729</v>
      </c>
      <c r="E1317" s="2">
        <v>43727</v>
      </c>
      <c r="F1317" s="1" t="s">
        <v>11</v>
      </c>
      <c r="G1317" s="1">
        <v>26</v>
      </c>
      <c r="H1317" t="str">
        <f t="shared" si="104"/>
        <v>Medium-Large</v>
      </c>
      <c r="I1317" t="str">
        <f t="shared" si="100"/>
        <v>Medium-Large</v>
      </c>
      <c r="J1317" s="1">
        <v>7485.25</v>
      </c>
      <c r="K1317">
        <f t="shared" si="101"/>
        <v>0</v>
      </c>
      <c r="L1317">
        <f t="shared" si="102"/>
        <v>7485.25</v>
      </c>
      <c r="M1317" s="1">
        <f t="shared" si="103"/>
        <v>7485.25</v>
      </c>
      <c r="N1317" s="1" t="s">
        <v>10</v>
      </c>
      <c r="O1317" s="1">
        <v>37.5</v>
      </c>
    </row>
    <row r="1318" spans="4:15" x14ac:dyDescent="0.3">
      <c r="D1318" s="1">
        <v>44992</v>
      </c>
      <c r="E1318" s="2">
        <v>43823</v>
      </c>
      <c r="F1318" s="1" t="s">
        <v>12</v>
      </c>
      <c r="G1318" s="1">
        <v>32</v>
      </c>
      <c r="H1318" t="str">
        <f t="shared" si="104"/>
        <v>Large</v>
      </c>
      <c r="I1318" t="str">
        <f t="shared" si="100"/>
        <v>Large</v>
      </c>
      <c r="J1318" s="1">
        <v>7607.96</v>
      </c>
      <c r="K1318">
        <f t="shared" si="101"/>
        <v>0</v>
      </c>
      <c r="L1318">
        <f t="shared" si="102"/>
        <v>7607.96</v>
      </c>
      <c r="M1318" s="1">
        <f t="shared" si="103"/>
        <v>7607.96</v>
      </c>
      <c r="N1318" s="1" t="s">
        <v>13</v>
      </c>
      <c r="O1318" s="1">
        <v>74.5</v>
      </c>
    </row>
    <row r="1319" spans="4:15" x14ac:dyDescent="0.3">
      <c r="D1319" s="1">
        <v>40131</v>
      </c>
      <c r="E1319" s="2">
        <v>43587</v>
      </c>
      <c r="F1319" s="1" t="s">
        <v>7</v>
      </c>
      <c r="G1319" s="1">
        <v>24</v>
      </c>
      <c r="H1319" t="str">
        <f t="shared" si="104"/>
        <v>Medium</v>
      </c>
      <c r="I1319" t="str">
        <f t="shared" si="100"/>
        <v>Medium</v>
      </c>
      <c r="J1319" s="1">
        <v>238.0001</v>
      </c>
      <c r="K1319">
        <f t="shared" si="101"/>
        <v>0</v>
      </c>
      <c r="L1319">
        <f t="shared" si="102"/>
        <v>238.0001</v>
      </c>
      <c r="M1319" s="1">
        <f t="shared" si="103"/>
        <v>238.0001</v>
      </c>
      <c r="N1319" s="1" t="s">
        <v>10</v>
      </c>
      <c r="O1319" s="1">
        <v>10.6</v>
      </c>
    </row>
    <row r="1320" spans="4:15" x14ac:dyDescent="0.3">
      <c r="D1320" s="1">
        <v>16711</v>
      </c>
      <c r="E1320" s="2">
        <v>43580</v>
      </c>
      <c r="F1320" s="1" t="s">
        <v>11</v>
      </c>
      <c r="G1320" s="1">
        <v>3</v>
      </c>
      <c r="H1320" t="str">
        <f t="shared" si="104"/>
        <v>Mini</v>
      </c>
      <c r="I1320" t="str">
        <f t="shared" si="100"/>
        <v>Mini</v>
      </c>
      <c r="J1320" s="1">
        <v>4.24</v>
      </c>
      <c r="K1320">
        <f t="shared" si="101"/>
        <v>0</v>
      </c>
      <c r="L1320">
        <f t="shared" si="102"/>
        <v>4.24</v>
      </c>
      <c r="M1320" s="1">
        <f t="shared" si="103"/>
        <v>4.24</v>
      </c>
      <c r="N1320" s="1" t="s">
        <v>10</v>
      </c>
      <c r="O1320" s="1">
        <v>0.7</v>
      </c>
    </row>
    <row r="1321" spans="4:15" x14ac:dyDescent="0.3">
      <c r="D1321" s="1">
        <v>2209</v>
      </c>
      <c r="E1321" s="2">
        <v>43655</v>
      </c>
      <c r="F1321" s="1" t="s">
        <v>9</v>
      </c>
      <c r="G1321" s="1">
        <v>13</v>
      </c>
      <c r="H1321" t="str">
        <f t="shared" si="104"/>
        <v>Small</v>
      </c>
      <c r="I1321" t="str">
        <f t="shared" si="100"/>
        <v>Small</v>
      </c>
      <c r="J1321" s="1">
        <v>1354.08</v>
      </c>
      <c r="K1321">
        <f t="shared" si="101"/>
        <v>0</v>
      </c>
      <c r="L1321">
        <f t="shared" si="102"/>
        <v>1354.08</v>
      </c>
      <c r="M1321" s="1">
        <f t="shared" si="103"/>
        <v>1354.08</v>
      </c>
      <c r="N1321" s="1" t="s">
        <v>10</v>
      </c>
      <c r="O1321" s="1">
        <v>3.2</v>
      </c>
    </row>
    <row r="1322" spans="4:15" x14ac:dyDescent="0.3">
      <c r="D1322" s="1">
        <v>48868</v>
      </c>
      <c r="E1322" s="2">
        <v>43629</v>
      </c>
      <c r="F1322" s="1" t="s">
        <v>11</v>
      </c>
      <c r="G1322" s="1">
        <v>47</v>
      </c>
      <c r="H1322" t="str">
        <f t="shared" si="104"/>
        <v>XXX Large</v>
      </c>
      <c r="I1322" t="str">
        <f t="shared" si="100"/>
        <v>XXX Large</v>
      </c>
      <c r="J1322" s="1">
        <v>8183.3279000000002</v>
      </c>
      <c r="K1322">
        <f t="shared" si="101"/>
        <v>0.01</v>
      </c>
      <c r="L1322">
        <f t="shared" si="102"/>
        <v>8101.4946209999998</v>
      </c>
      <c r="M1322" s="1">
        <f t="shared" si="103"/>
        <v>8145.8279000000002</v>
      </c>
      <c r="N1322" s="1" t="s">
        <v>8</v>
      </c>
      <c r="O1322" s="1">
        <v>37.5</v>
      </c>
    </row>
    <row r="1323" spans="4:15" x14ac:dyDescent="0.3">
      <c r="D1323" s="1">
        <v>16390</v>
      </c>
      <c r="E1323" s="2">
        <v>43548</v>
      </c>
      <c r="F1323" s="1" t="s">
        <v>14</v>
      </c>
      <c r="G1323" s="1">
        <v>8</v>
      </c>
      <c r="H1323" t="str">
        <f t="shared" si="104"/>
        <v>Extra Small</v>
      </c>
      <c r="I1323" t="str">
        <f t="shared" si="100"/>
        <v>Extra Small</v>
      </c>
      <c r="J1323" s="1">
        <v>92.426599999999993</v>
      </c>
      <c r="K1323">
        <f t="shared" si="101"/>
        <v>0</v>
      </c>
      <c r="L1323">
        <f t="shared" si="102"/>
        <v>92.426599999999993</v>
      </c>
      <c r="M1323" s="1">
        <f t="shared" si="103"/>
        <v>92.426599999999993</v>
      </c>
      <c r="N1323" s="1" t="s">
        <v>10</v>
      </c>
      <c r="O1323" s="1">
        <v>3.6</v>
      </c>
    </row>
    <row r="1324" spans="4:15" x14ac:dyDescent="0.3">
      <c r="D1324" s="1">
        <v>45698</v>
      </c>
      <c r="E1324" s="2">
        <v>43578</v>
      </c>
      <c r="F1324" s="1" t="s">
        <v>9</v>
      </c>
      <c r="G1324" s="1">
        <v>40</v>
      </c>
      <c r="H1324" t="str">
        <f t="shared" si="104"/>
        <v>Extra Large</v>
      </c>
      <c r="I1324" t="str">
        <f t="shared" si="100"/>
        <v>Extra Large</v>
      </c>
      <c r="J1324" s="1">
        <v>7018.14</v>
      </c>
      <c r="K1324">
        <f t="shared" si="101"/>
        <v>0.01</v>
      </c>
      <c r="L1324">
        <f t="shared" si="102"/>
        <v>6947.9585999999999</v>
      </c>
      <c r="M1324" s="1">
        <f t="shared" si="103"/>
        <v>6996.7400000000007</v>
      </c>
      <c r="N1324" s="1" t="s">
        <v>10</v>
      </c>
      <c r="O1324" s="1">
        <v>21.4</v>
      </c>
    </row>
    <row r="1325" spans="4:15" x14ac:dyDescent="0.3">
      <c r="D1325" s="1">
        <v>29536</v>
      </c>
      <c r="E1325" s="2">
        <v>43715</v>
      </c>
      <c r="F1325" s="1" t="s">
        <v>14</v>
      </c>
      <c r="G1325" s="1">
        <v>5</v>
      </c>
      <c r="H1325" t="str">
        <f t="shared" si="104"/>
        <v>Mini</v>
      </c>
      <c r="I1325" t="str">
        <f t="shared" si="100"/>
        <v>Mini</v>
      </c>
      <c r="J1325" s="1">
        <v>529.99239999999998</v>
      </c>
      <c r="K1325">
        <f t="shared" si="101"/>
        <v>0</v>
      </c>
      <c r="L1325">
        <f t="shared" si="102"/>
        <v>529.99239999999998</v>
      </c>
      <c r="M1325" s="1">
        <f t="shared" si="103"/>
        <v>529.99239999999998</v>
      </c>
      <c r="N1325" s="1" t="s">
        <v>13</v>
      </c>
      <c r="O1325" s="1">
        <v>16.8</v>
      </c>
    </row>
    <row r="1326" spans="4:15" x14ac:dyDescent="0.3">
      <c r="D1326" s="1">
        <v>43751</v>
      </c>
      <c r="E1326" s="2">
        <v>43643</v>
      </c>
      <c r="F1326" s="1" t="s">
        <v>9</v>
      </c>
      <c r="G1326" s="1">
        <v>43</v>
      </c>
      <c r="H1326" t="str">
        <f t="shared" si="104"/>
        <v>XX Large</v>
      </c>
      <c r="I1326" t="str">
        <f t="shared" si="100"/>
        <v>XX Large</v>
      </c>
      <c r="J1326" s="1">
        <v>664.94</v>
      </c>
      <c r="K1326">
        <f t="shared" si="101"/>
        <v>0.01</v>
      </c>
      <c r="L1326">
        <f t="shared" si="102"/>
        <v>658.29060000000004</v>
      </c>
      <c r="M1326" s="1">
        <f t="shared" si="103"/>
        <v>660.1400000000001</v>
      </c>
      <c r="N1326" s="1" t="s">
        <v>10</v>
      </c>
      <c r="O1326" s="1">
        <v>4.8</v>
      </c>
    </row>
    <row r="1327" spans="4:15" x14ac:dyDescent="0.3">
      <c r="D1327" s="1">
        <v>20032</v>
      </c>
      <c r="E1327" s="2">
        <v>43774</v>
      </c>
      <c r="F1327" s="1" t="s">
        <v>14</v>
      </c>
      <c r="G1327" s="1">
        <v>8</v>
      </c>
      <c r="H1327" t="str">
        <f t="shared" si="104"/>
        <v>Extra Small</v>
      </c>
      <c r="I1327" t="str">
        <f t="shared" si="100"/>
        <v>Extra Small</v>
      </c>
      <c r="J1327" s="1">
        <v>147</v>
      </c>
      <c r="K1327">
        <f t="shared" si="101"/>
        <v>0</v>
      </c>
      <c r="L1327">
        <f t="shared" si="102"/>
        <v>147</v>
      </c>
      <c r="M1327" s="1">
        <f t="shared" si="103"/>
        <v>147</v>
      </c>
      <c r="N1327" s="1" t="s">
        <v>10</v>
      </c>
      <c r="O1327" s="1">
        <v>2.1</v>
      </c>
    </row>
    <row r="1328" spans="4:15" x14ac:dyDescent="0.3">
      <c r="D1328" s="1">
        <v>28868</v>
      </c>
      <c r="E1328" s="2">
        <v>43560</v>
      </c>
      <c r="F1328" s="1" t="s">
        <v>9</v>
      </c>
      <c r="G1328" s="1">
        <v>30</v>
      </c>
      <c r="H1328" t="str">
        <f t="shared" si="104"/>
        <v>Medium-Large</v>
      </c>
      <c r="I1328" t="str">
        <f t="shared" si="100"/>
        <v>Medium-Large</v>
      </c>
      <c r="J1328" s="1">
        <v>218.8</v>
      </c>
      <c r="K1328">
        <f t="shared" si="101"/>
        <v>0</v>
      </c>
      <c r="L1328">
        <f t="shared" si="102"/>
        <v>218.8</v>
      </c>
      <c r="M1328" s="1">
        <f t="shared" si="103"/>
        <v>218.8</v>
      </c>
      <c r="N1328" s="1" t="s">
        <v>10</v>
      </c>
      <c r="O1328" s="1">
        <v>9.3000000000000007</v>
      </c>
    </row>
    <row r="1329" spans="4:15" x14ac:dyDescent="0.3">
      <c r="D1329" s="1">
        <v>57537</v>
      </c>
      <c r="E1329" s="2">
        <v>43726</v>
      </c>
      <c r="F1329" s="1" t="s">
        <v>14</v>
      </c>
      <c r="G1329" s="1">
        <v>4</v>
      </c>
      <c r="H1329" t="str">
        <f t="shared" si="104"/>
        <v>Mini</v>
      </c>
      <c r="I1329" t="str">
        <f t="shared" si="100"/>
        <v>Mini</v>
      </c>
      <c r="J1329" s="1">
        <v>19.61</v>
      </c>
      <c r="K1329">
        <f t="shared" si="101"/>
        <v>0</v>
      </c>
      <c r="L1329">
        <f t="shared" si="102"/>
        <v>19.61</v>
      </c>
      <c r="M1329" s="1">
        <f t="shared" si="103"/>
        <v>19.61</v>
      </c>
      <c r="N1329" s="1" t="s">
        <v>10</v>
      </c>
      <c r="O1329" s="1">
        <v>3.2</v>
      </c>
    </row>
    <row r="1330" spans="4:15" x14ac:dyDescent="0.3">
      <c r="D1330" s="1">
        <v>59905</v>
      </c>
      <c r="E1330" s="2">
        <v>43569</v>
      </c>
      <c r="F1330" s="1" t="s">
        <v>9</v>
      </c>
      <c r="G1330" s="1">
        <v>5</v>
      </c>
      <c r="H1330" t="str">
        <f t="shared" si="104"/>
        <v>Mini</v>
      </c>
      <c r="I1330" t="str">
        <f t="shared" si="100"/>
        <v>Mini</v>
      </c>
      <c r="J1330" s="1">
        <v>28.36</v>
      </c>
      <c r="K1330">
        <f t="shared" si="101"/>
        <v>0</v>
      </c>
      <c r="L1330">
        <f t="shared" si="102"/>
        <v>28.36</v>
      </c>
      <c r="M1330" s="1">
        <f t="shared" si="103"/>
        <v>28.36</v>
      </c>
      <c r="N1330" s="1" t="s">
        <v>8</v>
      </c>
      <c r="O1330" s="1">
        <v>1.3</v>
      </c>
    </row>
    <row r="1331" spans="4:15" x14ac:dyDescent="0.3">
      <c r="D1331" s="1">
        <v>39266</v>
      </c>
      <c r="E1331" s="2">
        <v>43704</v>
      </c>
      <c r="F1331" s="1" t="s">
        <v>9</v>
      </c>
      <c r="G1331" s="1">
        <v>4</v>
      </c>
      <c r="H1331" t="str">
        <f t="shared" si="104"/>
        <v>Mini</v>
      </c>
      <c r="I1331" t="str">
        <f t="shared" si="100"/>
        <v>Mini</v>
      </c>
      <c r="J1331" s="1">
        <v>68.576300000000003</v>
      </c>
      <c r="K1331">
        <f t="shared" si="101"/>
        <v>0</v>
      </c>
      <c r="L1331">
        <f t="shared" si="102"/>
        <v>68.576300000000003</v>
      </c>
      <c r="M1331" s="1">
        <f t="shared" si="103"/>
        <v>68.576300000000003</v>
      </c>
      <c r="N1331" s="1" t="s">
        <v>10</v>
      </c>
      <c r="O1331" s="1">
        <v>1.5</v>
      </c>
    </row>
    <row r="1332" spans="4:15" x14ac:dyDescent="0.3">
      <c r="D1332" s="1">
        <v>3970</v>
      </c>
      <c r="E1332" s="2">
        <v>43550</v>
      </c>
      <c r="F1332" s="1" t="s">
        <v>14</v>
      </c>
      <c r="G1332" s="1">
        <v>39</v>
      </c>
      <c r="H1332" t="str">
        <f t="shared" si="104"/>
        <v>Extra Large</v>
      </c>
      <c r="I1332" t="str">
        <f t="shared" si="100"/>
        <v>Extra Large</v>
      </c>
      <c r="J1332" s="1">
        <v>1105.28</v>
      </c>
      <c r="K1332">
        <f t="shared" si="101"/>
        <v>0.01</v>
      </c>
      <c r="L1332">
        <f t="shared" si="102"/>
        <v>1094.2272</v>
      </c>
      <c r="M1332" s="1">
        <f t="shared" si="103"/>
        <v>1103.18</v>
      </c>
      <c r="N1332" s="1" t="s">
        <v>10</v>
      </c>
      <c r="O1332" s="1">
        <v>2.1</v>
      </c>
    </row>
    <row r="1333" spans="4:15" x14ac:dyDescent="0.3">
      <c r="D1333" s="1">
        <v>58564</v>
      </c>
      <c r="E1333" s="2">
        <v>43781</v>
      </c>
      <c r="F1333" s="1" t="s">
        <v>12</v>
      </c>
      <c r="G1333" s="1">
        <v>49</v>
      </c>
      <c r="H1333" t="str">
        <f t="shared" si="104"/>
        <v>XXX Large</v>
      </c>
      <c r="I1333" t="str">
        <f t="shared" si="100"/>
        <v>XXX Large</v>
      </c>
      <c r="J1333" s="1">
        <v>110.24</v>
      </c>
      <c r="K1333">
        <f t="shared" si="101"/>
        <v>0.01</v>
      </c>
      <c r="L1333">
        <f t="shared" si="102"/>
        <v>109.13759999999999</v>
      </c>
      <c r="M1333" s="1">
        <f t="shared" si="103"/>
        <v>107.53999999999999</v>
      </c>
      <c r="N1333" s="1" t="s">
        <v>10</v>
      </c>
      <c r="O1333" s="1">
        <v>2.7</v>
      </c>
    </row>
    <row r="1334" spans="4:15" x14ac:dyDescent="0.3">
      <c r="D1334" s="1">
        <v>54307</v>
      </c>
      <c r="E1334" s="2">
        <v>43472</v>
      </c>
      <c r="F1334" s="1" t="s">
        <v>9</v>
      </c>
      <c r="G1334" s="1">
        <v>14</v>
      </c>
      <c r="H1334" t="str">
        <f t="shared" si="104"/>
        <v>Small</v>
      </c>
      <c r="I1334" t="str">
        <f t="shared" si="100"/>
        <v>Small</v>
      </c>
      <c r="J1334" s="1">
        <v>4119.29</v>
      </c>
      <c r="K1334">
        <f t="shared" si="101"/>
        <v>0</v>
      </c>
      <c r="L1334">
        <f t="shared" si="102"/>
        <v>4119.29</v>
      </c>
      <c r="M1334" s="1">
        <f t="shared" si="103"/>
        <v>4119.29</v>
      </c>
      <c r="N1334" s="1" t="s">
        <v>13</v>
      </c>
      <c r="O1334" s="1">
        <v>38.200000000000003</v>
      </c>
    </row>
    <row r="1335" spans="4:15" x14ac:dyDescent="0.3">
      <c r="D1335" s="1">
        <v>23748</v>
      </c>
      <c r="E1335" s="2">
        <v>43687</v>
      </c>
      <c r="F1335" s="1" t="s">
        <v>9</v>
      </c>
      <c r="G1335" s="1">
        <v>26</v>
      </c>
      <c r="H1335" t="str">
        <f t="shared" si="104"/>
        <v>Medium-Large</v>
      </c>
      <c r="I1335" t="str">
        <f t="shared" si="100"/>
        <v>Medium-Large</v>
      </c>
      <c r="J1335" s="1">
        <v>6594.9664000000002</v>
      </c>
      <c r="K1335">
        <f t="shared" si="101"/>
        <v>0</v>
      </c>
      <c r="L1335">
        <f t="shared" si="102"/>
        <v>6594.9664000000002</v>
      </c>
      <c r="M1335" s="1">
        <f t="shared" si="103"/>
        <v>6594.9664000000002</v>
      </c>
      <c r="N1335" s="1" t="s">
        <v>13</v>
      </c>
      <c r="O1335" s="1">
        <v>30.7</v>
      </c>
    </row>
    <row r="1336" spans="4:15" x14ac:dyDescent="0.3">
      <c r="D1336" s="1">
        <v>38336</v>
      </c>
      <c r="E1336" s="2">
        <v>43743</v>
      </c>
      <c r="F1336" s="1" t="s">
        <v>12</v>
      </c>
      <c r="G1336" s="1">
        <v>31</v>
      </c>
      <c r="H1336" t="str">
        <f t="shared" si="104"/>
        <v>Large</v>
      </c>
      <c r="I1336" t="str">
        <f t="shared" si="100"/>
        <v>Large</v>
      </c>
      <c r="J1336" s="1">
        <v>370.83</v>
      </c>
      <c r="K1336">
        <f t="shared" si="101"/>
        <v>0</v>
      </c>
      <c r="L1336">
        <f t="shared" si="102"/>
        <v>370.83</v>
      </c>
      <c r="M1336" s="1">
        <f t="shared" si="103"/>
        <v>370.83</v>
      </c>
      <c r="N1336" s="1" t="s">
        <v>10</v>
      </c>
      <c r="O1336" s="1">
        <v>7</v>
      </c>
    </row>
    <row r="1337" spans="4:15" x14ac:dyDescent="0.3">
      <c r="D1337" s="1">
        <v>36418</v>
      </c>
      <c r="E1337" s="2">
        <v>43491</v>
      </c>
      <c r="F1337" s="1" t="s">
        <v>11</v>
      </c>
      <c r="G1337" s="1">
        <v>33</v>
      </c>
      <c r="H1337" t="str">
        <f t="shared" si="104"/>
        <v>Large</v>
      </c>
      <c r="I1337" t="str">
        <f t="shared" si="100"/>
        <v>Large</v>
      </c>
      <c r="J1337" s="1">
        <v>222.47</v>
      </c>
      <c r="K1337">
        <f t="shared" si="101"/>
        <v>0</v>
      </c>
      <c r="L1337">
        <f t="shared" si="102"/>
        <v>222.47</v>
      </c>
      <c r="M1337" s="1">
        <f t="shared" si="103"/>
        <v>222.47</v>
      </c>
      <c r="N1337" s="1" t="s">
        <v>8</v>
      </c>
      <c r="O1337" s="1">
        <v>7.5</v>
      </c>
    </row>
    <row r="1338" spans="4:15" x14ac:dyDescent="0.3">
      <c r="D1338" s="1">
        <v>54981</v>
      </c>
      <c r="E1338" s="2">
        <v>43506</v>
      </c>
      <c r="F1338" s="1" t="s">
        <v>9</v>
      </c>
      <c r="G1338" s="1">
        <v>31</v>
      </c>
      <c r="H1338" t="str">
        <f t="shared" si="104"/>
        <v>Large</v>
      </c>
      <c r="I1338" t="str">
        <f t="shared" si="100"/>
        <v>Large</v>
      </c>
      <c r="J1338" s="1">
        <v>1096.01</v>
      </c>
      <c r="K1338">
        <f t="shared" si="101"/>
        <v>0</v>
      </c>
      <c r="L1338">
        <f t="shared" si="102"/>
        <v>1096.01</v>
      </c>
      <c r="M1338" s="1">
        <f t="shared" si="103"/>
        <v>1096.01</v>
      </c>
      <c r="N1338" s="1" t="s">
        <v>10</v>
      </c>
      <c r="O1338" s="1">
        <v>13.5</v>
      </c>
    </row>
    <row r="1339" spans="4:15" x14ac:dyDescent="0.3">
      <c r="D1339" s="1">
        <v>53156</v>
      </c>
      <c r="E1339" s="2">
        <v>43534</v>
      </c>
      <c r="F1339" s="1" t="s">
        <v>11</v>
      </c>
      <c r="G1339" s="1">
        <v>47</v>
      </c>
      <c r="H1339" t="str">
        <f t="shared" si="104"/>
        <v>XXX Large</v>
      </c>
      <c r="I1339" t="str">
        <f t="shared" si="100"/>
        <v>XXX Large</v>
      </c>
      <c r="J1339" s="1">
        <v>200.02</v>
      </c>
      <c r="K1339">
        <f t="shared" si="101"/>
        <v>0.01</v>
      </c>
      <c r="L1339">
        <f t="shared" si="102"/>
        <v>198.0198</v>
      </c>
      <c r="M1339" s="1">
        <f t="shared" si="103"/>
        <v>198.92000000000002</v>
      </c>
      <c r="N1339" s="1" t="s">
        <v>10</v>
      </c>
      <c r="O1339" s="1">
        <v>1.1000000000000001</v>
      </c>
    </row>
    <row r="1340" spans="4:15" x14ac:dyDescent="0.3">
      <c r="D1340" s="1">
        <v>41760</v>
      </c>
      <c r="E1340" s="2">
        <v>43491</v>
      </c>
      <c r="F1340" s="1" t="s">
        <v>7</v>
      </c>
      <c r="G1340" s="1">
        <v>22</v>
      </c>
      <c r="H1340" t="str">
        <f t="shared" si="104"/>
        <v>Medium</v>
      </c>
      <c r="I1340" t="str">
        <f t="shared" si="100"/>
        <v>Medium</v>
      </c>
      <c r="J1340" s="1">
        <v>264.7715</v>
      </c>
      <c r="K1340">
        <f t="shared" si="101"/>
        <v>0</v>
      </c>
      <c r="L1340">
        <f t="shared" si="102"/>
        <v>264.7715</v>
      </c>
      <c r="M1340" s="1">
        <f t="shared" si="103"/>
        <v>264.7715</v>
      </c>
      <c r="N1340" s="1" t="s">
        <v>10</v>
      </c>
      <c r="O1340" s="1">
        <v>13.4</v>
      </c>
    </row>
    <row r="1341" spans="4:15" x14ac:dyDescent="0.3">
      <c r="D1341" s="1">
        <v>6693</v>
      </c>
      <c r="E1341" s="2">
        <v>43609</v>
      </c>
      <c r="F1341" s="1" t="s">
        <v>12</v>
      </c>
      <c r="G1341" s="1">
        <v>16</v>
      </c>
      <c r="H1341" t="str">
        <f t="shared" si="104"/>
        <v>Small-Medium</v>
      </c>
      <c r="I1341" t="str">
        <f t="shared" si="100"/>
        <v>Small-Medium</v>
      </c>
      <c r="J1341" s="1">
        <v>43.71</v>
      </c>
      <c r="K1341">
        <f t="shared" si="101"/>
        <v>0</v>
      </c>
      <c r="L1341">
        <f t="shared" si="102"/>
        <v>43.71</v>
      </c>
      <c r="M1341" s="1">
        <f t="shared" si="103"/>
        <v>43.71</v>
      </c>
      <c r="N1341" s="1" t="s">
        <v>10</v>
      </c>
      <c r="O1341" s="1">
        <v>0.9</v>
      </c>
    </row>
    <row r="1342" spans="4:15" x14ac:dyDescent="0.3">
      <c r="D1342" s="1">
        <v>20807</v>
      </c>
      <c r="E1342" s="2">
        <v>43667</v>
      </c>
      <c r="F1342" s="1" t="s">
        <v>11</v>
      </c>
      <c r="G1342" s="1">
        <v>16</v>
      </c>
      <c r="H1342" t="str">
        <f t="shared" si="104"/>
        <v>Small-Medium</v>
      </c>
      <c r="I1342" t="str">
        <f t="shared" si="100"/>
        <v>Small-Medium</v>
      </c>
      <c r="J1342" s="1">
        <v>499.63</v>
      </c>
      <c r="K1342">
        <f t="shared" si="101"/>
        <v>0</v>
      </c>
      <c r="L1342">
        <f t="shared" si="102"/>
        <v>499.63</v>
      </c>
      <c r="M1342" s="1">
        <f t="shared" si="103"/>
        <v>499.63</v>
      </c>
      <c r="N1342" s="1" t="s">
        <v>10</v>
      </c>
      <c r="O1342" s="1">
        <v>3.5</v>
      </c>
    </row>
    <row r="1343" spans="4:15" x14ac:dyDescent="0.3">
      <c r="D1343" s="1">
        <v>25447</v>
      </c>
      <c r="E1343" s="2">
        <v>43608</v>
      </c>
      <c r="F1343" s="1" t="s">
        <v>11</v>
      </c>
      <c r="G1343" s="1">
        <v>18</v>
      </c>
      <c r="H1343" t="str">
        <f t="shared" si="104"/>
        <v>Small-Medium</v>
      </c>
      <c r="I1343" t="str">
        <f t="shared" si="100"/>
        <v>Small-Medium</v>
      </c>
      <c r="J1343" s="1">
        <v>4738.5600000000004</v>
      </c>
      <c r="K1343">
        <f t="shared" si="101"/>
        <v>0</v>
      </c>
      <c r="L1343">
        <f t="shared" si="102"/>
        <v>4738.5600000000004</v>
      </c>
      <c r="M1343" s="1">
        <f t="shared" si="103"/>
        <v>4738.5600000000004</v>
      </c>
      <c r="N1343" s="1" t="s">
        <v>13</v>
      </c>
      <c r="O1343" s="1">
        <v>57.9</v>
      </c>
    </row>
    <row r="1344" spans="4:15" x14ac:dyDescent="0.3">
      <c r="D1344" s="1">
        <v>48197</v>
      </c>
      <c r="E1344" s="2">
        <v>43590</v>
      </c>
      <c r="F1344" s="1" t="s">
        <v>11</v>
      </c>
      <c r="G1344" s="1">
        <v>32</v>
      </c>
      <c r="H1344" t="str">
        <f t="shared" si="104"/>
        <v>Large</v>
      </c>
      <c r="I1344" t="str">
        <f t="shared" si="100"/>
        <v>Large</v>
      </c>
      <c r="J1344" s="1">
        <v>1372.26</v>
      </c>
      <c r="K1344">
        <f t="shared" si="101"/>
        <v>0</v>
      </c>
      <c r="L1344">
        <f t="shared" si="102"/>
        <v>1372.26</v>
      </c>
      <c r="M1344" s="1">
        <f t="shared" si="103"/>
        <v>1372.26</v>
      </c>
      <c r="N1344" s="1" t="s">
        <v>10</v>
      </c>
      <c r="O1344" s="1">
        <v>15.5</v>
      </c>
    </row>
    <row r="1345" spans="4:15" x14ac:dyDescent="0.3">
      <c r="D1345" s="1">
        <v>29921</v>
      </c>
      <c r="E1345" s="2">
        <v>43547</v>
      </c>
      <c r="F1345" s="1" t="s">
        <v>14</v>
      </c>
      <c r="G1345" s="1">
        <v>33</v>
      </c>
      <c r="H1345" t="str">
        <f t="shared" si="104"/>
        <v>Large</v>
      </c>
      <c r="I1345" t="str">
        <f t="shared" si="100"/>
        <v>Large</v>
      </c>
      <c r="J1345" s="1">
        <v>4256.43</v>
      </c>
      <c r="K1345">
        <f t="shared" si="101"/>
        <v>0</v>
      </c>
      <c r="L1345">
        <f t="shared" si="102"/>
        <v>4256.43</v>
      </c>
      <c r="M1345" s="1">
        <f t="shared" si="103"/>
        <v>4256.43</v>
      </c>
      <c r="N1345" s="1" t="s">
        <v>10</v>
      </c>
      <c r="O1345" s="1">
        <v>9.6999999999999993</v>
      </c>
    </row>
    <row r="1346" spans="4:15" x14ac:dyDescent="0.3">
      <c r="D1346" s="1">
        <v>37287</v>
      </c>
      <c r="E1346" s="2">
        <v>43770</v>
      </c>
      <c r="F1346" s="1" t="s">
        <v>7</v>
      </c>
      <c r="G1346" s="1">
        <v>45</v>
      </c>
      <c r="H1346" t="str">
        <f t="shared" si="104"/>
        <v>XX Large</v>
      </c>
      <c r="I1346" t="str">
        <f t="shared" si="100"/>
        <v>XX Large</v>
      </c>
      <c r="J1346" s="1">
        <v>139.37</v>
      </c>
      <c r="K1346">
        <f t="shared" si="101"/>
        <v>0.01</v>
      </c>
      <c r="L1346">
        <f t="shared" si="102"/>
        <v>137.97630000000001</v>
      </c>
      <c r="M1346" s="1">
        <f t="shared" si="103"/>
        <v>137.67000000000002</v>
      </c>
      <c r="N1346" s="1" t="s">
        <v>10</v>
      </c>
      <c r="O1346" s="1">
        <v>1.7</v>
      </c>
    </row>
    <row r="1347" spans="4:15" x14ac:dyDescent="0.3">
      <c r="D1347" s="1">
        <v>53223</v>
      </c>
      <c r="E1347" s="2">
        <v>43660</v>
      </c>
      <c r="F1347" s="1" t="s">
        <v>7</v>
      </c>
      <c r="G1347" s="1">
        <v>2</v>
      </c>
      <c r="H1347" t="str">
        <f t="shared" si="104"/>
        <v>Mini</v>
      </c>
      <c r="I1347" t="str">
        <f t="shared" ref="I1347:I1410" si="105">VLOOKUP(G1347, $A$3:$B$12, 2, TRUE)</f>
        <v>Mini</v>
      </c>
      <c r="J1347" s="1">
        <v>14.22</v>
      </c>
      <c r="K1347">
        <f t="shared" ref="K1347:K1410" si="106">IF(OR(I1347="Extra Large", I1347="XX Large", I1347="XXX Large"), 0.01, 0)</f>
        <v>0</v>
      </c>
      <c r="L1347">
        <f t="shared" ref="L1347:L1410" si="107">J1347 * (1 - K1347)</f>
        <v>14.22</v>
      </c>
      <c r="M1347" s="1">
        <f t="shared" ref="M1347:M1410" si="108">IF(OR(I1347="Extra Large",I1347="XX Large",I1347="XXX Large"),J1347-O1347,J1347)</f>
        <v>14.22</v>
      </c>
      <c r="N1347" s="1" t="s">
        <v>10</v>
      </c>
      <c r="O1347" s="1">
        <v>5.8</v>
      </c>
    </row>
    <row r="1348" spans="4:15" x14ac:dyDescent="0.3">
      <c r="D1348" s="1">
        <v>47815</v>
      </c>
      <c r="E1348" s="2">
        <v>43829</v>
      </c>
      <c r="F1348" s="1" t="s">
        <v>11</v>
      </c>
      <c r="G1348" s="1">
        <v>45</v>
      </c>
      <c r="H1348" t="str">
        <f t="shared" si="104"/>
        <v>XX Large</v>
      </c>
      <c r="I1348" t="str">
        <f t="shared" si="105"/>
        <v>XX Large</v>
      </c>
      <c r="J1348" s="1">
        <v>621.63</v>
      </c>
      <c r="K1348">
        <f t="shared" si="106"/>
        <v>0.01</v>
      </c>
      <c r="L1348">
        <f t="shared" si="107"/>
        <v>615.41369999999995</v>
      </c>
      <c r="M1348" s="1">
        <f t="shared" si="108"/>
        <v>614.33000000000004</v>
      </c>
      <c r="N1348" s="1" t="s">
        <v>10</v>
      </c>
      <c r="O1348" s="1">
        <v>7.3</v>
      </c>
    </row>
    <row r="1349" spans="4:15" x14ac:dyDescent="0.3">
      <c r="D1349" s="1">
        <v>55366</v>
      </c>
      <c r="E1349" s="2">
        <v>43748</v>
      </c>
      <c r="F1349" s="1" t="s">
        <v>12</v>
      </c>
      <c r="G1349" s="1">
        <v>7</v>
      </c>
      <c r="H1349" t="str">
        <f t="shared" ref="H1349:H1412" si="109">VLOOKUP(G1349, $A$3:$B$12, 2, TRUE)</f>
        <v>Extra Small</v>
      </c>
      <c r="I1349" t="str">
        <f t="shared" si="105"/>
        <v>Extra Small</v>
      </c>
      <c r="J1349" s="1">
        <v>414.27</v>
      </c>
      <c r="K1349">
        <f t="shared" si="106"/>
        <v>0</v>
      </c>
      <c r="L1349">
        <f t="shared" si="107"/>
        <v>414.27</v>
      </c>
      <c r="M1349" s="1">
        <f t="shared" si="108"/>
        <v>414.27</v>
      </c>
      <c r="N1349" s="1" t="s">
        <v>10</v>
      </c>
      <c r="O1349" s="1">
        <v>7</v>
      </c>
    </row>
    <row r="1350" spans="4:15" x14ac:dyDescent="0.3">
      <c r="D1350" s="1">
        <v>48643</v>
      </c>
      <c r="E1350" s="2">
        <v>43756</v>
      </c>
      <c r="F1350" s="1" t="s">
        <v>14</v>
      </c>
      <c r="G1350" s="1">
        <v>6</v>
      </c>
      <c r="H1350" t="str">
        <f t="shared" si="109"/>
        <v>Extra Small</v>
      </c>
      <c r="I1350" t="str">
        <f t="shared" si="105"/>
        <v>Extra Small</v>
      </c>
      <c r="J1350" s="1">
        <v>19.309999999999999</v>
      </c>
      <c r="K1350">
        <f t="shared" si="106"/>
        <v>0</v>
      </c>
      <c r="L1350">
        <f t="shared" si="107"/>
        <v>19.309999999999999</v>
      </c>
      <c r="M1350" s="1">
        <f t="shared" si="108"/>
        <v>19.309999999999999</v>
      </c>
      <c r="N1350" s="1" t="s">
        <v>10</v>
      </c>
      <c r="O1350" s="1">
        <v>1.1000000000000001</v>
      </c>
    </row>
    <row r="1351" spans="4:15" x14ac:dyDescent="0.3">
      <c r="D1351" s="1">
        <v>8034</v>
      </c>
      <c r="E1351" s="2">
        <v>43483</v>
      </c>
      <c r="F1351" s="1" t="s">
        <v>9</v>
      </c>
      <c r="G1351" s="1">
        <v>36</v>
      </c>
      <c r="H1351" t="str">
        <f t="shared" si="109"/>
        <v>Extra Large</v>
      </c>
      <c r="I1351" t="str">
        <f t="shared" si="105"/>
        <v>Extra Large</v>
      </c>
      <c r="J1351" s="1">
        <v>1718.85</v>
      </c>
      <c r="K1351">
        <f t="shared" si="106"/>
        <v>0.01</v>
      </c>
      <c r="L1351">
        <f t="shared" si="107"/>
        <v>1701.6614999999999</v>
      </c>
      <c r="M1351" s="1">
        <f t="shared" si="108"/>
        <v>1668.9499999999998</v>
      </c>
      <c r="N1351" s="1" t="s">
        <v>13</v>
      </c>
      <c r="O1351" s="1">
        <v>49.9</v>
      </c>
    </row>
    <row r="1352" spans="4:15" x14ac:dyDescent="0.3">
      <c r="D1352" s="1">
        <v>29991</v>
      </c>
      <c r="E1352" s="2">
        <v>43743</v>
      </c>
      <c r="F1352" s="1" t="s">
        <v>7</v>
      </c>
      <c r="G1352" s="1">
        <v>41</v>
      </c>
      <c r="H1352" t="str">
        <f t="shared" si="109"/>
        <v>XX Large</v>
      </c>
      <c r="I1352" t="str">
        <f t="shared" si="105"/>
        <v>XX Large</v>
      </c>
      <c r="J1352" s="1">
        <v>131.72999999999999</v>
      </c>
      <c r="K1352">
        <f t="shared" si="106"/>
        <v>0.01</v>
      </c>
      <c r="L1352">
        <f t="shared" si="107"/>
        <v>130.4127</v>
      </c>
      <c r="M1352" s="1">
        <f t="shared" si="108"/>
        <v>131.22999999999999</v>
      </c>
      <c r="N1352" s="1" t="s">
        <v>10</v>
      </c>
      <c r="O1352" s="1">
        <v>0.5</v>
      </c>
    </row>
    <row r="1353" spans="4:15" x14ac:dyDescent="0.3">
      <c r="D1353" s="1">
        <v>42564</v>
      </c>
      <c r="E1353" s="2">
        <v>43720</v>
      </c>
      <c r="F1353" s="1" t="s">
        <v>7</v>
      </c>
      <c r="G1353" s="1">
        <v>35</v>
      </c>
      <c r="H1353" t="str">
        <f t="shared" si="109"/>
        <v>Large</v>
      </c>
      <c r="I1353" t="str">
        <f t="shared" si="105"/>
        <v>Large</v>
      </c>
      <c r="J1353" s="1">
        <v>7991.68</v>
      </c>
      <c r="K1353">
        <f t="shared" si="106"/>
        <v>0</v>
      </c>
      <c r="L1353">
        <f t="shared" si="107"/>
        <v>7991.68</v>
      </c>
      <c r="M1353" s="1">
        <f t="shared" si="108"/>
        <v>7991.68</v>
      </c>
      <c r="N1353" s="1" t="s">
        <v>13</v>
      </c>
      <c r="O1353" s="1">
        <v>25.4</v>
      </c>
    </row>
    <row r="1354" spans="4:15" x14ac:dyDescent="0.3">
      <c r="D1354" s="1">
        <v>49927</v>
      </c>
      <c r="E1354" s="2">
        <v>43666</v>
      </c>
      <c r="F1354" s="1" t="s">
        <v>11</v>
      </c>
      <c r="G1354" s="1">
        <v>26</v>
      </c>
      <c r="H1354" t="str">
        <f t="shared" si="109"/>
        <v>Medium-Large</v>
      </c>
      <c r="I1354" t="str">
        <f t="shared" si="105"/>
        <v>Medium-Large</v>
      </c>
      <c r="J1354" s="1">
        <v>149.31</v>
      </c>
      <c r="K1354">
        <f t="shared" si="106"/>
        <v>0</v>
      </c>
      <c r="L1354">
        <f t="shared" si="107"/>
        <v>149.31</v>
      </c>
      <c r="M1354" s="1">
        <f t="shared" si="108"/>
        <v>149.31</v>
      </c>
      <c r="N1354" s="1" t="s">
        <v>10</v>
      </c>
      <c r="O1354" s="1">
        <v>5.3</v>
      </c>
    </row>
    <row r="1355" spans="4:15" x14ac:dyDescent="0.3">
      <c r="D1355" s="1">
        <v>32513</v>
      </c>
      <c r="E1355" s="2">
        <v>43497</v>
      </c>
      <c r="F1355" s="1" t="s">
        <v>7</v>
      </c>
      <c r="G1355" s="1">
        <v>23</v>
      </c>
      <c r="H1355" t="str">
        <f t="shared" si="109"/>
        <v>Medium</v>
      </c>
      <c r="I1355" t="str">
        <f t="shared" si="105"/>
        <v>Medium</v>
      </c>
      <c r="J1355" s="1">
        <v>4260.96</v>
      </c>
      <c r="K1355">
        <f t="shared" si="106"/>
        <v>0</v>
      </c>
      <c r="L1355">
        <f t="shared" si="107"/>
        <v>4260.96</v>
      </c>
      <c r="M1355" s="1">
        <f t="shared" si="108"/>
        <v>4260.96</v>
      </c>
      <c r="N1355" s="1" t="s">
        <v>10</v>
      </c>
      <c r="O1355" s="1">
        <v>21.4</v>
      </c>
    </row>
    <row r="1356" spans="4:15" x14ac:dyDescent="0.3">
      <c r="D1356" s="1">
        <v>4099</v>
      </c>
      <c r="E1356" s="2">
        <v>43697</v>
      </c>
      <c r="F1356" s="1" t="s">
        <v>12</v>
      </c>
      <c r="G1356" s="1">
        <v>42</v>
      </c>
      <c r="H1356" t="str">
        <f t="shared" si="109"/>
        <v>XX Large</v>
      </c>
      <c r="I1356" t="str">
        <f t="shared" si="105"/>
        <v>XX Large</v>
      </c>
      <c r="J1356" s="1">
        <v>1809.92</v>
      </c>
      <c r="K1356">
        <f t="shared" si="106"/>
        <v>0.01</v>
      </c>
      <c r="L1356">
        <f t="shared" si="107"/>
        <v>1791.8208</v>
      </c>
      <c r="M1356" s="1">
        <f t="shared" si="108"/>
        <v>1803.22</v>
      </c>
      <c r="N1356" s="1" t="s">
        <v>10</v>
      </c>
      <c r="O1356" s="1">
        <v>6.7</v>
      </c>
    </row>
    <row r="1357" spans="4:15" x14ac:dyDescent="0.3">
      <c r="D1357" s="1">
        <v>51489</v>
      </c>
      <c r="E1357" s="2">
        <v>43527</v>
      </c>
      <c r="F1357" s="1" t="s">
        <v>12</v>
      </c>
      <c r="G1357" s="1">
        <v>22</v>
      </c>
      <c r="H1357" t="str">
        <f t="shared" si="109"/>
        <v>Medium</v>
      </c>
      <c r="I1357" t="str">
        <f t="shared" si="105"/>
        <v>Medium</v>
      </c>
      <c r="J1357" s="1">
        <v>41.6</v>
      </c>
      <c r="K1357">
        <f t="shared" si="106"/>
        <v>0</v>
      </c>
      <c r="L1357">
        <f t="shared" si="107"/>
        <v>41.6</v>
      </c>
      <c r="M1357" s="1">
        <f t="shared" si="108"/>
        <v>41.6</v>
      </c>
      <c r="N1357" s="1" t="s">
        <v>10</v>
      </c>
      <c r="O1357" s="1">
        <v>1.7</v>
      </c>
    </row>
    <row r="1358" spans="4:15" x14ac:dyDescent="0.3">
      <c r="D1358" s="1">
        <v>17700</v>
      </c>
      <c r="E1358" s="2">
        <v>43765</v>
      </c>
      <c r="F1358" s="1" t="s">
        <v>12</v>
      </c>
      <c r="G1358" s="1">
        <v>20</v>
      </c>
      <c r="H1358" t="str">
        <f t="shared" si="109"/>
        <v>Small-Medium</v>
      </c>
      <c r="I1358" t="str">
        <f t="shared" si="105"/>
        <v>Small-Medium</v>
      </c>
      <c r="J1358" s="1">
        <v>2467.15</v>
      </c>
      <c r="K1358">
        <f t="shared" si="106"/>
        <v>0</v>
      </c>
      <c r="L1358">
        <f t="shared" si="107"/>
        <v>2467.15</v>
      </c>
      <c r="M1358" s="1">
        <f t="shared" si="108"/>
        <v>2467.15</v>
      </c>
      <c r="N1358" s="1" t="s">
        <v>10</v>
      </c>
      <c r="O1358" s="1">
        <v>37.5</v>
      </c>
    </row>
    <row r="1359" spans="4:15" x14ac:dyDescent="0.3">
      <c r="D1359" s="1">
        <v>24576</v>
      </c>
      <c r="E1359" s="2">
        <v>43810</v>
      </c>
      <c r="F1359" s="1" t="s">
        <v>11</v>
      </c>
      <c r="G1359" s="1">
        <v>29</v>
      </c>
      <c r="H1359" t="str">
        <f t="shared" si="109"/>
        <v>Medium-Large</v>
      </c>
      <c r="I1359" t="str">
        <f t="shared" si="105"/>
        <v>Medium-Large</v>
      </c>
      <c r="J1359" s="1">
        <v>568.23739999999998</v>
      </c>
      <c r="K1359">
        <f t="shared" si="106"/>
        <v>0</v>
      </c>
      <c r="L1359">
        <f t="shared" si="107"/>
        <v>568.23739999999998</v>
      </c>
      <c r="M1359" s="1">
        <f t="shared" si="108"/>
        <v>568.23739999999998</v>
      </c>
      <c r="N1359" s="1" t="s">
        <v>10</v>
      </c>
      <c r="O1359" s="1">
        <v>5.0999999999999996</v>
      </c>
    </row>
    <row r="1360" spans="4:15" x14ac:dyDescent="0.3">
      <c r="D1360" s="1">
        <v>1217</v>
      </c>
      <c r="E1360" s="2">
        <v>43580</v>
      </c>
      <c r="F1360" s="1" t="s">
        <v>11</v>
      </c>
      <c r="G1360" s="1">
        <v>25</v>
      </c>
      <c r="H1360" t="str">
        <f t="shared" si="109"/>
        <v>Medium</v>
      </c>
      <c r="I1360" t="str">
        <f t="shared" si="105"/>
        <v>Medium</v>
      </c>
      <c r="J1360" s="1">
        <v>708.51</v>
      </c>
      <c r="K1360">
        <f t="shared" si="106"/>
        <v>0</v>
      </c>
      <c r="L1360">
        <f t="shared" si="107"/>
        <v>708.51</v>
      </c>
      <c r="M1360" s="1">
        <f t="shared" si="108"/>
        <v>708.51</v>
      </c>
      <c r="N1360" s="1" t="s">
        <v>10</v>
      </c>
      <c r="O1360" s="1">
        <v>2.1</v>
      </c>
    </row>
    <row r="1361" spans="4:15" x14ac:dyDescent="0.3">
      <c r="D1361" s="1">
        <v>12256</v>
      </c>
      <c r="E1361" s="2">
        <v>43817</v>
      </c>
      <c r="F1361" s="1" t="s">
        <v>14</v>
      </c>
      <c r="G1361" s="1">
        <v>44</v>
      </c>
      <c r="H1361" t="str">
        <f t="shared" si="109"/>
        <v>XX Large</v>
      </c>
      <c r="I1361" t="str">
        <f t="shared" si="105"/>
        <v>XX Large</v>
      </c>
      <c r="J1361" s="1">
        <v>126.22790000000001</v>
      </c>
      <c r="K1361">
        <f t="shared" si="106"/>
        <v>0.01</v>
      </c>
      <c r="L1361">
        <f t="shared" si="107"/>
        <v>124.965621</v>
      </c>
      <c r="M1361" s="1">
        <f t="shared" si="108"/>
        <v>125.72790000000001</v>
      </c>
      <c r="N1361" s="1" t="s">
        <v>10</v>
      </c>
      <c r="O1361" s="1">
        <v>0.5</v>
      </c>
    </row>
    <row r="1362" spans="4:15" x14ac:dyDescent="0.3">
      <c r="D1362" s="1">
        <v>37123</v>
      </c>
      <c r="E1362" s="2">
        <v>43513</v>
      </c>
      <c r="F1362" s="1" t="s">
        <v>9</v>
      </c>
      <c r="G1362" s="1">
        <v>50</v>
      </c>
      <c r="H1362" t="str">
        <f t="shared" si="109"/>
        <v>XXX Large</v>
      </c>
      <c r="I1362" t="str">
        <f t="shared" si="105"/>
        <v>XXX Large</v>
      </c>
      <c r="J1362" s="1">
        <v>850.2</v>
      </c>
      <c r="K1362">
        <f t="shared" si="106"/>
        <v>0.01</v>
      </c>
      <c r="L1362">
        <f t="shared" si="107"/>
        <v>841.69800000000009</v>
      </c>
      <c r="M1362" s="1">
        <f t="shared" si="108"/>
        <v>820.5</v>
      </c>
      <c r="N1362" s="1" t="s">
        <v>13</v>
      </c>
      <c r="O1362" s="1">
        <v>29.7</v>
      </c>
    </row>
    <row r="1363" spans="4:15" x14ac:dyDescent="0.3">
      <c r="D1363" s="1">
        <v>29218</v>
      </c>
      <c r="E1363" s="2">
        <v>43614</v>
      </c>
      <c r="F1363" s="1" t="s">
        <v>7</v>
      </c>
      <c r="G1363" s="1">
        <v>19</v>
      </c>
      <c r="H1363" t="str">
        <f t="shared" si="109"/>
        <v>Small-Medium</v>
      </c>
      <c r="I1363" t="str">
        <f t="shared" si="105"/>
        <v>Small-Medium</v>
      </c>
      <c r="J1363" s="1">
        <v>1950.63</v>
      </c>
      <c r="K1363">
        <f t="shared" si="106"/>
        <v>0</v>
      </c>
      <c r="L1363">
        <f t="shared" si="107"/>
        <v>1950.63</v>
      </c>
      <c r="M1363" s="1">
        <f t="shared" si="108"/>
        <v>1950.63</v>
      </c>
      <c r="N1363" s="1" t="s">
        <v>8</v>
      </c>
      <c r="O1363" s="1">
        <v>42.4</v>
      </c>
    </row>
    <row r="1364" spans="4:15" x14ac:dyDescent="0.3">
      <c r="D1364" s="1">
        <v>53120</v>
      </c>
      <c r="E1364" s="2">
        <v>43602</v>
      </c>
      <c r="F1364" s="1" t="s">
        <v>11</v>
      </c>
      <c r="G1364" s="1">
        <v>5</v>
      </c>
      <c r="H1364" t="str">
        <f t="shared" si="109"/>
        <v>Mini</v>
      </c>
      <c r="I1364" t="str">
        <f t="shared" si="105"/>
        <v>Mini</v>
      </c>
      <c r="J1364" s="1">
        <v>24.34</v>
      </c>
      <c r="K1364">
        <f t="shared" si="106"/>
        <v>0</v>
      </c>
      <c r="L1364">
        <f t="shared" si="107"/>
        <v>24.34</v>
      </c>
      <c r="M1364" s="1">
        <f t="shared" si="108"/>
        <v>24.34</v>
      </c>
      <c r="N1364" s="1" t="s">
        <v>10</v>
      </c>
      <c r="O1364" s="1">
        <v>0.9</v>
      </c>
    </row>
    <row r="1365" spans="4:15" x14ac:dyDescent="0.3">
      <c r="D1365" s="1">
        <v>2562</v>
      </c>
      <c r="E1365" s="2">
        <v>43677</v>
      </c>
      <c r="F1365" s="1" t="s">
        <v>12</v>
      </c>
      <c r="G1365" s="1">
        <v>6</v>
      </c>
      <c r="H1365" t="str">
        <f t="shared" si="109"/>
        <v>Extra Small</v>
      </c>
      <c r="I1365" t="str">
        <f t="shared" si="105"/>
        <v>Extra Small</v>
      </c>
      <c r="J1365" s="1">
        <v>83.03</v>
      </c>
      <c r="K1365">
        <f t="shared" si="106"/>
        <v>0</v>
      </c>
      <c r="L1365">
        <f t="shared" si="107"/>
        <v>83.03</v>
      </c>
      <c r="M1365" s="1">
        <f t="shared" si="108"/>
        <v>83.03</v>
      </c>
      <c r="N1365" s="1" t="s">
        <v>10</v>
      </c>
      <c r="O1365" s="1">
        <v>12</v>
      </c>
    </row>
    <row r="1366" spans="4:15" x14ac:dyDescent="0.3">
      <c r="D1366" s="1">
        <v>9632</v>
      </c>
      <c r="E1366" s="2">
        <v>43480</v>
      </c>
      <c r="F1366" s="1" t="s">
        <v>7</v>
      </c>
      <c r="G1366" s="1">
        <v>33</v>
      </c>
      <c r="H1366" t="str">
        <f t="shared" si="109"/>
        <v>Large</v>
      </c>
      <c r="I1366" t="str">
        <f t="shared" si="105"/>
        <v>Large</v>
      </c>
      <c r="J1366" s="1">
        <v>3887.34</v>
      </c>
      <c r="K1366">
        <f t="shared" si="106"/>
        <v>0</v>
      </c>
      <c r="L1366">
        <f t="shared" si="107"/>
        <v>3887.34</v>
      </c>
      <c r="M1366" s="1">
        <f t="shared" si="108"/>
        <v>3887.34</v>
      </c>
      <c r="N1366" s="1" t="s">
        <v>10</v>
      </c>
      <c r="O1366" s="1">
        <v>9.6999999999999993</v>
      </c>
    </row>
    <row r="1367" spans="4:15" x14ac:dyDescent="0.3">
      <c r="D1367" s="1">
        <v>53221</v>
      </c>
      <c r="E1367" s="2">
        <v>43521</v>
      </c>
      <c r="F1367" s="1" t="s">
        <v>11</v>
      </c>
      <c r="G1367" s="1">
        <v>29</v>
      </c>
      <c r="H1367" t="str">
        <f t="shared" si="109"/>
        <v>Medium-Large</v>
      </c>
      <c r="I1367" t="str">
        <f t="shared" si="105"/>
        <v>Medium-Large</v>
      </c>
      <c r="J1367" s="1">
        <v>463.7808</v>
      </c>
      <c r="K1367">
        <f t="shared" si="106"/>
        <v>0</v>
      </c>
      <c r="L1367">
        <f t="shared" si="107"/>
        <v>463.7808</v>
      </c>
      <c r="M1367" s="1">
        <f t="shared" si="108"/>
        <v>463.7808</v>
      </c>
      <c r="N1367" s="1" t="s">
        <v>10</v>
      </c>
      <c r="O1367" s="1">
        <v>4</v>
      </c>
    </row>
    <row r="1368" spans="4:15" x14ac:dyDescent="0.3">
      <c r="D1368" s="1">
        <v>58917</v>
      </c>
      <c r="E1368" s="2">
        <v>43526</v>
      </c>
      <c r="F1368" s="1" t="s">
        <v>9</v>
      </c>
      <c r="G1368" s="1">
        <v>27</v>
      </c>
      <c r="H1368" t="str">
        <f t="shared" si="109"/>
        <v>Medium-Large</v>
      </c>
      <c r="I1368" t="str">
        <f t="shared" si="105"/>
        <v>Medium-Large</v>
      </c>
      <c r="J1368" s="1">
        <v>15301.278200000001</v>
      </c>
      <c r="K1368">
        <f t="shared" si="106"/>
        <v>0</v>
      </c>
      <c r="L1368">
        <f t="shared" si="107"/>
        <v>15301.278200000001</v>
      </c>
      <c r="M1368" s="1">
        <f t="shared" si="108"/>
        <v>15301.278200000001</v>
      </c>
      <c r="N1368" s="1" t="s">
        <v>10</v>
      </c>
      <c r="O1368" s="1">
        <v>26.2</v>
      </c>
    </row>
    <row r="1369" spans="4:15" x14ac:dyDescent="0.3">
      <c r="D1369" s="1">
        <v>17507</v>
      </c>
      <c r="E1369" s="2">
        <v>43628</v>
      </c>
      <c r="F1369" s="1" t="s">
        <v>14</v>
      </c>
      <c r="G1369" s="1">
        <v>22</v>
      </c>
      <c r="H1369" t="str">
        <f t="shared" si="109"/>
        <v>Medium</v>
      </c>
      <c r="I1369" t="str">
        <f t="shared" si="105"/>
        <v>Medium</v>
      </c>
      <c r="J1369" s="1">
        <v>5770.8</v>
      </c>
      <c r="K1369">
        <f t="shared" si="106"/>
        <v>0</v>
      </c>
      <c r="L1369">
        <f t="shared" si="107"/>
        <v>5770.8</v>
      </c>
      <c r="M1369" s="1">
        <f t="shared" si="108"/>
        <v>5770.8</v>
      </c>
      <c r="N1369" s="1" t="s">
        <v>13</v>
      </c>
      <c r="O1369" s="1">
        <v>30</v>
      </c>
    </row>
    <row r="1370" spans="4:15" x14ac:dyDescent="0.3">
      <c r="D1370" s="1">
        <v>14727</v>
      </c>
      <c r="E1370" s="2">
        <v>43665</v>
      </c>
      <c r="F1370" s="1" t="s">
        <v>14</v>
      </c>
      <c r="G1370" s="1">
        <v>50</v>
      </c>
      <c r="H1370" t="str">
        <f t="shared" si="109"/>
        <v>XXX Large</v>
      </c>
      <c r="I1370" t="str">
        <f t="shared" si="105"/>
        <v>XXX Large</v>
      </c>
      <c r="J1370" s="1">
        <v>9129.4</v>
      </c>
      <c r="K1370">
        <f t="shared" si="106"/>
        <v>0.01</v>
      </c>
      <c r="L1370">
        <f t="shared" si="107"/>
        <v>9038.1059999999998</v>
      </c>
      <c r="M1370" s="1">
        <f t="shared" si="108"/>
        <v>9073.5</v>
      </c>
      <c r="N1370" s="1" t="s">
        <v>13</v>
      </c>
      <c r="O1370" s="1">
        <v>55.9</v>
      </c>
    </row>
    <row r="1371" spans="4:15" x14ac:dyDescent="0.3">
      <c r="D1371" s="1">
        <v>54214</v>
      </c>
      <c r="E1371" s="2">
        <v>43466</v>
      </c>
      <c r="F1371" s="1" t="s">
        <v>14</v>
      </c>
      <c r="G1371" s="1">
        <v>38</v>
      </c>
      <c r="H1371" t="str">
        <f t="shared" si="109"/>
        <v>Extra Large</v>
      </c>
      <c r="I1371" t="str">
        <f t="shared" si="105"/>
        <v>Extra Large</v>
      </c>
      <c r="J1371" s="1">
        <v>7838.42</v>
      </c>
      <c r="K1371">
        <f t="shared" si="106"/>
        <v>0.01</v>
      </c>
      <c r="L1371">
        <f t="shared" si="107"/>
        <v>7760.0357999999997</v>
      </c>
      <c r="M1371" s="1">
        <f t="shared" si="108"/>
        <v>7812.22</v>
      </c>
      <c r="N1371" s="1" t="s">
        <v>8</v>
      </c>
      <c r="O1371" s="1">
        <v>26.2</v>
      </c>
    </row>
    <row r="1372" spans="4:15" x14ac:dyDescent="0.3">
      <c r="D1372" s="1">
        <v>28611</v>
      </c>
      <c r="E1372" s="2">
        <v>43826</v>
      </c>
      <c r="F1372" s="1" t="s">
        <v>7</v>
      </c>
      <c r="G1372" s="1">
        <v>30</v>
      </c>
      <c r="H1372" t="str">
        <f t="shared" si="109"/>
        <v>Medium-Large</v>
      </c>
      <c r="I1372" t="str">
        <f t="shared" si="105"/>
        <v>Medium-Large</v>
      </c>
      <c r="J1372" s="1">
        <v>16411.21</v>
      </c>
      <c r="K1372">
        <f t="shared" si="106"/>
        <v>0</v>
      </c>
      <c r="L1372">
        <f t="shared" si="107"/>
        <v>16411.21</v>
      </c>
      <c r="M1372" s="1">
        <f t="shared" si="108"/>
        <v>16411.21</v>
      </c>
      <c r="N1372" s="1" t="s">
        <v>10</v>
      </c>
      <c r="O1372" s="1">
        <v>21.4</v>
      </c>
    </row>
    <row r="1373" spans="4:15" x14ac:dyDescent="0.3">
      <c r="D1373" s="1">
        <v>47522</v>
      </c>
      <c r="E1373" s="2">
        <v>43761</v>
      </c>
      <c r="F1373" s="1" t="s">
        <v>9</v>
      </c>
      <c r="G1373" s="1">
        <v>5</v>
      </c>
      <c r="H1373" t="str">
        <f t="shared" si="109"/>
        <v>Mini</v>
      </c>
      <c r="I1373" t="str">
        <f t="shared" si="105"/>
        <v>Mini</v>
      </c>
      <c r="J1373" s="1">
        <v>86.2</v>
      </c>
      <c r="K1373">
        <f t="shared" si="106"/>
        <v>0</v>
      </c>
      <c r="L1373">
        <f t="shared" si="107"/>
        <v>86.2</v>
      </c>
      <c r="M1373" s="1">
        <f t="shared" si="108"/>
        <v>86.2</v>
      </c>
      <c r="N1373" s="1" t="s">
        <v>10</v>
      </c>
      <c r="O1373" s="1">
        <v>1.5</v>
      </c>
    </row>
    <row r="1374" spans="4:15" x14ac:dyDescent="0.3">
      <c r="D1374" s="1">
        <v>42306</v>
      </c>
      <c r="E1374" s="2">
        <v>43722</v>
      </c>
      <c r="F1374" s="1" t="s">
        <v>9</v>
      </c>
      <c r="G1374" s="1">
        <v>18</v>
      </c>
      <c r="H1374" t="str">
        <f t="shared" si="109"/>
        <v>Small-Medium</v>
      </c>
      <c r="I1374" t="str">
        <f t="shared" si="105"/>
        <v>Small-Medium</v>
      </c>
      <c r="J1374" s="1">
        <v>50.72</v>
      </c>
      <c r="K1374">
        <f t="shared" si="106"/>
        <v>0</v>
      </c>
      <c r="L1374">
        <f t="shared" si="107"/>
        <v>50.72</v>
      </c>
      <c r="M1374" s="1">
        <f t="shared" si="108"/>
        <v>50.72</v>
      </c>
      <c r="N1374" s="1" t="s">
        <v>10</v>
      </c>
      <c r="O1374" s="1">
        <v>5.6</v>
      </c>
    </row>
    <row r="1375" spans="4:15" x14ac:dyDescent="0.3">
      <c r="D1375" s="1">
        <v>3328</v>
      </c>
      <c r="E1375" s="2">
        <v>43787</v>
      </c>
      <c r="F1375" s="1" t="s">
        <v>7</v>
      </c>
      <c r="G1375" s="1">
        <v>12</v>
      </c>
      <c r="H1375" t="str">
        <f t="shared" si="109"/>
        <v>Small</v>
      </c>
      <c r="I1375" t="str">
        <f t="shared" si="105"/>
        <v>Small</v>
      </c>
      <c r="J1375" s="1">
        <v>1857.96</v>
      </c>
      <c r="K1375">
        <f t="shared" si="106"/>
        <v>0</v>
      </c>
      <c r="L1375">
        <f t="shared" si="107"/>
        <v>1857.96</v>
      </c>
      <c r="M1375" s="1">
        <f t="shared" si="108"/>
        <v>1857.96</v>
      </c>
      <c r="N1375" s="1" t="s">
        <v>13</v>
      </c>
      <c r="O1375" s="1">
        <v>85.8</v>
      </c>
    </row>
    <row r="1376" spans="4:15" x14ac:dyDescent="0.3">
      <c r="D1376" s="1">
        <v>45860</v>
      </c>
      <c r="E1376" s="2">
        <v>43689</v>
      </c>
      <c r="F1376" s="1" t="s">
        <v>7</v>
      </c>
      <c r="G1376" s="1">
        <v>12</v>
      </c>
      <c r="H1376" t="str">
        <f t="shared" si="109"/>
        <v>Small</v>
      </c>
      <c r="I1376" t="str">
        <f t="shared" si="105"/>
        <v>Small</v>
      </c>
      <c r="J1376" s="1">
        <v>74.867900000000006</v>
      </c>
      <c r="K1376">
        <f t="shared" si="106"/>
        <v>0</v>
      </c>
      <c r="L1376">
        <f t="shared" si="107"/>
        <v>74.867900000000006</v>
      </c>
      <c r="M1376" s="1">
        <f t="shared" si="108"/>
        <v>74.867900000000006</v>
      </c>
      <c r="N1376" s="1" t="s">
        <v>10</v>
      </c>
      <c r="O1376" s="1">
        <v>1</v>
      </c>
    </row>
    <row r="1377" spans="4:15" x14ac:dyDescent="0.3">
      <c r="D1377" s="1">
        <v>50758</v>
      </c>
      <c r="E1377" s="2">
        <v>43658</v>
      </c>
      <c r="F1377" s="1" t="s">
        <v>14</v>
      </c>
      <c r="G1377" s="1">
        <v>17</v>
      </c>
      <c r="H1377" t="str">
        <f t="shared" si="109"/>
        <v>Small-Medium</v>
      </c>
      <c r="I1377" t="str">
        <f t="shared" si="105"/>
        <v>Small-Medium</v>
      </c>
      <c r="J1377" s="1">
        <v>137.5</v>
      </c>
      <c r="K1377">
        <f t="shared" si="106"/>
        <v>0</v>
      </c>
      <c r="L1377">
        <f t="shared" si="107"/>
        <v>137.5</v>
      </c>
      <c r="M1377" s="1">
        <f t="shared" si="108"/>
        <v>137.5</v>
      </c>
      <c r="N1377" s="1" t="s">
        <v>8</v>
      </c>
      <c r="O1377" s="1">
        <v>7.4</v>
      </c>
    </row>
    <row r="1378" spans="4:15" x14ac:dyDescent="0.3">
      <c r="D1378" s="1">
        <v>3297</v>
      </c>
      <c r="E1378" s="2">
        <v>43771</v>
      </c>
      <c r="F1378" s="1" t="s">
        <v>9</v>
      </c>
      <c r="G1378" s="1">
        <v>40</v>
      </c>
      <c r="H1378" t="str">
        <f t="shared" si="109"/>
        <v>Extra Large</v>
      </c>
      <c r="I1378" t="str">
        <f t="shared" si="105"/>
        <v>Extra Large</v>
      </c>
      <c r="J1378" s="1">
        <v>169.809</v>
      </c>
      <c r="K1378">
        <f t="shared" si="106"/>
        <v>0.01</v>
      </c>
      <c r="L1378">
        <f t="shared" si="107"/>
        <v>168.11090999999999</v>
      </c>
      <c r="M1378" s="1">
        <f t="shared" si="108"/>
        <v>161.809</v>
      </c>
      <c r="N1378" s="1" t="s">
        <v>10</v>
      </c>
      <c r="O1378" s="1">
        <v>8</v>
      </c>
    </row>
    <row r="1379" spans="4:15" x14ac:dyDescent="0.3">
      <c r="D1379" s="1">
        <v>58084</v>
      </c>
      <c r="E1379" s="2">
        <v>43696</v>
      </c>
      <c r="F1379" s="1" t="s">
        <v>14</v>
      </c>
      <c r="G1379" s="1">
        <v>3</v>
      </c>
      <c r="H1379" t="str">
        <f t="shared" si="109"/>
        <v>Mini</v>
      </c>
      <c r="I1379" t="str">
        <f t="shared" si="105"/>
        <v>Mini</v>
      </c>
      <c r="J1379" s="1">
        <v>23.06</v>
      </c>
      <c r="K1379">
        <f t="shared" si="106"/>
        <v>0</v>
      </c>
      <c r="L1379">
        <f t="shared" si="107"/>
        <v>23.06</v>
      </c>
      <c r="M1379" s="1">
        <f t="shared" si="108"/>
        <v>23.06</v>
      </c>
      <c r="N1379" s="1" t="s">
        <v>10</v>
      </c>
      <c r="O1379" s="1">
        <v>0.5</v>
      </c>
    </row>
    <row r="1380" spans="4:15" x14ac:dyDescent="0.3">
      <c r="D1380" s="1">
        <v>24098</v>
      </c>
      <c r="E1380" s="2">
        <v>43572</v>
      </c>
      <c r="F1380" s="1" t="s">
        <v>12</v>
      </c>
      <c r="G1380" s="1">
        <v>10</v>
      </c>
      <c r="H1380" t="str">
        <f t="shared" si="109"/>
        <v>Extra Small</v>
      </c>
      <c r="I1380" t="str">
        <f t="shared" si="105"/>
        <v>Extra Small</v>
      </c>
      <c r="J1380" s="1">
        <v>86.231300000000005</v>
      </c>
      <c r="K1380">
        <f t="shared" si="106"/>
        <v>0</v>
      </c>
      <c r="L1380">
        <f t="shared" si="107"/>
        <v>86.231300000000005</v>
      </c>
      <c r="M1380" s="1">
        <f t="shared" si="108"/>
        <v>86.231300000000005</v>
      </c>
      <c r="N1380" s="1" t="s">
        <v>10</v>
      </c>
      <c r="O1380" s="1">
        <v>6.2</v>
      </c>
    </row>
    <row r="1381" spans="4:15" x14ac:dyDescent="0.3">
      <c r="D1381" s="1">
        <v>40706</v>
      </c>
      <c r="E1381" s="2">
        <v>43485</v>
      </c>
      <c r="F1381" s="1" t="s">
        <v>14</v>
      </c>
      <c r="G1381" s="1">
        <v>40</v>
      </c>
      <c r="H1381" t="str">
        <f t="shared" si="109"/>
        <v>Extra Large</v>
      </c>
      <c r="I1381" t="str">
        <f t="shared" si="105"/>
        <v>Extra Large</v>
      </c>
      <c r="J1381" s="1">
        <v>118.81</v>
      </c>
      <c r="K1381">
        <f t="shared" si="106"/>
        <v>0.01</v>
      </c>
      <c r="L1381">
        <f t="shared" si="107"/>
        <v>117.6219</v>
      </c>
      <c r="M1381" s="1">
        <f t="shared" si="108"/>
        <v>118.31</v>
      </c>
      <c r="N1381" s="1" t="s">
        <v>8</v>
      </c>
      <c r="O1381" s="1">
        <v>0.5</v>
      </c>
    </row>
    <row r="1382" spans="4:15" x14ac:dyDescent="0.3">
      <c r="D1382" s="1">
        <v>6501</v>
      </c>
      <c r="E1382" s="2">
        <v>43477</v>
      </c>
      <c r="F1382" s="1" t="s">
        <v>9</v>
      </c>
      <c r="G1382" s="1">
        <v>35</v>
      </c>
      <c r="H1382" t="str">
        <f t="shared" si="109"/>
        <v>Large</v>
      </c>
      <c r="I1382" t="str">
        <f t="shared" si="105"/>
        <v>Large</v>
      </c>
      <c r="J1382" s="1">
        <v>253.58</v>
      </c>
      <c r="K1382">
        <f t="shared" si="106"/>
        <v>0</v>
      </c>
      <c r="L1382">
        <f t="shared" si="107"/>
        <v>253.58</v>
      </c>
      <c r="M1382" s="1">
        <f t="shared" si="108"/>
        <v>253.58</v>
      </c>
      <c r="N1382" s="1" t="s">
        <v>10</v>
      </c>
      <c r="O1382" s="1">
        <v>7.2</v>
      </c>
    </row>
    <row r="1383" spans="4:15" x14ac:dyDescent="0.3">
      <c r="D1383" s="1">
        <v>21253</v>
      </c>
      <c r="E1383" s="2">
        <v>43572</v>
      </c>
      <c r="F1383" s="1" t="s">
        <v>14</v>
      </c>
      <c r="G1383" s="1">
        <v>5</v>
      </c>
      <c r="H1383" t="str">
        <f t="shared" si="109"/>
        <v>Mini</v>
      </c>
      <c r="I1383" t="str">
        <f t="shared" si="105"/>
        <v>Mini</v>
      </c>
      <c r="J1383" s="1">
        <v>486.94</v>
      </c>
      <c r="K1383">
        <f t="shared" si="106"/>
        <v>0</v>
      </c>
      <c r="L1383">
        <f t="shared" si="107"/>
        <v>486.94</v>
      </c>
      <c r="M1383" s="1">
        <f t="shared" si="108"/>
        <v>486.94</v>
      </c>
      <c r="N1383" s="1" t="s">
        <v>10</v>
      </c>
      <c r="O1383" s="1">
        <v>21.4</v>
      </c>
    </row>
    <row r="1384" spans="4:15" x14ac:dyDescent="0.3">
      <c r="D1384" s="1">
        <v>17508</v>
      </c>
      <c r="E1384" s="2">
        <v>43643</v>
      </c>
      <c r="F1384" s="1" t="s">
        <v>7</v>
      </c>
      <c r="G1384" s="1">
        <v>50</v>
      </c>
      <c r="H1384" t="str">
        <f t="shared" si="109"/>
        <v>XXX Large</v>
      </c>
      <c r="I1384" t="str">
        <f t="shared" si="105"/>
        <v>XXX Large</v>
      </c>
      <c r="J1384" s="1">
        <v>106.02</v>
      </c>
      <c r="K1384">
        <f t="shared" si="106"/>
        <v>0.01</v>
      </c>
      <c r="L1384">
        <f t="shared" si="107"/>
        <v>104.9598</v>
      </c>
      <c r="M1384" s="1">
        <f t="shared" si="108"/>
        <v>105.32</v>
      </c>
      <c r="N1384" s="1" t="s">
        <v>8</v>
      </c>
      <c r="O1384" s="1">
        <v>0.7</v>
      </c>
    </row>
    <row r="1385" spans="4:15" x14ac:dyDescent="0.3">
      <c r="D1385" s="1">
        <v>15236</v>
      </c>
      <c r="E1385" s="2">
        <v>43564</v>
      </c>
      <c r="F1385" s="1" t="s">
        <v>11</v>
      </c>
      <c r="G1385" s="1">
        <v>30</v>
      </c>
      <c r="H1385" t="str">
        <f t="shared" si="109"/>
        <v>Medium-Large</v>
      </c>
      <c r="I1385" t="str">
        <f t="shared" si="105"/>
        <v>Medium-Large</v>
      </c>
      <c r="J1385" s="1">
        <v>408.09</v>
      </c>
      <c r="K1385">
        <f t="shared" si="106"/>
        <v>0</v>
      </c>
      <c r="L1385">
        <f t="shared" si="107"/>
        <v>408.09</v>
      </c>
      <c r="M1385" s="1">
        <f t="shared" si="108"/>
        <v>408.09</v>
      </c>
      <c r="N1385" s="1" t="s">
        <v>8</v>
      </c>
      <c r="O1385" s="1">
        <v>6.6</v>
      </c>
    </row>
    <row r="1386" spans="4:15" x14ac:dyDescent="0.3">
      <c r="D1386" s="1">
        <v>40608</v>
      </c>
      <c r="E1386" s="2">
        <v>43696</v>
      </c>
      <c r="F1386" s="1" t="s">
        <v>11</v>
      </c>
      <c r="G1386" s="1">
        <v>39</v>
      </c>
      <c r="H1386" t="str">
        <f t="shared" si="109"/>
        <v>Extra Large</v>
      </c>
      <c r="I1386" t="str">
        <f t="shared" si="105"/>
        <v>Extra Large</v>
      </c>
      <c r="J1386" s="1">
        <v>239.45529999999999</v>
      </c>
      <c r="K1386">
        <f t="shared" si="106"/>
        <v>0.01</v>
      </c>
      <c r="L1386">
        <f t="shared" si="107"/>
        <v>237.06074699999999</v>
      </c>
      <c r="M1386" s="1">
        <f t="shared" si="108"/>
        <v>233.3553</v>
      </c>
      <c r="N1386" s="1" t="s">
        <v>10</v>
      </c>
      <c r="O1386" s="1">
        <v>6.1</v>
      </c>
    </row>
    <row r="1387" spans="4:15" x14ac:dyDescent="0.3">
      <c r="D1387" s="1">
        <v>43488</v>
      </c>
      <c r="E1387" s="2">
        <v>43634</v>
      </c>
      <c r="F1387" s="1" t="s">
        <v>12</v>
      </c>
      <c r="G1387" s="1">
        <v>28</v>
      </c>
      <c r="H1387" t="str">
        <f t="shared" si="109"/>
        <v>Medium-Large</v>
      </c>
      <c r="I1387" t="str">
        <f t="shared" si="105"/>
        <v>Medium-Large</v>
      </c>
      <c r="J1387" s="1">
        <v>585.63</v>
      </c>
      <c r="K1387">
        <f t="shared" si="106"/>
        <v>0</v>
      </c>
      <c r="L1387">
        <f t="shared" si="107"/>
        <v>585.63</v>
      </c>
      <c r="M1387" s="1">
        <f t="shared" si="108"/>
        <v>585.63</v>
      </c>
      <c r="N1387" s="1" t="s">
        <v>10</v>
      </c>
      <c r="O1387" s="1">
        <v>7.1</v>
      </c>
    </row>
    <row r="1388" spans="4:15" x14ac:dyDescent="0.3">
      <c r="D1388" s="1">
        <v>46368</v>
      </c>
      <c r="E1388" s="2">
        <v>43579</v>
      </c>
      <c r="F1388" s="1" t="s">
        <v>9</v>
      </c>
      <c r="G1388" s="1">
        <v>48</v>
      </c>
      <c r="H1388" t="str">
        <f t="shared" si="109"/>
        <v>XXX Large</v>
      </c>
      <c r="I1388" t="str">
        <f t="shared" si="105"/>
        <v>XXX Large</v>
      </c>
      <c r="J1388" s="1">
        <v>177.76</v>
      </c>
      <c r="K1388">
        <f t="shared" si="106"/>
        <v>0.01</v>
      </c>
      <c r="L1388">
        <f t="shared" si="107"/>
        <v>175.98239999999998</v>
      </c>
      <c r="M1388" s="1">
        <f t="shared" si="108"/>
        <v>173.56</v>
      </c>
      <c r="N1388" s="1" t="s">
        <v>10</v>
      </c>
      <c r="O1388" s="1">
        <v>4.2</v>
      </c>
    </row>
    <row r="1389" spans="4:15" x14ac:dyDescent="0.3">
      <c r="D1389" s="1">
        <v>13633</v>
      </c>
      <c r="E1389" s="2">
        <v>43558</v>
      </c>
      <c r="F1389" s="1" t="s">
        <v>11</v>
      </c>
      <c r="G1389" s="1">
        <v>18</v>
      </c>
      <c r="H1389" t="str">
        <f t="shared" si="109"/>
        <v>Small-Medium</v>
      </c>
      <c r="I1389" t="str">
        <f t="shared" si="105"/>
        <v>Small-Medium</v>
      </c>
      <c r="J1389" s="1">
        <v>2892.61</v>
      </c>
      <c r="K1389">
        <f t="shared" si="106"/>
        <v>0</v>
      </c>
      <c r="L1389">
        <f t="shared" si="107"/>
        <v>2892.61</v>
      </c>
      <c r="M1389" s="1">
        <f t="shared" si="108"/>
        <v>2892.61</v>
      </c>
      <c r="N1389" s="1" t="s">
        <v>13</v>
      </c>
      <c r="O1389" s="1">
        <v>61.2</v>
      </c>
    </row>
    <row r="1390" spans="4:15" x14ac:dyDescent="0.3">
      <c r="D1390" s="1">
        <v>293</v>
      </c>
      <c r="E1390" s="2">
        <v>43739</v>
      </c>
      <c r="F1390" s="1" t="s">
        <v>9</v>
      </c>
      <c r="G1390" s="1">
        <v>27</v>
      </c>
      <c r="H1390" t="str">
        <f t="shared" si="109"/>
        <v>Medium-Large</v>
      </c>
      <c r="I1390" t="str">
        <f t="shared" si="105"/>
        <v>Medium-Large</v>
      </c>
      <c r="J1390" s="1">
        <v>261.69</v>
      </c>
      <c r="K1390">
        <f t="shared" si="106"/>
        <v>0</v>
      </c>
      <c r="L1390">
        <f t="shared" si="107"/>
        <v>261.69</v>
      </c>
      <c r="M1390" s="1">
        <f t="shared" si="108"/>
        <v>261.69</v>
      </c>
      <c r="N1390" s="1" t="s">
        <v>10</v>
      </c>
      <c r="O1390" s="1">
        <v>3.2</v>
      </c>
    </row>
    <row r="1391" spans="4:15" x14ac:dyDescent="0.3">
      <c r="D1391" s="1">
        <v>2885</v>
      </c>
      <c r="E1391" s="2">
        <v>43726</v>
      </c>
      <c r="F1391" s="1" t="s">
        <v>11</v>
      </c>
      <c r="G1391" s="1">
        <v>29</v>
      </c>
      <c r="H1391" t="str">
        <f t="shared" si="109"/>
        <v>Medium-Large</v>
      </c>
      <c r="I1391" t="str">
        <f t="shared" si="105"/>
        <v>Medium-Large</v>
      </c>
      <c r="J1391" s="1">
        <v>211.23</v>
      </c>
      <c r="K1391">
        <f t="shared" si="106"/>
        <v>0</v>
      </c>
      <c r="L1391">
        <f t="shared" si="107"/>
        <v>211.23</v>
      </c>
      <c r="M1391" s="1">
        <f t="shared" si="108"/>
        <v>211.23</v>
      </c>
      <c r="N1391" s="1" t="s">
        <v>10</v>
      </c>
      <c r="O1391" s="1">
        <v>9</v>
      </c>
    </row>
    <row r="1392" spans="4:15" x14ac:dyDescent="0.3">
      <c r="D1392" s="1">
        <v>36229</v>
      </c>
      <c r="E1392" s="2">
        <v>43729</v>
      </c>
      <c r="F1392" s="1" t="s">
        <v>11</v>
      </c>
      <c r="G1392" s="1">
        <v>12</v>
      </c>
      <c r="H1392" t="str">
        <f t="shared" si="109"/>
        <v>Small</v>
      </c>
      <c r="I1392" t="str">
        <f t="shared" si="105"/>
        <v>Small</v>
      </c>
      <c r="J1392" s="1">
        <v>1567.86</v>
      </c>
      <c r="K1392">
        <f t="shared" si="106"/>
        <v>0</v>
      </c>
      <c r="L1392">
        <f t="shared" si="107"/>
        <v>1567.86</v>
      </c>
      <c r="M1392" s="1">
        <f t="shared" si="108"/>
        <v>1567.86</v>
      </c>
      <c r="N1392" s="1" t="s">
        <v>10</v>
      </c>
      <c r="O1392" s="1">
        <v>7.6</v>
      </c>
    </row>
    <row r="1393" spans="4:15" x14ac:dyDescent="0.3">
      <c r="D1393" s="1">
        <v>48576</v>
      </c>
      <c r="E1393" s="2">
        <v>43800</v>
      </c>
      <c r="F1393" s="1" t="s">
        <v>11</v>
      </c>
      <c r="G1393" s="1">
        <v>17</v>
      </c>
      <c r="H1393" t="str">
        <f t="shared" si="109"/>
        <v>Small-Medium</v>
      </c>
      <c r="I1393" t="str">
        <f t="shared" si="105"/>
        <v>Small-Medium</v>
      </c>
      <c r="J1393" s="1">
        <v>497.11130000000003</v>
      </c>
      <c r="K1393">
        <f t="shared" si="106"/>
        <v>0</v>
      </c>
      <c r="L1393">
        <f t="shared" si="107"/>
        <v>497.11130000000003</v>
      </c>
      <c r="M1393" s="1">
        <f t="shared" si="108"/>
        <v>497.11130000000003</v>
      </c>
      <c r="N1393" s="1" t="s">
        <v>10</v>
      </c>
      <c r="O1393" s="1">
        <v>1.6</v>
      </c>
    </row>
    <row r="1394" spans="4:15" x14ac:dyDescent="0.3">
      <c r="D1394" s="1">
        <v>52516</v>
      </c>
      <c r="E1394" s="2">
        <v>43469</v>
      </c>
      <c r="F1394" s="1" t="s">
        <v>9</v>
      </c>
      <c r="G1394" s="1">
        <v>50</v>
      </c>
      <c r="H1394" t="str">
        <f t="shared" si="109"/>
        <v>XXX Large</v>
      </c>
      <c r="I1394" t="str">
        <f t="shared" si="105"/>
        <v>XXX Large</v>
      </c>
      <c r="J1394" s="1">
        <v>5309.39</v>
      </c>
      <c r="K1394">
        <f t="shared" si="106"/>
        <v>0.01</v>
      </c>
      <c r="L1394">
        <f t="shared" si="107"/>
        <v>5256.2961000000005</v>
      </c>
      <c r="M1394" s="1">
        <f t="shared" si="108"/>
        <v>5249.29</v>
      </c>
      <c r="N1394" s="1" t="s">
        <v>13</v>
      </c>
      <c r="O1394" s="1">
        <v>60.1</v>
      </c>
    </row>
    <row r="1395" spans="4:15" x14ac:dyDescent="0.3">
      <c r="D1395" s="1">
        <v>19143</v>
      </c>
      <c r="E1395" s="2">
        <v>43773</v>
      </c>
      <c r="F1395" s="1" t="s">
        <v>9</v>
      </c>
      <c r="G1395" s="1">
        <v>3</v>
      </c>
      <c r="H1395" t="str">
        <f t="shared" si="109"/>
        <v>Mini</v>
      </c>
      <c r="I1395" t="str">
        <f t="shared" si="105"/>
        <v>Mini</v>
      </c>
      <c r="J1395" s="1">
        <v>2590.4899999999998</v>
      </c>
      <c r="K1395">
        <f t="shared" si="106"/>
        <v>0</v>
      </c>
      <c r="L1395">
        <f t="shared" si="107"/>
        <v>2590.4899999999998</v>
      </c>
      <c r="M1395" s="1">
        <f t="shared" si="108"/>
        <v>2590.4899999999998</v>
      </c>
      <c r="N1395" s="1" t="s">
        <v>13</v>
      </c>
      <c r="O1395" s="1">
        <v>17.2</v>
      </c>
    </row>
    <row r="1396" spans="4:15" x14ac:dyDescent="0.3">
      <c r="D1396" s="1">
        <v>59781</v>
      </c>
      <c r="E1396" s="2">
        <v>43811</v>
      </c>
      <c r="F1396" s="1" t="s">
        <v>11</v>
      </c>
      <c r="G1396" s="1">
        <v>24</v>
      </c>
      <c r="H1396" t="str">
        <f t="shared" si="109"/>
        <v>Medium</v>
      </c>
      <c r="I1396" t="str">
        <f t="shared" si="105"/>
        <v>Medium</v>
      </c>
      <c r="J1396" s="1">
        <v>185.24</v>
      </c>
      <c r="K1396">
        <f t="shared" si="106"/>
        <v>0</v>
      </c>
      <c r="L1396">
        <f t="shared" si="107"/>
        <v>185.24</v>
      </c>
      <c r="M1396" s="1">
        <f t="shared" si="108"/>
        <v>185.24</v>
      </c>
      <c r="N1396" s="1" t="s">
        <v>10</v>
      </c>
      <c r="O1396" s="1">
        <v>11.9</v>
      </c>
    </row>
    <row r="1397" spans="4:15" x14ac:dyDescent="0.3">
      <c r="D1397" s="1">
        <v>3333</v>
      </c>
      <c r="E1397" s="2">
        <v>43723</v>
      </c>
      <c r="F1397" s="1" t="s">
        <v>11</v>
      </c>
      <c r="G1397" s="1">
        <v>42</v>
      </c>
      <c r="H1397" t="str">
        <f t="shared" si="109"/>
        <v>XX Large</v>
      </c>
      <c r="I1397" t="str">
        <f t="shared" si="105"/>
        <v>XX Large</v>
      </c>
      <c r="J1397" s="1">
        <v>992.93</v>
      </c>
      <c r="K1397">
        <f t="shared" si="106"/>
        <v>0.01</v>
      </c>
      <c r="L1397">
        <f t="shared" si="107"/>
        <v>983.00069999999994</v>
      </c>
      <c r="M1397" s="1">
        <f t="shared" si="108"/>
        <v>988.13</v>
      </c>
      <c r="N1397" s="1" t="s">
        <v>10</v>
      </c>
      <c r="O1397" s="1">
        <v>4.8</v>
      </c>
    </row>
    <row r="1398" spans="4:15" x14ac:dyDescent="0.3">
      <c r="D1398" s="1">
        <v>24580</v>
      </c>
      <c r="E1398" s="2">
        <v>43639</v>
      </c>
      <c r="F1398" s="1" t="s">
        <v>9</v>
      </c>
      <c r="G1398" s="1">
        <v>25</v>
      </c>
      <c r="H1398" t="str">
        <f t="shared" si="109"/>
        <v>Medium</v>
      </c>
      <c r="I1398" t="str">
        <f t="shared" si="105"/>
        <v>Medium</v>
      </c>
      <c r="J1398" s="1">
        <v>1156.9100000000001</v>
      </c>
      <c r="K1398">
        <f t="shared" si="106"/>
        <v>0</v>
      </c>
      <c r="L1398">
        <f t="shared" si="107"/>
        <v>1156.9100000000001</v>
      </c>
      <c r="M1398" s="1">
        <f t="shared" si="108"/>
        <v>1156.9100000000001</v>
      </c>
      <c r="N1398" s="1" t="s">
        <v>10</v>
      </c>
      <c r="O1398" s="1">
        <v>9.6</v>
      </c>
    </row>
    <row r="1399" spans="4:15" x14ac:dyDescent="0.3">
      <c r="D1399" s="1">
        <v>31297</v>
      </c>
      <c r="E1399" s="2">
        <v>43695</v>
      </c>
      <c r="F1399" s="1" t="s">
        <v>7</v>
      </c>
      <c r="G1399" s="1">
        <v>44</v>
      </c>
      <c r="H1399" t="str">
        <f t="shared" si="109"/>
        <v>XX Large</v>
      </c>
      <c r="I1399" t="str">
        <f t="shared" si="105"/>
        <v>XX Large</v>
      </c>
      <c r="J1399" s="1">
        <v>1690.13</v>
      </c>
      <c r="K1399">
        <f t="shared" si="106"/>
        <v>0.01</v>
      </c>
      <c r="L1399">
        <f t="shared" si="107"/>
        <v>1673.2287000000001</v>
      </c>
      <c r="M1399" s="1">
        <f t="shared" si="108"/>
        <v>1684.8300000000002</v>
      </c>
      <c r="N1399" s="1" t="s">
        <v>10</v>
      </c>
      <c r="O1399" s="1">
        <v>5.3</v>
      </c>
    </row>
    <row r="1400" spans="4:15" x14ac:dyDescent="0.3">
      <c r="D1400" s="1">
        <v>1856</v>
      </c>
      <c r="E1400" s="2">
        <v>43543</v>
      </c>
      <c r="F1400" s="1" t="s">
        <v>11</v>
      </c>
      <c r="G1400" s="1">
        <v>43</v>
      </c>
      <c r="H1400" t="str">
        <f t="shared" si="109"/>
        <v>XX Large</v>
      </c>
      <c r="I1400" t="str">
        <f t="shared" si="105"/>
        <v>XX Large</v>
      </c>
      <c r="J1400" s="1">
        <v>4680.9146000000001</v>
      </c>
      <c r="K1400">
        <f t="shared" si="106"/>
        <v>0.01</v>
      </c>
      <c r="L1400">
        <f t="shared" si="107"/>
        <v>4634.1054540000005</v>
      </c>
      <c r="M1400" s="1">
        <f t="shared" si="108"/>
        <v>4672.3145999999997</v>
      </c>
      <c r="N1400" s="1" t="s">
        <v>10</v>
      </c>
      <c r="O1400" s="1">
        <v>8.6</v>
      </c>
    </row>
    <row r="1401" spans="4:15" x14ac:dyDescent="0.3">
      <c r="D1401" s="1">
        <v>293</v>
      </c>
      <c r="E1401" s="2">
        <v>43739</v>
      </c>
      <c r="F1401" s="1" t="s">
        <v>9</v>
      </c>
      <c r="G1401" s="1">
        <v>49</v>
      </c>
      <c r="H1401" t="str">
        <f t="shared" si="109"/>
        <v>XXX Large</v>
      </c>
      <c r="I1401" t="str">
        <f t="shared" si="105"/>
        <v>XXX Large</v>
      </c>
      <c r="J1401" s="1">
        <v>10831.63</v>
      </c>
      <c r="K1401">
        <f t="shared" si="106"/>
        <v>0.01</v>
      </c>
      <c r="L1401">
        <f t="shared" si="107"/>
        <v>10723.313699999999</v>
      </c>
      <c r="M1401" s="1">
        <f t="shared" si="108"/>
        <v>10758.83</v>
      </c>
      <c r="N1401" s="1" t="s">
        <v>13</v>
      </c>
      <c r="O1401" s="1">
        <v>72.8</v>
      </c>
    </row>
    <row r="1402" spans="4:15" x14ac:dyDescent="0.3">
      <c r="D1402" s="1">
        <v>57093</v>
      </c>
      <c r="E1402" s="2">
        <v>43587</v>
      </c>
      <c r="F1402" s="1" t="s">
        <v>7</v>
      </c>
      <c r="G1402" s="1">
        <v>47</v>
      </c>
      <c r="H1402" t="str">
        <f t="shared" si="109"/>
        <v>XXX Large</v>
      </c>
      <c r="I1402" t="str">
        <f t="shared" si="105"/>
        <v>XXX Large</v>
      </c>
      <c r="J1402" s="1">
        <v>796.76</v>
      </c>
      <c r="K1402">
        <f t="shared" si="106"/>
        <v>0.01</v>
      </c>
      <c r="L1402">
        <f t="shared" si="107"/>
        <v>788.79239999999993</v>
      </c>
      <c r="M1402" s="1">
        <f t="shared" si="108"/>
        <v>790.96</v>
      </c>
      <c r="N1402" s="1" t="s">
        <v>10</v>
      </c>
      <c r="O1402" s="1">
        <v>5.8</v>
      </c>
    </row>
    <row r="1403" spans="4:15" x14ac:dyDescent="0.3">
      <c r="D1403" s="1">
        <v>53984</v>
      </c>
      <c r="E1403" s="2">
        <v>43809</v>
      </c>
      <c r="F1403" s="1" t="s">
        <v>14</v>
      </c>
      <c r="G1403" s="1">
        <v>23</v>
      </c>
      <c r="H1403" t="str">
        <f t="shared" si="109"/>
        <v>Medium</v>
      </c>
      <c r="I1403" t="str">
        <f t="shared" si="105"/>
        <v>Medium</v>
      </c>
      <c r="J1403" s="1">
        <v>185</v>
      </c>
      <c r="K1403">
        <f t="shared" si="106"/>
        <v>0</v>
      </c>
      <c r="L1403">
        <f t="shared" si="107"/>
        <v>185</v>
      </c>
      <c r="M1403" s="1">
        <f t="shared" si="108"/>
        <v>185</v>
      </c>
      <c r="N1403" s="1" t="s">
        <v>10</v>
      </c>
      <c r="O1403" s="1">
        <v>2.1</v>
      </c>
    </row>
    <row r="1404" spans="4:15" x14ac:dyDescent="0.3">
      <c r="D1404" s="1">
        <v>30343</v>
      </c>
      <c r="E1404" s="2">
        <v>43606</v>
      </c>
      <c r="F1404" s="1" t="s">
        <v>12</v>
      </c>
      <c r="G1404" s="1">
        <v>48</v>
      </c>
      <c r="H1404" t="str">
        <f t="shared" si="109"/>
        <v>XXX Large</v>
      </c>
      <c r="I1404" t="str">
        <f t="shared" si="105"/>
        <v>XXX Large</v>
      </c>
      <c r="J1404" s="1">
        <v>1665.37</v>
      </c>
      <c r="K1404">
        <f t="shared" si="106"/>
        <v>0.01</v>
      </c>
      <c r="L1404">
        <f t="shared" si="107"/>
        <v>1648.7162999999998</v>
      </c>
      <c r="M1404" s="1">
        <f t="shared" si="108"/>
        <v>1656.07</v>
      </c>
      <c r="N1404" s="1" t="s">
        <v>10</v>
      </c>
      <c r="O1404" s="1">
        <v>9.3000000000000007</v>
      </c>
    </row>
    <row r="1405" spans="4:15" x14ac:dyDescent="0.3">
      <c r="D1405" s="1">
        <v>17862</v>
      </c>
      <c r="E1405" s="2">
        <v>43592</v>
      </c>
      <c r="F1405" s="1" t="s">
        <v>11</v>
      </c>
      <c r="G1405" s="1">
        <v>31</v>
      </c>
      <c r="H1405" t="str">
        <f t="shared" si="109"/>
        <v>Large</v>
      </c>
      <c r="I1405" t="str">
        <f t="shared" si="105"/>
        <v>Large</v>
      </c>
      <c r="J1405" s="1">
        <v>72.63</v>
      </c>
      <c r="K1405">
        <f t="shared" si="106"/>
        <v>0</v>
      </c>
      <c r="L1405">
        <f t="shared" si="107"/>
        <v>72.63</v>
      </c>
      <c r="M1405" s="1">
        <f t="shared" si="108"/>
        <v>72.63</v>
      </c>
      <c r="N1405" s="1" t="s">
        <v>8</v>
      </c>
      <c r="O1405" s="1">
        <v>0.7</v>
      </c>
    </row>
    <row r="1406" spans="4:15" x14ac:dyDescent="0.3">
      <c r="D1406" s="1">
        <v>35012</v>
      </c>
      <c r="E1406" s="2">
        <v>43624</v>
      </c>
      <c r="F1406" s="1" t="s">
        <v>14</v>
      </c>
      <c r="G1406" s="1">
        <v>11</v>
      </c>
      <c r="H1406" t="str">
        <f t="shared" si="109"/>
        <v>Small</v>
      </c>
      <c r="I1406" t="str">
        <f t="shared" si="105"/>
        <v>Small</v>
      </c>
      <c r="J1406" s="1">
        <v>1894.12</v>
      </c>
      <c r="K1406">
        <f t="shared" si="106"/>
        <v>0</v>
      </c>
      <c r="L1406">
        <f t="shared" si="107"/>
        <v>1894.12</v>
      </c>
      <c r="M1406" s="1">
        <f t="shared" si="108"/>
        <v>1894.12</v>
      </c>
      <c r="N1406" s="1" t="s">
        <v>10</v>
      </c>
      <c r="O1406" s="1">
        <v>4.5</v>
      </c>
    </row>
    <row r="1407" spans="4:15" x14ac:dyDescent="0.3">
      <c r="D1407" s="1">
        <v>16897</v>
      </c>
      <c r="E1407" s="2">
        <v>43631</v>
      </c>
      <c r="F1407" s="1" t="s">
        <v>11</v>
      </c>
      <c r="G1407" s="1">
        <v>48</v>
      </c>
      <c r="H1407" t="str">
        <f t="shared" si="109"/>
        <v>XXX Large</v>
      </c>
      <c r="I1407" t="str">
        <f t="shared" si="105"/>
        <v>XXX Large</v>
      </c>
      <c r="J1407" s="1">
        <v>115.24</v>
      </c>
      <c r="K1407">
        <f t="shared" si="106"/>
        <v>0.01</v>
      </c>
      <c r="L1407">
        <f t="shared" si="107"/>
        <v>114.08759999999999</v>
      </c>
      <c r="M1407" s="1">
        <f t="shared" si="108"/>
        <v>114.14</v>
      </c>
      <c r="N1407" s="1" t="s">
        <v>10</v>
      </c>
      <c r="O1407" s="1">
        <v>1.1000000000000001</v>
      </c>
    </row>
    <row r="1408" spans="4:15" x14ac:dyDescent="0.3">
      <c r="D1408" s="1">
        <v>17061</v>
      </c>
      <c r="E1408" s="2">
        <v>43768</v>
      </c>
      <c r="F1408" s="1" t="s">
        <v>12</v>
      </c>
      <c r="G1408" s="1">
        <v>28</v>
      </c>
      <c r="H1408" t="str">
        <f t="shared" si="109"/>
        <v>Medium-Large</v>
      </c>
      <c r="I1408" t="str">
        <f t="shared" si="105"/>
        <v>Medium-Large</v>
      </c>
      <c r="J1408" s="1">
        <v>86.17</v>
      </c>
      <c r="K1408">
        <f t="shared" si="106"/>
        <v>0</v>
      </c>
      <c r="L1408">
        <f t="shared" si="107"/>
        <v>86.17</v>
      </c>
      <c r="M1408" s="1">
        <f t="shared" si="108"/>
        <v>86.17</v>
      </c>
      <c r="N1408" s="1" t="s">
        <v>10</v>
      </c>
      <c r="O1408" s="1">
        <v>0.7</v>
      </c>
    </row>
    <row r="1409" spans="4:15" x14ac:dyDescent="0.3">
      <c r="D1409" s="1">
        <v>33222</v>
      </c>
      <c r="E1409" s="2">
        <v>43635</v>
      </c>
      <c r="F1409" s="1" t="s">
        <v>14</v>
      </c>
      <c r="G1409" s="1">
        <v>48</v>
      </c>
      <c r="H1409" t="str">
        <f t="shared" si="109"/>
        <v>XXX Large</v>
      </c>
      <c r="I1409" t="str">
        <f t="shared" si="105"/>
        <v>XXX Large</v>
      </c>
      <c r="J1409" s="1">
        <v>155.86000000000001</v>
      </c>
      <c r="K1409">
        <f t="shared" si="106"/>
        <v>0.01</v>
      </c>
      <c r="L1409">
        <f t="shared" si="107"/>
        <v>154.3014</v>
      </c>
      <c r="M1409" s="1">
        <f t="shared" si="108"/>
        <v>155.16000000000003</v>
      </c>
      <c r="N1409" s="1" t="s">
        <v>10</v>
      </c>
      <c r="O1409" s="1">
        <v>0.7</v>
      </c>
    </row>
    <row r="1410" spans="4:15" x14ac:dyDescent="0.3">
      <c r="D1410" s="1">
        <v>17797</v>
      </c>
      <c r="E1410" s="2">
        <v>43656</v>
      </c>
      <c r="F1410" s="1" t="s">
        <v>7</v>
      </c>
      <c r="G1410" s="1">
        <v>16</v>
      </c>
      <c r="H1410" t="str">
        <f t="shared" si="109"/>
        <v>Small-Medium</v>
      </c>
      <c r="I1410" t="str">
        <f t="shared" si="105"/>
        <v>Small-Medium</v>
      </c>
      <c r="J1410" s="1">
        <v>65.83</v>
      </c>
      <c r="K1410">
        <f t="shared" si="106"/>
        <v>0</v>
      </c>
      <c r="L1410">
        <f t="shared" si="107"/>
        <v>65.83</v>
      </c>
      <c r="M1410" s="1">
        <f t="shared" si="108"/>
        <v>65.83</v>
      </c>
      <c r="N1410" s="1" t="s">
        <v>10</v>
      </c>
      <c r="O1410" s="1">
        <v>2.7</v>
      </c>
    </row>
    <row r="1411" spans="4:15" x14ac:dyDescent="0.3">
      <c r="D1411" s="1">
        <v>9312</v>
      </c>
      <c r="E1411" s="2">
        <v>43603</v>
      </c>
      <c r="F1411" s="1" t="s">
        <v>11</v>
      </c>
      <c r="G1411" s="1">
        <v>43</v>
      </c>
      <c r="H1411" t="str">
        <f t="shared" si="109"/>
        <v>XX Large</v>
      </c>
      <c r="I1411" t="str">
        <f t="shared" ref="I1411:I1474" si="110">VLOOKUP(G1411, $A$3:$B$12, 2, TRUE)</f>
        <v>XX Large</v>
      </c>
      <c r="J1411" s="1">
        <v>1241.7885000000001</v>
      </c>
      <c r="K1411">
        <f t="shared" ref="K1411:K1474" si="111">IF(OR(I1411="Extra Large", I1411="XX Large", I1411="XXX Large"), 0.01, 0)</f>
        <v>0.01</v>
      </c>
      <c r="L1411">
        <f t="shared" ref="L1411:L1474" si="112">J1411 * (1 - K1411)</f>
        <v>1229.370615</v>
      </c>
      <c r="M1411" s="1">
        <f t="shared" ref="M1411:M1474" si="113">IF(OR(I1411="Extra Large",I1411="XX Large",I1411="XXX Large"),J1411-O1411,J1411)</f>
        <v>1226.3885</v>
      </c>
      <c r="N1411" s="1" t="s">
        <v>13</v>
      </c>
      <c r="O1411" s="1">
        <v>15.4</v>
      </c>
    </row>
    <row r="1412" spans="4:15" x14ac:dyDescent="0.3">
      <c r="D1412" s="1">
        <v>37313</v>
      </c>
      <c r="E1412" s="2">
        <v>43648</v>
      </c>
      <c r="F1412" s="1" t="s">
        <v>11</v>
      </c>
      <c r="G1412" s="1">
        <v>44</v>
      </c>
      <c r="H1412" t="str">
        <f t="shared" si="109"/>
        <v>XX Large</v>
      </c>
      <c r="I1412" t="str">
        <f t="shared" si="110"/>
        <v>XX Large</v>
      </c>
      <c r="J1412" s="1">
        <v>3535.69</v>
      </c>
      <c r="K1412">
        <f t="shared" si="111"/>
        <v>0.01</v>
      </c>
      <c r="L1412">
        <f t="shared" si="112"/>
        <v>3500.3330999999998</v>
      </c>
      <c r="M1412" s="1">
        <f t="shared" si="113"/>
        <v>3495.4900000000002</v>
      </c>
      <c r="N1412" s="1" t="s">
        <v>10</v>
      </c>
      <c r="O1412" s="1">
        <v>40.200000000000003</v>
      </c>
    </row>
    <row r="1413" spans="4:15" x14ac:dyDescent="0.3">
      <c r="D1413" s="1">
        <v>23619</v>
      </c>
      <c r="E1413" s="2">
        <v>43820</v>
      </c>
      <c r="F1413" s="1" t="s">
        <v>14</v>
      </c>
      <c r="G1413" s="1">
        <v>45</v>
      </c>
      <c r="H1413" t="str">
        <f t="shared" ref="H1413:H1476" si="114">VLOOKUP(G1413, $A$3:$B$12, 2, TRUE)</f>
        <v>XX Large</v>
      </c>
      <c r="I1413" t="str">
        <f t="shared" si="110"/>
        <v>XX Large</v>
      </c>
      <c r="J1413" s="1">
        <v>305.92</v>
      </c>
      <c r="K1413">
        <f t="shared" si="111"/>
        <v>0.01</v>
      </c>
      <c r="L1413">
        <f t="shared" si="112"/>
        <v>302.86080000000004</v>
      </c>
      <c r="M1413" s="1">
        <f t="shared" si="113"/>
        <v>300.32</v>
      </c>
      <c r="N1413" s="1" t="s">
        <v>10</v>
      </c>
      <c r="O1413" s="1">
        <v>5.6</v>
      </c>
    </row>
    <row r="1414" spans="4:15" x14ac:dyDescent="0.3">
      <c r="D1414" s="1">
        <v>37185</v>
      </c>
      <c r="E1414" s="2">
        <v>43769</v>
      </c>
      <c r="F1414" s="1" t="s">
        <v>9</v>
      </c>
      <c r="G1414" s="1">
        <v>8</v>
      </c>
      <c r="H1414" t="str">
        <f t="shared" si="114"/>
        <v>Extra Small</v>
      </c>
      <c r="I1414" t="str">
        <f t="shared" si="110"/>
        <v>Extra Small</v>
      </c>
      <c r="J1414" s="1">
        <v>24.813300000000002</v>
      </c>
      <c r="K1414">
        <f t="shared" si="111"/>
        <v>0</v>
      </c>
      <c r="L1414">
        <f t="shared" si="112"/>
        <v>24.813300000000002</v>
      </c>
      <c r="M1414" s="1">
        <f t="shared" si="113"/>
        <v>24.813300000000002</v>
      </c>
      <c r="N1414" s="1" t="s">
        <v>10</v>
      </c>
      <c r="O1414" s="1">
        <v>2.6</v>
      </c>
    </row>
    <row r="1415" spans="4:15" x14ac:dyDescent="0.3">
      <c r="D1415" s="1">
        <v>59075</v>
      </c>
      <c r="E1415" s="2">
        <v>43521</v>
      </c>
      <c r="F1415" s="1" t="s">
        <v>7</v>
      </c>
      <c r="G1415" s="1">
        <v>4</v>
      </c>
      <c r="H1415" t="str">
        <f t="shared" si="114"/>
        <v>Mini</v>
      </c>
      <c r="I1415" t="str">
        <f t="shared" si="110"/>
        <v>Mini</v>
      </c>
      <c r="J1415" s="1">
        <v>23.37</v>
      </c>
      <c r="K1415">
        <f t="shared" si="111"/>
        <v>0</v>
      </c>
      <c r="L1415">
        <f t="shared" si="112"/>
        <v>23.37</v>
      </c>
      <c r="M1415" s="1">
        <f t="shared" si="113"/>
        <v>23.37</v>
      </c>
      <c r="N1415" s="1" t="s">
        <v>10</v>
      </c>
      <c r="O1415" s="1">
        <v>2.6</v>
      </c>
    </row>
    <row r="1416" spans="4:15" x14ac:dyDescent="0.3">
      <c r="D1416" s="1">
        <v>12837</v>
      </c>
      <c r="E1416" s="2">
        <v>43801</v>
      </c>
      <c r="F1416" s="1" t="s">
        <v>14</v>
      </c>
      <c r="G1416" s="1">
        <v>22</v>
      </c>
      <c r="H1416" t="str">
        <f t="shared" si="114"/>
        <v>Medium</v>
      </c>
      <c r="I1416" t="str">
        <f t="shared" si="110"/>
        <v>Medium</v>
      </c>
      <c r="J1416" s="1">
        <v>70.819999999999993</v>
      </c>
      <c r="K1416">
        <f t="shared" si="111"/>
        <v>0</v>
      </c>
      <c r="L1416">
        <f t="shared" si="112"/>
        <v>70.819999999999993</v>
      </c>
      <c r="M1416" s="1">
        <f t="shared" si="113"/>
        <v>70.819999999999993</v>
      </c>
      <c r="N1416" s="1" t="s">
        <v>10</v>
      </c>
      <c r="O1416" s="1">
        <v>1.1000000000000001</v>
      </c>
    </row>
    <row r="1417" spans="4:15" x14ac:dyDescent="0.3">
      <c r="D1417" s="1">
        <v>32994</v>
      </c>
      <c r="E1417" s="2">
        <v>43724</v>
      </c>
      <c r="F1417" s="1" t="s">
        <v>12</v>
      </c>
      <c r="G1417" s="1">
        <v>34</v>
      </c>
      <c r="H1417" t="str">
        <f t="shared" si="114"/>
        <v>Large</v>
      </c>
      <c r="I1417" t="str">
        <f t="shared" si="110"/>
        <v>Large</v>
      </c>
      <c r="J1417" s="1">
        <v>242.26</v>
      </c>
      <c r="K1417">
        <f t="shared" si="111"/>
        <v>0</v>
      </c>
      <c r="L1417">
        <f t="shared" si="112"/>
        <v>242.26</v>
      </c>
      <c r="M1417" s="1">
        <f t="shared" si="113"/>
        <v>242.26</v>
      </c>
      <c r="N1417" s="1" t="s">
        <v>10</v>
      </c>
      <c r="O1417" s="1">
        <v>9.3000000000000007</v>
      </c>
    </row>
    <row r="1418" spans="4:15" x14ac:dyDescent="0.3">
      <c r="D1418" s="1">
        <v>31042</v>
      </c>
      <c r="E1418" s="2">
        <v>43788</v>
      </c>
      <c r="F1418" s="1" t="s">
        <v>14</v>
      </c>
      <c r="G1418" s="1">
        <v>48</v>
      </c>
      <c r="H1418" t="str">
        <f t="shared" si="114"/>
        <v>XXX Large</v>
      </c>
      <c r="I1418" t="str">
        <f t="shared" si="110"/>
        <v>XXX Large</v>
      </c>
      <c r="J1418" s="1">
        <v>143.94</v>
      </c>
      <c r="K1418">
        <f t="shared" si="111"/>
        <v>0.01</v>
      </c>
      <c r="L1418">
        <f t="shared" si="112"/>
        <v>142.50059999999999</v>
      </c>
      <c r="M1418" s="1">
        <f t="shared" si="113"/>
        <v>142.63999999999999</v>
      </c>
      <c r="N1418" s="1" t="s">
        <v>10</v>
      </c>
      <c r="O1418" s="1">
        <v>1.3</v>
      </c>
    </row>
    <row r="1419" spans="4:15" x14ac:dyDescent="0.3">
      <c r="D1419" s="1">
        <v>47846</v>
      </c>
      <c r="E1419" s="2">
        <v>43688</v>
      </c>
      <c r="F1419" s="1" t="s">
        <v>9</v>
      </c>
      <c r="G1419" s="1">
        <v>25</v>
      </c>
      <c r="H1419" t="str">
        <f t="shared" si="114"/>
        <v>Medium</v>
      </c>
      <c r="I1419" t="str">
        <f t="shared" si="110"/>
        <v>Medium</v>
      </c>
      <c r="J1419" s="1">
        <v>2861.3726000000001</v>
      </c>
      <c r="K1419">
        <f t="shared" si="111"/>
        <v>0</v>
      </c>
      <c r="L1419">
        <f t="shared" si="112"/>
        <v>2861.3726000000001</v>
      </c>
      <c r="M1419" s="1">
        <f t="shared" si="113"/>
        <v>2861.3726000000001</v>
      </c>
      <c r="N1419" s="1" t="s">
        <v>10</v>
      </c>
      <c r="O1419" s="1">
        <v>15</v>
      </c>
    </row>
    <row r="1420" spans="4:15" x14ac:dyDescent="0.3">
      <c r="D1420" s="1">
        <v>52130</v>
      </c>
      <c r="E1420" s="2">
        <v>43713</v>
      </c>
      <c r="F1420" s="1" t="s">
        <v>7</v>
      </c>
      <c r="G1420" s="1">
        <v>36</v>
      </c>
      <c r="H1420" t="str">
        <f t="shared" si="114"/>
        <v>Extra Large</v>
      </c>
      <c r="I1420" t="str">
        <f t="shared" si="110"/>
        <v>Extra Large</v>
      </c>
      <c r="J1420" s="1">
        <v>1537.11</v>
      </c>
      <c r="K1420">
        <f t="shared" si="111"/>
        <v>0.01</v>
      </c>
      <c r="L1420">
        <f t="shared" si="112"/>
        <v>1521.7388999999998</v>
      </c>
      <c r="M1420" s="1">
        <f t="shared" si="113"/>
        <v>1516.81</v>
      </c>
      <c r="N1420" s="1" t="s">
        <v>10</v>
      </c>
      <c r="O1420" s="1">
        <v>20.3</v>
      </c>
    </row>
    <row r="1421" spans="4:15" x14ac:dyDescent="0.3">
      <c r="D1421" s="1">
        <v>39490</v>
      </c>
      <c r="E1421" s="2">
        <v>43689</v>
      </c>
      <c r="F1421" s="1" t="s">
        <v>7</v>
      </c>
      <c r="G1421" s="1">
        <v>38</v>
      </c>
      <c r="H1421" t="str">
        <f t="shared" si="114"/>
        <v>Extra Large</v>
      </c>
      <c r="I1421" t="str">
        <f t="shared" si="110"/>
        <v>Extra Large</v>
      </c>
      <c r="J1421" s="1">
        <v>487.95</v>
      </c>
      <c r="K1421">
        <f t="shared" si="111"/>
        <v>0.01</v>
      </c>
      <c r="L1421">
        <f t="shared" si="112"/>
        <v>483.07049999999998</v>
      </c>
      <c r="M1421" s="1">
        <f t="shared" si="113"/>
        <v>481.75</v>
      </c>
      <c r="N1421" s="1" t="s">
        <v>10</v>
      </c>
      <c r="O1421" s="1">
        <v>6.2</v>
      </c>
    </row>
    <row r="1422" spans="4:15" x14ac:dyDescent="0.3">
      <c r="D1422" s="1">
        <v>27299</v>
      </c>
      <c r="E1422" s="2">
        <v>43682</v>
      </c>
      <c r="F1422" s="1" t="s">
        <v>12</v>
      </c>
      <c r="G1422" s="1">
        <v>41</v>
      </c>
      <c r="H1422" t="str">
        <f t="shared" si="114"/>
        <v>XX Large</v>
      </c>
      <c r="I1422" t="str">
        <f t="shared" si="110"/>
        <v>XX Large</v>
      </c>
      <c r="J1422" s="1">
        <v>858.31</v>
      </c>
      <c r="K1422">
        <f t="shared" si="111"/>
        <v>0.01</v>
      </c>
      <c r="L1422">
        <f t="shared" si="112"/>
        <v>849.72689999999989</v>
      </c>
      <c r="M1422" s="1">
        <f t="shared" si="113"/>
        <v>842.41</v>
      </c>
      <c r="N1422" s="1" t="s">
        <v>10</v>
      </c>
      <c r="O1422" s="1">
        <v>15.9</v>
      </c>
    </row>
    <row r="1423" spans="4:15" x14ac:dyDescent="0.3">
      <c r="D1423" s="1">
        <v>38532</v>
      </c>
      <c r="E1423" s="2">
        <v>43663</v>
      </c>
      <c r="F1423" s="1" t="s">
        <v>9</v>
      </c>
      <c r="G1423" s="1">
        <v>44</v>
      </c>
      <c r="H1423" t="str">
        <f t="shared" si="114"/>
        <v>XX Large</v>
      </c>
      <c r="I1423" t="str">
        <f t="shared" si="110"/>
        <v>XX Large</v>
      </c>
      <c r="J1423" s="1">
        <v>137.19999999999999</v>
      </c>
      <c r="K1423">
        <f t="shared" si="111"/>
        <v>0.01</v>
      </c>
      <c r="L1423">
        <f t="shared" si="112"/>
        <v>135.82799999999997</v>
      </c>
      <c r="M1423" s="1">
        <f t="shared" si="113"/>
        <v>136.5</v>
      </c>
      <c r="N1423" s="1" t="s">
        <v>10</v>
      </c>
      <c r="O1423" s="1">
        <v>0.7</v>
      </c>
    </row>
    <row r="1424" spans="4:15" x14ac:dyDescent="0.3">
      <c r="D1424" s="1">
        <v>52290</v>
      </c>
      <c r="E1424" s="2">
        <v>43606</v>
      </c>
      <c r="F1424" s="1" t="s">
        <v>7</v>
      </c>
      <c r="G1424" s="1">
        <v>28</v>
      </c>
      <c r="H1424" t="str">
        <f t="shared" si="114"/>
        <v>Medium-Large</v>
      </c>
      <c r="I1424" t="str">
        <f t="shared" si="110"/>
        <v>Medium-Large</v>
      </c>
      <c r="J1424" s="1">
        <v>1572.95</v>
      </c>
      <c r="K1424">
        <f t="shared" si="111"/>
        <v>0</v>
      </c>
      <c r="L1424">
        <f t="shared" si="112"/>
        <v>1572.95</v>
      </c>
      <c r="M1424" s="1">
        <f t="shared" si="113"/>
        <v>1572.95</v>
      </c>
      <c r="N1424" s="1" t="s">
        <v>10</v>
      </c>
      <c r="O1424" s="1">
        <v>5.3</v>
      </c>
    </row>
    <row r="1425" spans="4:15" x14ac:dyDescent="0.3">
      <c r="D1425" s="1">
        <v>59491</v>
      </c>
      <c r="E1425" s="2">
        <v>43548</v>
      </c>
      <c r="F1425" s="1" t="s">
        <v>9</v>
      </c>
      <c r="G1425" s="1">
        <v>6</v>
      </c>
      <c r="H1425" t="str">
        <f t="shared" si="114"/>
        <v>Extra Small</v>
      </c>
      <c r="I1425" t="str">
        <f t="shared" si="110"/>
        <v>Extra Small</v>
      </c>
      <c r="J1425" s="1">
        <v>61.95</v>
      </c>
      <c r="K1425">
        <f t="shared" si="111"/>
        <v>0</v>
      </c>
      <c r="L1425">
        <f t="shared" si="112"/>
        <v>61.95</v>
      </c>
      <c r="M1425" s="1">
        <f t="shared" si="113"/>
        <v>61.95</v>
      </c>
      <c r="N1425" s="1" t="s">
        <v>10</v>
      </c>
      <c r="O1425" s="1">
        <v>12.3</v>
      </c>
    </row>
    <row r="1426" spans="4:15" x14ac:dyDescent="0.3">
      <c r="D1426" s="1">
        <v>58369</v>
      </c>
      <c r="E1426" s="2">
        <v>43707</v>
      </c>
      <c r="F1426" s="1" t="s">
        <v>9</v>
      </c>
      <c r="G1426" s="1">
        <v>16</v>
      </c>
      <c r="H1426" t="str">
        <f t="shared" si="114"/>
        <v>Small-Medium</v>
      </c>
      <c r="I1426" t="str">
        <f t="shared" si="110"/>
        <v>Small-Medium</v>
      </c>
      <c r="J1426" s="1">
        <v>2154.77</v>
      </c>
      <c r="K1426">
        <f t="shared" si="111"/>
        <v>0</v>
      </c>
      <c r="L1426">
        <f t="shared" si="112"/>
        <v>2154.77</v>
      </c>
      <c r="M1426" s="1">
        <f t="shared" si="113"/>
        <v>2154.77</v>
      </c>
      <c r="N1426" s="1" t="s">
        <v>13</v>
      </c>
      <c r="O1426" s="1">
        <v>60.1</v>
      </c>
    </row>
    <row r="1427" spans="4:15" x14ac:dyDescent="0.3">
      <c r="D1427" s="1">
        <v>8035</v>
      </c>
      <c r="E1427" s="2">
        <v>43525</v>
      </c>
      <c r="F1427" s="1" t="s">
        <v>14</v>
      </c>
      <c r="G1427" s="1">
        <v>7</v>
      </c>
      <c r="H1427" t="str">
        <f t="shared" si="114"/>
        <v>Extra Small</v>
      </c>
      <c r="I1427" t="str">
        <f t="shared" si="110"/>
        <v>Extra Small</v>
      </c>
      <c r="J1427" s="1">
        <v>111.69</v>
      </c>
      <c r="K1427">
        <f t="shared" si="111"/>
        <v>0</v>
      </c>
      <c r="L1427">
        <f t="shared" si="112"/>
        <v>111.69</v>
      </c>
      <c r="M1427" s="1">
        <f t="shared" si="113"/>
        <v>111.69</v>
      </c>
      <c r="N1427" s="1" t="s">
        <v>10</v>
      </c>
      <c r="O1427" s="1">
        <v>7.2</v>
      </c>
    </row>
    <row r="1428" spans="4:15" x14ac:dyDescent="0.3">
      <c r="D1428" s="1">
        <v>19394</v>
      </c>
      <c r="E1428" s="2">
        <v>43824</v>
      </c>
      <c r="F1428" s="1" t="s">
        <v>14</v>
      </c>
      <c r="G1428" s="1">
        <v>5</v>
      </c>
      <c r="H1428" t="str">
        <f t="shared" si="114"/>
        <v>Mini</v>
      </c>
      <c r="I1428" t="str">
        <f t="shared" si="110"/>
        <v>Mini</v>
      </c>
      <c r="J1428" s="1">
        <v>576.95000000000005</v>
      </c>
      <c r="K1428">
        <f t="shared" si="111"/>
        <v>0</v>
      </c>
      <c r="L1428">
        <f t="shared" si="112"/>
        <v>576.95000000000005</v>
      </c>
      <c r="M1428" s="1">
        <f t="shared" si="113"/>
        <v>576.95000000000005</v>
      </c>
      <c r="N1428" s="1" t="s">
        <v>10</v>
      </c>
      <c r="O1428" s="1">
        <v>9.4</v>
      </c>
    </row>
    <row r="1429" spans="4:15" x14ac:dyDescent="0.3">
      <c r="D1429" s="1">
        <v>24707</v>
      </c>
      <c r="E1429" s="2">
        <v>43534</v>
      </c>
      <c r="F1429" s="1" t="s">
        <v>14</v>
      </c>
      <c r="G1429" s="1">
        <v>14</v>
      </c>
      <c r="H1429" t="str">
        <f t="shared" si="114"/>
        <v>Small</v>
      </c>
      <c r="I1429" t="str">
        <f t="shared" si="110"/>
        <v>Small</v>
      </c>
      <c r="J1429" s="1">
        <v>2098.69</v>
      </c>
      <c r="K1429">
        <f t="shared" si="111"/>
        <v>0</v>
      </c>
      <c r="L1429">
        <f t="shared" si="112"/>
        <v>2098.69</v>
      </c>
      <c r="M1429" s="1">
        <f t="shared" si="113"/>
        <v>2098.69</v>
      </c>
      <c r="N1429" s="1" t="s">
        <v>10</v>
      </c>
      <c r="O1429" s="1">
        <v>26.2</v>
      </c>
    </row>
    <row r="1430" spans="4:15" x14ac:dyDescent="0.3">
      <c r="D1430" s="1">
        <v>24677</v>
      </c>
      <c r="E1430" s="2">
        <v>43529</v>
      </c>
      <c r="F1430" s="1" t="s">
        <v>7</v>
      </c>
      <c r="G1430" s="1">
        <v>44</v>
      </c>
      <c r="H1430" t="str">
        <f t="shared" si="114"/>
        <v>XX Large</v>
      </c>
      <c r="I1430" t="str">
        <f t="shared" si="110"/>
        <v>XX Large</v>
      </c>
      <c r="J1430" s="1">
        <v>389.91</v>
      </c>
      <c r="K1430">
        <f t="shared" si="111"/>
        <v>0.01</v>
      </c>
      <c r="L1430">
        <f t="shared" si="112"/>
        <v>386.01090000000005</v>
      </c>
      <c r="M1430" s="1">
        <f t="shared" si="113"/>
        <v>387.81</v>
      </c>
      <c r="N1430" s="1" t="s">
        <v>10</v>
      </c>
      <c r="O1430" s="1">
        <v>2.1</v>
      </c>
    </row>
    <row r="1431" spans="4:15" x14ac:dyDescent="0.3">
      <c r="D1431" s="1">
        <v>16935</v>
      </c>
      <c r="E1431" s="2">
        <v>43814</v>
      </c>
      <c r="F1431" s="1" t="s">
        <v>11</v>
      </c>
      <c r="G1431" s="1">
        <v>3</v>
      </c>
      <c r="H1431" t="str">
        <f t="shared" si="114"/>
        <v>Mini</v>
      </c>
      <c r="I1431" t="str">
        <f t="shared" si="110"/>
        <v>Mini</v>
      </c>
      <c r="J1431" s="1">
        <v>15.77</v>
      </c>
      <c r="K1431">
        <f t="shared" si="111"/>
        <v>0</v>
      </c>
      <c r="L1431">
        <f t="shared" si="112"/>
        <v>15.77</v>
      </c>
      <c r="M1431" s="1">
        <f t="shared" si="113"/>
        <v>15.77</v>
      </c>
      <c r="N1431" s="1" t="s">
        <v>10</v>
      </c>
      <c r="O1431" s="1">
        <v>1.3</v>
      </c>
    </row>
    <row r="1432" spans="4:15" x14ac:dyDescent="0.3">
      <c r="D1432" s="1">
        <v>1285</v>
      </c>
      <c r="E1432" s="2">
        <v>43616</v>
      </c>
      <c r="F1432" s="1" t="s">
        <v>12</v>
      </c>
      <c r="G1432" s="1">
        <v>8</v>
      </c>
      <c r="H1432" t="str">
        <f t="shared" si="114"/>
        <v>Extra Small</v>
      </c>
      <c r="I1432" t="str">
        <f t="shared" si="110"/>
        <v>Extra Small</v>
      </c>
      <c r="J1432" s="1">
        <v>1553.87</v>
      </c>
      <c r="K1432">
        <f t="shared" si="111"/>
        <v>0</v>
      </c>
      <c r="L1432">
        <f t="shared" si="112"/>
        <v>1553.87</v>
      </c>
      <c r="M1432" s="1">
        <f t="shared" si="113"/>
        <v>1553.87</v>
      </c>
      <c r="N1432" s="1" t="s">
        <v>13</v>
      </c>
      <c r="O1432" s="1">
        <v>74.5</v>
      </c>
    </row>
    <row r="1433" spans="4:15" x14ac:dyDescent="0.3">
      <c r="D1433" s="1">
        <v>49344</v>
      </c>
      <c r="E1433" s="2">
        <v>43829</v>
      </c>
      <c r="F1433" s="1" t="s">
        <v>7</v>
      </c>
      <c r="G1433" s="1">
        <v>31</v>
      </c>
      <c r="H1433" t="str">
        <f t="shared" si="114"/>
        <v>Large</v>
      </c>
      <c r="I1433" t="str">
        <f t="shared" si="110"/>
        <v>Large</v>
      </c>
      <c r="J1433" s="1">
        <v>720.04</v>
      </c>
      <c r="K1433">
        <f t="shared" si="111"/>
        <v>0</v>
      </c>
      <c r="L1433">
        <f t="shared" si="112"/>
        <v>720.04</v>
      </c>
      <c r="M1433" s="1">
        <f t="shared" si="113"/>
        <v>720.04</v>
      </c>
      <c r="N1433" s="1" t="s">
        <v>10</v>
      </c>
      <c r="O1433" s="1">
        <v>4.3</v>
      </c>
    </row>
    <row r="1434" spans="4:15" x14ac:dyDescent="0.3">
      <c r="D1434" s="1">
        <v>322</v>
      </c>
      <c r="E1434" s="2">
        <v>43542</v>
      </c>
      <c r="F1434" s="1" t="s">
        <v>12</v>
      </c>
      <c r="G1434" s="1">
        <v>46</v>
      </c>
      <c r="H1434" t="str">
        <f t="shared" si="114"/>
        <v>XXX Large</v>
      </c>
      <c r="I1434" t="str">
        <f t="shared" si="110"/>
        <v>XXX Large</v>
      </c>
      <c r="J1434" s="1">
        <v>300.67</v>
      </c>
      <c r="K1434">
        <f t="shared" si="111"/>
        <v>0.01</v>
      </c>
      <c r="L1434">
        <f t="shared" si="112"/>
        <v>297.66329999999999</v>
      </c>
      <c r="M1434" s="1">
        <f t="shared" si="113"/>
        <v>289.87</v>
      </c>
      <c r="N1434" s="1" t="s">
        <v>10</v>
      </c>
      <c r="O1434" s="1">
        <v>10.8</v>
      </c>
    </row>
    <row r="1435" spans="4:15" x14ac:dyDescent="0.3">
      <c r="D1435" s="1">
        <v>36864</v>
      </c>
      <c r="E1435" s="2">
        <v>43675</v>
      </c>
      <c r="F1435" s="1" t="s">
        <v>7</v>
      </c>
      <c r="G1435" s="1">
        <v>9</v>
      </c>
      <c r="H1435" t="str">
        <f t="shared" si="114"/>
        <v>Extra Small</v>
      </c>
      <c r="I1435" t="str">
        <f t="shared" si="110"/>
        <v>Extra Small</v>
      </c>
      <c r="J1435" s="1">
        <v>59.37</v>
      </c>
      <c r="K1435">
        <f t="shared" si="111"/>
        <v>0</v>
      </c>
      <c r="L1435">
        <f t="shared" si="112"/>
        <v>59.37</v>
      </c>
      <c r="M1435" s="1">
        <f t="shared" si="113"/>
        <v>59.37</v>
      </c>
      <c r="N1435" s="1" t="s">
        <v>10</v>
      </c>
      <c r="O1435" s="1">
        <v>1</v>
      </c>
    </row>
    <row r="1436" spans="4:15" x14ac:dyDescent="0.3">
      <c r="D1436" s="1">
        <v>33284</v>
      </c>
      <c r="E1436" s="2">
        <v>43555</v>
      </c>
      <c r="F1436" s="1" t="s">
        <v>7</v>
      </c>
      <c r="G1436" s="1">
        <v>21</v>
      </c>
      <c r="H1436" t="str">
        <f t="shared" si="114"/>
        <v>Medium</v>
      </c>
      <c r="I1436" t="str">
        <f t="shared" si="110"/>
        <v>Medium</v>
      </c>
      <c r="J1436" s="1">
        <v>514.02</v>
      </c>
      <c r="K1436">
        <f t="shared" si="111"/>
        <v>0</v>
      </c>
      <c r="L1436">
        <f t="shared" si="112"/>
        <v>514.02</v>
      </c>
      <c r="M1436" s="1">
        <f t="shared" si="113"/>
        <v>514.02</v>
      </c>
      <c r="N1436" s="1" t="s">
        <v>10</v>
      </c>
      <c r="O1436" s="1">
        <v>9.6</v>
      </c>
    </row>
    <row r="1437" spans="4:15" x14ac:dyDescent="0.3">
      <c r="D1437" s="1">
        <v>24580</v>
      </c>
      <c r="E1437" s="2">
        <v>43639</v>
      </c>
      <c r="F1437" s="1" t="s">
        <v>9</v>
      </c>
      <c r="G1437" s="1">
        <v>14</v>
      </c>
      <c r="H1437" t="str">
        <f t="shared" si="114"/>
        <v>Small</v>
      </c>
      <c r="I1437" t="str">
        <f t="shared" si="110"/>
        <v>Small</v>
      </c>
      <c r="J1437" s="1">
        <v>38.96</v>
      </c>
      <c r="K1437">
        <f t="shared" si="111"/>
        <v>0</v>
      </c>
      <c r="L1437">
        <f t="shared" si="112"/>
        <v>38.96</v>
      </c>
      <c r="M1437" s="1">
        <f t="shared" si="113"/>
        <v>38.96</v>
      </c>
      <c r="N1437" s="1" t="s">
        <v>10</v>
      </c>
      <c r="O1437" s="1">
        <v>4.9000000000000004</v>
      </c>
    </row>
    <row r="1438" spans="4:15" x14ac:dyDescent="0.3">
      <c r="D1438" s="1">
        <v>9281</v>
      </c>
      <c r="E1438" s="2">
        <v>43518</v>
      </c>
      <c r="F1438" s="1" t="s">
        <v>12</v>
      </c>
      <c r="G1438" s="1">
        <v>24</v>
      </c>
      <c r="H1438" t="str">
        <f t="shared" si="114"/>
        <v>Medium</v>
      </c>
      <c r="I1438" t="str">
        <f t="shared" si="110"/>
        <v>Medium</v>
      </c>
      <c r="J1438" s="1">
        <v>73.8</v>
      </c>
      <c r="K1438">
        <f t="shared" si="111"/>
        <v>0</v>
      </c>
      <c r="L1438">
        <f t="shared" si="112"/>
        <v>73.8</v>
      </c>
      <c r="M1438" s="1">
        <f t="shared" si="113"/>
        <v>73.8</v>
      </c>
      <c r="N1438" s="1" t="s">
        <v>10</v>
      </c>
      <c r="O1438" s="1">
        <v>1</v>
      </c>
    </row>
    <row r="1439" spans="4:15" x14ac:dyDescent="0.3">
      <c r="D1439" s="1">
        <v>2209</v>
      </c>
      <c r="E1439" s="2">
        <v>43655</v>
      </c>
      <c r="F1439" s="1" t="s">
        <v>9</v>
      </c>
      <c r="G1439" s="1">
        <v>42</v>
      </c>
      <c r="H1439" t="str">
        <f t="shared" si="114"/>
        <v>XX Large</v>
      </c>
      <c r="I1439" t="str">
        <f t="shared" si="110"/>
        <v>XX Large</v>
      </c>
      <c r="J1439" s="1">
        <v>186.81</v>
      </c>
      <c r="K1439">
        <f t="shared" si="111"/>
        <v>0.01</v>
      </c>
      <c r="L1439">
        <f t="shared" si="112"/>
        <v>184.9419</v>
      </c>
      <c r="M1439" s="1">
        <f t="shared" si="113"/>
        <v>185.81</v>
      </c>
      <c r="N1439" s="1" t="s">
        <v>10</v>
      </c>
      <c r="O1439" s="1">
        <v>1</v>
      </c>
    </row>
    <row r="1440" spans="4:15" x14ac:dyDescent="0.3">
      <c r="D1440" s="1">
        <v>9573</v>
      </c>
      <c r="E1440" s="2">
        <v>43629</v>
      </c>
      <c r="F1440" s="1" t="s">
        <v>14</v>
      </c>
      <c r="G1440" s="1">
        <v>21</v>
      </c>
      <c r="H1440" t="str">
        <f t="shared" si="114"/>
        <v>Medium</v>
      </c>
      <c r="I1440" t="str">
        <f t="shared" si="110"/>
        <v>Medium</v>
      </c>
      <c r="J1440" s="1">
        <v>156.49</v>
      </c>
      <c r="K1440">
        <f t="shared" si="111"/>
        <v>0</v>
      </c>
      <c r="L1440">
        <f t="shared" si="112"/>
        <v>156.49</v>
      </c>
      <c r="M1440" s="1">
        <f t="shared" si="113"/>
        <v>156.49</v>
      </c>
      <c r="N1440" s="1" t="s">
        <v>8</v>
      </c>
      <c r="O1440" s="1">
        <v>1.1000000000000001</v>
      </c>
    </row>
    <row r="1441" spans="4:15" x14ac:dyDescent="0.3">
      <c r="D1441" s="1">
        <v>42177</v>
      </c>
      <c r="E1441" s="2">
        <v>43615</v>
      </c>
      <c r="F1441" s="1" t="s">
        <v>11</v>
      </c>
      <c r="G1441" s="1">
        <v>49</v>
      </c>
      <c r="H1441" t="str">
        <f t="shared" si="114"/>
        <v>XXX Large</v>
      </c>
      <c r="I1441" t="str">
        <f t="shared" si="110"/>
        <v>XXX Large</v>
      </c>
      <c r="J1441" s="1">
        <v>1286.07</v>
      </c>
      <c r="K1441">
        <f t="shared" si="111"/>
        <v>0.01</v>
      </c>
      <c r="L1441">
        <f t="shared" si="112"/>
        <v>1273.2093</v>
      </c>
      <c r="M1441" s="1">
        <f t="shared" si="113"/>
        <v>1276.8699999999999</v>
      </c>
      <c r="N1441" s="1" t="s">
        <v>10</v>
      </c>
      <c r="O1441" s="1">
        <v>9.1999999999999993</v>
      </c>
    </row>
    <row r="1442" spans="4:15" x14ac:dyDescent="0.3">
      <c r="D1442" s="1">
        <v>46212</v>
      </c>
      <c r="E1442" s="2">
        <v>43720</v>
      </c>
      <c r="F1442" s="1" t="s">
        <v>11</v>
      </c>
      <c r="G1442" s="1">
        <v>43</v>
      </c>
      <c r="H1442" t="str">
        <f t="shared" si="114"/>
        <v>XX Large</v>
      </c>
      <c r="I1442" t="str">
        <f t="shared" si="110"/>
        <v>XX Large</v>
      </c>
      <c r="J1442" s="1">
        <v>345.04</v>
      </c>
      <c r="K1442">
        <f t="shared" si="111"/>
        <v>0.01</v>
      </c>
      <c r="L1442">
        <f t="shared" si="112"/>
        <v>341.58960000000002</v>
      </c>
      <c r="M1442" s="1">
        <f t="shared" si="113"/>
        <v>342.34000000000003</v>
      </c>
      <c r="N1442" s="1" t="s">
        <v>8</v>
      </c>
      <c r="O1442" s="1">
        <v>2.7</v>
      </c>
    </row>
    <row r="1443" spans="4:15" x14ac:dyDescent="0.3">
      <c r="D1443" s="1">
        <v>46631</v>
      </c>
      <c r="E1443" s="2">
        <v>43535</v>
      </c>
      <c r="F1443" s="1" t="s">
        <v>11</v>
      </c>
      <c r="G1443" s="1">
        <v>39</v>
      </c>
      <c r="H1443" t="str">
        <f t="shared" si="114"/>
        <v>Extra Large</v>
      </c>
      <c r="I1443" t="str">
        <f t="shared" si="110"/>
        <v>Extra Large</v>
      </c>
      <c r="J1443" s="1">
        <v>996</v>
      </c>
      <c r="K1443">
        <f t="shared" si="111"/>
        <v>0.01</v>
      </c>
      <c r="L1443">
        <f t="shared" si="112"/>
        <v>986.04</v>
      </c>
      <c r="M1443" s="1">
        <f t="shared" si="113"/>
        <v>977.9</v>
      </c>
      <c r="N1443" s="1" t="s">
        <v>10</v>
      </c>
      <c r="O1443" s="1">
        <v>18.100000000000001</v>
      </c>
    </row>
    <row r="1444" spans="4:15" x14ac:dyDescent="0.3">
      <c r="D1444" s="1">
        <v>55335</v>
      </c>
      <c r="E1444" s="2">
        <v>43723</v>
      </c>
      <c r="F1444" s="1" t="s">
        <v>11</v>
      </c>
      <c r="G1444" s="1">
        <v>30</v>
      </c>
      <c r="H1444" t="str">
        <f t="shared" si="114"/>
        <v>Medium-Large</v>
      </c>
      <c r="I1444" t="str">
        <f t="shared" si="110"/>
        <v>Medium-Large</v>
      </c>
      <c r="J1444" s="1">
        <v>9292.1299999999992</v>
      </c>
      <c r="K1444">
        <f t="shared" si="111"/>
        <v>0</v>
      </c>
      <c r="L1444">
        <f t="shared" si="112"/>
        <v>9292.1299999999992</v>
      </c>
      <c r="M1444" s="1">
        <f t="shared" si="113"/>
        <v>9292.1299999999992</v>
      </c>
      <c r="N1444" s="1" t="s">
        <v>13</v>
      </c>
      <c r="O1444" s="1">
        <v>38.200000000000003</v>
      </c>
    </row>
    <row r="1445" spans="4:15" x14ac:dyDescent="0.3">
      <c r="D1445" s="1">
        <v>45476</v>
      </c>
      <c r="E1445" s="2">
        <v>43573</v>
      </c>
      <c r="F1445" s="1" t="s">
        <v>12</v>
      </c>
      <c r="G1445" s="1">
        <v>48</v>
      </c>
      <c r="H1445" t="str">
        <f t="shared" si="114"/>
        <v>XXX Large</v>
      </c>
      <c r="I1445" t="str">
        <f t="shared" si="110"/>
        <v>XXX Large</v>
      </c>
      <c r="J1445" s="1">
        <v>1129.9000000000001</v>
      </c>
      <c r="K1445">
        <f t="shared" si="111"/>
        <v>0.01</v>
      </c>
      <c r="L1445">
        <f t="shared" si="112"/>
        <v>1118.6010000000001</v>
      </c>
      <c r="M1445" s="1">
        <f t="shared" si="113"/>
        <v>1123.5</v>
      </c>
      <c r="N1445" s="1" t="s">
        <v>10</v>
      </c>
      <c r="O1445" s="1">
        <v>6.4</v>
      </c>
    </row>
    <row r="1446" spans="4:15" x14ac:dyDescent="0.3">
      <c r="D1446" s="1">
        <v>27265</v>
      </c>
      <c r="E1446" s="2">
        <v>43591</v>
      </c>
      <c r="F1446" s="1" t="s">
        <v>12</v>
      </c>
      <c r="G1446" s="1">
        <v>49</v>
      </c>
      <c r="H1446" t="str">
        <f t="shared" si="114"/>
        <v>XXX Large</v>
      </c>
      <c r="I1446" t="str">
        <f t="shared" si="110"/>
        <v>XXX Large</v>
      </c>
      <c r="J1446" s="1">
        <v>16030.46</v>
      </c>
      <c r="K1446">
        <f t="shared" si="111"/>
        <v>0.01</v>
      </c>
      <c r="L1446">
        <f t="shared" si="112"/>
        <v>15870.1554</v>
      </c>
      <c r="M1446" s="1">
        <f t="shared" si="113"/>
        <v>16017.96</v>
      </c>
      <c r="N1446" s="1" t="s">
        <v>10</v>
      </c>
      <c r="O1446" s="1">
        <v>12.5</v>
      </c>
    </row>
    <row r="1447" spans="4:15" x14ac:dyDescent="0.3">
      <c r="D1447" s="1">
        <v>5378</v>
      </c>
      <c r="E1447" s="2">
        <v>43762</v>
      </c>
      <c r="F1447" s="1" t="s">
        <v>12</v>
      </c>
      <c r="G1447" s="1">
        <v>6</v>
      </c>
      <c r="H1447" t="str">
        <f t="shared" si="114"/>
        <v>Extra Small</v>
      </c>
      <c r="I1447" t="str">
        <f t="shared" si="110"/>
        <v>Extra Small</v>
      </c>
      <c r="J1447" s="1">
        <v>58.08</v>
      </c>
      <c r="K1447">
        <f t="shared" si="111"/>
        <v>0</v>
      </c>
      <c r="L1447">
        <f t="shared" si="112"/>
        <v>58.08</v>
      </c>
      <c r="M1447" s="1">
        <f t="shared" si="113"/>
        <v>58.08</v>
      </c>
      <c r="N1447" s="1" t="s">
        <v>8</v>
      </c>
      <c r="O1447" s="1">
        <v>5.6</v>
      </c>
    </row>
    <row r="1448" spans="4:15" x14ac:dyDescent="0.3">
      <c r="D1448" s="1">
        <v>42437</v>
      </c>
      <c r="E1448" s="2">
        <v>43529</v>
      </c>
      <c r="F1448" s="1" t="s">
        <v>12</v>
      </c>
      <c r="G1448" s="1">
        <v>14</v>
      </c>
      <c r="H1448" t="str">
        <f t="shared" si="114"/>
        <v>Small</v>
      </c>
      <c r="I1448" t="str">
        <f t="shared" si="110"/>
        <v>Small</v>
      </c>
      <c r="J1448" s="1">
        <v>335.82</v>
      </c>
      <c r="K1448">
        <f t="shared" si="111"/>
        <v>0</v>
      </c>
      <c r="L1448">
        <f t="shared" si="112"/>
        <v>335.82</v>
      </c>
      <c r="M1448" s="1">
        <f t="shared" si="113"/>
        <v>335.82</v>
      </c>
      <c r="N1448" s="1" t="s">
        <v>10</v>
      </c>
      <c r="O1448" s="1">
        <v>9.6</v>
      </c>
    </row>
    <row r="1449" spans="4:15" x14ac:dyDescent="0.3">
      <c r="D1449" s="1">
        <v>15715</v>
      </c>
      <c r="E1449" s="2">
        <v>43753</v>
      </c>
      <c r="F1449" s="1" t="s">
        <v>12</v>
      </c>
      <c r="G1449" s="1">
        <v>43</v>
      </c>
      <c r="H1449" t="str">
        <f t="shared" si="114"/>
        <v>XX Large</v>
      </c>
      <c r="I1449" t="str">
        <f t="shared" si="110"/>
        <v>XX Large</v>
      </c>
      <c r="J1449" s="1">
        <v>2272.2948000000001</v>
      </c>
      <c r="K1449">
        <f t="shared" si="111"/>
        <v>0.01</v>
      </c>
      <c r="L1449">
        <f t="shared" si="112"/>
        <v>2249.571852</v>
      </c>
      <c r="M1449" s="1">
        <f t="shared" si="113"/>
        <v>2265.9947999999999</v>
      </c>
      <c r="N1449" s="1" t="s">
        <v>10</v>
      </c>
      <c r="O1449" s="1">
        <v>6.3</v>
      </c>
    </row>
    <row r="1450" spans="4:15" x14ac:dyDescent="0.3">
      <c r="D1450" s="1">
        <v>52678</v>
      </c>
      <c r="E1450" s="2">
        <v>43675</v>
      </c>
      <c r="F1450" s="1" t="s">
        <v>9</v>
      </c>
      <c r="G1450" s="1">
        <v>3</v>
      </c>
      <c r="H1450" t="str">
        <f t="shared" si="114"/>
        <v>Mini</v>
      </c>
      <c r="I1450" t="str">
        <f t="shared" si="110"/>
        <v>Mini</v>
      </c>
      <c r="J1450" s="1">
        <v>120.69</v>
      </c>
      <c r="K1450">
        <f t="shared" si="111"/>
        <v>0</v>
      </c>
      <c r="L1450">
        <f t="shared" si="112"/>
        <v>120.69</v>
      </c>
      <c r="M1450" s="1">
        <f t="shared" si="113"/>
        <v>120.69</v>
      </c>
      <c r="N1450" s="1" t="s">
        <v>13</v>
      </c>
      <c r="O1450" s="1">
        <v>56.7</v>
      </c>
    </row>
    <row r="1451" spans="4:15" x14ac:dyDescent="0.3">
      <c r="D1451" s="1">
        <v>19777</v>
      </c>
      <c r="E1451" s="2">
        <v>43757</v>
      </c>
      <c r="F1451" s="1" t="s">
        <v>11</v>
      </c>
      <c r="G1451" s="1">
        <v>24</v>
      </c>
      <c r="H1451" t="str">
        <f t="shared" si="114"/>
        <v>Medium</v>
      </c>
      <c r="I1451" t="str">
        <f t="shared" si="110"/>
        <v>Medium</v>
      </c>
      <c r="J1451" s="1">
        <v>3497.56</v>
      </c>
      <c r="K1451">
        <f t="shared" si="111"/>
        <v>0</v>
      </c>
      <c r="L1451">
        <f t="shared" si="112"/>
        <v>3497.56</v>
      </c>
      <c r="M1451" s="1">
        <f t="shared" si="113"/>
        <v>3497.56</v>
      </c>
      <c r="N1451" s="1" t="s">
        <v>10</v>
      </c>
      <c r="O1451" s="1">
        <v>8.6</v>
      </c>
    </row>
    <row r="1452" spans="4:15" x14ac:dyDescent="0.3">
      <c r="D1452" s="1">
        <v>51424</v>
      </c>
      <c r="E1452" s="2">
        <v>43473</v>
      </c>
      <c r="F1452" s="1" t="s">
        <v>11</v>
      </c>
      <c r="G1452" s="1">
        <v>48</v>
      </c>
      <c r="H1452" t="str">
        <f t="shared" si="114"/>
        <v>XXX Large</v>
      </c>
      <c r="I1452" t="str">
        <f t="shared" si="110"/>
        <v>XXX Large</v>
      </c>
      <c r="J1452" s="1">
        <v>121.9586</v>
      </c>
      <c r="K1452">
        <f t="shared" si="111"/>
        <v>0.01</v>
      </c>
      <c r="L1452">
        <f t="shared" si="112"/>
        <v>120.739014</v>
      </c>
      <c r="M1452" s="1">
        <f t="shared" si="113"/>
        <v>121.0586</v>
      </c>
      <c r="N1452" s="1" t="s">
        <v>10</v>
      </c>
      <c r="O1452" s="1">
        <v>0.9</v>
      </c>
    </row>
    <row r="1453" spans="4:15" x14ac:dyDescent="0.3">
      <c r="D1453" s="1">
        <v>21605</v>
      </c>
      <c r="E1453" s="2">
        <v>43563</v>
      </c>
      <c r="F1453" s="1" t="s">
        <v>9</v>
      </c>
      <c r="G1453" s="1">
        <v>46</v>
      </c>
      <c r="H1453" t="str">
        <f t="shared" si="114"/>
        <v>XXX Large</v>
      </c>
      <c r="I1453" t="str">
        <f t="shared" si="110"/>
        <v>XXX Large</v>
      </c>
      <c r="J1453" s="1">
        <v>509.84</v>
      </c>
      <c r="K1453">
        <f t="shared" si="111"/>
        <v>0.01</v>
      </c>
      <c r="L1453">
        <f t="shared" si="112"/>
        <v>504.74159999999995</v>
      </c>
      <c r="M1453" s="1">
        <f t="shared" si="113"/>
        <v>504.34</v>
      </c>
      <c r="N1453" s="1" t="s">
        <v>10</v>
      </c>
      <c r="O1453" s="1">
        <v>5.5</v>
      </c>
    </row>
    <row r="1454" spans="4:15" x14ac:dyDescent="0.3">
      <c r="D1454" s="1">
        <v>11874</v>
      </c>
      <c r="E1454" s="2">
        <v>43717</v>
      </c>
      <c r="F1454" s="1" t="s">
        <v>14</v>
      </c>
      <c r="G1454" s="1">
        <v>1</v>
      </c>
      <c r="H1454" t="str">
        <f t="shared" si="114"/>
        <v>Mini</v>
      </c>
      <c r="I1454" t="str">
        <f t="shared" si="110"/>
        <v>Mini</v>
      </c>
      <c r="J1454" s="1">
        <v>43.11</v>
      </c>
      <c r="K1454">
        <f t="shared" si="111"/>
        <v>0</v>
      </c>
      <c r="L1454">
        <f t="shared" si="112"/>
        <v>43.11</v>
      </c>
      <c r="M1454" s="1">
        <f t="shared" si="113"/>
        <v>43.11</v>
      </c>
      <c r="N1454" s="1" t="s">
        <v>10</v>
      </c>
      <c r="O1454" s="1">
        <v>9.3000000000000007</v>
      </c>
    </row>
    <row r="1455" spans="4:15" x14ac:dyDescent="0.3">
      <c r="D1455" s="1">
        <v>7841</v>
      </c>
      <c r="E1455" s="2">
        <v>43605</v>
      </c>
      <c r="F1455" s="1" t="s">
        <v>11</v>
      </c>
      <c r="G1455" s="1">
        <v>17</v>
      </c>
      <c r="H1455" t="str">
        <f t="shared" si="114"/>
        <v>Small-Medium</v>
      </c>
      <c r="I1455" t="str">
        <f t="shared" si="110"/>
        <v>Small-Medium</v>
      </c>
      <c r="J1455" s="1">
        <v>190.61</v>
      </c>
      <c r="K1455">
        <f t="shared" si="111"/>
        <v>0</v>
      </c>
      <c r="L1455">
        <f t="shared" si="112"/>
        <v>190.61</v>
      </c>
      <c r="M1455" s="1">
        <f t="shared" si="113"/>
        <v>190.61</v>
      </c>
      <c r="N1455" s="1" t="s">
        <v>10</v>
      </c>
      <c r="O1455" s="1">
        <v>2.2000000000000002</v>
      </c>
    </row>
    <row r="1456" spans="4:15" x14ac:dyDescent="0.3">
      <c r="D1456" s="1">
        <v>29221</v>
      </c>
      <c r="E1456" s="2">
        <v>43614</v>
      </c>
      <c r="F1456" s="1" t="s">
        <v>9</v>
      </c>
      <c r="G1456" s="1">
        <v>41</v>
      </c>
      <c r="H1456" t="str">
        <f t="shared" si="114"/>
        <v>XX Large</v>
      </c>
      <c r="I1456" t="str">
        <f t="shared" si="110"/>
        <v>XX Large</v>
      </c>
      <c r="J1456" s="1">
        <v>348.1</v>
      </c>
      <c r="K1456">
        <f t="shared" si="111"/>
        <v>0.01</v>
      </c>
      <c r="L1456">
        <f t="shared" si="112"/>
        <v>344.61900000000003</v>
      </c>
      <c r="M1456" s="1">
        <f t="shared" si="113"/>
        <v>341.90000000000003</v>
      </c>
      <c r="N1456" s="1" t="s">
        <v>10</v>
      </c>
      <c r="O1456" s="1">
        <v>6.2</v>
      </c>
    </row>
    <row r="1457" spans="4:15" x14ac:dyDescent="0.3">
      <c r="D1457" s="1">
        <v>55011</v>
      </c>
      <c r="E1457" s="2">
        <v>43468</v>
      </c>
      <c r="F1457" s="1" t="s">
        <v>12</v>
      </c>
      <c r="G1457" s="1">
        <v>18</v>
      </c>
      <c r="H1457" t="str">
        <f t="shared" si="114"/>
        <v>Small-Medium</v>
      </c>
      <c r="I1457" t="str">
        <f t="shared" si="110"/>
        <v>Small-Medium</v>
      </c>
      <c r="J1457" s="1">
        <v>59.727400000000003</v>
      </c>
      <c r="K1457">
        <f t="shared" si="111"/>
        <v>0</v>
      </c>
      <c r="L1457">
        <f t="shared" si="112"/>
        <v>59.727400000000003</v>
      </c>
      <c r="M1457" s="1">
        <f t="shared" si="113"/>
        <v>59.727400000000003</v>
      </c>
      <c r="N1457" s="1" t="s">
        <v>10</v>
      </c>
      <c r="O1457" s="1">
        <v>0.9</v>
      </c>
    </row>
    <row r="1458" spans="4:15" x14ac:dyDescent="0.3">
      <c r="D1458" s="1">
        <v>37287</v>
      </c>
      <c r="E1458" s="2">
        <v>43770</v>
      </c>
      <c r="F1458" s="1" t="s">
        <v>7</v>
      </c>
      <c r="G1458" s="1">
        <v>18</v>
      </c>
      <c r="H1458" t="str">
        <f t="shared" si="114"/>
        <v>Small-Medium</v>
      </c>
      <c r="I1458" t="str">
        <f t="shared" si="110"/>
        <v>Small-Medium</v>
      </c>
      <c r="J1458" s="1">
        <v>130.97999999999999</v>
      </c>
      <c r="K1458">
        <f t="shared" si="111"/>
        <v>0</v>
      </c>
      <c r="L1458">
        <f t="shared" si="112"/>
        <v>130.97999999999999</v>
      </c>
      <c r="M1458" s="1">
        <f t="shared" si="113"/>
        <v>130.97999999999999</v>
      </c>
      <c r="N1458" s="1" t="s">
        <v>10</v>
      </c>
      <c r="O1458" s="1">
        <v>5.3</v>
      </c>
    </row>
    <row r="1459" spans="4:15" x14ac:dyDescent="0.3">
      <c r="D1459" s="1">
        <v>29282</v>
      </c>
      <c r="E1459" s="2">
        <v>43797</v>
      </c>
      <c r="F1459" s="1" t="s">
        <v>14</v>
      </c>
      <c r="G1459" s="1">
        <v>4</v>
      </c>
      <c r="H1459" t="str">
        <f t="shared" si="114"/>
        <v>Mini</v>
      </c>
      <c r="I1459" t="str">
        <f t="shared" si="110"/>
        <v>Mini</v>
      </c>
      <c r="J1459" s="1">
        <v>36.668900000000001</v>
      </c>
      <c r="K1459">
        <f t="shared" si="111"/>
        <v>0</v>
      </c>
      <c r="L1459">
        <f t="shared" si="112"/>
        <v>36.668900000000001</v>
      </c>
      <c r="M1459" s="1">
        <f t="shared" si="113"/>
        <v>36.668900000000001</v>
      </c>
      <c r="N1459" s="1" t="s">
        <v>10</v>
      </c>
      <c r="O1459" s="1">
        <v>10.199999999999999</v>
      </c>
    </row>
    <row r="1460" spans="4:15" x14ac:dyDescent="0.3">
      <c r="D1460" s="1">
        <v>22951</v>
      </c>
      <c r="E1460" s="2">
        <v>43588</v>
      </c>
      <c r="F1460" s="1" t="s">
        <v>14</v>
      </c>
      <c r="G1460" s="1">
        <v>24</v>
      </c>
      <c r="H1460" t="str">
        <f t="shared" si="114"/>
        <v>Medium</v>
      </c>
      <c r="I1460" t="str">
        <f t="shared" si="110"/>
        <v>Medium</v>
      </c>
      <c r="J1460" s="1">
        <v>1395.31</v>
      </c>
      <c r="K1460">
        <f t="shared" si="111"/>
        <v>0</v>
      </c>
      <c r="L1460">
        <f t="shared" si="112"/>
        <v>1395.31</v>
      </c>
      <c r="M1460" s="1">
        <f t="shared" si="113"/>
        <v>1395.31</v>
      </c>
      <c r="N1460" s="1" t="s">
        <v>10</v>
      </c>
      <c r="O1460" s="1">
        <v>9.6</v>
      </c>
    </row>
    <row r="1461" spans="4:15" x14ac:dyDescent="0.3">
      <c r="D1461" s="1">
        <v>21796</v>
      </c>
      <c r="E1461" s="2">
        <v>43591</v>
      </c>
      <c r="F1461" s="1" t="s">
        <v>7</v>
      </c>
      <c r="G1461" s="1">
        <v>46</v>
      </c>
      <c r="H1461" t="str">
        <f t="shared" si="114"/>
        <v>XXX Large</v>
      </c>
      <c r="I1461" t="str">
        <f t="shared" si="110"/>
        <v>XXX Large</v>
      </c>
      <c r="J1461" s="1">
        <v>5076.76</v>
      </c>
      <c r="K1461">
        <f t="shared" si="111"/>
        <v>0.01</v>
      </c>
      <c r="L1461">
        <f t="shared" si="112"/>
        <v>5025.9924000000001</v>
      </c>
      <c r="M1461" s="1">
        <f t="shared" si="113"/>
        <v>5055.3600000000006</v>
      </c>
      <c r="N1461" s="1" t="s">
        <v>10</v>
      </c>
      <c r="O1461" s="1">
        <v>21.4</v>
      </c>
    </row>
    <row r="1462" spans="4:15" x14ac:dyDescent="0.3">
      <c r="D1462" s="1">
        <v>56740</v>
      </c>
      <c r="E1462" s="2">
        <v>43754</v>
      </c>
      <c r="F1462" s="1" t="s">
        <v>12</v>
      </c>
      <c r="G1462" s="1">
        <v>33</v>
      </c>
      <c r="H1462" t="str">
        <f t="shared" si="114"/>
        <v>Large</v>
      </c>
      <c r="I1462" t="str">
        <f t="shared" si="110"/>
        <v>Large</v>
      </c>
      <c r="J1462" s="1">
        <v>708.56</v>
      </c>
      <c r="K1462">
        <f t="shared" si="111"/>
        <v>0</v>
      </c>
      <c r="L1462">
        <f t="shared" si="112"/>
        <v>708.56</v>
      </c>
      <c r="M1462" s="1">
        <f t="shared" si="113"/>
        <v>708.56</v>
      </c>
      <c r="N1462" s="1" t="s">
        <v>10</v>
      </c>
      <c r="O1462" s="1">
        <v>3.9</v>
      </c>
    </row>
    <row r="1463" spans="4:15" x14ac:dyDescent="0.3">
      <c r="D1463" s="1">
        <v>53762</v>
      </c>
      <c r="E1463" s="2">
        <v>43617</v>
      </c>
      <c r="F1463" s="1" t="s">
        <v>12</v>
      </c>
      <c r="G1463" s="1">
        <v>28</v>
      </c>
      <c r="H1463" t="str">
        <f t="shared" si="114"/>
        <v>Medium-Large</v>
      </c>
      <c r="I1463" t="str">
        <f t="shared" si="110"/>
        <v>Medium-Large</v>
      </c>
      <c r="J1463" s="1">
        <v>145.69</v>
      </c>
      <c r="K1463">
        <f t="shared" si="111"/>
        <v>0</v>
      </c>
      <c r="L1463">
        <f t="shared" si="112"/>
        <v>145.69</v>
      </c>
      <c r="M1463" s="1">
        <f t="shared" si="113"/>
        <v>145.69</v>
      </c>
      <c r="N1463" s="1" t="s">
        <v>10</v>
      </c>
      <c r="O1463" s="1">
        <v>0.5</v>
      </c>
    </row>
    <row r="1464" spans="4:15" x14ac:dyDescent="0.3">
      <c r="D1464" s="1">
        <v>6018</v>
      </c>
      <c r="E1464" s="2">
        <v>43695</v>
      </c>
      <c r="F1464" s="1" t="s">
        <v>7</v>
      </c>
      <c r="G1464" s="1">
        <v>39</v>
      </c>
      <c r="H1464" t="str">
        <f t="shared" si="114"/>
        <v>Extra Large</v>
      </c>
      <c r="I1464" t="str">
        <f t="shared" si="110"/>
        <v>Extra Large</v>
      </c>
      <c r="J1464" s="1">
        <v>220.52</v>
      </c>
      <c r="K1464">
        <f t="shared" si="111"/>
        <v>0.01</v>
      </c>
      <c r="L1464">
        <f t="shared" si="112"/>
        <v>218.31480000000002</v>
      </c>
      <c r="M1464" s="1">
        <f t="shared" si="113"/>
        <v>218.32000000000002</v>
      </c>
      <c r="N1464" s="1" t="s">
        <v>10</v>
      </c>
      <c r="O1464" s="1">
        <v>2.2000000000000002</v>
      </c>
    </row>
    <row r="1465" spans="4:15" x14ac:dyDescent="0.3">
      <c r="D1465" s="1">
        <v>3810</v>
      </c>
      <c r="E1465" s="2">
        <v>43724</v>
      </c>
      <c r="F1465" s="1" t="s">
        <v>12</v>
      </c>
      <c r="G1465" s="1">
        <v>40</v>
      </c>
      <c r="H1465" t="str">
        <f t="shared" si="114"/>
        <v>Extra Large</v>
      </c>
      <c r="I1465" t="str">
        <f t="shared" si="110"/>
        <v>Extra Large</v>
      </c>
      <c r="J1465" s="1">
        <v>237.39</v>
      </c>
      <c r="K1465">
        <f t="shared" si="111"/>
        <v>0.01</v>
      </c>
      <c r="L1465">
        <f t="shared" si="112"/>
        <v>235.01609999999999</v>
      </c>
      <c r="M1465" s="1">
        <f t="shared" si="113"/>
        <v>184.98999999999998</v>
      </c>
      <c r="N1465" s="1" t="s">
        <v>10</v>
      </c>
      <c r="O1465" s="1">
        <v>52.4</v>
      </c>
    </row>
    <row r="1466" spans="4:15" x14ac:dyDescent="0.3">
      <c r="D1466" s="1">
        <v>22055</v>
      </c>
      <c r="E1466" s="2">
        <v>43731</v>
      </c>
      <c r="F1466" s="1" t="s">
        <v>14</v>
      </c>
      <c r="G1466" s="1">
        <v>40</v>
      </c>
      <c r="H1466" t="str">
        <f t="shared" si="114"/>
        <v>Extra Large</v>
      </c>
      <c r="I1466" t="str">
        <f t="shared" si="110"/>
        <v>Extra Large</v>
      </c>
      <c r="J1466" s="1">
        <v>6577.55</v>
      </c>
      <c r="K1466">
        <f t="shared" si="111"/>
        <v>0.01</v>
      </c>
      <c r="L1466">
        <f t="shared" si="112"/>
        <v>6511.7745000000004</v>
      </c>
      <c r="M1466" s="1">
        <f t="shared" si="113"/>
        <v>6545.45</v>
      </c>
      <c r="N1466" s="1" t="s">
        <v>13</v>
      </c>
      <c r="O1466" s="1">
        <v>32.1</v>
      </c>
    </row>
    <row r="1467" spans="4:15" x14ac:dyDescent="0.3">
      <c r="D1467" s="1">
        <v>34662</v>
      </c>
      <c r="E1467" s="2">
        <v>43474</v>
      </c>
      <c r="F1467" s="1" t="s">
        <v>12</v>
      </c>
      <c r="G1467" s="1">
        <v>35</v>
      </c>
      <c r="H1467" t="str">
        <f t="shared" si="114"/>
        <v>Large</v>
      </c>
      <c r="I1467" t="str">
        <f t="shared" si="110"/>
        <v>Large</v>
      </c>
      <c r="J1467" s="1">
        <v>13633.736699999999</v>
      </c>
      <c r="K1467">
        <f t="shared" si="111"/>
        <v>0</v>
      </c>
      <c r="L1467">
        <f t="shared" si="112"/>
        <v>13633.736699999999</v>
      </c>
      <c r="M1467" s="1">
        <f t="shared" si="113"/>
        <v>13633.736699999999</v>
      </c>
      <c r="N1467" s="1" t="s">
        <v>13</v>
      </c>
      <c r="O1467" s="1">
        <v>105.9</v>
      </c>
    </row>
    <row r="1468" spans="4:15" x14ac:dyDescent="0.3">
      <c r="D1468" s="1">
        <v>45317</v>
      </c>
      <c r="E1468" s="2">
        <v>43525</v>
      </c>
      <c r="F1468" s="1" t="s">
        <v>7</v>
      </c>
      <c r="G1468" s="1">
        <v>28</v>
      </c>
      <c r="H1468" t="str">
        <f t="shared" si="114"/>
        <v>Medium-Large</v>
      </c>
      <c r="I1468" t="str">
        <f t="shared" si="110"/>
        <v>Medium-Large</v>
      </c>
      <c r="J1468" s="1">
        <v>1028.3342</v>
      </c>
      <c r="K1468">
        <f t="shared" si="111"/>
        <v>0</v>
      </c>
      <c r="L1468">
        <f t="shared" si="112"/>
        <v>1028.3342</v>
      </c>
      <c r="M1468" s="1">
        <f t="shared" si="113"/>
        <v>1028.3342</v>
      </c>
      <c r="N1468" s="1" t="s">
        <v>10</v>
      </c>
      <c r="O1468" s="1">
        <v>5.4</v>
      </c>
    </row>
    <row r="1469" spans="4:15" x14ac:dyDescent="0.3">
      <c r="D1469" s="1">
        <v>21665</v>
      </c>
      <c r="E1469" s="2">
        <v>43753</v>
      </c>
      <c r="F1469" s="1" t="s">
        <v>9</v>
      </c>
      <c r="G1469" s="1">
        <v>5</v>
      </c>
      <c r="H1469" t="str">
        <f t="shared" si="114"/>
        <v>Mini</v>
      </c>
      <c r="I1469" t="str">
        <f t="shared" si="110"/>
        <v>Mini</v>
      </c>
      <c r="J1469" s="1">
        <v>508.03</v>
      </c>
      <c r="K1469">
        <f t="shared" si="111"/>
        <v>0</v>
      </c>
      <c r="L1469">
        <f t="shared" si="112"/>
        <v>508.03</v>
      </c>
      <c r="M1469" s="1">
        <f t="shared" si="113"/>
        <v>508.03</v>
      </c>
      <c r="N1469" s="1" t="s">
        <v>8</v>
      </c>
      <c r="O1469" s="1">
        <v>2.7</v>
      </c>
    </row>
    <row r="1470" spans="4:15" x14ac:dyDescent="0.3">
      <c r="D1470" s="1">
        <v>39654</v>
      </c>
      <c r="E1470" s="2">
        <v>43738</v>
      </c>
      <c r="F1470" s="1" t="s">
        <v>14</v>
      </c>
      <c r="G1470" s="1">
        <v>39</v>
      </c>
      <c r="H1470" t="str">
        <f t="shared" si="114"/>
        <v>Extra Large</v>
      </c>
      <c r="I1470" t="str">
        <f t="shared" si="110"/>
        <v>Extra Large</v>
      </c>
      <c r="J1470" s="1">
        <v>916.08</v>
      </c>
      <c r="K1470">
        <f t="shared" si="111"/>
        <v>0.01</v>
      </c>
      <c r="L1470">
        <f t="shared" si="112"/>
        <v>906.91920000000005</v>
      </c>
      <c r="M1470" s="1">
        <f t="shared" si="113"/>
        <v>912.88</v>
      </c>
      <c r="N1470" s="1" t="s">
        <v>8</v>
      </c>
      <c r="O1470" s="1">
        <v>3.2</v>
      </c>
    </row>
    <row r="1471" spans="4:15" x14ac:dyDescent="0.3">
      <c r="D1471" s="1">
        <v>5254</v>
      </c>
      <c r="E1471" s="2">
        <v>43671</v>
      </c>
      <c r="F1471" s="1" t="s">
        <v>11</v>
      </c>
      <c r="G1471" s="1">
        <v>31</v>
      </c>
      <c r="H1471" t="str">
        <f t="shared" si="114"/>
        <v>Large</v>
      </c>
      <c r="I1471" t="str">
        <f t="shared" si="110"/>
        <v>Large</v>
      </c>
      <c r="J1471" s="1">
        <v>1856.83</v>
      </c>
      <c r="K1471">
        <f t="shared" si="111"/>
        <v>0</v>
      </c>
      <c r="L1471">
        <f t="shared" si="112"/>
        <v>1856.83</v>
      </c>
      <c r="M1471" s="1">
        <f t="shared" si="113"/>
        <v>1856.83</v>
      </c>
      <c r="N1471" s="1" t="s">
        <v>10</v>
      </c>
      <c r="O1471" s="1">
        <v>9.6</v>
      </c>
    </row>
    <row r="1472" spans="4:15" x14ac:dyDescent="0.3">
      <c r="D1472" s="1">
        <v>54023</v>
      </c>
      <c r="E1472" s="2">
        <v>43668</v>
      </c>
      <c r="F1472" s="1" t="s">
        <v>11</v>
      </c>
      <c r="G1472" s="1">
        <v>45</v>
      </c>
      <c r="H1472" t="str">
        <f t="shared" si="114"/>
        <v>XX Large</v>
      </c>
      <c r="I1472" t="str">
        <f t="shared" si="110"/>
        <v>XX Large</v>
      </c>
      <c r="J1472" s="1">
        <v>433.99</v>
      </c>
      <c r="K1472">
        <f t="shared" si="111"/>
        <v>0.01</v>
      </c>
      <c r="L1472">
        <f t="shared" si="112"/>
        <v>429.65010000000001</v>
      </c>
      <c r="M1472" s="1">
        <f t="shared" si="113"/>
        <v>427.99</v>
      </c>
      <c r="N1472" s="1" t="s">
        <v>10</v>
      </c>
      <c r="O1472" s="1">
        <v>6</v>
      </c>
    </row>
    <row r="1473" spans="4:15" x14ac:dyDescent="0.3">
      <c r="D1473" s="1">
        <v>44678</v>
      </c>
      <c r="E1473" s="2">
        <v>43751</v>
      </c>
      <c r="F1473" s="1" t="s">
        <v>7</v>
      </c>
      <c r="G1473" s="1">
        <v>4</v>
      </c>
      <c r="H1473" t="str">
        <f t="shared" si="114"/>
        <v>Mini</v>
      </c>
      <c r="I1473" t="str">
        <f t="shared" si="110"/>
        <v>Mini</v>
      </c>
      <c r="J1473" s="1">
        <v>8.09</v>
      </c>
      <c r="K1473">
        <f t="shared" si="111"/>
        <v>0</v>
      </c>
      <c r="L1473">
        <f t="shared" si="112"/>
        <v>8.09</v>
      </c>
      <c r="M1473" s="1">
        <f t="shared" si="113"/>
        <v>8.09</v>
      </c>
      <c r="N1473" s="1" t="s">
        <v>10</v>
      </c>
      <c r="O1473" s="1">
        <v>0.8</v>
      </c>
    </row>
    <row r="1474" spans="4:15" x14ac:dyDescent="0.3">
      <c r="D1474" s="1">
        <v>967</v>
      </c>
      <c r="E1474" s="2">
        <v>43636</v>
      </c>
      <c r="F1474" s="1" t="s">
        <v>14</v>
      </c>
      <c r="G1474" s="1">
        <v>48</v>
      </c>
      <c r="H1474" t="str">
        <f t="shared" si="114"/>
        <v>XXX Large</v>
      </c>
      <c r="I1474" t="str">
        <f t="shared" si="110"/>
        <v>XXX Large</v>
      </c>
      <c r="J1474" s="1">
        <v>12067.65</v>
      </c>
      <c r="K1474">
        <f t="shared" si="111"/>
        <v>0.01</v>
      </c>
      <c r="L1474">
        <f t="shared" si="112"/>
        <v>11946.9735</v>
      </c>
      <c r="M1474" s="1">
        <f t="shared" si="113"/>
        <v>12032.85</v>
      </c>
      <c r="N1474" s="1" t="s">
        <v>13</v>
      </c>
      <c r="O1474" s="1">
        <v>34.799999999999997</v>
      </c>
    </row>
    <row r="1475" spans="4:15" x14ac:dyDescent="0.3">
      <c r="D1475" s="1">
        <v>31552</v>
      </c>
      <c r="E1475" s="2">
        <v>43780</v>
      </c>
      <c r="F1475" s="1" t="s">
        <v>9</v>
      </c>
      <c r="G1475" s="1">
        <v>17</v>
      </c>
      <c r="H1475" t="str">
        <f t="shared" si="114"/>
        <v>Small-Medium</v>
      </c>
      <c r="I1475" t="str">
        <f t="shared" ref="I1475:I1538" si="115">VLOOKUP(G1475, $A$3:$B$12, 2, TRUE)</f>
        <v>Small-Medium</v>
      </c>
      <c r="J1475" s="1">
        <v>404.55</v>
      </c>
      <c r="K1475">
        <f t="shared" ref="K1475:K1538" si="116">IF(OR(I1475="Extra Large", I1475="XX Large", I1475="XXX Large"), 0.01, 0)</f>
        <v>0</v>
      </c>
      <c r="L1475">
        <f t="shared" ref="L1475:L1538" si="117">J1475 * (1 - K1475)</f>
        <v>404.55</v>
      </c>
      <c r="M1475" s="1">
        <f t="shared" ref="M1475:M1538" si="118">IF(OR(I1475="Extra Large",I1475="XX Large",I1475="XXX Large"),J1475-O1475,J1475)</f>
        <v>404.55</v>
      </c>
      <c r="N1475" s="1" t="s">
        <v>10</v>
      </c>
      <c r="O1475" s="1">
        <v>2.1</v>
      </c>
    </row>
    <row r="1476" spans="4:15" x14ac:dyDescent="0.3">
      <c r="D1476" s="1">
        <v>46243</v>
      </c>
      <c r="E1476" s="2">
        <v>43488</v>
      </c>
      <c r="F1476" s="1" t="s">
        <v>7</v>
      </c>
      <c r="G1476" s="1">
        <v>31</v>
      </c>
      <c r="H1476" t="str">
        <f t="shared" si="114"/>
        <v>Large</v>
      </c>
      <c r="I1476" t="str">
        <f t="shared" si="115"/>
        <v>Large</v>
      </c>
      <c r="J1476" s="1">
        <v>185.1</v>
      </c>
      <c r="K1476">
        <f t="shared" si="116"/>
        <v>0</v>
      </c>
      <c r="L1476">
        <f t="shared" si="117"/>
        <v>185.1</v>
      </c>
      <c r="M1476" s="1">
        <f t="shared" si="118"/>
        <v>185.1</v>
      </c>
      <c r="N1476" s="1" t="s">
        <v>10</v>
      </c>
      <c r="O1476" s="1">
        <v>1.1000000000000001</v>
      </c>
    </row>
    <row r="1477" spans="4:15" x14ac:dyDescent="0.3">
      <c r="D1477" s="1">
        <v>11239</v>
      </c>
      <c r="E1477" s="2">
        <v>43504</v>
      </c>
      <c r="F1477" s="1" t="s">
        <v>12</v>
      </c>
      <c r="G1477" s="1">
        <v>33</v>
      </c>
      <c r="H1477" t="str">
        <f t="shared" ref="H1477:H1540" si="119">VLOOKUP(G1477, $A$3:$B$12, 2, TRUE)</f>
        <v>Large</v>
      </c>
      <c r="I1477" t="str">
        <f t="shared" si="115"/>
        <v>Large</v>
      </c>
      <c r="J1477" s="1">
        <v>6601.92</v>
      </c>
      <c r="K1477">
        <f t="shared" si="116"/>
        <v>0</v>
      </c>
      <c r="L1477">
        <f t="shared" si="117"/>
        <v>6601.92</v>
      </c>
      <c r="M1477" s="1">
        <f t="shared" si="118"/>
        <v>6601.92</v>
      </c>
      <c r="N1477" s="1" t="s">
        <v>13</v>
      </c>
      <c r="O1477" s="1">
        <v>31.3</v>
      </c>
    </row>
    <row r="1478" spans="4:15" x14ac:dyDescent="0.3">
      <c r="D1478" s="1">
        <v>27490</v>
      </c>
      <c r="E1478" s="2">
        <v>43538</v>
      </c>
      <c r="F1478" s="1" t="s">
        <v>11</v>
      </c>
      <c r="G1478" s="1">
        <v>18</v>
      </c>
      <c r="H1478" t="str">
        <f t="shared" si="119"/>
        <v>Small-Medium</v>
      </c>
      <c r="I1478" t="str">
        <f t="shared" si="115"/>
        <v>Small-Medium</v>
      </c>
      <c r="J1478" s="1">
        <v>654.53</v>
      </c>
      <c r="K1478">
        <f t="shared" si="116"/>
        <v>0</v>
      </c>
      <c r="L1478">
        <f t="shared" si="117"/>
        <v>654.53</v>
      </c>
      <c r="M1478" s="1">
        <f t="shared" si="118"/>
        <v>654.53</v>
      </c>
      <c r="N1478" s="1" t="s">
        <v>10</v>
      </c>
      <c r="O1478" s="1">
        <v>13.5</v>
      </c>
    </row>
    <row r="1479" spans="4:15" x14ac:dyDescent="0.3">
      <c r="D1479" s="1">
        <v>3845</v>
      </c>
      <c r="E1479" s="2">
        <v>43580</v>
      </c>
      <c r="F1479" s="1" t="s">
        <v>12</v>
      </c>
      <c r="G1479" s="1">
        <v>15</v>
      </c>
      <c r="H1479" t="str">
        <f t="shared" si="119"/>
        <v>Small</v>
      </c>
      <c r="I1479" t="str">
        <f t="shared" si="115"/>
        <v>Small</v>
      </c>
      <c r="J1479" s="1">
        <v>132.58369999999999</v>
      </c>
      <c r="K1479">
        <f t="shared" si="116"/>
        <v>0</v>
      </c>
      <c r="L1479">
        <f t="shared" si="117"/>
        <v>132.58369999999999</v>
      </c>
      <c r="M1479" s="1">
        <f t="shared" si="118"/>
        <v>132.58369999999999</v>
      </c>
      <c r="N1479" s="1" t="s">
        <v>10</v>
      </c>
      <c r="O1479" s="1">
        <v>1</v>
      </c>
    </row>
    <row r="1480" spans="4:15" x14ac:dyDescent="0.3">
      <c r="D1480" s="1">
        <v>32192</v>
      </c>
      <c r="E1480" s="2">
        <v>43513</v>
      </c>
      <c r="F1480" s="1" t="s">
        <v>11</v>
      </c>
      <c r="G1480" s="1">
        <v>4</v>
      </c>
      <c r="H1480" t="str">
        <f t="shared" si="119"/>
        <v>Mini</v>
      </c>
      <c r="I1480" t="str">
        <f t="shared" si="115"/>
        <v>Mini</v>
      </c>
      <c r="J1480" s="1">
        <v>170.4</v>
      </c>
      <c r="K1480">
        <f t="shared" si="116"/>
        <v>0</v>
      </c>
      <c r="L1480">
        <f t="shared" si="117"/>
        <v>170.4</v>
      </c>
      <c r="M1480" s="1">
        <f t="shared" si="118"/>
        <v>170.4</v>
      </c>
      <c r="N1480" s="1" t="s">
        <v>10</v>
      </c>
      <c r="O1480" s="1">
        <v>2.7</v>
      </c>
    </row>
    <row r="1481" spans="4:15" x14ac:dyDescent="0.3">
      <c r="D1481" s="1">
        <v>1447</v>
      </c>
      <c r="E1481" s="2">
        <v>43752</v>
      </c>
      <c r="F1481" s="1" t="s">
        <v>9</v>
      </c>
      <c r="G1481" s="1">
        <v>40</v>
      </c>
      <c r="H1481" t="str">
        <f t="shared" si="119"/>
        <v>Extra Large</v>
      </c>
      <c r="I1481" t="str">
        <f t="shared" si="115"/>
        <v>Extra Large</v>
      </c>
      <c r="J1481" s="1">
        <v>2285.4899999999998</v>
      </c>
      <c r="K1481">
        <f t="shared" si="116"/>
        <v>0.01</v>
      </c>
      <c r="L1481">
        <f t="shared" si="117"/>
        <v>2262.6351</v>
      </c>
      <c r="M1481" s="1">
        <f t="shared" si="118"/>
        <v>2275.89</v>
      </c>
      <c r="N1481" s="1" t="s">
        <v>10</v>
      </c>
      <c r="O1481" s="1">
        <v>9.6</v>
      </c>
    </row>
    <row r="1482" spans="4:15" x14ac:dyDescent="0.3">
      <c r="D1482" s="1">
        <v>5473</v>
      </c>
      <c r="E1482" s="2">
        <v>43548</v>
      </c>
      <c r="F1482" s="1" t="s">
        <v>11</v>
      </c>
      <c r="G1482" s="1">
        <v>42</v>
      </c>
      <c r="H1482" t="str">
        <f t="shared" si="119"/>
        <v>XX Large</v>
      </c>
      <c r="I1482" t="str">
        <f t="shared" si="115"/>
        <v>XX Large</v>
      </c>
      <c r="J1482" s="1">
        <v>380.59</v>
      </c>
      <c r="K1482">
        <f t="shared" si="116"/>
        <v>0.01</v>
      </c>
      <c r="L1482">
        <f t="shared" si="117"/>
        <v>376.78409999999997</v>
      </c>
      <c r="M1482" s="1">
        <f t="shared" si="118"/>
        <v>371.69</v>
      </c>
      <c r="N1482" s="1" t="s">
        <v>10</v>
      </c>
      <c r="O1482" s="1">
        <v>8.9</v>
      </c>
    </row>
    <row r="1483" spans="4:15" x14ac:dyDescent="0.3">
      <c r="D1483" s="1">
        <v>23812</v>
      </c>
      <c r="E1483" s="2">
        <v>43673</v>
      </c>
      <c r="F1483" s="1" t="s">
        <v>12</v>
      </c>
      <c r="G1483" s="1">
        <v>32</v>
      </c>
      <c r="H1483" t="str">
        <f t="shared" si="119"/>
        <v>Large</v>
      </c>
      <c r="I1483" t="str">
        <f t="shared" si="115"/>
        <v>Large</v>
      </c>
      <c r="J1483" s="1">
        <v>6255.0273999999999</v>
      </c>
      <c r="K1483">
        <f t="shared" si="116"/>
        <v>0</v>
      </c>
      <c r="L1483">
        <f t="shared" si="117"/>
        <v>6255.0273999999999</v>
      </c>
      <c r="M1483" s="1">
        <f t="shared" si="118"/>
        <v>6255.0273999999999</v>
      </c>
      <c r="N1483" s="1" t="s">
        <v>13</v>
      </c>
      <c r="O1483" s="1">
        <v>16.7</v>
      </c>
    </row>
    <row r="1484" spans="4:15" x14ac:dyDescent="0.3">
      <c r="D1484" s="1">
        <v>20256</v>
      </c>
      <c r="E1484" s="2">
        <v>43495</v>
      </c>
      <c r="F1484" s="1" t="s">
        <v>7</v>
      </c>
      <c r="G1484" s="1">
        <v>24</v>
      </c>
      <c r="H1484" t="str">
        <f t="shared" si="119"/>
        <v>Medium</v>
      </c>
      <c r="I1484" t="str">
        <f t="shared" si="115"/>
        <v>Medium</v>
      </c>
      <c r="J1484" s="1">
        <v>548.73</v>
      </c>
      <c r="K1484">
        <f t="shared" si="116"/>
        <v>0</v>
      </c>
      <c r="L1484">
        <f t="shared" si="117"/>
        <v>548.73</v>
      </c>
      <c r="M1484" s="1">
        <f t="shared" si="118"/>
        <v>548.73</v>
      </c>
      <c r="N1484" s="1" t="s">
        <v>10</v>
      </c>
      <c r="O1484" s="1">
        <v>12.3</v>
      </c>
    </row>
    <row r="1485" spans="4:15" x14ac:dyDescent="0.3">
      <c r="D1485" s="1">
        <v>5858</v>
      </c>
      <c r="E1485" s="2">
        <v>43659</v>
      </c>
      <c r="F1485" s="1" t="s">
        <v>11</v>
      </c>
      <c r="G1485" s="1">
        <v>48</v>
      </c>
      <c r="H1485" t="str">
        <f t="shared" si="119"/>
        <v>XXX Large</v>
      </c>
      <c r="I1485" t="str">
        <f t="shared" si="115"/>
        <v>XXX Large</v>
      </c>
      <c r="J1485" s="1">
        <v>2708.88</v>
      </c>
      <c r="K1485">
        <f t="shared" si="116"/>
        <v>0.01</v>
      </c>
      <c r="L1485">
        <f t="shared" si="117"/>
        <v>2681.7912000000001</v>
      </c>
      <c r="M1485" s="1">
        <f t="shared" si="118"/>
        <v>2694.28</v>
      </c>
      <c r="N1485" s="1" t="s">
        <v>10</v>
      </c>
      <c r="O1485" s="1">
        <v>14.6</v>
      </c>
    </row>
    <row r="1486" spans="4:15" x14ac:dyDescent="0.3">
      <c r="D1486" s="1">
        <v>5408</v>
      </c>
      <c r="E1486" s="2">
        <v>43666</v>
      </c>
      <c r="F1486" s="1" t="s">
        <v>7</v>
      </c>
      <c r="G1486" s="1">
        <v>20</v>
      </c>
      <c r="H1486" t="str">
        <f t="shared" si="119"/>
        <v>Small-Medium</v>
      </c>
      <c r="I1486" t="str">
        <f t="shared" si="115"/>
        <v>Small-Medium</v>
      </c>
      <c r="J1486" s="1">
        <v>95.04</v>
      </c>
      <c r="K1486">
        <f t="shared" si="116"/>
        <v>0</v>
      </c>
      <c r="L1486">
        <f t="shared" si="117"/>
        <v>95.04</v>
      </c>
      <c r="M1486" s="1">
        <f t="shared" si="118"/>
        <v>95.04</v>
      </c>
      <c r="N1486" s="1" t="s">
        <v>10</v>
      </c>
      <c r="O1486" s="1">
        <v>0.5</v>
      </c>
    </row>
    <row r="1487" spans="4:15" x14ac:dyDescent="0.3">
      <c r="D1487" s="1">
        <v>25637</v>
      </c>
      <c r="E1487" s="2">
        <v>43520</v>
      </c>
      <c r="F1487" s="1" t="s">
        <v>11</v>
      </c>
      <c r="G1487" s="1">
        <v>12</v>
      </c>
      <c r="H1487" t="str">
        <f t="shared" si="119"/>
        <v>Small</v>
      </c>
      <c r="I1487" t="str">
        <f t="shared" si="115"/>
        <v>Small</v>
      </c>
      <c r="J1487" s="1">
        <v>2578.08</v>
      </c>
      <c r="K1487">
        <f t="shared" si="116"/>
        <v>0</v>
      </c>
      <c r="L1487">
        <f t="shared" si="117"/>
        <v>2578.08</v>
      </c>
      <c r="M1487" s="1">
        <f t="shared" si="118"/>
        <v>2578.08</v>
      </c>
      <c r="N1487" s="1" t="s">
        <v>13</v>
      </c>
      <c r="O1487" s="1">
        <v>71.3</v>
      </c>
    </row>
    <row r="1488" spans="4:15" x14ac:dyDescent="0.3">
      <c r="D1488" s="1">
        <v>3845</v>
      </c>
      <c r="E1488" s="2">
        <v>43580</v>
      </c>
      <c r="F1488" s="1" t="s">
        <v>12</v>
      </c>
      <c r="G1488" s="1">
        <v>22</v>
      </c>
      <c r="H1488" t="str">
        <f t="shared" si="119"/>
        <v>Medium</v>
      </c>
      <c r="I1488" t="str">
        <f t="shared" si="115"/>
        <v>Medium</v>
      </c>
      <c r="J1488" s="1">
        <v>509.02</v>
      </c>
      <c r="K1488">
        <f t="shared" si="116"/>
        <v>0</v>
      </c>
      <c r="L1488">
        <f t="shared" si="117"/>
        <v>509.02</v>
      </c>
      <c r="M1488" s="1">
        <f t="shared" si="118"/>
        <v>509.02</v>
      </c>
      <c r="N1488" s="1" t="s">
        <v>10</v>
      </c>
      <c r="O1488" s="1">
        <v>11.2</v>
      </c>
    </row>
    <row r="1489" spans="4:15" x14ac:dyDescent="0.3">
      <c r="D1489" s="1">
        <v>42469</v>
      </c>
      <c r="E1489" s="2">
        <v>43777</v>
      </c>
      <c r="F1489" s="1" t="s">
        <v>11</v>
      </c>
      <c r="G1489" s="1">
        <v>31</v>
      </c>
      <c r="H1489" t="str">
        <f t="shared" si="119"/>
        <v>Large</v>
      </c>
      <c r="I1489" t="str">
        <f t="shared" si="115"/>
        <v>Large</v>
      </c>
      <c r="J1489" s="1">
        <v>1000.31</v>
      </c>
      <c r="K1489">
        <f t="shared" si="116"/>
        <v>0</v>
      </c>
      <c r="L1489">
        <f t="shared" si="117"/>
        <v>1000.31</v>
      </c>
      <c r="M1489" s="1">
        <f t="shared" si="118"/>
        <v>1000.31</v>
      </c>
      <c r="N1489" s="1" t="s">
        <v>10</v>
      </c>
      <c r="O1489" s="1">
        <v>13.5</v>
      </c>
    </row>
    <row r="1490" spans="4:15" x14ac:dyDescent="0.3">
      <c r="D1490" s="1">
        <v>16804</v>
      </c>
      <c r="E1490" s="2">
        <v>43534</v>
      </c>
      <c r="F1490" s="1" t="s">
        <v>9</v>
      </c>
      <c r="G1490" s="1">
        <v>46</v>
      </c>
      <c r="H1490" t="str">
        <f t="shared" si="119"/>
        <v>XXX Large</v>
      </c>
      <c r="I1490" t="str">
        <f t="shared" si="115"/>
        <v>XXX Large</v>
      </c>
      <c r="J1490" s="1">
        <v>2600.46</v>
      </c>
      <c r="K1490">
        <f t="shared" si="116"/>
        <v>0.01</v>
      </c>
      <c r="L1490">
        <f t="shared" si="117"/>
        <v>2574.4553999999998</v>
      </c>
      <c r="M1490" s="1">
        <f t="shared" si="118"/>
        <v>2585.56</v>
      </c>
      <c r="N1490" s="1" t="s">
        <v>10</v>
      </c>
      <c r="O1490" s="1">
        <v>14.9</v>
      </c>
    </row>
    <row r="1491" spans="4:15" x14ac:dyDescent="0.3">
      <c r="D1491" s="1">
        <v>42471</v>
      </c>
      <c r="E1491" s="2">
        <v>43533</v>
      </c>
      <c r="F1491" s="1" t="s">
        <v>7</v>
      </c>
      <c r="G1491" s="1">
        <v>23</v>
      </c>
      <c r="H1491" t="str">
        <f t="shared" si="119"/>
        <v>Medium</v>
      </c>
      <c r="I1491" t="str">
        <f t="shared" si="115"/>
        <v>Medium</v>
      </c>
      <c r="J1491" s="1">
        <v>48.03</v>
      </c>
      <c r="K1491">
        <f t="shared" si="116"/>
        <v>0</v>
      </c>
      <c r="L1491">
        <f t="shared" si="117"/>
        <v>48.03</v>
      </c>
      <c r="M1491" s="1">
        <f t="shared" si="118"/>
        <v>48.03</v>
      </c>
      <c r="N1491" s="1" t="s">
        <v>10</v>
      </c>
      <c r="O1491" s="1">
        <v>1.7</v>
      </c>
    </row>
    <row r="1492" spans="4:15" x14ac:dyDescent="0.3">
      <c r="D1492" s="1">
        <v>17986</v>
      </c>
      <c r="E1492" s="2">
        <v>43560</v>
      </c>
      <c r="F1492" s="1" t="s">
        <v>11</v>
      </c>
      <c r="G1492" s="1">
        <v>43</v>
      </c>
      <c r="H1492" t="str">
        <f t="shared" si="119"/>
        <v>XX Large</v>
      </c>
      <c r="I1492" t="str">
        <f t="shared" si="115"/>
        <v>XX Large</v>
      </c>
      <c r="J1492" s="1">
        <v>93.421700000000001</v>
      </c>
      <c r="K1492">
        <f t="shared" si="116"/>
        <v>0.01</v>
      </c>
      <c r="L1492">
        <f t="shared" si="117"/>
        <v>92.487482999999997</v>
      </c>
      <c r="M1492" s="1">
        <f t="shared" si="118"/>
        <v>91.821700000000007</v>
      </c>
      <c r="N1492" s="1" t="s">
        <v>10</v>
      </c>
      <c r="O1492" s="1">
        <v>1.6</v>
      </c>
    </row>
    <row r="1493" spans="4:15" x14ac:dyDescent="0.3">
      <c r="D1493" s="1">
        <v>31170</v>
      </c>
      <c r="E1493" s="2">
        <v>43491</v>
      </c>
      <c r="F1493" s="1" t="s">
        <v>14</v>
      </c>
      <c r="G1493" s="1">
        <v>32</v>
      </c>
      <c r="H1493" t="str">
        <f t="shared" si="119"/>
        <v>Large</v>
      </c>
      <c r="I1493" t="str">
        <f t="shared" si="115"/>
        <v>Large</v>
      </c>
      <c r="J1493" s="1">
        <v>343.01</v>
      </c>
      <c r="K1493">
        <f t="shared" si="116"/>
        <v>0</v>
      </c>
      <c r="L1493">
        <f t="shared" si="117"/>
        <v>343.01</v>
      </c>
      <c r="M1493" s="1">
        <f t="shared" si="118"/>
        <v>343.01</v>
      </c>
      <c r="N1493" s="1" t="s">
        <v>10</v>
      </c>
      <c r="O1493" s="1">
        <v>2.1</v>
      </c>
    </row>
    <row r="1494" spans="4:15" x14ac:dyDescent="0.3">
      <c r="D1494" s="1">
        <v>7458</v>
      </c>
      <c r="E1494" s="2">
        <v>43559</v>
      </c>
      <c r="F1494" s="1" t="s">
        <v>12</v>
      </c>
      <c r="G1494" s="1">
        <v>9</v>
      </c>
      <c r="H1494" t="str">
        <f t="shared" si="119"/>
        <v>Extra Small</v>
      </c>
      <c r="I1494" t="str">
        <f t="shared" si="115"/>
        <v>Extra Small</v>
      </c>
      <c r="J1494" s="1">
        <v>360.95</v>
      </c>
      <c r="K1494">
        <f t="shared" si="116"/>
        <v>0</v>
      </c>
      <c r="L1494">
        <f t="shared" si="117"/>
        <v>360.95</v>
      </c>
      <c r="M1494" s="1">
        <f t="shared" si="118"/>
        <v>360.95</v>
      </c>
      <c r="N1494" s="1" t="s">
        <v>10</v>
      </c>
      <c r="O1494" s="1">
        <v>2.1</v>
      </c>
    </row>
    <row r="1495" spans="4:15" x14ac:dyDescent="0.3">
      <c r="D1495" s="1">
        <v>43364</v>
      </c>
      <c r="E1495" s="2">
        <v>43562</v>
      </c>
      <c r="F1495" s="1" t="s">
        <v>9</v>
      </c>
      <c r="G1495" s="1">
        <v>21</v>
      </c>
      <c r="H1495" t="str">
        <f t="shared" si="119"/>
        <v>Medium</v>
      </c>
      <c r="I1495" t="str">
        <f t="shared" si="115"/>
        <v>Medium</v>
      </c>
      <c r="J1495" s="1">
        <v>560.89</v>
      </c>
      <c r="K1495">
        <f t="shared" si="116"/>
        <v>0</v>
      </c>
      <c r="L1495">
        <f t="shared" si="117"/>
        <v>560.89</v>
      </c>
      <c r="M1495" s="1">
        <f t="shared" si="118"/>
        <v>560.89</v>
      </c>
      <c r="N1495" s="1" t="s">
        <v>10</v>
      </c>
      <c r="O1495" s="1">
        <v>7.2</v>
      </c>
    </row>
    <row r="1496" spans="4:15" x14ac:dyDescent="0.3">
      <c r="D1496" s="1">
        <v>53795</v>
      </c>
      <c r="E1496" s="2">
        <v>43494</v>
      </c>
      <c r="F1496" s="1" t="s">
        <v>9</v>
      </c>
      <c r="G1496" s="1">
        <v>40</v>
      </c>
      <c r="H1496" t="str">
        <f t="shared" si="119"/>
        <v>Extra Large</v>
      </c>
      <c r="I1496" t="str">
        <f t="shared" si="115"/>
        <v>Extra Large</v>
      </c>
      <c r="J1496" s="1">
        <v>283.12</v>
      </c>
      <c r="K1496">
        <f t="shared" si="116"/>
        <v>0.01</v>
      </c>
      <c r="L1496">
        <f t="shared" si="117"/>
        <v>280.28879999999998</v>
      </c>
      <c r="M1496" s="1">
        <f t="shared" si="118"/>
        <v>276.42</v>
      </c>
      <c r="N1496" s="1" t="s">
        <v>8</v>
      </c>
      <c r="O1496" s="1">
        <v>6.7</v>
      </c>
    </row>
    <row r="1497" spans="4:15" x14ac:dyDescent="0.3">
      <c r="D1497" s="1">
        <v>33731</v>
      </c>
      <c r="E1497" s="2">
        <v>43746</v>
      </c>
      <c r="F1497" s="1" t="s">
        <v>9</v>
      </c>
      <c r="G1497" s="1">
        <v>12</v>
      </c>
      <c r="H1497" t="str">
        <f t="shared" si="119"/>
        <v>Small</v>
      </c>
      <c r="I1497" t="str">
        <f t="shared" si="115"/>
        <v>Small</v>
      </c>
      <c r="J1497" s="1">
        <v>148.6</v>
      </c>
      <c r="K1497">
        <f t="shared" si="116"/>
        <v>0</v>
      </c>
      <c r="L1497">
        <f t="shared" si="117"/>
        <v>148.6</v>
      </c>
      <c r="M1497" s="1">
        <f t="shared" si="118"/>
        <v>148.6</v>
      </c>
      <c r="N1497" s="1" t="s">
        <v>10</v>
      </c>
      <c r="O1497" s="1">
        <v>5.4</v>
      </c>
    </row>
    <row r="1498" spans="4:15" x14ac:dyDescent="0.3">
      <c r="D1498" s="1">
        <v>56676</v>
      </c>
      <c r="E1498" s="2">
        <v>43763</v>
      </c>
      <c r="F1498" s="1" t="s">
        <v>12</v>
      </c>
      <c r="G1498" s="1">
        <v>39</v>
      </c>
      <c r="H1498" t="str">
        <f t="shared" si="119"/>
        <v>Extra Large</v>
      </c>
      <c r="I1498" t="str">
        <f t="shared" si="115"/>
        <v>Extra Large</v>
      </c>
      <c r="J1498" s="1">
        <v>220.9229</v>
      </c>
      <c r="K1498">
        <f t="shared" si="116"/>
        <v>0.01</v>
      </c>
      <c r="L1498">
        <f t="shared" si="117"/>
        <v>218.71367100000001</v>
      </c>
      <c r="M1498" s="1">
        <f t="shared" si="118"/>
        <v>214.8229</v>
      </c>
      <c r="N1498" s="1" t="s">
        <v>10</v>
      </c>
      <c r="O1498" s="1">
        <v>6.1</v>
      </c>
    </row>
    <row r="1499" spans="4:15" x14ac:dyDescent="0.3">
      <c r="D1499" s="1">
        <v>50982</v>
      </c>
      <c r="E1499" s="2">
        <v>43571</v>
      </c>
      <c r="F1499" s="1" t="s">
        <v>9</v>
      </c>
      <c r="G1499" s="1">
        <v>23</v>
      </c>
      <c r="H1499" t="str">
        <f t="shared" si="119"/>
        <v>Medium</v>
      </c>
      <c r="I1499" t="str">
        <f t="shared" si="115"/>
        <v>Medium</v>
      </c>
      <c r="J1499" s="1">
        <v>92.59</v>
      </c>
      <c r="K1499">
        <f t="shared" si="116"/>
        <v>0</v>
      </c>
      <c r="L1499">
        <f t="shared" si="117"/>
        <v>92.59</v>
      </c>
      <c r="M1499" s="1">
        <f t="shared" si="118"/>
        <v>92.59</v>
      </c>
      <c r="N1499" s="1" t="s">
        <v>10</v>
      </c>
      <c r="O1499" s="1">
        <v>0.5</v>
      </c>
    </row>
    <row r="1500" spans="4:15" x14ac:dyDescent="0.3">
      <c r="D1500" s="1">
        <v>16197</v>
      </c>
      <c r="E1500" s="2">
        <v>43764</v>
      </c>
      <c r="F1500" s="1" t="s">
        <v>12</v>
      </c>
      <c r="G1500" s="1">
        <v>19</v>
      </c>
      <c r="H1500" t="str">
        <f t="shared" si="119"/>
        <v>Small-Medium</v>
      </c>
      <c r="I1500" t="str">
        <f t="shared" si="115"/>
        <v>Small-Medium</v>
      </c>
      <c r="J1500" s="1">
        <v>110.94</v>
      </c>
      <c r="K1500">
        <f t="shared" si="116"/>
        <v>0</v>
      </c>
      <c r="L1500">
        <f t="shared" si="117"/>
        <v>110.94</v>
      </c>
      <c r="M1500" s="1">
        <f t="shared" si="118"/>
        <v>110.94</v>
      </c>
      <c r="N1500" s="1" t="s">
        <v>10</v>
      </c>
      <c r="O1500" s="1">
        <v>6.3</v>
      </c>
    </row>
    <row r="1501" spans="4:15" x14ac:dyDescent="0.3">
      <c r="D1501" s="1">
        <v>42243</v>
      </c>
      <c r="E1501" s="2">
        <v>43535</v>
      </c>
      <c r="F1501" s="1" t="s">
        <v>14</v>
      </c>
      <c r="G1501" s="1">
        <v>19</v>
      </c>
      <c r="H1501" t="str">
        <f t="shared" si="119"/>
        <v>Small-Medium</v>
      </c>
      <c r="I1501" t="str">
        <f t="shared" si="115"/>
        <v>Small-Medium</v>
      </c>
      <c r="J1501" s="1">
        <v>155.43</v>
      </c>
      <c r="K1501">
        <f t="shared" si="116"/>
        <v>0</v>
      </c>
      <c r="L1501">
        <f t="shared" si="117"/>
        <v>155.43</v>
      </c>
      <c r="M1501" s="1">
        <f t="shared" si="118"/>
        <v>155.43</v>
      </c>
      <c r="N1501" s="1" t="s">
        <v>10</v>
      </c>
      <c r="O1501" s="1">
        <v>6.4</v>
      </c>
    </row>
    <row r="1502" spans="4:15" x14ac:dyDescent="0.3">
      <c r="D1502" s="1">
        <v>27138</v>
      </c>
      <c r="E1502" s="2">
        <v>43615</v>
      </c>
      <c r="F1502" s="1" t="s">
        <v>9</v>
      </c>
      <c r="G1502" s="1">
        <v>37</v>
      </c>
      <c r="H1502" t="str">
        <f t="shared" si="119"/>
        <v>Extra Large</v>
      </c>
      <c r="I1502" t="str">
        <f t="shared" si="115"/>
        <v>Extra Large</v>
      </c>
      <c r="J1502" s="1">
        <v>2026.76</v>
      </c>
      <c r="K1502">
        <f t="shared" si="116"/>
        <v>0.01</v>
      </c>
      <c r="L1502">
        <f t="shared" si="117"/>
        <v>2006.4923999999999</v>
      </c>
      <c r="M1502" s="1">
        <f t="shared" si="118"/>
        <v>2017.16</v>
      </c>
      <c r="N1502" s="1" t="s">
        <v>10</v>
      </c>
      <c r="O1502" s="1">
        <v>9.6</v>
      </c>
    </row>
    <row r="1503" spans="4:15" x14ac:dyDescent="0.3">
      <c r="D1503" s="1">
        <v>35968</v>
      </c>
      <c r="E1503" s="2">
        <v>43527</v>
      </c>
      <c r="F1503" s="1" t="s">
        <v>11</v>
      </c>
      <c r="G1503" s="1">
        <v>21</v>
      </c>
      <c r="H1503" t="str">
        <f t="shared" si="119"/>
        <v>Medium</v>
      </c>
      <c r="I1503" t="str">
        <f t="shared" si="115"/>
        <v>Medium</v>
      </c>
      <c r="J1503" s="1">
        <v>151.08000000000001</v>
      </c>
      <c r="K1503">
        <f t="shared" si="116"/>
        <v>0</v>
      </c>
      <c r="L1503">
        <f t="shared" si="117"/>
        <v>151.08000000000001</v>
      </c>
      <c r="M1503" s="1">
        <f t="shared" si="118"/>
        <v>151.08000000000001</v>
      </c>
      <c r="N1503" s="1" t="s">
        <v>10</v>
      </c>
      <c r="O1503" s="1">
        <v>7.5</v>
      </c>
    </row>
    <row r="1504" spans="4:15" x14ac:dyDescent="0.3">
      <c r="D1504" s="1">
        <v>39808</v>
      </c>
      <c r="E1504" s="2">
        <v>43710</v>
      </c>
      <c r="F1504" s="1" t="s">
        <v>7</v>
      </c>
      <c r="G1504" s="1">
        <v>31</v>
      </c>
      <c r="H1504" t="str">
        <f t="shared" si="119"/>
        <v>Large</v>
      </c>
      <c r="I1504" t="str">
        <f t="shared" si="115"/>
        <v>Large</v>
      </c>
      <c r="J1504" s="1">
        <v>3652.4</v>
      </c>
      <c r="K1504">
        <f t="shared" si="116"/>
        <v>0</v>
      </c>
      <c r="L1504">
        <f t="shared" si="117"/>
        <v>3652.4</v>
      </c>
      <c r="M1504" s="1">
        <f t="shared" si="118"/>
        <v>3652.4</v>
      </c>
      <c r="N1504" s="1" t="s">
        <v>10</v>
      </c>
      <c r="O1504" s="1">
        <v>2.7</v>
      </c>
    </row>
    <row r="1505" spans="4:15" x14ac:dyDescent="0.3">
      <c r="D1505" s="1">
        <v>57767</v>
      </c>
      <c r="E1505" s="2">
        <v>43566</v>
      </c>
      <c r="F1505" s="1" t="s">
        <v>12</v>
      </c>
      <c r="G1505" s="1">
        <v>34</v>
      </c>
      <c r="H1505" t="str">
        <f t="shared" si="119"/>
        <v>Large</v>
      </c>
      <c r="I1505" t="str">
        <f t="shared" si="115"/>
        <v>Large</v>
      </c>
      <c r="J1505" s="1">
        <v>3609.87</v>
      </c>
      <c r="K1505">
        <f t="shared" si="116"/>
        <v>0</v>
      </c>
      <c r="L1505">
        <f t="shared" si="117"/>
        <v>3609.87</v>
      </c>
      <c r="M1505" s="1">
        <f t="shared" si="118"/>
        <v>3609.87</v>
      </c>
      <c r="N1505" s="1" t="s">
        <v>10</v>
      </c>
      <c r="O1505" s="1">
        <v>9.6</v>
      </c>
    </row>
    <row r="1506" spans="4:15" x14ac:dyDescent="0.3">
      <c r="D1506" s="1">
        <v>24579</v>
      </c>
      <c r="E1506" s="2">
        <v>43787</v>
      </c>
      <c r="F1506" s="1" t="s">
        <v>9</v>
      </c>
      <c r="G1506" s="1">
        <v>45</v>
      </c>
      <c r="H1506" t="str">
        <f t="shared" si="119"/>
        <v>XX Large</v>
      </c>
      <c r="I1506" t="str">
        <f t="shared" si="115"/>
        <v>XX Large</v>
      </c>
      <c r="J1506" s="1">
        <v>14896.11</v>
      </c>
      <c r="K1506">
        <f t="shared" si="116"/>
        <v>0.01</v>
      </c>
      <c r="L1506">
        <f t="shared" si="117"/>
        <v>14747.1489</v>
      </c>
      <c r="M1506" s="1">
        <f t="shared" si="118"/>
        <v>14869.91</v>
      </c>
      <c r="N1506" s="1" t="s">
        <v>10</v>
      </c>
      <c r="O1506" s="1">
        <v>26.2</v>
      </c>
    </row>
    <row r="1507" spans="4:15" x14ac:dyDescent="0.3">
      <c r="D1507" s="1">
        <v>7751</v>
      </c>
      <c r="E1507" s="2">
        <v>43822</v>
      </c>
      <c r="F1507" s="1" t="s">
        <v>11</v>
      </c>
      <c r="G1507" s="1">
        <v>45</v>
      </c>
      <c r="H1507" t="str">
        <f t="shared" si="119"/>
        <v>XX Large</v>
      </c>
      <c r="I1507" t="str">
        <f t="shared" si="115"/>
        <v>XX Large</v>
      </c>
      <c r="J1507" s="1">
        <v>4866.25</v>
      </c>
      <c r="K1507">
        <f t="shared" si="116"/>
        <v>0.01</v>
      </c>
      <c r="L1507">
        <f t="shared" si="117"/>
        <v>4817.5874999999996</v>
      </c>
      <c r="M1507" s="1">
        <f t="shared" si="118"/>
        <v>4803.95</v>
      </c>
      <c r="N1507" s="1" t="s">
        <v>13</v>
      </c>
      <c r="O1507" s="1">
        <v>62.3</v>
      </c>
    </row>
    <row r="1508" spans="4:15" x14ac:dyDescent="0.3">
      <c r="D1508" s="1">
        <v>7106</v>
      </c>
      <c r="E1508" s="2">
        <v>43595</v>
      </c>
      <c r="F1508" s="1" t="s">
        <v>7</v>
      </c>
      <c r="G1508" s="1">
        <v>36</v>
      </c>
      <c r="H1508" t="str">
        <f t="shared" si="119"/>
        <v>Extra Large</v>
      </c>
      <c r="I1508" t="str">
        <f t="shared" si="115"/>
        <v>Extra Large</v>
      </c>
      <c r="J1508" s="1">
        <v>1132.54</v>
      </c>
      <c r="K1508">
        <f t="shared" si="116"/>
        <v>0.01</v>
      </c>
      <c r="L1508">
        <f t="shared" si="117"/>
        <v>1121.2146</v>
      </c>
      <c r="M1508" s="1">
        <f t="shared" si="118"/>
        <v>1111.1399999999999</v>
      </c>
      <c r="N1508" s="1" t="s">
        <v>10</v>
      </c>
      <c r="O1508" s="1">
        <v>21.4</v>
      </c>
    </row>
    <row r="1509" spans="4:15" x14ac:dyDescent="0.3">
      <c r="D1509" s="1">
        <v>43109</v>
      </c>
      <c r="E1509" s="2">
        <v>43820</v>
      </c>
      <c r="F1509" s="1" t="s">
        <v>12</v>
      </c>
      <c r="G1509" s="1">
        <v>10</v>
      </c>
      <c r="H1509" t="str">
        <f t="shared" si="119"/>
        <v>Extra Small</v>
      </c>
      <c r="I1509" t="str">
        <f t="shared" si="115"/>
        <v>Extra Small</v>
      </c>
      <c r="J1509" s="1">
        <v>103.81140000000001</v>
      </c>
      <c r="K1509">
        <f t="shared" si="116"/>
        <v>0</v>
      </c>
      <c r="L1509">
        <f t="shared" si="117"/>
        <v>103.81140000000001</v>
      </c>
      <c r="M1509" s="1">
        <f t="shared" si="118"/>
        <v>103.81140000000001</v>
      </c>
      <c r="N1509" s="1" t="s">
        <v>10</v>
      </c>
      <c r="O1509" s="1">
        <v>2.1</v>
      </c>
    </row>
    <row r="1510" spans="4:15" x14ac:dyDescent="0.3">
      <c r="D1510" s="1">
        <v>18596</v>
      </c>
      <c r="E1510" s="2">
        <v>43740</v>
      </c>
      <c r="F1510" s="1" t="s">
        <v>7</v>
      </c>
      <c r="G1510" s="1">
        <v>32</v>
      </c>
      <c r="H1510" t="str">
        <f t="shared" si="119"/>
        <v>Large</v>
      </c>
      <c r="I1510" t="str">
        <f t="shared" si="115"/>
        <v>Large</v>
      </c>
      <c r="J1510" s="1">
        <v>445.98</v>
      </c>
      <c r="K1510">
        <f t="shared" si="116"/>
        <v>0</v>
      </c>
      <c r="L1510">
        <f t="shared" si="117"/>
        <v>445.98</v>
      </c>
      <c r="M1510" s="1">
        <f t="shared" si="118"/>
        <v>445.98</v>
      </c>
      <c r="N1510" s="1" t="s">
        <v>10</v>
      </c>
      <c r="O1510" s="1">
        <v>0.5</v>
      </c>
    </row>
    <row r="1511" spans="4:15" x14ac:dyDescent="0.3">
      <c r="D1511" s="1">
        <v>41831</v>
      </c>
      <c r="E1511" s="2">
        <v>43667</v>
      </c>
      <c r="F1511" s="1" t="s">
        <v>11</v>
      </c>
      <c r="G1511" s="1">
        <v>43</v>
      </c>
      <c r="H1511" t="str">
        <f t="shared" si="119"/>
        <v>XX Large</v>
      </c>
      <c r="I1511" t="str">
        <f t="shared" si="115"/>
        <v>XX Large</v>
      </c>
      <c r="J1511" s="1">
        <v>3681.9663</v>
      </c>
      <c r="K1511">
        <f t="shared" si="116"/>
        <v>0.01</v>
      </c>
      <c r="L1511">
        <f t="shared" si="117"/>
        <v>3645.1466369999998</v>
      </c>
      <c r="M1511" s="1">
        <f t="shared" si="118"/>
        <v>3649.7663000000002</v>
      </c>
      <c r="N1511" s="1" t="s">
        <v>13</v>
      </c>
      <c r="O1511" s="1">
        <v>32.200000000000003</v>
      </c>
    </row>
    <row r="1512" spans="4:15" x14ac:dyDescent="0.3">
      <c r="D1512" s="1">
        <v>50883</v>
      </c>
      <c r="E1512" s="2">
        <v>43617</v>
      </c>
      <c r="F1512" s="1" t="s">
        <v>7</v>
      </c>
      <c r="G1512" s="1">
        <v>35</v>
      </c>
      <c r="H1512" t="str">
        <f t="shared" si="119"/>
        <v>Large</v>
      </c>
      <c r="I1512" t="str">
        <f t="shared" si="115"/>
        <v>Large</v>
      </c>
      <c r="J1512" s="1">
        <v>7211.71</v>
      </c>
      <c r="K1512">
        <f t="shared" si="116"/>
        <v>0</v>
      </c>
      <c r="L1512">
        <f t="shared" si="117"/>
        <v>7211.71</v>
      </c>
      <c r="M1512" s="1">
        <f t="shared" si="118"/>
        <v>7211.71</v>
      </c>
      <c r="N1512" s="1" t="s">
        <v>13</v>
      </c>
      <c r="O1512" s="1">
        <v>32.1</v>
      </c>
    </row>
    <row r="1513" spans="4:15" x14ac:dyDescent="0.3">
      <c r="D1513" s="1">
        <v>38661</v>
      </c>
      <c r="E1513" s="2">
        <v>43507</v>
      </c>
      <c r="F1513" s="1" t="s">
        <v>9</v>
      </c>
      <c r="G1513" s="1">
        <v>48</v>
      </c>
      <c r="H1513" t="str">
        <f t="shared" si="119"/>
        <v>XXX Large</v>
      </c>
      <c r="I1513" t="str">
        <f t="shared" si="115"/>
        <v>XXX Large</v>
      </c>
      <c r="J1513" s="1">
        <v>348.92700000000002</v>
      </c>
      <c r="K1513">
        <f t="shared" si="116"/>
        <v>0.01</v>
      </c>
      <c r="L1513">
        <f t="shared" si="117"/>
        <v>345.43773000000004</v>
      </c>
      <c r="M1513" s="1">
        <f t="shared" si="118"/>
        <v>341.827</v>
      </c>
      <c r="N1513" s="1" t="s">
        <v>10</v>
      </c>
      <c r="O1513" s="1">
        <v>7.1</v>
      </c>
    </row>
    <row r="1514" spans="4:15" x14ac:dyDescent="0.3">
      <c r="D1514" s="1">
        <v>49889</v>
      </c>
      <c r="E1514" s="2">
        <v>43811</v>
      </c>
      <c r="F1514" s="1" t="s">
        <v>12</v>
      </c>
      <c r="G1514" s="1">
        <v>47</v>
      </c>
      <c r="H1514" t="str">
        <f t="shared" si="119"/>
        <v>XXX Large</v>
      </c>
      <c r="I1514" t="str">
        <f t="shared" si="115"/>
        <v>XXX Large</v>
      </c>
      <c r="J1514" s="1">
        <v>570.80999999999995</v>
      </c>
      <c r="K1514">
        <f t="shared" si="116"/>
        <v>0.01</v>
      </c>
      <c r="L1514">
        <f t="shared" si="117"/>
        <v>565.10189999999989</v>
      </c>
      <c r="M1514" s="1">
        <f t="shared" si="118"/>
        <v>563.1099999999999</v>
      </c>
      <c r="N1514" s="1" t="s">
        <v>10</v>
      </c>
      <c r="O1514" s="1">
        <v>7.7</v>
      </c>
    </row>
    <row r="1515" spans="4:15" x14ac:dyDescent="0.3">
      <c r="D1515" s="1">
        <v>39300</v>
      </c>
      <c r="E1515" s="2">
        <v>43577</v>
      </c>
      <c r="F1515" s="1" t="s">
        <v>9</v>
      </c>
      <c r="G1515" s="1">
        <v>9</v>
      </c>
      <c r="H1515" t="str">
        <f t="shared" si="119"/>
        <v>Extra Small</v>
      </c>
      <c r="I1515" t="str">
        <f t="shared" si="115"/>
        <v>Extra Small</v>
      </c>
      <c r="J1515" s="1">
        <v>47.63</v>
      </c>
      <c r="K1515">
        <f t="shared" si="116"/>
        <v>0</v>
      </c>
      <c r="L1515">
        <f t="shared" si="117"/>
        <v>47.63</v>
      </c>
      <c r="M1515" s="1">
        <f t="shared" si="118"/>
        <v>47.63</v>
      </c>
      <c r="N1515" s="1" t="s">
        <v>10</v>
      </c>
      <c r="O1515" s="1">
        <v>7.4</v>
      </c>
    </row>
    <row r="1516" spans="4:15" x14ac:dyDescent="0.3">
      <c r="D1516" s="1">
        <v>29573</v>
      </c>
      <c r="E1516" s="2">
        <v>43480</v>
      </c>
      <c r="F1516" s="1" t="s">
        <v>12</v>
      </c>
      <c r="G1516" s="1">
        <v>43</v>
      </c>
      <c r="H1516" t="str">
        <f t="shared" si="119"/>
        <v>XX Large</v>
      </c>
      <c r="I1516" t="str">
        <f t="shared" si="115"/>
        <v>XX Large</v>
      </c>
      <c r="J1516" s="1">
        <v>847.66</v>
      </c>
      <c r="K1516">
        <f t="shared" si="116"/>
        <v>0.01</v>
      </c>
      <c r="L1516">
        <f t="shared" si="117"/>
        <v>839.18340000000001</v>
      </c>
      <c r="M1516" s="1">
        <f t="shared" si="118"/>
        <v>837.45999999999992</v>
      </c>
      <c r="N1516" s="1" t="s">
        <v>10</v>
      </c>
      <c r="O1516" s="1">
        <v>10.199999999999999</v>
      </c>
    </row>
    <row r="1517" spans="4:15" x14ac:dyDescent="0.3">
      <c r="D1517" s="1">
        <v>23140</v>
      </c>
      <c r="E1517" s="2">
        <v>43503</v>
      </c>
      <c r="F1517" s="1" t="s">
        <v>9</v>
      </c>
      <c r="G1517" s="1">
        <v>16</v>
      </c>
      <c r="H1517" t="str">
        <f t="shared" si="119"/>
        <v>Small-Medium</v>
      </c>
      <c r="I1517" t="str">
        <f t="shared" si="115"/>
        <v>Small-Medium</v>
      </c>
      <c r="J1517" s="1">
        <v>124.86</v>
      </c>
      <c r="K1517">
        <f t="shared" si="116"/>
        <v>0</v>
      </c>
      <c r="L1517">
        <f t="shared" si="117"/>
        <v>124.86</v>
      </c>
      <c r="M1517" s="1">
        <f t="shared" si="118"/>
        <v>124.86</v>
      </c>
      <c r="N1517" s="1" t="s">
        <v>10</v>
      </c>
      <c r="O1517" s="1">
        <v>2.5</v>
      </c>
    </row>
    <row r="1518" spans="4:15" x14ac:dyDescent="0.3">
      <c r="D1518" s="1">
        <v>29505</v>
      </c>
      <c r="E1518" s="2">
        <v>43826</v>
      </c>
      <c r="F1518" s="1" t="s">
        <v>14</v>
      </c>
      <c r="G1518" s="1">
        <v>22</v>
      </c>
      <c r="H1518" t="str">
        <f t="shared" si="119"/>
        <v>Medium</v>
      </c>
      <c r="I1518" t="str">
        <f t="shared" si="115"/>
        <v>Medium</v>
      </c>
      <c r="J1518" s="1">
        <v>48.37</v>
      </c>
      <c r="K1518">
        <f t="shared" si="116"/>
        <v>0</v>
      </c>
      <c r="L1518">
        <f t="shared" si="117"/>
        <v>48.37</v>
      </c>
      <c r="M1518" s="1">
        <f t="shared" si="118"/>
        <v>48.37</v>
      </c>
      <c r="N1518" s="1" t="s">
        <v>8</v>
      </c>
      <c r="O1518" s="1">
        <v>0.7</v>
      </c>
    </row>
    <row r="1519" spans="4:15" x14ac:dyDescent="0.3">
      <c r="D1519" s="1">
        <v>20964</v>
      </c>
      <c r="E1519" s="2">
        <v>43554</v>
      </c>
      <c r="F1519" s="1" t="s">
        <v>12</v>
      </c>
      <c r="G1519" s="1">
        <v>11</v>
      </c>
      <c r="H1519" t="str">
        <f t="shared" si="119"/>
        <v>Small</v>
      </c>
      <c r="I1519" t="str">
        <f t="shared" si="115"/>
        <v>Small</v>
      </c>
      <c r="J1519" s="1">
        <v>673.66</v>
      </c>
      <c r="K1519">
        <f t="shared" si="116"/>
        <v>0</v>
      </c>
      <c r="L1519">
        <f t="shared" si="117"/>
        <v>673.66</v>
      </c>
      <c r="M1519" s="1">
        <f t="shared" si="118"/>
        <v>673.66</v>
      </c>
      <c r="N1519" s="1" t="s">
        <v>10</v>
      </c>
      <c r="O1519" s="1">
        <v>9.6</v>
      </c>
    </row>
    <row r="1520" spans="4:15" x14ac:dyDescent="0.3">
      <c r="D1520" s="1">
        <v>39364</v>
      </c>
      <c r="E1520" s="2">
        <v>43778</v>
      </c>
      <c r="F1520" s="1" t="s">
        <v>9</v>
      </c>
      <c r="G1520" s="1">
        <v>29</v>
      </c>
      <c r="H1520" t="str">
        <f t="shared" si="119"/>
        <v>Medium-Large</v>
      </c>
      <c r="I1520" t="str">
        <f t="shared" si="115"/>
        <v>Medium-Large</v>
      </c>
      <c r="J1520" s="1">
        <v>2947.78</v>
      </c>
      <c r="K1520">
        <f t="shared" si="116"/>
        <v>0</v>
      </c>
      <c r="L1520">
        <f t="shared" si="117"/>
        <v>2947.78</v>
      </c>
      <c r="M1520" s="1">
        <f t="shared" si="118"/>
        <v>2947.78</v>
      </c>
      <c r="N1520" s="1" t="s">
        <v>10</v>
      </c>
      <c r="O1520" s="1">
        <v>42.4</v>
      </c>
    </row>
    <row r="1521" spans="4:15" x14ac:dyDescent="0.3">
      <c r="D1521" s="1">
        <v>7941</v>
      </c>
      <c r="E1521" s="2">
        <v>43547</v>
      </c>
      <c r="F1521" s="1" t="s">
        <v>7</v>
      </c>
      <c r="G1521" s="1">
        <v>50</v>
      </c>
      <c r="H1521" t="str">
        <f t="shared" si="119"/>
        <v>XXX Large</v>
      </c>
      <c r="I1521" t="str">
        <f t="shared" si="115"/>
        <v>XXX Large</v>
      </c>
      <c r="J1521" s="1">
        <v>2992.44</v>
      </c>
      <c r="K1521">
        <f t="shared" si="116"/>
        <v>0.01</v>
      </c>
      <c r="L1521">
        <f t="shared" si="117"/>
        <v>2962.5156000000002</v>
      </c>
      <c r="M1521" s="1">
        <f t="shared" si="118"/>
        <v>2987.04</v>
      </c>
      <c r="N1521" s="1" t="s">
        <v>10</v>
      </c>
      <c r="O1521" s="1">
        <v>5.4</v>
      </c>
    </row>
    <row r="1522" spans="4:15" x14ac:dyDescent="0.3">
      <c r="D1522" s="1">
        <v>59329</v>
      </c>
      <c r="E1522" s="2">
        <v>43803</v>
      </c>
      <c r="F1522" s="1" t="s">
        <v>12</v>
      </c>
      <c r="G1522" s="1">
        <v>41</v>
      </c>
      <c r="H1522" t="str">
        <f t="shared" si="119"/>
        <v>XX Large</v>
      </c>
      <c r="I1522" t="str">
        <f t="shared" si="115"/>
        <v>XX Large</v>
      </c>
      <c r="J1522" s="1">
        <v>229.23</v>
      </c>
      <c r="K1522">
        <f t="shared" si="116"/>
        <v>0.01</v>
      </c>
      <c r="L1522">
        <f t="shared" si="117"/>
        <v>226.93769999999998</v>
      </c>
      <c r="M1522" s="1">
        <f t="shared" si="118"/>
        <v>221.63</v>
      </c>
      <c r="N1522" s="1" t="s">
        <v>10</v>
      </c>
      <c r="O1522" s="1">
        <v>7.6</v>
      </c>
    </row>
    <row r="1523" spans="4:15" x14ac:dyDescent="0.3">
      <c r="D1523" s="1">
        <v>50784</v>
      </c>
      <c r="E1523" s="2">
        <v>43505</v>
      </c>
      <c r="F1523" s="1" t="s">
        <v>9</v>
      </c>
      <c r="G1523" s="1">
        <v>20</v>
      </c>
      <c r="H1523" t="str">
        <f t="shared" si="119"/>
        <v>Small-Medium</v>
      </c>
      <c r="I1523" t="str">
        <f t="shared" si="115"/>
        <v>Small-Medium</v>
      </c>
      <c r="J1523" s="1">
        <v>683.43</v>
      </c>
      <c r="K1523">
        <f t="shared" si="116"/>
        <v>0</v>
      </c>
      <c r="L1523">
        <f t="shared" si="117"/>
        <v>683.43</v>
      </c>
      <c r="M1523" s="1">
        <f t="shared" si="118"/>
        <v>683.43</v>
      </c>
      <c r="N1523" s="1" t="s">
        <v>10</v>
      </c>
      <c r="O1523" s="1">
        <v>5.9</v>
      </c>
    </row>
    <row r="1524" spans="4:15" x14ac:dyDescent="0.3">
      <c r="D1524" s="1">
        <v>19617</v>
      </c>
      <c r="E1524" s="2">
        <v>43484</v>
      </c>
      <c r="F1524" s="1" t="s">
        <v>7</v>
      </c>
      <c r="G1524" s="1">
        <v>38</v>
      </c>
      <c r="H1524" t="str">
        <f t="shared" si="119"/>
        <v>Extra Large</v>
      </c>
      <c r="I1524" t="str">
        <f t="shared" si="115"/>
        <v>Extra Large</v>
      </c>
      <c r="J1524" s="1">
        <v>1019.1429000000001</v>
      </c>
      <c r="K1524">
        <f t="shared" si="116"/>
        <v>0.01</v>
      </c>
      <c r="L1524">
        <f t="shared" si="117"/>
        <v>1008.9514710000001</v>
      </c>
      <c r="M1524" s="1">
        <f t="shared" si="118"/>
        <v>1012.4429</v>
      </c>
      <c r="N1524" s="1" t="s">
        <v>10</v>
      </c>
      <c r="O1524" s="1">
        <v>6.7</v>
      </c>
    </row>
    <row r="1525" spans="4:15" x14ac:dyDescent="0.3">
      <c r="D1525" s="1">
        <v>25476</v>
      </c>
      <c r="E1525" s="2">
        <v>43740</v>
      </c>
      <c r="F1525" s="1" t="s">
        <v>11</v>
      </c>
      <c r="G1525" s="1">
        <v>4</v>
      </c>
      <c r="H1525" t="str">
        <f t="shared" si="119"/>
        <v>Mini</v>
      </c>
      <c r="I1525" t="str">
        <f t="shared" si="115"/>
        <v>Mini</v>
      </c>
      <c r="J1525" s="1">
        <v>14657.89</v>
      </c>
      <c r="K1525">
        <f t="shared" si="116"/>
        <v>0</v>
      </c>
      <c r="L1525">
        <f t="shared" si="117"/>
        <v>14657.89</v>
      </c>
      <c r="M1525" s="1">
        <f t="shared" si="118"/>
        <v>14657.89</v>
      </c>
      <c r="N1525" s="1" t="s">
        <v>10</v>
      </c>
      <c r="O1525" s="1">
        <v>26.2</v>
      </c>
    </row>
    <row r="1526" spans="4:15" x14ac:dyDescent="0.3">
      <c r="D1526" s="1">
        <v>55460</v>
      </c>
      <c r="E1526" s="2">
        <v>43611</v>
      </c>
      <c r="F1526" s="1" t="s">
        <v>9</v>
      </c>
      <c r="G1526" s="1">
        <v>49</v>
      </c>
      <c r="H1526" t="str">
        <f t="shared" si="119"/>
        <v>XXX Large</v>
      </c>
      <c r="I1526" t="str">
        <f t="shared" si="115"/>
        <v>XXX Large</v>
      </c>
      <c r="J1526" s="1">
        <v>2081.0100000000002</v>
      </c>
      <c r="K1526">
        <f t="shared" si="116"/>
        <v>0.01</v>
      </c>
      <c r="L1526">
        <f t="shared" si="117"/>
        <v>2060.1999000000001</v>
      </c>
      <c r="M1526" s="1">
        <f t="shared" si="118"/>
        <v>2076.21</v>
      </c>
      <c r="N1526" s="1" t="s">
        <v>10</v>
      </c>
      <c r="O1526" s="1">
        <v>4.8</v>
      </c>
    </row>
    <row r="1527" spans="4:15" x14ac:dyDescent="0.3">
      <c r="D1527" s="1">
        <v>23648</v>
      </c>
      <c r="E1527" s="2">
        <v>43732</v>
      </c>
      <c r="F1527" s="1" t="s">
        <v>12</v>
      </c>
      <c r="G1527" s="1">
        <v>44</v>
      </c>
      <c r="H1527" t="str">
        <f t="shared" si="119"/>
        <v>XX Large</v>
      </c>
      <c r="I1527" t="str">
        <f t="shared" si="115"/>
        <v>XX Large</v>
      </c>
      <c r="J1527" s="1">
        <v>7241.93</v>
      </c>
      <c r="K1527">
        <f t="shared" si="116"/>
        <v>0.01</v>
      </c>
      <c r="L1527">
        <f t="shared" si="117"/>
        <v>7169.5106999999998</v>
      </c>
      <c r="M1527" s="1">
        <f t="shared" si="118"/>
        <v>7234.93</v>
      </c>
      <c r="N1527" s="1" t="s">
        <v>10</v>
      </c>
      <c r="O1527" s="1">
        <v>7</v>
      </c>
    </row>
    <row r="1528" spans="4:15" x14ac:dyDescent="0.3">
      <c r="D1528" s="1">
        <v>5986</v>
      </c>
      <c r="E1528" s="2">
        <v>43576</v>
      </c>
      <c r="F1528" s="1" t="s">
        <v>9</v>
      </c>
      <c r="G1528" s="1">
        <v>41</v>
      </c>
      <c r="H1528" t="str">
        <f t="shared" si="119"/>
        <v>XX Large</v>
      </c>
      <c r="I1528" t="str">
        <f t="shared" si="115"/>
        <v>XX Large</v>
      </c>
      <c r="J1528" s="1">
        <v>219.61</v>
      </c>
      <c r="K1528">
        <f t="shared" si="116"/>
        <v>0.01</v>
      </c>
      <c r="L1528">
        <f t="shared" si="117"/>
        <v>217.41390000000001</v>
      </c>
      <c r="M1528" s="1">
        <f t="shared" si="118"/>
        <v>214.31</v>
      </c>
      <c r="N1528" s="1" t="s">
        <v>10</v>
      </c>
      <c r="O1528" s="1">
        <v>5.3</v>
      </c>
    </row>
    <row r="1529" spans="4:15" x14ac:dyDescent="0.3">
      <c r="D1529" s="1">
        <v>37445</v>
      </c>
      <c r="E1529" s="2">
        <v>43513</v>
      </c>
      <c r="F1529" s="1" t="s">
        <v>9</v>
      </c>
      <c r="G1529" s="1">
        <v>37</v>
      </c>
      <c r="H1529" t="str">
        <f t="shared" si="119"/>
        <v>Extra Large</v>
      </c>
      <c r="I1529" t="str">
        <f t="shared" si="115"/>
        <v>Extra Large</v>
      </c>
      <c r="J1529" s="1">
        <v>2332.85</v>
      </c>
      <c r="K1529">
        <f t="shared" si="116"/>
        <v>0.01</v>
      </c>
      <c r="L1529">
        <f t="shared" si="117"/>
        <v>2309.5214999999998</v>
      </c>
      <c r="M1529" s="1">
        <f t="shared" si="118"/>
        <v>2329.15</v>
      </c>
      <c r="N1529" s="1" t="s">
        <v>10</v>
      </c>
      <c r="O1529" s="1">
        <v>3.7</v>
      </c>
    </row>
    <row r="1530" spans="4:15" x14ac:dyDescent="0.3">
      <c r="D1530" s="1">
        <v>24579</v>
      </c>
      <c r="E1530" s="2">
        <v>43787</v>
      </c>
      <c r="F1530" s="1" t="s">
        <v>9</v>
      </c>
      <c r="G1530" s="1">
        <v>40</v>
      </c>
      <c r="H1530" t="str">
        <f t="shared" si="119"/>
        <v>Extra Large</v>
      </c>
      <c r="I1530" t="str">
        <f t="shared" si="115"/>
        <v>Extra Large</v>
      </c>
      <c r="J1530" s="1">
        <v>500.23</v>
      </c>
      <c r="K1530">
        <f t="shared" si="116"/>
        <v>0.01</v>
      </c>
      <c r="L1530">
        <f t="shared" si="117"/>
        <v>495.22770000000003</v>
      </c>
      <c r="M1530" s="1">
        <f t="shared" si="118"/>
        <v>494.93</v>
      </c>
      <c r="N1530" s="1" t="s">
        <v>10</v>
      </c>
      <c r="O1530" s="1">
        <v>5.3</v>
      </c>
    </row>
    <row r="1531" spans="4:15" x14ac:dyDescent="0.3">
      <c r="D1531" s="1">
        <v>1925</v>
      </c>
      <c r="E1531" s="2">
        <v>43528</v>
      </c>
      <c r="F1531" s="1" t="s">
        <v>12</v>
      </c>
      <c r="G1531" s="1">
        <v>40</v>
      </c>
      <c r="H1531" t="str">
        <f t="shared" si="119"/>
        <v>Extra Large</v>
      </c>
      <c r="I1531" t="str">
        <f t="shared" si="115"/>
        <v>Extra Large</v>
      </c>
      <c r="J1531" s="1">
        <v>973.51</v>
      </c>
      <c r="K1531">
        <f t="shared" si="116"/>
        <v>0.01</v>
      </c>
      <c r="L1531">
        <f t="shared" si="117"/>
        <v>963.7749</v>
      </c>
      <c r="M1531" s="1">
        <f t="shared" si="118"/>
        <v>971.41</v>
      </c>
      <c r="N1531" s="1" t="s">
        <v>10</v>
      </c>
      <c r="O1531" s="1">
        <v>2.1</v>
      </c>
    </row>
    <row r="1532" spans="4:15" x14ac:dyDescent="0.3">
      <c r="D1532" s="1">
        <v>57570</v>
      </c>
      <c r="E1532" s="2">
        <v>43736</v>
      </c>
      <c r="F1532" s="1" t="s">
        <v>9</v>
      </c>
      <c r="G1532" s="1">
        <v>27</v>
      </c>
      <c r="H1532" t="str">
        <f t="shared" si="119"/>
        <v>Medium-Large</v>
      </c>
      <c r="I1532" t="str">
        <f t="shared" si="115"/>
        <v>Medium-Large</v>
      </c>
      <c r="J1532" s="1">
        <v>1950.65</v>
      </c>
      <c r="K1532">
        <f t="shared" si="116"/>
        <v>0</v>
      </c>
      <c r="L1532">
        <f t="shared" si="117"/>
        <v>1950.65</v>
      </c>
      <c r="M1532" s="1">
        <f t="shared" si="118"/>
        <v>1950.65</v>
      </c>
      <c r="N1532" s="1" t="s">
        <v>13</v>
      </c>
      <c r="O1532" s="1">
        <v>28.6</v>
      </c>
    </row>
    <row r="1533" spans="4:15" x14ac:dyDescent="0.3">
      <c r="D1533" s="1">
        <v>17831</v>
      </c>
      <c r="E1533" s="2">
        <v>43763</v>
      </c>
      <c r="F1533" s="1" t="s">
        <v>12</v>
      </c>
      <c r="G1533" s="1">
        <v>38</v>
      </c>
      <c r="H1533" t="str">
        <f t="shared" si="119"/>
        <v>Extra Large</v>
      </c>
      <c r="I1533" t="str">
        <f t="shared" si="115"/>
        <v>Extra Large</v>
      </c>
      <c r="J1533" s="1">
        <v>278.64</v>
      </c>
      <c r="K1533">
        <f t="shared" si="116"/>
        <v>0.01</v>
      </c>
      <c r="L1533">
        <f t="shared" si="117"/>
        <v>275.85359999999997</v>
      </c>
      <c r="M1533" s="1">
        <f t="shared" si="118"/>
        <v>272.94</v>
      </c>
      <c r="N1533" s="1" t="s">
        <v>8</v>
      </c>
      <c r="O1533" s="1">
        <v>5.7</v>
      </c>
    </row>
    <row r="1534" spans="4:15" x14ac:dyDescent="0.3">
      <c r="D1534" s="1">
        <v>48128</v>
      </c>
      <c r="E1534" s="2">
        <v>43566</v>
      </c>
      <c r="F1534" s="1" t="s">
        <v>14</v>
      </c>
      <c r="G1534" s="1">
        <v>5</v>
      </c>
      <c r="H1534" t="str">
        <f t="shared" si="119"/>
        <v>Mini</v>
      </c>
      <c r="I1534" t="str">
        <f t="shared" si="115"/>
        <v>Mini</v>
      </c>
      <c r="J1534" s="1">
        <v>2782.47</v>
      </c>
      <c r="K1534">
        <f t="shared" si="116"/>
        <v>0</v>
      </c>
      <c r="L1534">
        <f t="shared" si="117"/>
        <v>2782.47</v>
      </c>
      <c r="M1534" s="1">
        <f t="shared" si="118"/>
        <v>2782.47</v>
      </c>
      <c r="N1534" s="1" t="s">
        <v>8</v>
      </c>
      <c r="O1534" s="1">
        <v>26.2</v>
      </c>
    </row>
    <row r="1535" spans="4:15" x14ac:dyDescent="0.3">
      <c r="D1535" s="1">
        <v>10567</v>
      </c>
      <c r="E1535" s="2">
        <v>43553</v>
      </c>
      <c r="F1535" s="1" t="s">
        <v>9</v>
      </c>
      <c r="G1535" s="1">
        <v>10</v>
      </c>
      <c r="H1535" t="str">
        <f t="shared" si="119"/>
        <v>Extra Small</v>
      </c>
      <c r="I1535" t="str">
        <f t="shared" si="115"/>
        <v>Extra Small</v>
      </c>
      <c r="J1535" s="1">
        <v>1188.78</v>
      </c>
      <c r="K1535">
        <f t="shared" si="116"/>
        <v>0</v>
      </c>
      <c r="L1535">
        <f t="shared" si="117"/>
        <v>1188.78</v>
      </c>
      <c r="M1535" s="1">
        <f t="shared" si="118"/>
        <v>1188.78</v>
      </c>
      <c r="N1535" s="1" t="s">
        <v>13</v>
      </c>
      <c r="O1535" s="1">
        <v>46.8</v>
      </c>
    </row>
    <row r="1536" spans="4:15" x14ac:dyDescent="0.3">
      <c r="D1536" s="1">
        <v>47846</v>
      </c>
      <c r="E1536" s="2">
        <v>43688</v>
      </c>
      <c r="F1536" s="1" t="s">
        <v>9</v>
      </c>
      <c r="G1536" s="1">
        <v>50</v>
      </c>
      <c r="H1536" t="str">
        <f t="shared" si="119"/>
        <v>XXX Large</v>
      </c>
      <c r="I1536" t="str">
        <f t="shared" si="115"/>
        <v>XXX Large</v>
      </c>
      <c r="J1536" s="1">
        <v>5899.79</v>
      </c>
      <c r="K1536">
        <f t="shared" si="116"/>
        <v>0.01</v>
      </c>
      <c r="L1536">
        <f t="shared" si="117"/>
        <v>5840.7920999999997</v>
      </c>
      <c r="M1536" s="1">
        <f t="shared" si="118"/>
        <v>5884.79</v>
      </c>
      <c r="N1536" s="1" t="s">
        <v>10</v>
      </c>
      <c r="O1536" s="1">
        <v>15</v>
      </c>
    </row>
    <row r="1537" spans="4:15" x14ac:dyDescent="0.3">
      <c r="D1537" s="1">
        <v>46404</v>
      </c>
      <c r="E1537" s="2">
        <v>43528</v>
      </c>
      <c r="F1537" s="1" t="s">
        <v>12</v>
      </c>
      <c r="G1537" s="1">
        <v>50</v>
      </c>
      <c r="H1537" t="str">
        <f t="shared" si="119"/>
        <v>XXX Large</v>
      </c>
      <c r="I1537" t="str">
        <f t="shared" si="115"/>
        <v>XXX Large</v>
      </c>
      <c r="J1537" s="1">
        <v>2006.69</v>
      </c>
      <c r="K1537">
        <f t="shared" si="116"/>
        <v>0.01</v>
      </c>
      <c r="L1537">
        <f t="shared" si="117"/>
        <v>1986.6231</v>
      </c>
      <c r="M1537" s="1">
        <f t="shared" si="118"/>
        <v>2003.99</v>
      </c>
      <c r="N1537" s="1" t="s">
        <v>10</v>
      </c>
      <c r="O1537" s="1">
        <v>2.7</v>
      </c>
    </row>
    <row r="1538" spans="4:15" x14ac:dyDescent="0.3">
      <c r="D1538" s="1">
        <v>29411</v>
      </c>
      <c r="E1538" s="2">
        <v>43561</v>
      </c>
      <c r="F1538" s="1" t="s">
        <v>9</v>
      </c>
      <c r="G1538" s="1">
        <v>33</v>
      </c>
      <c r="H1538" t="str">
        <f t="shared" si="119"/>
        <v>Large</v>
      </c>
      <c r="I1538" t="str">
        <f t="shared" si="115"/>
        <v>Large</v>
      </c>
      <c r="J1538" s="1">
        <v>580.20000000000005</v>
      </c>
      <c r="K1538">
        <f t="shared" si="116"/>
        <v>0</v>
      </c>
      <c r="L1538">
        <f t="shared" si="117"/>
        <v>580.20000000000005</v>
      </c>
      <c r="M1538" s="1">
        <f t="shared" si="118"/>
        <v>580.20000000000005</v>
      </c>
      <c r="N1538" s="1" t="s">
        <v>10</v>
      </c>
      <c r="O1538" s="1">
        <v>1.5</v>
      </c>
    </row>
    <row r="1539" spans="4:15" x14ac:dyDescent="0.3">
      <c r="D1539" s="1">
        <v>50950</v>
      </c>
      <c r="E1539" s="2">
        <v>43829</v>
      </c>
      <c r="F1539" s="1" t="s">
        <v>11</v>
      </c>
      <c r="G1539" s="1">
        <v>6</v>
      </c>
      <c r="H1539" t="str">
        <f t="shared" si="119"/>
        <v>Extra Small</v>
      </c>
      <c r="I1539" t="str">
        <f t="shared" ref="I1539:I1602" si="120">VLOOKUP(G1539, $A$3:$B$12, 2, TRUE)</f>
        <v>Extra Small</v>
      </c>
      <c r="J1539" s="1">
        <v>418.5</v>
      </c>
      <c r="K1539">
        <f t="shared" ref="K1539:K1602" si="121">IF(OR(I1539="Extra Large", I1539="XX Large", I1539="XXX Large"), 0.01, 0)</f>
        <v>0</v>
      </c>
      <c r="L1539">
        <f t="shared" ref="L1539:L1602" si="122">J1539 * (1 - K1539)</f>
        <v>418.5</v>
      </c>
      <c r="M1539" s="1">
        <f t="shared" ref="M1539:M1602" si="123">IF(OR(I1539="Extra Large",I1539="XX Large",I1539="XXX Large"),J1539-O1539,J1539)</f>
        <v>418.5</v>
      </c>
      <c r="N1539" s="1" t="s">
        <v>13</v>
      </c>
      <c r="O1539" s="1">
        <v>32.1</v>
      </c>
    </row>
    <row r="1540" spans="4:15" x14ac:dyDescent="0.3">
      <c r="D1540" s="1">
        <v>18592</v>
      </c>
      <c r="E1540" s="2">
        <v>43738</v>
      </c>
      <c r="F1540" s="1" t="s">
        <v>12</v>
      </c>
      <c r="G1540" s="1">
        <v>2</v>
      </c>
      <c r="H1540" t="str">
        <f t="shared" si="119"/>
        <v>Mini</v>
      </c>
      <c r="I1540" t="str">
        <f t="shared" si="120"/>
        <v>Mini</v>
      </c>
      <c r="J1540" s="1">
        <v>27.52</v>
      </c>
      <c r="K1540">
        <f t="shared" si="121"/>
        <v>0</v>
      </c>
      <c r="L1540">
        <f t="shared" si="122"/>
        <v>27.52</v>
      </c>
      <c r="M1540" s="1">
        <f t="shared" si="123"/>
        <v>27.52</v>
      </c>
      <c r="N1540" s="1" t="s">
        <v>10</v>
      </c>
      <c r="O1540" s="1">
        <v>3.6</v>
      </c>
    </row>
    <row r="1541" spans="4:15" x14ac:dyDescent="0.3">
      <c r="D1541" s="1">
        <v>57698</v>
      </c>
      <c r="E1541" s="2">
        <v>43470</v>
      </c>
      <c r="F1541" s="1" t="s">
        <v>12</v>
      </c>
      <c r="G1541" s="1">
        <v>10</v>
      </c>
      <c r="H1541" t="str">
        <f t="shared" ref="H1541:H1604" si="124">VLOOKUP(G1541, $A$3:$B$12, 2, TRUE)</f>
        <v>Extra Small</v>
      </c>
      <c r="I1541" t="str">
        <f t="shared" si="120"/>
        <v>Extra Small</v>
      </c>
      <c r="J1541" s="1">
        <v>92.02</v>
      </c>
      <c r="K1541">
        <f t="shared" si="121"/>
        <v>0</v>
      </c>
      <c r="L1541">
        <f t="shared" si="122"/>
        <v>92.02</v>
      </c>
      <c r="M1541" s="1">
        <f t="shared" si="123"/>
        <v>92.02</v>
      </c>
      <c r="N1541" s="1" t="s">
        <v>10</v>
      </c>
      <c r="O1541" s="1">
        <v>9.9</v>
      </c>
    </row>
    <row r="1542" spans="4:15" x14ac:dyDescent="0.3">
      <c r="D1542" s="1">
        <v>28453</v>
      </c>
      <c r="E1542" s="2">
        <v>43827</v>
      </c>
      <c r="F1542" s="1" t="s">
        <v>12</v>
      </c>
      <c r="G1542" s="1">
        <v>26</v>
      </c>
      <c r="H1542" t="str">
        <f t="shared" si="124"/>
        <v>Medium-Large</v>
      </c>
      <c r="I1542" t="str">
        <f t="shared" si="120"/>
        <v>Medium-Large</v>
      </c>
      <c r="J1542" s="1">
        <v>599.23</v>
      </c>
      <c r="K1542">
        <f t="shared" si="121"/>
        <v>0</v>
      </c>
      <c r="L1542">
        <f t="shared" si="122"/>
        <v>599.23</v>
      </c>
      <c r="M1542" s="1">
        <f t="shared" si="123"/>
        <v>599.23</v>
      </c>
      <c r="N1542" s="1" t="s">
        <v>10</v>
      </c>
      <c r="O1542" s="1">
        <v>15</v>
      </c>
    </row>
    <row r="1543" spans="4:15" x14ac:dyDescent="0.3">
      <c r="D1543" s="1">
        <v>25314</v>
      </c>
      <c r="E1543" s="2">
        <v>43519</v>
      </c>
      <c r="F1543" s="1" t="s">
        <v>9</v>
      </c>
      <c r="G1543" s="1">
        <v>43</v>
      </c>
      <c r="H1543" t="str">
        <f t="shared" si="124"/>
        <v>XX Large</v>
      </c>
      <c r="I1543" t="str">
        <f t="shared" si="120"/>
        <v>XX Large</v>
      </c>
      <c r="J1543" s="1">
        <v>8217.08</v>
      </c>
      <c r="K1543">
        <f t="shared" si="121"/>
        <v>0.01</v>
      </c>
      <c r="L1543">
        <f t="shared" si="122"/>
        <v>8134.9092000000001</v>
      </c>
      <c r="M1543" s="1">
        <f t="shared" si="123"/>
        <v>8211.68</v>
      </c>
      <c r="N1543" s="1" t="s">
        <v>10</v>
      </c>
      <c r="O1543" s="1">
        <v>5.4</v>
      </c>
    </row>
    <row r="1544" spans="4:15" x14ac:dyDescent="0.3">
      <c r="D1544" s="1">
        <v>15142</v>
      </c>
      <c r="E1544" s="2">
        <v>43559</v>
      </c>
      <c r="F1544" s="1" t="s">
        <v>11</v>
      </c>
      <c r="G1544" s="1">
        <v>21</v>
      </c>
      <c r="H1544" t="str">
        <f t="shared" si="124"/>
        <v>Medium</v>
      </c>
      <c r="I1544" t="str">
        <f t="shared" si="120"/>
        <v>Medium</v>
      </c>
      <c r="J1544" s="1">
        <v>353.34</v>
      </c>
      <c r="K1544">
        <f t="shared" si="121"/>
        <v>0</v>
      </c>
      <c r="L1544">
        <f t="shared" si="122"/>
        <v>353.34</v>
      </c>
      <c r="M1544" s="1">
        <f t="shared" si="123"/>
        <v>353.34</v>
      </c>
      <c r="N1544" s="1" t="s">
        <v>10</v>
      </c>
      <c r="O1544" s="1">
        <v>11.7</v>
      </c>
    </row>
    <row r="1545" spans="4:15" x14ac:dyDescent="0.3">
      <c r="D1545" s="1">
        <v>30310</v>
      </c>
      <c r="E1545" s="2">
        <v>43581</v>
      </c>
      <c r="F1545" s="1" t="s">
        <v>14</v>
      </c>
      <c r="G1545" s="1">
        <v>21</v>
      </c>
      <c r="H1545" t="str">
        <f t="shared" si="124"/>
        <v>Medium</v>
      </c>
      <c r="I1545" t="str">
        <f t="shared" si="120"/>
        <v>Medium</v>
      </c>
      <c r="J1545" s="1">
        <v>2165.71</v>
      </c>
      <c r="K1545">
        <f t="shared" si="121"/>
        <v>0</v>
      </c>
      <c r="L1545">
        <f t="shared" si="122"/>
        <v>2165.71</v>
      </c>
      <c r="M1545" s="1">
        <f t="shared" si="123"/>
        <v>2165.71</v>
      </c>
      <c r="N1545" s="1" t="s">
        <v>10</v>
      </c>
      <c r="O1545" s="1">
        <v>9.4</v>
      </c>
    </row>
    <row r="1546" spans="4:15" x14ac:dyDescent="0.3">
      <c r="D1546" s="1">
        <v>38336</v>
      </c>
      <c r="E1546" s="2">
        <v>43743</v>
      </c>
      <c r="F1546" s="1" t="s">
        <v>12</v>
      </c>
      <c r="G1546" s="1">
        <v>14</v>
      </c>
      <c r="H1546" t="str">
        <f t="shared" si="124"/>
        <v>Small</v>
      </c>
      <c r="I1546" t="str">
        <f t="shared" si="120"/>
        <v>Small</v>
      </c>
      <c r="J1546" s="1">
        <v>98.17</v>
      </c>
      <c r="K1546">
        <f t="shared" si="121"/>
        <v>0</v>
      </c>
      <c r="L1546">
        <f t="shared" si="122"/>
        <v>98.17</v>
      </c>
      <c r="M1546" s="1">
        <f t="shared" si="123"/>
        <v>98.17</v>
      </c>
      <c r="N1546" s="1" t="s">
        <v>10</v>
      </c>
      <c r="O1546" s="1">
        <v>3.2</v>
      </c>
    </row>
    <row r="1547" spans="4:15" x14ac:dyDescent="0.3">
      <c r="D1547" s="1">
        <v>11683</v>
      </c>
      <c r="E1547" s="2">
        <v>43502</v>
      </c>
      <c r="F1547" s="1" t="s">
        <v>11</v>
      </c>
      <c r="G1547" s="1">
        <v>28</v>
      </c>
      <c r="H1547" t="str">
        <f t="shared" si="124"/>
        <v>Medium-Large</v>
      </c>
      <c r="I1547" t="str">
        <f t="shared" si="120"/>
        <v>Medium-Large</v>
      </c>
      <c r="J1547" s="1">
        <v>1765.9398000000001</v>
      </c>
      <c r="K1547">
        <f t="shared" si="121"/>
        <v>0</v>
      </c>
      <c r="L1547">
        <f t="shared" si="122"/>
        <v>1765.9398000000001</v>
      </c>
      <c r="M1547" s="1">
        <f t="shared" si="123"/>
        <v>1765.9398000000001</v>
      </c>
      <c r="N1547" s="1" t="s">
        <v>10</v>
      </c>
      <c r="O1547" s="1">
        <v>6.4</v>
      </c>
    </row>
    <row r="1548" spans="4:15" x14ac:dyDescent="0.3">
      <c r="D1548" s="1">
        <v>20194</v>
      </c>
      <c r="E1548" s="2">
        <v>43537</v>
      </c>
      <c r="F1548" s="1" t="s">
        <v>9</v>
      </c>
      <c r="G1548" s="1">
        <v>10</v>
      </c>
      <c r="H1548" t="str">
        <f t="shared" si="124"/>
        <v>Extra Small</v>
      </c>
      <c r="I1548" t="str">
        <f t="shared" si="120"/>
        <v>Extra Small</v>
      </c>
      <c r="J1548" s="1">
        <v>207.89</v>
      </c>
      <c r="K1548">
        <f t="shared" si="121"/>
        <v>0</v>
      </c>
      <c r="L1548">
        <f t="shared" si="122"/>
        <v>207.89</v>
      </c>
      <c r="M1548" s="1">
        <f t="shared" si="123"/>
        <v>207.89</v>
      </c>
      <c r="N1548" s="1" t="s">
        <v>10</v>
      </c>
      <c r="O1548" s="1">
        <v>7.1</v>
      </c>
    </row>
    <row r="1549" spans="4:15" x14ac:dyDescent="0.3">
      <c r="D1549" s="1">
        <v>5986</v>
      </c>
      <c r="E1549" s="2">
        <v>43576</v>
      </c>
      <c r="F1549" s="1" t="s">
        <v>9</v>
      </c>
      <c r="G1549" s="1">
        <v>48</v>
      </c>
      <c r="H1549" t="str">
        <f t="shared" si="124"/>
        <v>XXX Large</v>
      </c>
      <c r="I1549" t="str">
        <f t="shared" si="120"/>
        <v>XXX Large</v>
      </c>
      <c r="J1549" s="1">
        <v>5945.11</v>
      </c>
      <c r="K1549">
        <f t="shared" si="121"/>
        <v>0.01</v>
      </c>
      <c r="L1549">
        <f t="shared" si="122"/>
        <v>5885.6588999999994</v>
      </c>
      <c r="M1549" s="1">
        <f t="shared" si="123"/>
        <v>5940.8099999999995</v>
      </c>
      <c r="N1549" s="1" t="s">
        <v>10</v>
      </c>
      <c r="O1549" s="1">
        <v>4.3</v>
      </c>
    </row>
    <row r="1550" spans="4:15" x14ac:dyDescent="0.3">
      <c r="D1550" s="1">
        <v>33893</v>
      </c>
      <c r="E1550" s="2">
        <v>43728</v>
      </c>
      <c r="F1550" s="1" t="s">
        <v>11</v>
      </c>
      <c r="G1550" s="1">
        <v>6</v>
      </c>
      <c r="H1550" t="str">
        <f t="shared" si="124"/>
        <v>Extra Small</v>
      </c>
      <c r="I1550" t="str">
        <f t="shared" si="120"/>
        <v>Extra Small</v>
      </c>
      <c r="J1550" s="1">
        <v>248.46</v>
      </c>
      <c r="K1550">
        <f t="shared" si="121"/>
        <v>0</v>
      </c>
      <c r="L1550">
        <f t="shared" si="122"/>
        <v>248.46</v>
      </c>
      <c r="M1550" s="1">
        <f t="shared" si="123"/>
        <v>248.46</v>
      </c>
      <c r="N1550" s="1" t="s">
        <v>10</v>
      </c>
      <c r="O1550" s="1">
        <v>15.8</v>
      </c>
    </row>
    <row r="1551" spans="4:15" x14ac:dyDescent="0.3">
      <c r="D1551" s="1">
        <v>6785</v>
      </c>
      <c r="E1551" s="2">
        <v>43591</v>
      </c>
      <c r="F1551" s="1" t="s">
        <v>14</v>
      </c>
      <c r="G1551" s="1">
        <v>7</v>
      </c>
      <c r="H1551" t="str">
        <f t="shared" si="124"/>
        <v>Extra Small</v>
      </c>
      <c r="I1551" t="str">
        <f t="shared" si="120"/>
        <v>Extra Small</v>
      </c>
      <c r="J1551" s="1">
        <v>194.01</v>
      </c>
      <c r="K1551">
        <f t="shared" si="121"/>
        <v>0</v>
      </c>
      <c r="L1551">
        <f t="shared" si="122"/>
        <v>194.01</v>
      </c>
      <c r="M1551" s="1">
        <f t="shared" si="123"/>
        <v>194.01</v>
      </c>
      <c r="N1551" s="1" t="s">
        <v>10</v>
      </c>
      <c r="O1551" s="1">
        <v>9.6</v>
      </c>
    </row>
    <row r="1552" spans="4:15" x14ac:dyDescent="0.3">
      <c r="D1552" s="1">
        <v>54791</v>
      </c>
      <c r="E1552" s="2">
        <v>43819</v>
      </c>
      <c r="F1552" s="1" t="s">
        <v>9</v>
      </c>
      <c r="G1552" s="1">
        <v>45</v>
      </c>
      <c r="H1552" t="str">
        <f t="shared" si="124"/>
        <v>XX Large</v>
      </c>
      <c r="I1552" t="str">
        <f t="shared" si="120"/>
        <v>XX Large</v>
      </c>
      <c r="J1552" s="1">
        <v>4456.59</v>
      </c>
      <c r="K1552">
        <f t="shared" si="121"/>
        <v>0.01</v>
      </c>
      <c r="L1552">
        <f t="shared" si="122"/>
        <v>4412.0241000000005</v>
      </c>
      <c r="M1552" s="1">
        <f t="shared" si="123"/>
        <v>4424.49</v>
      </c>
      <c r="N1552" s="1" t="s">
        <v>13</v>
      </c>
      <c r="O1552" s="1">
        <v>32.1</v>
      </c>
    </row>
    <row r="1553" spans="4:15" x14ac:dyDescent="0.3">
      <c r="D1553" s="1">
        <v>12837</v>
      </c>
      <c r="E1553" s="2">
        <v>43801</v>
      </c>
      <c r="F1553" s="1" t="s">
        <v>14</v>
      </c>
      <c r="G1553" s="1">
        <v>50</v>
      </c>
      <c r="H1553" t="str">
        <f t="shared" si="124"/>
        <v>XXX Large</v>
      </c>
      <c r="I1553" t="str">
        <f t="shared" si="120"/>
        <v>XXX Large</v>
      </c>
      <c r="J1553" s="1">
        <v>1177.22</v>
      </c>
      <c r="K1553">
        <f t="shared" si="121"/>
        <v>0.01</v>
      </c>
      <c r="L1553">
        <f t="shared" si="122"/>
        <v>1165.4477999999999</v>
      </c>
      <c r="M1553" s="1">
        <f t="shared" si="123"/>
        <v>1175.1200000000001</v>
      </c>
      <c r="N1553" s="1" t="s">
        <v>10</v>
      </c>
      <c r="O1553" s="1">
        <v>2.1</v>
      </c>
    </row>
    <row r="1554" spans="4:15" x14ac:dyDescent="0.3">
      <c r="D1554" s="1">
        <v>58435</v>
      </c>
      <c r="E1554" s="2">
        <v>43592</v>
      </c>
      <c r="F1554" s="1" t="s">
        <v>7</v>
      </c>
      <c r="G1554" s="1">
        <v>11</v>
      </c>
      <c r="H1554" t="str">
        <f t="shared" si="124"/>
        <v>Small</v>
      </c>
      <c r="I1554" t="str">
        <f t="shared" si="120"/>
        <v>Small</v>
      </c>
      <c r="J1554" s="1">
        <v>292.58080000000001</v>
      </c>
      <c r="K1554">
        <f t="shared" si="121"/>
        <v>0</v>
      </c>
      <c r="L1554">
        <f t="shared" si="122"/>
        <v>292.58080000000001</v>
      </c>
      <c r="M1554" s="1">
        <f t="shared" si="123"/>
        <v>292.58080000000001</v>
      </c>
      <c r="N1554" s="1" t="s">
        <v>10</v>
      </c>
      <c r="O1554" s="1">
        <v>16.2</v>
      </c>
    </row>
    <row r="1555" spans="4:15" x14ac:dyDescent="0.3">
      <c r="D1555" s="1">
        <v>59425</v>
      </c>
      <c r="E1555" s="2">
        <v>43602</v>
      </c>
      <c r="F1555" s="1" t="s">
        <v>14</v>
      </c>
      <c r="G1555" s="1">
        <v>46</v>
      </c>
      <c r="H1555" t="str">
        <f t="shared" si="124"/>
        <v>XXX Large</v>
      </c>
      <c r="I1555" t="str">
        <f t="shared" si="120"/>
        <v>XXX Large</v>
      </c>
      <c r="J1555" s="1">
        <v>1834</v>
      </c>
      <c r="K1555">
        <f t="shared" si="121"/>
        <v>0.01</v>
      </c>
      <c r="L1555">
        <f t="shared" si="122"/>
        <v>1815.66</v>
      </c>
      <c r="M1555" s="1">
        <f t="shared" si="123"/>
        <v>1828.6</v>
      </c>
      <c r="N1555" s="1" t="s">
        <v>10</v>
      </c>
      <c r="O1555" s="1">
        <v>5.4</v>
      </c>
    </row>
    <row r="1556" spans="4:15" x14ac:dyDescent="0.3">
      <c r="D1556" s="1">
        <v>3524</v>
      </c>
      <c r="E1556" s="2">
        <v>43587</v>
      </c>
      <c r="F1556" s="1" t="s">
        <v>9</v>
      </c>
      <c r="G1556" s="1">
        <v>21</v>
      </c>
      <c r="H1556" t="str">
        <f t="shared" si="124"/>
        <v>Medium</v>
      </c>
      <c r="I1556" t="str">
        <f t="shared" si="120"/>
        <v>Medium</v>
      </c>
      <c r="J1556" s="1">
        <v>457.23</v>
      </c>
      <c r="K1556">
        <f t="shared" si="121"/>
        <v>0</v>
      </c>
      <c r="L1556">
        <f t="shared" si="122"/>
        <v>457.23</v>
      </c>
      <c r="M1556" s="1">
        <f t="shared" si="123"/>
        <v>457.23</v>
      </c>
      <c r="N1556" s="1" t="s">
        <v>10</v>
      </c>
      <c r="O1556" s="1">
        <v>9.6999999999999993</v>
      </c>
    </row>
    <row r="1557" spans="4:15" x14ac:dyDescent="0.3">
      <c r="D1557" s="1">
        <v>33378</v>
      </c>
      <c r="E1557" s="2">
        <v>43582</v>
      </c>
      <c r="F1557" s="1" t="s">
        <v>9</v>
      </c>
      <c r="G1557" s="1">
        <v>25</v>
      </c>
      <c r="H1557" t="str">
        <f t="shared" si="124"/>
        <v>Medium</v>
      </c>
      <c r="I1557" t="str">
        <f t="shared" si="120"/>
        <v>Medium</v>
      </c>
      <c r="J1557" s="1">
        <v>1011.54</v>
      </c>
      <c r="K1557">
        <f t="shared" si="121"/>
        <v>0</v>
      </c>
      <c r="L1557">
        <f t="shared" si="122"/>
        <v>1011.54</v>
      </c>
      <c r="M1557" s="1">
        <f t="shared" si="123"/>
        <v>1011.54</v>
      </c>
      <c r="N1557" s="1" t="s">
        <v>10</v>
      </c>
      <c r="O1557" s="1">
        <v>10.5</v>
      </c>
    </row>
    <row r="1558" spans="4:15" x14ac:dyDescent="0.3">
      <c r="D1558" s="1">
        <v>56384</v>
      </c>
      <c r="E1558" s="2">
        <v>43677</v>
      </c>
      <c r="F1558" s="1" t="s">
        <v>12</v>
      </c>
      <c r="G1558" s="1">
        <v>29</v>
      </c>
      <c r="H1558" t="str">
        <f t="shared" si="124"/>
        <v>Medium-Large</v>
      </c>
      <c r="I1558" t="str">
        <f t="shared" si="120"/>
        <v>Medium-Large</v>
      </c>
      <c r="J1558" s="1">
        <v>6569.09</v>
      </c>
      <c r="K1558">
        <f t="shared" si="121"/>
        <v>0</v>
      </c>
      <c r="L1558">
        <f t="shared" si="122"/>
        <v>6569.09</v>
      </c>
      <c r="M1558" s="1">
        <f t="shared" si="123"/>
        <v>6569.09</v>
      </c>
      <c r="N1558" s="1" t="s">
        <v>13</v>
      </c>
      <c r="O1558" s="1">
        <v>74.5</v>
      </c>
    </row>
    <row r="1559" spans="4:15" x14ac:dyDescent="0.3">
      <c r="D1559" s="1">
        <v>48576</v>
      </c>
      <c r="E1559" s="2">
        <v>43800</v>
      </c>
      <c r="F1559" s="1" t="s">
        <v>11</v>
      </c>
      <c r="G1559" s="1">
        <v>47</v>
      </c>
      <c r="H1559" t="str">
        <f t="shared" si="124"/>
        <v>XXX Large</v>
      </c>
      <c r="I1559" t="str">
        <f t="shared" si="120"/>
        <v>XXX Large</v>
      </c>
      <c r="J1559" s="1">
        <v>338.85</v>
      </c>
      <c r="K1559">
        <f t="shared" si="121"/>
        <v>0.01</v>
      </c>
      <c r="L1559">
        <f t="shared" si="122"/>
        <v>335.4615</v>
      </c>
      <c r="M1559" s="1">
        <f t="shared" si="123"/>
        <v>330.85</v>
      </c>
      <c r="N1559" s="1" t="s">
        <v>10</v>
      </c>
      <c r="O1559" s="1">
        <v>8</v>
      </c>
    </row>
    <row r="1560" spans="4:15" x14ac:dyDescent="0.3">
      <c r="D1560" s="1">
        <v>26469</v>
      </c>
      <c r="E1560" s="2">
        <v>43676</v>
      </c>
      <c r="F1560" s="1" t="s">
        <v>14</v>
      </c>
      <c r="G1560" s="1">
        <v>50</v>
      </c>
      <c r="H1560" t="str">
        <f t="shared" si="124"/>
        <v>XXX Large</v>
      </c>
      <c r="I1560" t="str">
        <f t="shared" si="120"/>
        <v>XXX Large</v>
      </c>
      <c r="J1560" s="1">
        <v>374.51069999999999</v>
      </c>
      <c r="K1560">
        <f t="shared" si="121"/>
        <v>0.01</v>
      </c>
      <c r="L1560">
        <f t="shared" si="122"/>
        <v>370.76559299999997</v>
      </c>
      <c r="M1560" s="1">
        <f t="shared" si="123"/>
        <v>367.11070000000001</v>
      </c>
      <c r="N1560" s="1" t="s">
        <v>10</v>
      </c>
      <c r="O1560" s="1">
        <v>7.4</v>
      </c>
    </row>
    <row r="1561" spans="4:15" x14ac:dyDescent="0.3">
      <c r="D1561" s="1">
        <v>43493</v>
      </c>
      <c r="E1561" s="2">
        <v>43595</v>
      </c>
      <c r="F1561" s="1" t="s">
        <v>9</v>
      </c>
      <c r="G1561" s="1">
        <v>14</v>
      </c>
      <c r="H1561" t="str">
        <f t="shared" si="124"/>
        <v>Small</v>
      </c>
      <c r="I1561" t="str">
        <f t="shared" si="120"/>
        <v>Small</v>
      </c>
      <c r="J1561" s="1">
        <v>76.61</v>
      </c>
      <c r="K1561">
        <f t="shared" si="121"/>
        <v>0</v>
      </c>
      <c r="L1561">
        <f t="shared" si="122"/>
        <v>76.61</v>
      </c>
      <c r="M1561" s="1">
        <f t="shared" si="123"/>
        <v>76.61</v>
      </c>
      <c r="N1561" s="1" t="s">
        <v>10</v>
      </c>
      <c r="O1561" s="1">
        <v>5</v>
      </c>
    </row>
    <row r="1562" spans="4:15" x14ac:dyDescent="0.3">
      <c r="D1562" s="1">
        <v>20932</v>
      </c>
      <c r="E1562" s="2">
        <v>43675</v>
      </c>
      <c r="F1562" s="1" t="s">
        <v>9</v>
      </c>
      <c r="G1562" s="1">
        <v>38</v>
      </c>
      <c r="H1562" t="str">
        <f t="shared" si="124"/>
        <v>Extra Large</v>
      </c>
      <c r="I1562" t="str">
        <f t="shared" si="120"/>
        <v>Extra Large</v>
      </c>
      <c r="J1562" s="1">
        <v>131.88999999999999</v>
      </c>
      <c r="K1562">
        <f t="shared" si="121"/>
        <v>0.01</v>
      </c>
      <c r="L1562">
        <f t="shared" si="122"/>
        <v>130.57109999999997</v>
      </c>
      <c r="M1562" s="1">
        <f t="shared" si="123"/>
        <v>129.88999999999999</v>
      </c>
      <c r="N1562" s="1" t="s">
        <v>10</v>
      </c>
      <c r="O1562" s="1">
        <v>2</v>
      </c>
    </row>
    <row r="1563" spans="4:15" x14ac:dyDescent="0.3">
      <c r="D1563" s="1">
        <v>13575</v>
      </c>
      <c r="E1563" s="2">
        <v>43706</v>
      </c>
      <c r="F1563" s="1" t="s">
        <v>12</v>
      </c>
      <c r="G1563" s="1">
        <v>15</v>
      </c>
      <c r="H1563" t="str">
        <f t="shared" si="124"/>
        <v>Small</v>
      </c>
      <c r="I1563" t="str">
        <f t="shared" si="120"/>
        <v>Small</v>
      </c>
      <c r="J1563" s="1">
        <v>113.53</v>
      </c>
      <c r="K1563">
        <f t="shared" si="121"/>
        <v>0</v>
      </c>
      <c r="L1563">
        <f t="shared" si="122"/>
        <v>113.53</v>
      </c>
      <c r="M1563" s="1">
        <f t="shared" si="123"/>
        <v>113.53</v>
      </c>
      <c r="N1563" s="1" t="s">
        <v>8</v>
      </c>
      <c r="O1563" s="1">
        <v>8.8000000000000007</v>
      </c>
    </row>
    <row r="1564" spans="4:15" x14ac:dyDescent="0.3">
      <c r="D1564" s="1">
        <v>16132</v>
      </c>
      <c r="E1564" s="2">
        <v>43765</v>
      </c>
      <c r="F1564" s="1" t="s">
        <v>14</v>
      </c>
      <c r="G1564" s="1">
        <v>26</v>
      </c>
      <c r="H1564" t="str">
        <f t="shared" si="124"/>
        <v>Medium-Large</v>
      </c>
      <c r="I1564" t="str">
        <f t="shared" si="120"/>
        <v>Medium-Large</v>
      </c>
      <c r="J1564" s="1">
        <v>556.36</v>
      </c>
      <c r="K1564">
        <f t="shared" si="121"/>
        <v>0</v>
      </c>
      <c r="L1564">
        <f t="shared" si="122"/>
        <v>556.36</v>
      </c>
      <c r="M1564" s="1">
        <f t="shared" si="123"/>
        <v>556.36</v>
      </c>
      <c r="N1564" s="1" t="s">
        <v>10</v>
      </c>
      <c r="O1564" s="1">
        <v>3.2</v>
      </c>
    </row>
    <row r="1565" spans="4:15" x14ac:dyDescent="0.3">
      <c r="D1565" s="1">
        <v>29926</v>
      </c>
      <c r="E1565" s="2">
        <v>43546</v>
      </c>
      <c r="F1565" s="1" t="s">
        <v>14</v>
      </c>
      <c r="G1565" s="1">
        <v>9</v>
      </c>
      <c r="H1565" t="str">
        <f t="shared" si="124"/>
        <v>Extra Small</v>
      </c>
      <c r="I1565" t="str">
        <f t="shared" si="120"/>
        <v>Extra Small</v>
      </c>
      <c r="J1565" s="1">
        <v>21.62</v>
      </c>
      <c r="K1565">
        <f t="shared" si="121"/>
        <v>0</v>
      </c>
      <c r="L1565">
        <f t="shared" si="122"/>
        <v>21.62</v>
      </c>
      <c r="M1565" s="1">
        <f t="shared" si="123"/>
        <v>21.62</v>
      </c>
      <c r="N1565" s="1" t="s">
        <v>10</v>
      </c>
      <c r="O1565" s="1">
        <v>1.6</v>
      </c>
    </row>
    <row r="1566" spans="4:15" x14ac:dyDescent="0.3">
      <c r="D1566" s="1">
        <v>57152</v>
      </c>
      <c r="E1566" s="2">
        <v>43711</v>
      </c>
      <c r="F1566" s="1" t="s">
        <v>7</v>
      </c>
      <c r="G1566" s="1">
        <v>6</v>
      </c>
      <c r="H1566" t="str">
        <f t="shared" si="124"/>
        <v>Extra Small</v>
      </c>
      <c r="I1566" t="str">
        <f t="shared" si="120"/>
        <v>Extra Small</v>
      </c>
      <c r="J1566" s="1">
        <v>24.49</v>
      </c>
      <c r="K1566">
        <f t="shared" si="121"/>
        <v>0</v>
      </c>
      <c r="L1566">
        <f t="shared" si="122"/>
        <v>24.49</v>
      </c>
      <c r="M1566" s="1">
        <f t="shared" si="123"/>
        <v>24.49</v>
      </c>
      <c r="N1566" s="1" t="s">
        <v>10</v>
      </c>
      <c r="O1566" s="1">
        <v>1.6</v>
      </c>
    </row>
    <row r="1567" spans="4:15" x14ac:dyDescent="0.3">
      <c r="D1567" s="1">
        <v>21827</v>
      </c>
      <c r="E1567" s="2">
        <v>43778</v>
      </c>
      <c r="F1567" s="1" t="s">
        <v>11</v>
      </c>
      <c r="G1567" s="1">
        <v>21</v>
      </c>
      <c r="H1567" t="str">
        <f t="shared" si="124"/>
        <v>Medium</v>
      </c>
      <c r="I1567" t="str">
        <f t="shared" si="120"/>
        <v>Medium</v>
      </c>
      <c r="J1567" s="1">
        <v>1670.23</v>
      </c>
      <c r="K1567">
        <f t="shared" si="121"/>
        <v>0</v>
      </c>
      <c r="L1567">
        <f t="shared" si="122"/>
        <v>1670.23</v>
      </c>
      <c r="M1567" s="1">
        <f t="shared" si="123"/>
        <v>1670.23</v>
      </c>
      <c r="N1567" s="1" t="s">
        <v>8</v>
      </c>
      <c r="O1567" s="1">
        <v>4.3</v>
      </c>
    </row>
    <row r="1568" spans="4:15" x14ac:dyDescent="0.3">
      <c r="D1568" s="1">
        <v>7458</v>
      </c>
      <c r="E1568" s="2">
        <v>43559</v>
      </c>
      <c r="F1568" s="1" t="s">
        <v>12</v>
      </c>
      <c r="G1568" s="1">
        <v>16</v>
      </c>
      <c r="H1568" t="str">
        <f t="shared" si="124"/>
        <v>Small-Medium</v>
      </c>
      <c r="I1568" t="str">
        <f t="shared" si="120"/>
        <v>Small-Medium</v>
      </c>
      <c r="J1568" s="1">
        <v>242.69</v>
      </c>
      <c r="K1568">
        <f t="shared" si="121"/>
        <v>0</v>
      </c>
      <c r="L1568">
        <f t="shared" si="122"/>
        <v>242.69</v>
      </c>
      <c r="M1568" s="1">
        <f t="shared" si="123"/>
        <v>242.69</v>
      </c>
      <c r="N1568" s="1" t="s">
        <v>10</v>
      </c>
      <c r="O1568" s="1">
        <v>7.7</v>
      </c>
    </row>
    <row r="1569" spans="4:15" x14ac:dyDescent="0.3">
      <c r="D1569" s="1">
        <v>17698</v>
      </c>
      <c r="E1569" s="2">
        <v>43598</v>
      </c>
      <c r="F1569" s="1" t="s">
        <v>9</v>
      </c>
      <c r="G1569" s="1">
        <v>40</v>
      </c>
      <c r="H1569" t="str">
        <f t="shared" si="124"/>
        <v>Extra Large</v>
      </c>
      <c r="I1569" t="str">
        <f t="shared" si="120"/>
        <v>Extra Large</v>
      </c>
      <c r="J1569" s="1">
        <v>652.05999999999995</v>
      </c>
      <c r="K1569">
        <f t="shared" si="121"/>
        <v>0.01</v>
      </c>
      <c r="L1569">
        <f t="shared" si="122"/>
        <v>645.53939999999989</v>
      </c>
      <c r="M1569" s="1">
        <f t="shared" si="123"/>
        <v>640.3599999999999</v>
      </c>
      <c r="N1569" s="1" t="s">
        <v>10</v>
      </c>
      <c r="O1569" s="1">
        <v>11.7</v>
      </c>
    </row>
    <row r="1570" spans="4:15" x14ac:dyDescent="0.3">
      <c r="D1570" s="1">
        <v>51970</v>
      </c>
      <c r="E1570" s="2">
        <v>43475</v>
      </c>
      <c r="F1570" s="1" t="s">
        <v>11</v>
      </c>
      <c r="G1570" s="1">
        <v>1</v>
      </c>
      <c r="H1570" t="str">
        <f t="shared" si="124"/>
        <v>Mini</v>
      </c>
      <c r="I1570" t="str">
        <f t="shared" si="120"/>
        <v>Mini</v>
      </c>
      <c r="J1570" s="1">
        <v>183.73</v>
      </c>
      <c r="K1570">
        <f t="shared" si="121"/>
        <v>0</v>
      </c>
      <c r="L1570">
        <f t="shared" si="122"/>
        <v>183.73</v>
      </c>
      <c r="M1570" s="1">
        <f t="shared" si="123"/>
        <v>183.73</v>
      </c>
      <c r="N1570" s="1" t="s">
        <v>13</v>
      </c>
      <c r="O1570" s="1">
        <v>60.1</v>
      </c>
    </row>
    <row r="1571" spans="4:15" x14ac:dyDescent="0.3">
      <c r="D1571" s="1">
        <v>22373</v>
      </c>
      <c r="E1571" s="2">
        <v>43552</v>
      </c>
      <c r="F1571" s="1" t="s">
        <v>9</v>
      </c>
      <c r="G1571" s="1">
        <v>26</v>
      </c>
      <c r="H1571" t="str">
        <f t="shared" si="124"/>
        <v>Medium-Large</v>
      </c>
      <c r="I1571" t="str">
        <f t="shared" si="120"/>
        <v>Medium-Large</v>
      </c>
      <c r="J1571" s="1">
        <v>249.34209999999999</v>
      </c>
      <c r="K1571">
        <f t="shared" si="121"/>
        <v>0</v>
      </c>
      <c r="L1571">
        <f t="shared" si="122"/>
        <v>249.34209999999999</v>
      </c>
      <c r="M1571" s="1">
        <f t="shared" si="123"/>
        <v>249.34209999999999</v>
      </c>
      <c r="N1571" s="1" t="s">
        <v>8</v>
      </c>
      <c r="O1571" s="1">
        <v>8.9</v>
      </c>
    </row>
    <row r="1572" spans="4:15" x14ac:dyDescent="0.3">
      <c r="D1572" s="1">
        <v>41063</v>
      </c>
      <c r="E1572" s="2">
        <v>43790</v>
      </c>
      <c r="F1572" s="1" t="s">
        <v>7</v>
      </c>
      <c r="G1572" s="1">
        <v>26</v>
      </c>
      <c r="H1572" t="str">
        <f t="shared" si="124"/>
        <v>Medium-Large</v>
      </c>
      <c r="I1572" t="str">
        <f t="shared" si="120"/>
        <v>Medium-Large</v>
      </c>
      <c r="J1572" s="1">
        <v>2045.2</v>
      </c>
      <c r="K1572">
        <f t="shared" si="121"/>
        <v>0</v>
      </c>
      <c r="L1572">
        <f t="shared" si="122"/>
        <v>2045.2</v>
      </c>
      <c r="M1572" s="1">
        <f t="shared" si="123"/>
        <v>2045.2</v>
      </c>
      <c r="N1572" s="1" t="s">
        <v>10</v>
      </c>
      <c r="O1572" s="1">
        <v>1.3</v>
      </c>
    </row>
    <row r="1573" spans="4:15" x14ac:dyDescent="0.3">
      <c r="D1573" s="1">
        <v>8007</v>
      </c>
      <c r="E1573" s="2">
        <v>43506</v>
      </c>
      <c r="F1573" s="1" t="s">
        <v>7</v>
      </c>
      <c r="G1573" s="1">
        <v>5</v>
      </c>
      <c r="H1573" t="str">
        <f t="shared" si="124"/>
        <v>Mini</v>
      </c>
      <c r="I1573" t="str">
        <f t="shared" si="120"/>
        <v>Mini</v>
      </c>
      <c r="J1573" s="1">
        <v>878</v>
      </c>
      <c r="K1573">
        <f t="shared" si="121"/>
        <v>0</v>
      </c>
      <c r="L1573">
        <f t="shared" si="122"/>
        <v>878</v>
      </c>
      <c r="M1573" s="1">
        <f t="shared" si="123"/>
        <v>878</v>
      </c>
      <c r="N1573" s="1" t="s">
        <v>10</v>
      </c>
      <c r="O1573" s="1">
        <v>9.6</v>
      </c>
    </row>
    <row r="1574" spans="4:15" x14ac:dyDescent="0.3">
      <c r="D1574" s="1">
        <v>12005</v>
      </c>
      <c r="E1574" s="2">
        <v>43640</v>
      </c>
      <c r="F1574" s="1" t="s">
        <v>11</v>
      </c>
      <c r="G1574" s="1">
        <v>4</v>
      </c>
      <c r="H1574" t="str">
        <f t="shared" si="124"/>
        <v>Mini</v>
      </c>
      <c r="I1574" t="str">
        <f t="shared" si="120"/>
        <v>Mini</v>
      </c>
      <c r="J1574" s="1">
        <v>1777.12</v>
      </c>
      <c r="K1574">
        <f t="shared" si="121"/>
        <v>0</v>
      </c>
      <c r="L1574">
        <f t="shared" si="122"/>
        <v>1777.12</v>
      </c>
      <c r="M1574" s="1">
        <f t="shared" si="123"/>
        <v>1777.12</v>
      </c>
      <c r="N1574" s="1" t="s">
        <v>10</v>
      </c>
      <c r="O1574" s="1">
        <v>12.2</v>
      </c>
    </row>
    <row r="1575" spans="4:15" x14ac:dyDescent="0.3">
      <c r="D1575" s="1">
        <v>28742</v>
      </c>
      <c r="E1575" s="2">
        <v>43584</v>
      </c>
      <c r="F1575" s="1" t="s">
        <v>7</v>
      </c>
      <c r="G1575" s="1">
        <v>35</v>
      </c>
      <c r="H1575" t="str">
        <f t="shared" si="124"/>
        <v>Large</v>
      </c>
      <c r="I1575" t="str">
        <f t="shared" si="120"/>
        <v>Large</v>
      </c>
      <c r="J1575" s="1">
        <v>629.07000000000005</v>
      </c>
      <c r="K1575">
        <f t="shared" si="121"/>
        <v>0</v>
      </c>
      <c r="L1575">
        <f t="shared" si="122"/>
        <v>629.07000000000005</v>
      </c>
      <c r="M1575" s="1">
        <f t="shared" si="123"/>
        <v>629.07000000000005</v>
      </c>
      <c r="N1575" s="1" t="s">
        <v>10</v>
      </c>
      <c r="O1575" s="1">
        <v>6.7</v>
      </c>
    </row>
    <row r="1576" spans="4:15" x14ac:dyDescent="0.3">
      <c r="D1576" s="1">
        <v>51620</v>
      </c>
      <c r="E1576" s="2">
        <v>43532</v>
      </c>
      <c r="F1576" s="1" t="s">
        <v>14</v>
      </c>
      <c r="G1576" s="1">
        <v>12</v>
      </c>
      <c r="H1576" t="str">
        <f t="shared" si="124"/>
        <v>Small</v>
      </c>
      <c r="I1576" t="str">
        <f t="shared" si="120"/>
        <v>Small</v>
      </c>
      <c r="J1576" s="1">
        <v>186.15</v>
      </c>
      <c r="K1576">
        <f t="shared" si="121"/>
        <v>0</v>
      </c>
      <c r="L1576">
        <f t="shared" si="122"/>
        <v>186.15</v>
      </c>
      <c r="M1576" s="1">
        <f t="shared" si="123"/>
        <v>186.15</v>
      </c>
      <c r="N1576" s="1" t="s">
        <v>10</v>
      </c>
      <c r="O1576" s="1">
        <v>4.8</v>
      </c>
    </row>
    <row r="1577" spans="4:15" x14ac:dyDescent="0.3">
      <c r="D1577" s="1">
        <v>39555</v>
      </c>
      <c r="E1577" s="2">
        <v>43712</v>
      </c>
      <c r="F1577" s="1" t="s">
        <v>7</v>
      </c>
      <c r="G1577" s="1">
        <v>38</v>
      </c>
      <c r="H1577" t="str">
        <f t="shared" si="124"/>
        <v>Extra Large</v>
      </c>
      <c r="I1577" t="str">
        <f t="shared" si="120"/>
        <v>Extra Large</v>
      </c>
      <c r="J1577" s="1">
        <v>1190.42</v>
      </c>
      <c r="K1577">
        <f t="shared" si="121"/>
        <v>0.01</v>
      </c>
      <c r="L1577">
        <f t="shared" si="122"/>
        <v>1178.5158000000001</v>
      </c>
      <c r="M1577" s="1">
        <f t="shared" si="123"/>
        <v>1181.6200000000001</v>
      </c>
      <c r="N1577" s="1" t="s">
        <v>10</v>
      </c>
      <c r="O1577" s="1">
        <v>8.8000000000000007</v>
      </c>
    </row>
    <row r="1578" spans="4:15" x14ac:dyDescent="0.3">
      <c r="D1578" s="1">
        <v>17634</v>
      </c>
      <c r="E1578" s="2">
        <v>43667</v>
      </c>
      <c r="F1578" s="1" t="s">
        <v>9</v>
      </c>
      <c r="G1578" s="1">
        <v>5</v>
      </c>
      <c r="H1578" t="str">
        <f t="shared" si="124"/>
        <v>Mini</v>
      </c>
      <c r="I1578" t="str">
        <f t="shared" si="120"/>
        <v>Mini</v>
      </c>
      <c r="J1578" s="1">
        <v>523.29999999999995</v>
      </c>
      <c r="K1578">
        <f t="shared" si="121"/>
        <v>0</v>
      </c>
      <c r="L1578">
        <f t="shared" si="122"/>
        <v>523.29999999999995</v>
      </c>
      <c r="M1578" s="1">
        <f t="shared" si="123"/>
        <v>523.29999999999995</v>
      </c>
      <c r="N1578" s="1" t="s">
        <v>13</v>
      </c>
      <c r="O1578" s="1">
        <v>44.9</v>
      </c>
    </row>
    <row r="1579" spans="4:15" x14ac:dyDescent="0.3">
      <c r="D1579" s="1">
        <v>28738</v>
      </c>
      <c r="E1579" s="2">
        <v>43687</v>
      </c>
      <c r="F1579" s="1" t="s">
        <v>14</v>
      </c>
      <c r="G1579" s="1">
        <v>2</v>
      </c>
      <c r="H1579" t="str">
        <f t="shared" si="124"/>
        <v>Mini</v>
      </c>
      <c r="I1579" t="str">
        <f t="shared" si="120"/>
        <v>Mini</v>
      </c>
      <c r="J1579" s="1">
        <v>25.19</v>
      </c>
      <c r="K1579">
        <f t="shared" si="121"/>
        <v>0</v>
      </c>
      <c r="L1579">
        <f t="shared" si="122"/>
        <v>25.19</v>
      </c>
      <c r="M1579" s="1">
        <f t="shared" si="123"/>
        <v>25.19</v>
      </c>
      <c r="N1579" s="1" t="s">
        <v>10</v>
      </c>
      <c r="O1579" s="1">
        <v>6.6</v>
      </c>
    </row>
    <row r="1580" spans="4:15" x14ac:dyDescent="0.3">
      <c r="D1580" s="1">
        <v>8679</v>
      </c>
      <c r="E1580" s="2">
        <v>43591</v>
      </c>
      <c r="F1580" s="1" t="s">
        <v>14</v>
      </c>
      <c r="G1580" s="1">
        <v>46</v>
      </c>
      <c r="H1580" t="str">
        <f t="shared" si="124"/>
        <v>XXX Large</v>
      </c>
      <c r="I1580" t="str">
        <f t="shared" si="120"/>
        <v>XXX Large</v>
      </c>
      <c r="J1580" s="1">
        <v>477.28</v>
      </c>
      <c r="K1580">
        <f t="shared" si="121"/>
        <v>0.01</v>
      </c>
      <c r="L1580">
        <f t="shared" si="122"/>
        <v>472.50719999999995</v>
      </c>
      <c r="M1580" s="1">
        <f t="shared" si="123"/>
        <v>474.97999999999996</v>
      </c>
      <c r="N1580" s="1" t="s">
        <v>10</v>
      </c>
      <c r="O1580" s="1">
        <v>2.2999999999999998</v>
      </c>
    </row>
    <row r="1581" spans="4:15" x14ac:dyDescent="0.3">
      <c r="D1581" s="1">
        <v>52003</v>
      </c>
      <c r="E1581" s="2">
        <v>43513</v>
      </c>
      <c r="F1581" s="1" t="s">
        <v>7</v>
      </c>
      <c r="G1581" s="1">
        <v>11</v>
      </c>
      <c r="H1581" t="str">
        <f t="shared" si="124"/>
        <v>Small</v>
      </c>
      <c r="I1581" t="str">
        <f t="shared" si="120"/>
        <v>Small</v>
      </c>
      <c r="J1581" s="1">
        <v>2016.1</v>
      </c>
      <c r="K1581">
        <f t="shared" si="121"/>
        <v>0</v>
      </c>
      <c r="L1581">
        <f t="shared" si="122"/>
        <v>2016.1</v>
      </c>
      <c r="M1581" s="1">
        <f t="shared" si="123"/>
        <v>2016.1</v>
      </c>
      <c r="N1581" s="1" t="s">
        <v>13</v>
      </c>
      <c r="O1581" s="1">
        <v>117.9</v>
      </c>
    </row>
    <row r="1582" spans="4:15" x14ac:dyDescent="0.3">
      <c r="D1582" s="1">
        <v>24775</v>
      </c>
      <c r="E1582" s="2">
        <v>43512</v>
      </c>
      <c r="F1582" s="1" t="s">
        <v>12</v>
      </c>
      <c r="G1582" s="1">
        <v>6</v>
      </c>
      <c r="H1582" t="str">
        <f t="shared" si="124"/>
        <v>Extra Small</v>
      </c>
      <c r="I1582" t="str">
        <f t="shared" si="120"/>
        <v>Extra Small</v>
      </c>
      <c r="J1582" s="1">
        <v>102.9447</v>
      </c>
      <c r="K1582">
        <f t="shared" si="121"/>
        <v>0</v>
      </c>
      <c r="L1582">
        <f t="shared" si="122"/>
        <v>102.9447</v>
      </c>
      <c r="M1582" s="1">
        <f t="shared" si="123"/>
        <v>102.9447</v>
      </c>
      <c r="N1582" s="1" t="s">
        <v>10</v>
      </c>
      <c r="O1582" s="1">
        <v>61.4</v>
      </c>
    </row>
    <row r="1583" spans="4:15" x14ac:dyDescent="0.3">
      <c r="D1583" s="1">
        <v>12711</v>
      </c>
      <c r="E1583" s="2">
        <v>43514</v>
      </c>
      <c r="F1583" s="1" t="s">
        <v>12</v>
      </c>
      <c r="G1583" s="1">
        <v>32</v>
      </c>
      <c r="H1583" t="str">
        <f t="shared" si="124"/>
        <v>Large</v>
      </c>
      <c r="I1583" t="str">
        <f t="shared" si="120"/>
        <v>Large</v>
      </c>
      <c r="J1583" s="1">
        <v>1590.79</v>
      </c>
      <c r="K1583">
        <f t="shared" si="121"/>
        <v>0</v>
      </c>
      <c r="L1583">
        <f t="shared" si="122"/>
        <v>1590.79</v>
      </c>
      <c r="M1583" s="1">
        <f t="shared" si="123"/>
        <v>1590.79</v>
      </c>
      <c r="N1583" s="1" t="s">
        <v>10</v>
      </c>
      <c r="O1583" s="1">
        <v>9.6</v>
      </c>
    </row>
    <row r="1584" spans="4:15" x14ac:dyDescent="0.3">
      <c r="D1584" s="1">
        <v>32356</v>
      </c>
      <c r="E1584" s="2">
        <v>43748</v>
      </c>
      <c r="F1584" s="1" t="s">
        <v>11</v>
      </c>
      <c r="G1584" s="1">
        <v>12</v>
      </c>
      <c r="H1584" t="str">
        <f t="shared" si="124"/>
        <v>Small</v>
      </c>
      <c r="I1584" t="str">
        <f t="shared" si="120"/>
        <v>Small</v>
      </c>
      <c r="J1584" s="1">
        <v>822.2</v>
      </c>
      <c r="K1584">
        <f t="shared" si="121"/>
        <v>0</v>
      </c>
      <c r="L1584">
        <f t="shared" si="122"/>
        <v>822.2</v>
      </c>
      <c r="M1584" s="1">
        <f t="shared" si="123"/>
        <v>822.2</v>
      </c>
      <c r="N1584" s="1" t="s">
        <v>10</v>
      </c>
      <c r="O1584" s="1">
        <v>21.4</v>
      </c>
    </row>
    <row r="1585" spans="4:15" x14ac:dyDescent="0.3">
      <c r="D1585" s="1">
        <v>44422</v>
      </c>
      <c r="E1585" s="2">
        <v>43568</v>
      </c>
      <c r="F1585" s="1" t="s">
        <v>14</v>
      </c>
      <c r="G1585" s="1">
        <v>36</v>
      </c>
      <c r="H1585" t="str">
        <f t="shared" si="124"/>
        <v>Extra Large</v>
      </c>
      <c r="I1585" t="str">
        <f t="shared" si="120"/>
        <v>Extra Large</v>
      </c>
      <c r="J1585" s="1">
        <v>335.8</v>
      </c>
      <c r="K1585">
        <f t="shared" si="121"/>
        <v>0.01</v>
      </c>
      <c r="L1585">
        <f t="shared" si="122"/>
        <v>332.44200000000001</v>
      </c>
      <c r="M1585" s="1">
        <f t="shared" si="123"/>
        <v>332.6</v>
      </c>
      <c r="N1585" s="1" t="s">
        <v>10</v>
      </c>
      <c r="O1585" s="1">
        <v>3.2</v>
      </c>
    </row>
    <row r="1586" spans="4:15" x14ac:dyDescent="0.3">
      <c r="D1586" s="1">
        <v>22563</v>
      </c>
      <c r="E1586" s="2">
        <v>43605</v>
      </c>
      <c r="F1586" s="1" t="s">
        <v>12</v>
      </c>
      <c r="G1586" s="1">
        <v>32</v>
      </c>
      <c r="H1586" t="str">
        <f t="shared" si="124"/>
        <v>Large</v>
      </c>
      <c r="I1586" t="str">
        <f t="shared" si="120"/>
        <v>Large</v>
      </c>
      <c r="J1586" s="1">
        <v>269.12</v>
      </c>
      <c r="K1586">
        <f t="shared" si="121"/>
        <v>0</v>
      </c>
      <c r="L1586">
        <f t="shared" si="122"/>
        <v>269.12</v>
      </c>
      <c r="M1586" s="1">
        <f t="shared" si="123"/>
        <v>269.12</v>
      </c>
      <c r="N1586" s="1" t="s">
        <v>10</v>
      </c>
      <c r="O1586" s="1">
        <v>3.9</v>
      </c>
    </row>
    <row r="1587" spans="4:15" x14ac:dyDescent="0.3">
      <c r="D1587" s="1">
        <v>42945</v>
      </c>
      <c r="E1587" s="2">
        <v>43828</v>
      </c>
      <c r="F1587" s="1" t="s">
        <v>11</v>
      </c>
      <c r="G1587" s="1">
        <v>45</v>
      </c>
      <c r="H1587" t="str">
        <f t="shared" si="124"/>
        <v>XX Large</v>
      </c>
      <c r="I1587" t="str">
        <f t="shared" si="120"/>
        <v>XX Large</v>
      </c>
      <c r="J1587" s="1">
        <v>191.21</v>
      </c>
      <c r="K1587">
        <f t="shared" si="121"/>
        <v>0.01</v>
      </c>
      <c r="L1587">
        <f t="shared" si="122"/>
        <v>189.2979</v>
      </c>
      <c r="M1587" s="1">
        <f t="shared" si="123"/>
        <v>185.71</v>
      </c>
      <c r="N1587" s="1" t="s">
        <v>10</v>
      </c>
      <c r="O1587" s="1">
        <v>5.5</v>
      </c>
    </row>
    <row r="1588" spans="4:15" x14ac:dyDescent="0.3">
      <c r="D1588" s="1">
        <v>51269</v>
      </c>
      <c r="E1588" s="2">
        <v>43476</v>
      </c>
      <c r="F1588" s="1" t="s">
        <v>9</v>
      </c>
      <c r="G1588" s="1">
        <v>2</v>
      </c>
      <c r="H1588" t="str">
        <f t="shared" si="124"/>
        <v>Mini</v>
      </c>
      <c r="I1588" t="str">
        <f t="shared" si="120"/>
        <v>Mini</v>
      </c>
      <c r="J1588" s="1">
        <v>22.544899999999998</v>
      </c>
      <c r="K1588">
        <f t="shared" si="121"/>
        <v>0</v>
      </c>
      <c r="L1588">
        <f t="shared" si="122"/>
        <v>22.544899999999998</v>
      </c>
      <c r="M1588" s="1">
        <f t="shared" si="123"/>
        <v>22.544899999999998</v>
      </c>
      <c r="N1588" s="1" t="s">
        <v>10</v>
      </c>
      <c r="O1588" s="1">
        <v>3.2</v>
      </c>
    </row>
    <row r="1589" spans="4:15" x14ac:dyDescent="0.3">
      <c r="D1589" s="1">
        <v>55431</v>
      </c>
      <c r="E1589" s="2">
        <v>43624</v>
      </c>
      <c r="F1589" s="1" t="s">
        <v>11</v>
      </c>
      <c r="G1589" s="1">
        <v>39</v>
      </c>
      <c r="H1589" t="str">
        <f t="shared" si="124"/>
        <v>Extra Large</v>
      </c>
      <c r="I1589" t="str">
        <f t="shared" si="120"/>
        <v>Extra Large</v>
      </c>
      <c r="J1589" s="1">
        <v>66.28</v>
      </c>
      <c r="K1589">
        <f t="shared" si="121"/>
        <v>0.01</v>
      </c>
      <c r="L1589">
        <f t="shared" si="122"/>
        <v>65.617199999999997</v>
      </c>
      <c r="M1589" s="1">
        <f t="shared" si="123"/>
        <v>64.88</v>
      </c>
      <c r="N1589" s="1" t="s">
        <v>10</v>
      </c>
      <c r="O1589" s="1">
        <v>1.4</v>
      </c>
    </row>
    <row r="1590" spans="4:15" x14ac:dyDescent="0.3">
      <c r="D1590" s="1">
        <v>28544</v>
      </c>
      <c r="E1590" s="2">
        <v>43705</v>
      </c>
      <c r="F1590" s="1" t="s">
        <v>12</v>
      </c>
      <c r="G1590" s="1">
        <v>24</v>
      </c>
      <c r="H1590" t="str">
        <f t="shared" si="124"/>
        <v>Medium</v>
      </c>
      <c r="I1590" t="str">
        <f t="shared" si="120"/>
        <v>Medium</v>
      </c>
      <c r="J1590" s="1">
        <v>73.3</v>
      </c>
      <c r="K1590">
        <f t="shared" si="121"/>
        <v>0</v>
      </c>
      <c r="L1590">
        <f t="shared" si="122"/>
        <v>73.3</v>
      </c>
      <c r="M1590" s="1">
        <f t="shared" si="123"/>
        <v>73.3</v>
      </c>
      <c r="N1590" s="1" t="s">
        <v>10</v>
      </c>
      <c r="O1590" s="1">
        <v>1.6</v>
      </c>
    </row>
    <row r="1591" spans="4:15" x14ac:dyDescent="0.3">
      <c r="D1591" s="1">
        <v>5858</v>
      </c>
      <c r="E1591" s="2">
        <v>43659</v>
      </c>
      <c r="F1591" s="1" t="s">
        <v>11</v>
      </c>
      <c r="G1591" s="1">
        <v>29</v>
      </c>
      <c r="H1591" t="str">
        <f t="shared" si="124"/>
        <v>Medium-Large</v>
      </c>
      <c r="I1591" t="str">
        <f t="shared" si="120"/>
        <v>Medium-Large</v>
      </c>
      <c r="J1591" s="1">
        <v>5759.07</v>
      </c>
      <c r="K1591">
        <f t="shared" si="121"/>
        <v>0</v>
      </c>
      <c r="L1591">
        <f t="shared" si="122"/>
        <v>5759.07</v>
      </c>
      <c r="M1591" s="1">
        <f t="shared" si="123"/>
        <v>5759.07</v>
      </c>
      <c r="N1591" s="1" t="s">
        <v>10</v>
      </c>
      <c r="O1591" s="1">
        <v>9.6</v>
      </c>
    </row>
    <row r="1592" spans="4:15" x14ac:dyDescent="0.3">
      <c r="D1592" s="1">
        <v>40611</v>
      </c>
      <c r="E1592" s="2">
        <v>43552</v>
      </c>
      <c r="F1592" s="1" t="s">
        <v>11</v>
      </c>
      <c r="G1592" s="1">
        <v>43</v>
      </c>
      <c r="H1592" t="str">
        <f t="shared" si="124"/>
        <v>XX Large</v>
      </c>
      <c r="I1592" t="str">
        <f t="shared" si="120"/>
        <v>XX Large</v>
      </c>
      <c r="J1592" s="1">
        <v>1506.04</v>
      </c>
      <c r="K1592">
        <f t="shared" si="121"/>
        <v>0.01</v>
      </c>
      <c r="L1592">
        <f t="shared" si="122"/>
        <v>1490.9795999999999</v>
      </c>
      <c r="M1592" s="1">
        <f t="shared" si="123"/>
        <v>1502.54</v>
      </c>
      <c r="N1592" s="1" t="s">
        <v>10</v>
      </c>
      <c r="O1592" s="1">
        <v>3.5</v>
      </c>
    </row>
    <row r="1593" spans="4:15" x14ac:dyDescent="0.3">
      <c r="D1593" s="1">
        <v>16164</v>
      </c>
      <c r="E1593" s="2">
        <v>43467</v>
      </c>
      <c r="F1593" s="1" t="s">
        <v>7</v>
      </c>
      <c r="G1593" s="1">
        <v>22</v>
      </c>
      <c r="H1593" t="str">
        <f t="shared" si="124"/>
        <v>Medium</v>
      </c>
      <c r="I1593" t="str">
        <f t="shared" si="120"/>
        <v>Medium</v>
      </c>
      <c r="J1593" s="1">
        <v>3588.2878000000001</v>
      </c>
      <c r="K1593">
        <f t="shared" si="121"/>
        <v>0</v>
      </c>
      <c r="L1593">
        <f t="shared" si="122"/>
        <v>3588.2878000000001</v>
      </c>
      <c r="M1593" s="1">
        <f t="shared" si="123"/>
        <v>3588.2878000000001</v>
      </c>
      <c r="N1593" s="1" t="s">
        <v>10</v>
      </c>
      <c r="O1593" s="1">
        <v>21.4</v>
      </c>
    </row>
    <row r="1594" spans="4:15" x14ac:dyDescent="0.3">
      <c r="D1594" s="1">
        <v>24386</v>
      </c>
      <c r="E1594" s="2">
        <v>43642</v>
      </c>
      <c r="F1594" s="1" t="s">
        <v>9</v>
      </c>
      <c r="G1594" s="1">
        <v>41</v>
      </c>
      <c r="H1594" t="str">
        <f t="shared" si="124"/>
        <v>XX Large</v>
      </c>
      <c r="I1594" t="str">
        <f t="shared" si="120"/>
        <v>XX Large</v>
      </c>
      <c r="J1594" s="1">
        <v>4554.47</v>
      </c>
      <c r="K1594">
        <f t="shared" si="121"/>
        <v>0.01</v>
      </c>
      <c r="L1594">
        <f t="shared" si="122"/>
        <v>4508.9252999999999</v>
      </c>
      <c r="M1594" s="1">
        <f t="shared" si="123"/>
        <v>4546.7700000000004</v>
      </c>
      <c r="N1594" s="1" t="s">
        <v>10</v>
      </c>
      <c r="O1594" s="1">
        <v>7.7</v>
      </c>
    </row>
    <row r="1595" spans="4:15" x14ac:dyDescent="0.3">
      <c r="D1595" s="1">
        <v>46212</v>
      </c>
      <c r="E1595" s="2">
        <v>43720</v>
      </c>
      <c r="F1595" s="1" t="s">
        <v>11</v>
      </c>
      <c r="G1595" s="1">
        <v>7</v>
      </c>
      <c r="H1595" t="str">
        <f t="shared" si="124"/>
        <v>Extra Small</v>
      </c>
      <c r="I1595" t="str">
        <f t="shared" si="120"/>
        <v>Extra Small</v>
      </c>
      <c r="J1595" s="1">
        <v>4149.33</v>
      </c>
      <c r="K1595">
        <f t="shared" si="121"/>
        <v>0</v>
      </c>
      <c r="L1595">
        <f t="shared" si="122"/>
        <v>4149.33</v>
      </c>
      <c r="M1595" s="1">
        <f t="shared" si="123"/>
        <v>4149.33</v>
      </c>
      <c r="N1595" s="1" t="s">
        <v>13</v>
      </c>
      <c r="O1595" s="1">
        <v>48.9</v>
      </c>
    </row>
    <row r="1596" spans="4:15" x14ac:dyDescent="0.3">
      <c r="D1596" s="1">
        <v>26469</v>
      </c>
      <c r="E1596" s="2">
        <v>43676</v>
      </c>
      <c r="F1596" s="1" t="s">
        <v>14</v>
      </c>
      <c r="G1596" s="1">
        <v>4</v>
      </c>
      <c r="H1596" t="str">
        <f t="shared" si="124"/>
        <v>Mini</v>
      </c>
      <c r="I1596" t="str">
        <f t="shared" si="120"/>
        <v>Mini</v>
      </c>
      <c r="J1596" s="1">
        <v>7924.94</v>
      </c>
      <c r="K1596">
        <f t="shared" si="121"/>
        <v>0</v>
      </c>
      <c r="L1596">
        <f t="shared" si="122"/>
        <v>7924.94</v>
      </c>
      <c r="M1596" s="1">
        <f t="shared" si="123"/>
        <v>7924.94</v>
      </c>
      <c r="N1596" s="1" t="s">
        <v>10</v>
      </c>
      <c r="O1596" s="1">
        <v>21.4</v>
      </c>
    </row>
    <row r="1597" spans="4:15" x14ac:dyDescent="0.3">
      <c r="D1597" s="1">
        <v>25542</v>
      </c>
      <c r="E1597" s="2">
        <v>43829</v>
      </c>
      <c r="F1597" s="1" t="s">
        <v>7</v>
      </c>
      <c r="G1597" s="1">
        <v>37</v>
      </c>
      <c r="H1597" t="str">
        <f t="shared" si="124"/>
        <v>Extra Large</v>
      </c>
      <c r="I1597" t="str">
        <f t="shared" si="120"/>
        <v>Extra Large</v>
      </c>
      <c r="J1597" s="1">
        <v>275.48</v>
      </c>
      <c r="K1597">
        <f t="shared" si="121"/>
        <v>0.01</v>
      </c>
      <c r="L1597">
        <f t="shared" si="122"/>
        <v>272.72520000000003</v>
      </c>
      <c r="M1597" s="1">
        <f t="shared" si="123"/>
        <v>270.98</v>
      </c>
      <c r="N1597" s="1" t="s">
        <v>8</v>
      </c>
      <c r="O1597" s="1">
        <v>4.5</v>
      </c>
    </row>
    <row r="1598" spans="4:15" x14ac:dyDescent="0.3">
      <c r="D1598" s="1">
        <v>22752</v>
      </c>
      <c r="E1598" s="2">
        <v>43806</v>
      </c>
      <c r="F1598" s="1" t="s">
        <v>7</v>
      </c>
      <c r="G1598" s="1">
        <v>2</v>
      </c>
      <c r="H1598" t="str">
        <f t="shared" si="124"/>
        <v>Mini</v>
      </c>
      <c r="I1598" t="str">
        <f t="shared" si="120"/>
        <v>Mini</v>
      </c>
      <c r="J1598" s="1">
        <v>255.47</v>
      </c>
      <c r="K1598">
        <f t="shared" si="121"/>
        <v>0</v>
      </c>
      <c r="L1598">
        <f t="shared" si="122"/>
        <v>255.47</v>
      </c>
      <c r="M1598" s="1">
        <f t="shared" si="123"/>
        <v>255.47</v>
      </c>
      <c r="N1598" s="1" t="s">
        <v>10</v>
      </c>
      <c r="O1598" s="1">
        <v>37.5</v>
      </c>
    </row>
    <row r="1599" spans="4:15" x14ac:dyDescent="0.3">
      <c r="D1599" s="1">
        <v>51140</v>
      </c>
      <c r="E1599" s="2">
        <v>43722</v>
      </c>
      <c r="F1599" s="1" t="s">
        <v>7</v>
      </c>
      <c r="G1599" s="1">
        <v>3</v>
      </c>
      <c r="H1599" t="str">
        <f t="shared" si="124"/>
        <v>Mini</v>
      </c>
      <c r="I1599" t="str">
        <f t="shared" si="120"/>
        <v>Mini</v>
      </c>
      <c r="J1599" s="1">
        <v>421.94</v>
      </c>
      <c r="K1599">
        <f t="shared" si="121"/>
        <v>0</v>
      </c>
      <c r="L1599">
        <f t="shared" si="122"/>
        <v>421.94</v>
      </c>
      <c r="M1599" s="1">
        <f t="shared" si="123"/>
        <v>421.94</v>
      </c>
      <c r="N1599" s="1" t="s">
        <v>10</v>
      </c>
      <c r="O1599" s="1">
        <v>26.2</v>
      </c>
    </row>
    <row r="1600" spans="4:15" x14ac:dyDescent="0.3">
      <c r="D1600" s="1">
        <v>34659</v>
      </c>
      <c r="E1600" s="2">
        <v>43788</v>
      </c>
      <c r="F1600" s="1" t="s">
        <v>9</v>
      </c>
      <c r="G1600" s="1">
        <v>42</v>
      </c>
      <c r="H1600" t="str">
        <f t="shared" si="124"/>
        <v>XX Large</v>
      </c>
      <c r="I1600" t="str">
        <f t="shared" si="120"/>
        <v>XX Large</v>
      </c>
      <c r="J1600" s="1">
        <v>277.58999999999997</v>
      </c>
      <c r="K1600">
        <f t="shared" si="121"/>
        <v>0.01</v>
      </c>
      <c r="L1600">
        <f t="shared" si="122"/>
        <v>274.8141</v>
      </c>
      <c r="M1600" s="1">
        <f t="shared" si="123"/>
        <v>272.28999999999996</v>
      </c>
      <c r="N1600" s="1" t="s">
        <v>10</v>
      </c>
      <c r="O1600" s="1">
        <v>5.3</v>
      </c>
    </row>
    <row r="1601" spans="4:15" x14ac:dyDescent="0.3">
      <c r="D1601" s="1">
        <v>9350</v>
      </c>
      <c r="E1601" s="2">
        <v>43769</v>
      </c>
      <c r="F1601" s="1" t="s">
        <v>12</v>
      </c>
      <c r="G1601" s="1">
        <v>13</v>
      </c>
      <c r="H1601" t="str">
        <f t="shared" si="124"/>
        <v>Small</v>
      </c>
      <c r="I1601" t="str">
        <f t="shared" si="120"/>
        <v>Small</v>
      </c>
      <c r="J1601" s="1">
        <v>1857.4558</v>
      </c>
      <c r="K1601">
        <f t="shared" si="121"/>
        <v>0</v>
      </c>
      <c r="L1601">
        <f t="shared" si="122"/>
        <v>1857.4558</v>
      </c>
      <c r="M1601" s="1">
        <f t="shared" si="123"/>
        <v>1857.4558</v>
      </c>
      <c r="N1601" s="1" t="s">
        <v>13</v>
      </c>
      <c r="O1601" s="1">
        <v>57.2</v>
      </c>
    </row>
    <row r="1602" spans="4:15" x14ac:dyDescent="0.3">
      <c r="D1602" s="1">
        <v>49634</v>
      </c>
      <c r="E1602" s="2">
        <v>43547</v>
      </c>
      <c r="F1602" s="1" t="s">
        <v>11</v>
      </c>
      <c r="G1602" s="1">
        <v>45</v>
      </c>
      <c r="H1602" t="str">
        <f t="shared" si="124"/>
        <v>XX Large</v>
      </c>
      <c r="I1602" t="str">
        <f t="shared" si="120"/>
        <v>XX Large</v>
      </c>
      <c r="J1602" s="1">
        <v>141.57169999999999</v>
      </c>
      <c r="K1602">
        <f t="shared" si="121"/>
        <v>0.01</v>
      </c>
      <c r="L1602">
        <f t="shared" si="122"/>
        <v>140.15598299999999</v>
      </c>
      <c r="M1602" s="1">
        <f t="shared" si="123"/>
        <v>139.9717</v>
      </c>
      <c r="N1602" s="1" t="s">
        <v>10</v>
      </c>
      <c r="O1602" s="1">
        <v>1.6</v>
      </c>
    </row>
    <row r="1603" spans="4:15" x14ac:dyDescent="0.3">
      <c r="D1603" s="1">
        <v>38884</v>
      </c>
      <c r="E1603" s="2">
        <v>43694</v>
      </c>
      <c r="F1603" s="1" t="s">
        <v>9</v>
      </c>
      <c r="G1603" s="1">
        <v>47</v>
      </c>
      <c r="H1603" t="str">
        <f t="shared" si="124"/>
        <v>XXX Large</v>
      </c>
      <c r="I1603" t="str">
        <f t="shared" ref="I1603:I1666" si="125">VLOOKUP(G1603, $A$3:$B$12, 2, TRUE)</f>
        <v>XXX Large</v>
      </c>
      <c r="J1603" s="1">
        <v>273.92</v>
      </c>
      <c r="K1603">
        <f t="shared" ref="K1603:K1666" si="126">IF(OR(I1603="Extra Large", I1603="XX Large", I1603="XXX Large"), 0.01, 0)</f>
        <v>0.01</v>
      </c>
      <c r="L1603">
        <f t="shared" ref="L1603:L1666" si="127">J1603 * (1 - K1603)</f>
        <v>271.18080000000003</v>
      </c>
      <c r="M1603" s="1">
        <f t="shared" ref="M1603:M1666" si="128">IF(OR(I1603="Extra Large",I1603="XX Large",I1603="XXX Large"),J1603-O1603,J1603)</f>
        <v>267.82</v>
      </c>
      <c r="N1603" s="1" t="s">
        <v>10</v>
      </c>
      <c r="O1603" s="1">
        <v>6.1</v>
      </c>
    </row>
    <row r="1604" spans="4:15" x14ac:dyDescent="0.3">
      <c r="D1604" s="1">
        <v>54534</v>
      </c>
      <c r="E1604" s="2">
        <v>43543</v>
      </c>
      <c r="F1604" s="1" t="s">
        <v>11</v>
      </c>
      <c r="G1604" s="1">
        <v>16</v>
      </c>
      <c r="H1604" t="str">
        <f t="shared" si="124"/>
        <v>Small-Medium</v>
      </c>
      <c r="I1604" t="str">
        <f t="shared" si="125"/>
        <v>Small-Medium</v>
      </c>
      <c r="J1604" s="1">
        <v>133.44</v>
      </c>
      <c r="K1604">
        <f t="shared" si="126"/>
        <v>0</v>
      </c>
      <c r="L1604">
        <f t="shared" si="127"/>
        <v>133.44</v>
      </c>
      <c r="M1604" s="1">
        <f t="shared" si="128"/>
        <v>133.44</v>
      </c>
      <c r="N1604" s="1" t="s">
        <v>10</v>
      </c>
      <c r="O1604" s="1">
        <v>6.4</v>
      </c>
    </row>
    <row r="1605" spans="4:15" x14ac:dyDescent="0.3">
      <c r="D1605" s="1">
        <v>29218</v>
      </c>
      <c r="E1605" s="2">
        <v>43614</v>
      </c>
      <c r="F1605" s="1" t="s">
        <v>7</v>
      </c>
      <c r="G1605" s="1">
        <v>13</v>
      </c>
      <c r="H1605" t="str">
        <f t="shared" ref="H1605:H1668" si="129">VLOOKUP(G1605, $A$3:$B$12, 2, TRUE)</f>
        <v>Small</v>
      </c>
      <c r="I1605" t="str">
        <f t="shared" si="125"/>
        <v>Small</v>
      </c>
      <c r="J1605" s="1">
        <v>2410.6799999999998</v>
      </c>
      <c r="K1605">
        <f t="shared" si="126"/>
        <v>0</v>
      </c>
      <c r="L1605">
        <f t="shared" si="127"/>
        <v>2410.6799999999998</v>
      </c>
      <c r="M1605" s="1">
        <f t="shared" si="128"/>
        <v>2410.6799999999998</v>
      </c>
      <c r="N1605" s="1" t="s">
        <v>10</v>
      </c>
      <c r="O1605" s="1">
        <v>9.6</v>
      </c>
    </row>
    <row r="1606" spans="4:15" x14ac:dyDescent="0.3">
      <c r="D1606" s="1">
        <v>1991</v>
      </c>
      <c r="E1606" s="2">
        <v>43714</v>
      </c>
      <c r="F1606" s="1" t="s">
        <v>11</v>
      </c>
      <c r="G1606" s="1">
        <v>37</v>
      </c>
      <c r="H1606" t="str">
        <f t="shared" si="129"/>
        <v>Extra Large</v>
      </c>
      <c r="I1606" t="str">
        <f t="shared" si="125"/>
        <v>Extra Large</v>
      </c>
      <c r="J1606" s="1">
        <v>15390.7</v>
      </c>
      <c r="K1606">
        <f t="shared" si="126"/>
        <v>0.01</v>
      </c>
      <c r="L1606">
        <f t="shared" si="127"/>
        <v>15236.793000000001</v>
      </c>
      <c r="M1606" s="1">
        <f t="shared" si="128"/>
        <v>15377.800000000001</v>
      </c>
      <c r="N1606" s="1" t="s">
        <v>13</v>
      </c>
      <c r="O1606" s="1">
        <v>12.9</v>
      </c>
    </row>
    <row r="1607" spans="4:15" x14ac:dyDescent="0.3">
      <c r="D1607" s="1">
        <v>53477</v>
      </c>
      <c r="E1607" s="2">
        <v>43590</v>
      </c>
      <c r="F1607" s="1" t="s">
        <v>9</v>
      </c>
      <c r="G1607" s="1">
        <v>27</v>
      </c>
      <c r="H1607" t="str">
        <f t="shared" si="129"/>
        <v>Medium-Large</v>
      </c>
      <c r="I1607" t="str">
        <f t="shared" si="125"/>
        <v>Medium-Large</v>
      </c>
      <c r="J1607" s="1">
        <v>8733.27</v>
      </c>
      <c r="K1607">
        <f t="shared" si="126"/>
        <v>0</v>
      </c>
      <c r="L1607">
        <f t="shared" si="127"/>
        <v>8733.27</v>
      </c>
      <c r="M1607" s="1">
        <f t="shared" si="128"/>
        <v>8733.27</v>
      </c>
      <c r="N1607" s="1" t="s">
        <v>13</v>
      </c>
      <c r="O1607" s="1">
        <v>69.3</v>
      </c>
    </row>
    <row r="1608" spans="4:15" x14ac:dyDescent="0.3">
      <c r="D1608" s="1">
        <v>24261</v>
      </c>
      <c r="E1608" s="2">
        <v>43725</v>
      </c>
      <c r="F1608" s="1" t="s">
        <v>12</v>
      </c>
      <c r="G1608" s="1">
        <v>28</v>
      </c>
      <c r="H1608" t="str">
        <f t="shared" si="129"/>
        <v>Medium-Large</v>
      </c>
      <c r="I1608" t="str">
        <f t="shared" si="125"/>
        <v>Medium-Large</v>
      </c>
      <c r="J1608" s="1">
        <v>1012.51</v>
      </c>
      <c r="K1608">
        <f t="shared" si="126"/>
        <v>0</v>
      </c>
      <c r="L1608">
        <f t="shared" si="127"/>
        <v>1012.51</v>
      </c>
      <c r="M1608" s="1">
        <f t="shared" si="128"/>
        <v>1012.51</v>
      </c>
      <c r="N1608" s="1" t="s">
        <v>10</v>
      </c>
      <c r="O1608" s="1">
        <v>9.4</v>
      </c>
    </row>
    <row r="1609" spans="4:15" x14ac:dyDescent="0.3">
      <c r="D1609" s="1">
        <v>8289</v>
      </c>
      <c r="E1609" s="2">
        <v>43766</v>
      </c>
      <c r="F1609" s="1" t="s">
        <v>7</v>
      </c>
      <c r="G1609" s="1">
        <v>38</v>
      </c>
      <c r="H1609" t="str">
        <f t="shared" si="129"/>
        <v>Extra Large</v>
      </c>
      <c r="I1609" t="str">
        <f t="shared" si="125"/>
        <v>Extra Large</v>
      </c>
      <c r="J1609" s="1">
        <v>612.83000000000004</v>
      </c>
      <c r="K1609">
        <f t="shared" si="126"/>
        <v>0.01</v>
      </c>
      <c r="L1609">
        <f t="shared" si="127"/>
        <v>606.70170000000007</v>
      </c>
      <c r="M1609" s="1">
        <f t="shared" si="128"/>
        <v>605.13</v>
      </c>
      <c r="N1609" s="1" t="s">
        <v>10</v>
      </c>
      <c r="O1609" s="1">
        <v>7.7</v>
      </c>
    </row>
    <row r="1610" spans="4:15" x14ac:dyDescent="0.3">
      <c r="D1610" s="1">
        <v>46243</v>
      </c>
      <c r="E1610" s="2">
        <v>43488</v>
      </c>
      <c r="F1610" s="1" t="s">
        <v>7</v>
      </c>
      <c r="G1610" s="1">
        <v>1</v>
      </c>
      <c r="H1610" t="str">
        <f t="shared" si="129"/>
        <v>Mini</v>
      </c>
      <c r="I1610" t="str">
        <f t="shared" si="125"/>
        <v>Mini</v>
      </c>
      <c r="J1610" s="1">
        <v>3.8841000000000001</v>
      </c>
      <c r="K1610">
        <f t="shared" si="126"/>
        <v>0</v>
      </c>
      <c r="L1610">
        <f t="shared" si="127"/>
        <v>3.8841000000000001</v>
      </c>
      <c r="M1610" s="1">
        <f t="shared" si="128"/>
        <v>3.8841000000000001</v>
      </c>
      <c r="N1610" s="1" t="s">
        <v>10</v>
      </c>
      <c r="O1610" s="1">
        <v>0.7</v>
      </c>
    </row>
    <row r="1611" spans="4:15" x14ac:dyDescent="0.3">
      <c r="D1611" s="1">
        <v>4391</v>
      </c>
      <c r="E1611" s="2">
        <v>43512</v>
      </c>
      <c r="F1611" s="1" t="s">
        <v>9</v>
      </c>
      <c r="G1611" s="1">
        <v>20</v>
      </c>
      <c r="H1611" t="str">
        <f t="shared" si="129"/>
        <v>Small-Medium</v>
      </c>
      <c r="I1611" t="str">
        <f t="shared" si="125"/>
        <v>Small-Medium</v>
      </c>
      <c r="J1611" s="1">
        <v>2773.9</v>
      </c>
      <c r="K1611">
        <f t="shared" si="126"/>
        <v>0</v>
      </c>
      <c r="L1611">
        <f t="shared" si="127"/>
        <v>2773.9</v>
      </c>
      <c r="M1611" s="1">
        <f t="shared" si="128"/>
        <v>2773.9</v>
      </c>
      <c r="N1611" s="1" t="s">
        <v>10</v>
      </c>
      <c r="O1611" s="1">
        <v>4.2</v>
      </c>
    </row>
    <row r="1612" spans="4:15" x14ac:dyDescent="0.3">
      <c r="D1612" s="1">
        <v>18596</v>
      </c>
      <c r="E1612" s="2">
        <v>43740</v>
      </c>
      <c r="F1612" s="1" t="s">
        <v>7</v>
      </c>
      <c r="G1612" s="1">
        <v>42</v>
      </c>
      <c r="H1612" t="str">
        <f t="shared" si="129"/>
        <v>XX Large</v>
      </c>
      <c r="I1612" t="str">
        <f t="shared" si="125"/>
        <v>XX Large</v>
      </c>
      <c r="J1612" s="1">
        <v>5261.93</v>
      </c>
      <c r="K1612">
        <f t="shared" si="126"/>
        <v>0.01</v>
      </c>
      <c r="L1612">
        <f t="shared" si="127"/>
        <v>5209.3107</v>
      </c>
      <c r="M1612" s="1">
        <f t="shared" si="128"/>
        <v>5229.83</v>
      </c>
      <c r="N1612" s="1" t="s">
        <v>13</v>
      </c>
      <c r="O1612" s="1">
        <v>32.1</v>
      </c>
    </row>
    <row r="1613" spans="4:15" x14ac:dyDescent="0.3">
      <c r="D1613" s="1">
        <v>36644</v>
      </c>
      <c r="E1613" s="2">
        <v>43598</v>
      </c>
      <c r="F1613" s="1" t="s">
        <v>9</v>
      </c>
      <c r="G1613" s="1">
        <v>24</v>
      </c>
      <c r="H1613" t="str">
        <f t="shared" si="129"/>
        <v>Medium</v>
      </c>
      <c r="I1613" t="str">
        <f t="shared" si="125"/>
        <v>Medium</v>
      </c>
      <c r="J1613" s="1">
        <v>2459.1999999999998</v>
      </c>
      <c r="K1613">
        <f t="shared" si="126"/>
        <v>0</v>
      </c>
      <c r="L1613">
        <f t="shared" si="127"/>
        <v>2459.1999999999998</v>
      </c>
      <c r="M1613" s="1">
        <f t="shared" si="128"/>
        <v>2459.1999999999998</v>
      </c>
      <c r="N1613" s="1" t="s">
        <v>10</v>
      </c>
      <c r="O1613" s="1">
        <v>21.4</v>
      </c>
    </row>
    <row r="1614" spans="4:15" x14ac:dyDescent="0.3">
      <c r="D1614" s="1">
        <v>25666</v>
      </c>
      <c r="E1614" s="2">
        <v>43710</v>
      </c>
      <c r="F1614" s="1" t="s">
        <v>12</v>
      </c>
      <c r="G1614" s="1">
        <v>23</v>
      </c>
      <c r="H1614" t="str">
        <f t="shared" si="129"/>
        <v>Medium</v>
      </c>
      <c r="I1614" t="str">
        <f t="shared" si="125"/>
        <v>Medium</v>
      </c>
      <c r="J1614" s="1">
        <v>278.29000000000002</v>
      </c>
      <c r="K1614">
        <f t="shared" si="126"/>
        <v>0</v>
      </c>
      <c r="L1614">
        <f t="shared" si="127"/>
        <v>278.29000000000002</v>
      </c>
      <c r="M1614" s="1">
        <f t="shared" si="128"/>
        <v>278.29000000000002</v>
      </c>
      <c r="N1614" s="1" t="s">
        <v>10</v>
      </c>
      <c r="O1614" s="1">
        <v>5.0999999999999996</v>
      </c>
    </row>
    <row r="1615" spans="4:15" x14ac:dyDescent="0.3">
      <c r="D1615" s="1">
        <v>27909</v>
      </c>
      <c r="E1615" s="2">
        <v>43502</v>
      </c>
      <c r="F1615" s="1" t="s">
        <v>12</v>
      </c>
      <c r="G1615" s="1">
        <v>1</v>
      </c>
      <c r="H1615" t="str">
        <f t="shared" si="129"/>
        <v>Mini</v>
      </c>
      <c r="I1615" t="str">
        <f t="shared" si="125"/>
        <v>Mini</v>
      </c>
      <c r="J1615" s="1">
        <v>66.62</v>
      </c>
      <c r="K1615">
        <f t="shared" si="126"/>
        <v>0</v>
      </c>
      <c r="L1615">
        <f t="shared" si="127"/>
        <v>66.62</v>
      </c>
      <c r="M1615" s="1">
        <f t="shared" si="128"/>
        <v>66.62</v>
      </c>
      <c r="N1615" s="1" t="s">
        <v>10</v>
      </c>
      <c r="O1615" s="1">
        <v>11.5</v>
      </c>
    </row>
    <row r="1616" spans="4:15" x14ac:dyDescent="0.3">
      <c r="D1616" s="1">
        <v>52197</v>
      </c>
      <c r="E1616" s="2">
        <v>43681</v>
      </c>
      <c r="F1616" s="1" t="s">
        <v>12</v>
      </c>
      <c r="G1616" s="1">
        <v>23</v>
      </c>
      <c r="H1616" t="str">
        <f t="shared" si="129"/>
        <v>Medium</v>
      </c>
      <c r="I1616" t="str">
        <f t="shared" si="125"/>
        <v>Medium</v>
      </c>
      <c r="J1616" s="1">
        <v>98.375799999999998</v>
      </c>
      <c r="K1616">
        <f t="shared" si="126"/>
        <v>0</v>
      </c>
      <c r="L1616">
        <f t="shared" si="127"/>
        <v>98.375799999999998</v>
      </c>
      <c r="M1616" s="1">
        <f t="shared" si="128"/>
        <v>98.375799999999998</v>
      </c>
      <c r="N1616" s="1" t="s">
        <v>10</v>
      </c>
      <c r="O1616" s="1">
        <v>2.1</v>
      </c>
    </row>
    <row r="1617" spans="4:15" x14ac:dyDescent="0.3">
      <c r="D1617" s="1">
        <v>46852</v>
      </c>
      <c r="E1617" s="2">
        <v>43492</v>
      </c>
      <c r="F1617" s="1" t="s">
        <v>11</v>
      </c>
      <c r="G1617" s="1">
        <v>46</v>
      </c>
      <c r="H1617" t="str">
        <f t="shared" si="129"/>
        <v>XXX Large</v>
      </c>
      <c r="I1617" t="str">
        <f t="shared" si="125"/>
        <v>XXX Large</v>
      </c>
      <c r="J1617" s="1">
        <v>1703.32</v>
      </c>
      <c r="K1617">
        <f t="shared" si="126"/>
        <v>0.01</v>
      </c>
      <c r="L1617">
        <f t="shared" si="127"/>
        <v>1686.2867999999999</v>
      </c>
      <c r="M1617" s="1">
        <f t="shared" si="128"/>
        <v>1695.22</v>
      </c>
      <c r="N1617" s="1" t="s">
        <v>8</v>
      </c>
      <c r="O1617" s="1">
        <v>8.1</v>
      </c>
    </row>
    <row r="1618" spans="4:15" x14ac:dyDescent="0.3">
      <c r="D1618" s="1">
        <v>54307</v>
      </c>
      <c r="E1618" s="2">
        <v>43472</v>
      </c>
      <c r="F1618" s="1" t="s">
        <v>9</v>
      </c>
      <c r="G1618" s="1">
        <v>15</v>
      </c>
      <c r="H1618" t="str">
        <f t="shared" si="129"/>
        <v>Small</v>
      </c>
      <c r="I1618" t="str">
        <f t="shared" si="125"/>
        <v>Small</v>
      </c>
      <c r="J1618" s="1">
        <v>260.57</v>
      </c>
      <c r="K1618">
        <f t="shared" si="126"/>
        <v>0</v>
      </c>
      <c r="L1618">
        <f t="shared" si="127"/>
        <v>260.57</v>
      </c>
      <c r="M1618" s="1">
        <f t="shared" si="128"/>
        <v>260.57</v>
      </c>
      <c r="N1618" s="1" t="s">
        <v>10</v>
      </c>
      <c r="O1618" s="1">
        <v>14.5</v>
      </c>
    </row>
    <row r="1619" spans="4:15" x14ac:dyDescent="0.3">
      <c r="D1619" s="1">
        <v>27078</v>
      </c>
      <c r="E1619" s="2">
        <v>43689</v>
      </c>
      <c r="F1619" s="1" t="s">
        <v>11</v>
      </c>
      <c r="G1619" s="1">
        <v>22</v>
      </c>
      <c r="H1619" t="str">
        <f t="shared" si="129"/>
        <v>Medium</v>
      </c>
      <c r="I1619" t="str">
        <f t="shared" si="125"/>
        <v>Medium</v>
      </c>
      <c r="J1619" s="1">
        <v>163.11080000000001</v>
      </c>
      <c r="K1619">
        <f t="shared" si="126"/>
        <v>0</v>
      </c>
      <c r="L1619">
        <f t="shared" si="127"/>
        <v>163.11080000000001</v>
      </c>
      <c r="M1619" s="1">
        <f t="shared" si="128"/>
        <v>163.11080000000001</v>
      </c>
      <c r="N1619" s="1" t="s">
        <v>10</v>
      </c>
      <c r="O1619" s="1">
        <v>6.3</v>
      </c>
    </row>
    <row r="1620" spans="4:15" x14ac:dyDescent="0.3">
      <c r="D1620" s="1">
        <v>28387</v>
      </c>
      <c r="E1620" s="2">
        <v>43645</v>
      </c>
      <c r="F1620" s="1" t="s">
        <v>11</v>
      </c>
      <c r="G1620" s="1">
        <v>37</v>
      </c>
      <c r="H1620" t="str">
        <f t="shared" si="129"/>
        <v>Extra Large</v>
      </c>
      <c r="I1620" t="str">
        <f t="shared" si="125"/>
        <v>Extra Large</v>
      </c>
      <c r="J1620" s="1">
        <v>3437.88</v>
      </c>
      <c r="K1620">
        <f t="shared" si="126"/>
        <v>0.01</v>
      </c>
      <c r="L1620">
        <f t="shared" si="127"/>
        <v>3403.5012000000002</v>
      </c>
      <c r="M1620" s="1">
        <f t="shared" si="128"/>
        <v>3416.48</v>
      </c>
      <c r="N1620" s="1" t="s">
        <v>10</v>
      </c>
      <c r="O1620" s="1">
        <v>21.4</v>
      </c>
    </row>
    <row r="1621" spans="4:15" x14ac:dyDescent="0.3">
      <c r="D1621" s="1">
        <v>27201</v>
      </c>
      <c r="E1621" s="2">
        <v>43671</v>
      </c>
      <c r="F1621" s="1" t="s">
        <v>9</v>
      </c>
      <c r="G1621" s="1">
        <v>45</v>
      </c>
      <c r="H1621" t="str">
        <f t="shared" si="129"/>
        <v>XX Large</v>
      </c>
      <c r="I1621" t="str">
        <f t="shared" si="125"/>
        <v>XX Large</v>
      </c>
      <c r="J1621" s="1">
        <v>3745.107</v>
      </c>
      <c r="K1621">
        <f t="shared" si="126"/>
        <v>0.01</v>
      </c>
      <c r="L1621">
        <f t="shared" si="127"/>
        <v>3707.6559299999999</v>
      </c>
      <c r="M1621" s="1">
        <f t="shared" si="128"/>
        <v>3649.5070000000001</v>
      </c>
      <c r="N1621" s="1" t="s">
        <v>13</v>
      </c>
      <c r="O1621" s="1">
        <v>95.6</v>
      </c>
    </row>
    <row r="1622" spans="4:15" x14ac:dyDescent="0.3">
      <c r="D1622" s="1">
        <v>6757</v>
      </c>
      <c r="E1622" s="2">
        <v>43496</v>
      </c>
      <c r="F1622" s="1" t="s">
        <v>14</v>
      </c>
      <c r="G1622" s="1">
        <v>27</v>
      </c>
      <c r="H1622" t="str">
        <f t="shared" si="129"/>
        <v>Medium-Large</v>
      </c>
      <c r="I1622" t="str">
        <f t="shared" si="125"/>
        <v>Medium-Large</v>
      </c>
      <c r="J1622" s="1">
        <v>930.66</v>
      </c>
      <c r="K1622">
        <f t="shared" si="126"/>
        <v>0</v>
      </c>
      <c r="L1622">
        <f t="shared" si="127"/>
        <v>930.66</v>
      </c>
      <c r="M1622" s="1">
        <f t="shared" si="128"/>
        <v>930.66</v>
      </c>
      <c r="N1622" s="1" t="s">
        <v>10</v>
      </c>
      <c r="O1622" s="1">
        <v>8.8000000000000007</v>
      </c>
    </row>
    <row r="1623" spans="4:15" x14ac:dyDescent="0.3">
      <c r="D1623" s="1">
        <v>1185</v>
      </c>
      <c r="E1623" s="2">
        <v>43700</v>
      </c>
      <c r="F1623" s="1" t="s">
        <v>7</v>
      </c>
      <c r="G1623" s="1">
        <v>7</v>
      </c>
      <c r="H1623" t="str">
        <f t="shared" si="129"/>
        <v>Extra Small</v>
      </c>
      <c r="I1623" t="str">
        <f t="shared" si="125"/>
        <v>Extra Small</v>
      </c>
      <c r="J1623" s="1">
        <v>401.01</v>
      </c>
      <c r="K1623">
        <f t="shared" si="126"/>
        <v>0</v>
      </c>
      <c r="L1623">
        <f t="shared" si="127"/>
        <v>401.01</v>
      </c>
      <c r="M1623" s="1">
        <f t="shared" si="128"/>
        <v>401.01</v>
      </c>
      <c r="N1623" s="1" t="s">
        <v>10</v>
      </c>
      <c r="O1623" s="1">
        <v>15.3</v>
      </c>
    </row>
    <row r="1624" spans="4:15" x14ac:dyDescent="0.3">
      <c r="D1624" s="1">
        <v>19361</v>
      </c>
      <c r="E1624" s="2">
        <v>43731</v>
      </c>
      <c r="F1624" s="1" t="s">
        <v>7</v>
      </c>
      <c r="G1624" s="1">
        <v>21</v>
      </c>
      <c r="H1624" t="str">
        <f t="shared" si="129"/>
        <v>Medium</v>
      </c>
      <c r="I1624" t="str">
        <f t="shared" si="125"/>
        <v>Medium</v>
      </c>
      <c r="J1624" s="1">
        <v>844.07</v>
      </c>
      <c r="K1624">
        <f t="shared" si="126"/>
        <v>0</v>
      </c>
      <c r="L1624">
        <f t="shared" si="127"/>
        <v>844.07</v>
      </c>
      <c r="M1624" s="1">
        <f t="shared" si="128"/>
        <v>844.07</v>
      </c>
      <c r="N1624" s="1" t="s">
        <v>10</v>
      </c>
      <c r="O1624" s="1">
        <v>3.2</v>
      </c>
    </row>
    <row r="1625" spans="4:15" x14ac:dyDescent="0.3">
      <c r="D1625" s="1">
        <v>46787</v>
      </c>
      <c r="E1625" s="2">
        <v>43553</v>
      </c>
      <c r="F1625" s="1" t="s">
        <v>14</v>
      </c>
      <c r="G1625" s="1">
        <v>32</v>
      </c>
      <c r="H1625" t="str">
        <f t="shared" si="129"/>
        <v>Large</v>
      </c>
      <c r="I1625" t="str">
        <f t="shared" si="125"/>
        <v>Large</v>
      </c>
      <c r="J1625" s="1">
        <v>741.69</v>
      </c>
      <c r="K1625">
        <f t="shared" si="126"/>
        <v>0</v>
      </c>
      <c r="L1625">
        <f t="shared" si="127"/>
        <v>741.69</v>
      </c>
      <c r="M1625" s="1">
        <f t="shared" si="128"/>
        <v>741.69</v>
      </c>
      <c r="N1625" s="1" t="s">
        <v>10</v>
      </c>
      <c r="O1625" s="1">
        <v>9.6</v>
      </c>
    </row>
    <row r="1626" spans="4:15" x14ac:dyDescent="0.3">
      <c r="D1626" s="1">
        <v>43493</v>
      </c>
      <c r="E1626" s="2">
        <v>43595</v>
      </c>
      <c r="F1626" s="1" t="s">
        <v>9</v>
      </c>
      <c r="G1626" s="1">
        <v>37</v>
      </c>
      <c r="H1626" t="str">
        <f t="shared" si="129"/>
        <v>Extra Large</v>
      </c>
      <c r="I1626" t="str">
        <f t="shared" si="125"/>
        <v>Extra Large</v>
      </c>
      <c r="J1626" s="1">
        <v>1818.98</v>
      </c>
      <c r="K1626">
        <f t="shared" si="126"/>
        <v>0.01</v>
      </c>
      <c r="L1626">
        <f t="shared" si="127"/>
        <v>1800.7901999999999</v>
      </c>
      <c r="M1626" s="1">
        <f t="shared" si="128"/>
        <v>1813.58</v>
      </c>
      <c r="N1626" s="1" t="s">
        <v>10</v>
      </c>
      <c r="O1626" s="1">
        <v>5.4</v>
      </c>
    </row>
    <row r="1627" spans="4:15" x14ac:dyDescent="0.3">
      <c r="D1627" s="1">
        <v>37634</v>
      </c>
      <c r="E1627" s="2">
        <v>43606</v>
      </c>
      <c r="F1627" s="1" t="s">
        <v>14</v>
      </c>
      <c r="G1627" s="1">
        <v>32</v>
      </c>
      <c r="H1627" t="str">
        <f t="shared" si="129"/>
        <v>Large</v>
      </c>
      <c r="I1627" t="str">
        <f t="shared" si="125"/>
        <v>Large</v>
      </c>
      <c r="J1627" s="1">
        <v>393.95</v>
      </c>
      <c r="K1627">
        <f t="shared" si="126"/>
        <v>0</v>
      </c>
      <c r="L1627">
        <f t="shared" si="127"/>
        <v>393.95</v>
      </c>
      <c r="M1627" s="1">
        <f t="shared" si="128"/>
        <v>393.95</v>
      </c>
      <c r="N1627" s="1" t="s">
        <v>10</v>
      </c>
      <c r="O1627" s="1">
        <v>5.0999999999999996</v>
      </c>
    </row>
    <row r="1628" spans="4:15" x14ac:dyDescent="0.3">
      <c r="D1628" s="1">
        <v>56740</v>
      </c>
      <c r="E1628" s="2">
        <v>43754</v>
      </c>
      <c r="F1628" s="1" t="s">
        <v>7</v>
      </c>
      <c r="G1628" s="1">
        <v>29</v>
      </c>
      <c r="H1628" t="str">
        <f t="shared" si="129"/>
        <v>Medium-Large</v>
      </c>
      <c r="I1628" t="str">
        <f t="shared" si="125"/>
        <v>Medium-Large</v>
      </c>
      <c r="J1628" s="1">
        <v>25162.45</v>
      </c>
      <c r="K1628">
        <f t="shared" si="126"/>
        <v>0</v>
      </c>
      <c r="L1628">
        <f t="shared" si="127"/>
        <v>25162.45</v>
      </c>
      <c r="M1628" s="1">
        <f t="shared" si="128"/>
        <v>25162.45</v>
      </c>
      <c r="N1628" s="1" t="s">
        <v>10</v>
      </c>
      <c r="O1628" s="1">
        <v>26.2</v>
      </c>
    </row>
    <row r="1629" spans="4:15" x14ac:dyDescent="0.3">
      <c r="D1629" s="1">
        <v>18368</v>
      </c>
      <c r="E1629" s="2">
        <v>43799</v>
      </c>
      <c r="F1629" s="1" t="s">
        <v>11</v>
      </c>
      <c r="G1629" s="1">
        <v>3</v>
      </c>
      <c r="H1629" t="str">
        <f t="shared" si="129"/>
        <v>Mini</v>
      </c>
      <c r="I1629" t="str">
        <f t="shared" si="125"/>
        <v>Mini</v>
      </c>
      <c r="J1629" s="1">
        <v>6390.67</v>
      </c>
      <c r="K1629">
        <f t="shared" si="126"/>
        <v>0</v>
      </c>
      <c r="L1629">
        <f t="shared" si="127"/>
        <v>6390.67</v>
      </c>
      <c r="M1629" s="1">
        <f t="shared" si="128"/>
        <v>6390.67</v>
      </c>
      <c r="N1629" s="1" t="s">
        <v>13</v>
      </c>
      <c r="O1629" s="1">
        <v>15.7</v>
      </c>
    </row>
    <row r="1630" spans="4:15" x14ac:dyDescent="0.3">
      <c r="D1630" s="1">
        <v>50181</v>
      </c>
      <c r="E1630" s="2">
        <v>43615</v>
      </c>
      <c r="F1630" s="1" t="s">
        <v>9</v>
      </c>
      <c r="G1630" s="1">
        <v>2</v>
      </c>
      <c r="H1630" t="str">
        <f t="shared" si="129"/>
        <v>Mini</v>
      </c>
      <c r="I1630" t="str">
        <f t="shared" si="125"/>
        <v>Mini</v>
      </c>
      <c r="J1630" s="1">
        <v>310.01</v>
      </c>
      <c r="K1630">
        <f t="shared" si="126"/>
        <v>0</v>
      </c>
      <c r="L1630">
        <f t="shared" si="127"/>
        <v>310.01</v>
      </c>
      <c r="M1630" s="1">
        <f t="shared" si="128"/>
        <v>310.01</v>
      </c>
      <c r="N1630" s="1" t="s">
        <v>13</v>
      </c>
      <c r="O1630" s="1">
        <v>30.6</v>
      </c>
    </row>
    <row r="1631" spans="4:15" x14ac:dyDescent="0.3">
      <c r="D1631" s="1">
        <v>37063</v>
      </c>
      <c r="E1631" s="2">
        <v>43808</v>
      </c>
      <c r="F1631" s="1" t="s">
        <v>11</v>
      </c>
      <c r="G1631" s="1">
        <v>50</v>
      </c>
      <c r="H1631" t="str">
        <f t="shared" si="129"/>
        <v>XXX Large</v>
      </c>
      <c r="I1631" t="str">
        <f t="shared" si="125"/>
        <v>XXX Large</v>
      </c>
      <c r="J1631" s="1">
        <v>983.33</v>
      </c>
      <c r="K1631">
        <f t="shared" si="126"/>
        <v>0.01</v>
      </c>
      <c r="L1631">
        <f t="shared" si="127"/>
        <v>973.49670000000003</v>
      </c>
      <c r="M1631" s="1">
        <f t="shared" si="128"/>
        <v>973.73</v>
      </c>
      <c r="N1631" s="1" t="s">
        <v>10</v>
      </c>
      <c r="O1631" s="1">
        <v>9.6</v>
      </c>
    </row>
    <row r="1632" spans="4:15" x14ac:dyDescent="0.3">
      <c r="D1632" s="1">
        <v>56740</v>
      </c>
      <c r="E1632" s="2">
        <v>43754</v>
      </c>
      <c r="F1632" s="1" t="s">
        <v>7</v>
      </c>
      <c r="G1632" s="1">
        <v>6</v>
      </c>
      <c r="H1632" t="str">
        <f t="shared" si="129"/>
        <v>Extra Small</v>
      </c>
      <c r="I1632" t="str">
        <f t="shared" si="125"/>
        <v>Extra Small</v>
      </c>
      <c r="J1632" s="1">
        <v>36.69</v>
      </c>
      <c r="K1632">
        <f t="shared" si="126"/>
        <v>0</v>
      </c>
      <c r="L1632">
        <f t="shared" si="127"/>
        <v>36.69</v>
      </c>
      <c r="M1632" s="1">
        <f t="shared" si="128"/>
        <v>36.69</v>
      </c>
      <c r="N1632" s="1" t="s">
        <v>10</v>
      </c>
      <c r="O1632" s="1">
        <v>3.2</v>
      </c>
    </row>
    <row r="1633" spans="4:15" x14ac:dyDescent="0.3">
      <c r="D1633" s="1">
        <v>21729</v>
      </c>
      <c r="E1633" s="2">
        <v>43805</v>
      </c>
      <c r="F1633" s="1" t="s">
        <v>7</v>
      </c>
      <c r="G1633" s="1">
        <v>14</v>
      </c>
      <c r="H1633" t="str">
        <f t="shared" si="129"/>
        <v>Small</v>
      </c>
      <c r="I1633" t="str">
        <f t="shared" si="125"/>
        <v>Small</v>
      </c>
      <c r="J1633" s="1">
        <v>1158.4462000000001</v>
      </c>
      <c r="K1633">
        <f t="shared" si="126"/>
        <v>0</v>
      </c>
      <c r="L1633">
        <f t="shared" si="127"/>
        <v>1158.4462000000001</v>
      </c>
      <c r="M1633" s="1">
        <f t="shared" si="128"/>
        <v>1158.4462000000001</v>
      </c>
      <c r="N1633" s="1" t="s">
        <v>10</v>
      </c>
      <c r="O1633" s="1">
        <v>51.6</v>
      </c>
    </row>
    <row r="1634" spans="4:15" x14ac:dyDescent="0.3">
      <c r="D1634" s="1">
        <v>16518</v>
      </c>
      <c r="E1634" s="2">
        <v>43737</v>
      </c>
      <c r="F1634" s="1" t="s">
        <v>12</v>
      </c>
      <c r="G1634" s="1">
        <v>36</v>
      </c>
      <c r="H1634" t="str">
        <f t="shared" si="129"/>
        <v>Extra Large</v>
      </c>
      <c r="I1634" t="str">
        <f t="shared" si="125"/>
        <v>Extra Large</v>
      </c>
      <c r="J1634" s="1">
        <v>2812.95</v>
      </c>
      <c r="K1634">
        <f t="shared" si="126"/>
        <v>0.01</v>
      </c>
      <c r="L1634">
        <f t="shared" si="127"/>
        <v>2784.8204999999998</v>
      </c>
      <c r="M1634" s="1">
        <f t="shared" si="128"/>
        <v>2811.85</v>
      </c>
      <c r="N1634" s="1" t="s">
        <v>10</v>
      </c>
      <c r="O1634" s="1">
        <v>1.1000000000000001</v>
      </c>
    </row>
    <row r="1635" spans="4:15" x14ac:dyDescent="0.3">
      <c r="D1635" s="1">
        <v>15937</v>
      </c>
      <c r="E1635" s="2">
        <v>43775</v>
      </c>
      <c r="F1635" s="1" t="s">
        <v>7</v>
      </c>
      <c r="G1635" s="1">
        <v>32</v>
      </c>
      <c r="H1635" t="str">
        <f t="shared" si="129"/>
        <v>Large</v>
      </c>
      <c r="I1635" t="str">
        <f t="shared" si="125"/>
        <v>Large</v>
      </c>
      <c r="J1635" s="1">
        <v>333.24</v>
      </c>
      <c r="K1635">
        <f t="shared" si="126"/>
        <v>0</v>
      </c>
      <c r="L1635">
        <f t="shared" si="127"/>
        <v>333.24</v>
      </c>
      <c r="M1635" s="1">
        <f t="shared" si="128"/>
        <v>333.24</v>
      </c>
      <c r="N1635" s="1" t="s">
        <v>10</v>
      </c>
      <c r="O1635" s="1">
        <v>2.1</v>
      </c>
    </row>
    <row r="1636" spans="4:15" x14ac:dyDescent="0.3">
      <c r="D1636" s="1">
        <v>3654</v>
      </c>
      <c r="E1636" s="2">
        <v>43618</v>
      </c>
      <c r="F1636" s="1" t="s">
        <v>7</v>
      </c>
      <c r="G1636" s="1">
        <v>41</v>
      </c>
      <c r="H1636" t="str">
        <f t="shared" si="129"/>
        <v>XX Large</v>
      </c>
      <c r="I1636" t="str">
        <f t="shared" si="125"/>
        <v>XX Large</v>
      </c>
      <c r="J1636" s="1">
        <v>102.43</v>
      </c>
      <c r="K1636">
        <f t="shared" si="126"/>
        <v>0.01</v>
      </c>
      <c r="L1636">
        <f t="shared" si="127"/>
        <v>101.40570000000001</v>
      </c>
      <c r="M1636" s="1">
        <f t="shared" si="128"/>
        <v>96.73</v>
      </c>
      <c r="N1636" s="1" t="s">
        <v>10</v>
      </c>
      <c r="O1636" s="1">
        <v>5.7</v>
      </c>
    </row>
    <row r="1637" spans="4:15" x14ac:dyDescent="0.3">
      <c r="D1637" s="1">
        <v>55494</v>
      </c>
      <c r="E1637" s="2">
        <v>43641</v>
      </c>
      <c r="F1637" s="1" t="s">
        <v>11</v>
      </c>
      <c r="G1637" s="1">
        <v>4</v>
      </c>
      <c r="H1637" t="str">
        <f t="shared" si="129"/>
        <v>Mini</v>
      </c>
      <c r="I1637" t="str">
        <f t="shared" si="125"/>
        <v>Mini</v>
      </c>
      <c r="J1637" s="1">
        <v>61.87</v>
      </c>
      <c r="K1637">
        <f t="shared" si="126"/>
        <v>0</v>
      </c>
      <c r="L1637">
        <f t="shared" si="127"/>
        <v>61.87</v>
      </c>
      <c r="M1637" s="1">
        <f t="shared" si="128"/>
        <v>61.87</v>
      </c>
      <c r="N1637" s="1" t="s">
        <v>8</v>
      </c>
      <c r="O1637" s="1">
        <v>5.0999999999999996</v>
      </c>
    </row>
    <row r="1638" spans="4:15" x14ac:dyDescent="0.3">
      <c r="D1638" s="1">
        <v>8070</v>
      </c>
      <c r="E1638" s="2">
        <v>43492</v>
      </c>
      <c r="F1638" s="1" t="s">
        <v>14</v>
      </c>
      <c r="G1638" s="1">
        <v>14</v>
      </c>
      <c r="H1638" t="str">
        <f t="shared" si="129"/>
        <v>Small</v>
      </c>
      <c r="I1638" t="str">
        <f t="shared" si="125"/>
        <v>Small</v>
      </c>
      <c r="J1638" s="1">
        <v>666.31</v>
      </c>
      <c r="K1638">
        <f t="shared" si="126"/>
        <v>0</v>
      </c>
      <c r="L1638">
        <f t="shared" si="127"/>
        <v>666.31</v>
      </c>
      <c r="M1638" s="1">
        <f t="shared" si="128"/>
        <v>666.31</v>
      </c>
      <c r="N1638" s="1" t="s">
        <v>10</v>
      </c>
      <c r="O1638" s="1">
        <v>9.6</v>
      </c>
    </row>
    <row r="1639" spans="4:15" x14ac:dyDescent="0.3">
      <c r="D1639" s="1">
        <v>16161</v>
      </c>
      <c r="E1639" s="2">
        <v>43674</v>
      </c>
      <c r="F1639" s="1" t="s">
        <v>14</v>
      </c>
      <c r="G1639" s="1">
        <v>49</v>
      </c>
      <c r="H1639" t="str">
        <f t="shared" si="129"/>
        <v>XXX Large</v>
      </c>
      <c r="I1639" t="str">
        <f t="shared" si="125"/>
        <v>XXX Large</v>
      </c>
      <c r="J1639" s="1">
        <v>2881.18</v>
      </c>
      <c r="K1639">
        <f t="shared" si="126"/>
        <v>0.01</v>
      </c>
      <c r="L1639">
        <f t="shared" si="127"/>
        <v>2852.3681999999999</v>
      </c>
      <c r="M1639" s="1">
        <f t="shared" si="128"/>
        <v>2876.68</v>
      </c>
      <c r="N1639" s="1" t="s">
        <v>10</v>
      </c>
      <c r="O1639" s="1">
        <v>4.5</v>
      </c>
    </row>
    <row r="1640" spans="4:15" x14ac:dyDescent="0.3">
      <c r="D1640" s="1">
        <v>20292</v>
      </c>
      <c r="E1640" s="2">
        <v>43777</v>
      </c>
      <c r="F1640" s="1" t="s">
        <v>14</v>
      </c>
      <c r="G1640" s="1">
        <v>5</v>
      </c>
      <c r="H1640" t="str">
        <f t="shared" si="129"/>
        <v>Mini</v>
      </c>
      <c r="I1640" t="str">
        <f t="shared" si="125"/>
        <v>Mini</v>
      </c>
      <c r="J1640" s="1">
        <v>125.33</v>
      </c>
      <c r="K1640">
        <f t="shared" si="126"/>
        <v>0</v>
      </c>
      <c r="L1640">
        <f t="shared" si="127"/>
        <v>125.33</v>
      </c>
      <c r="M1640" s="1">
        <f t="shared" si="128"/>
        <v>125.33</v>
      </c>
      <c r="N1640" s="1" t="s">
        <v>10</v>
      </c>
      <c r="O1640" s="1">
        <v>4.3</v>
      </c>
    </row>
    <row r="1641" spans="4:15" x14ac:dyDescent="0.3">
      <c r="D1641" s="1">
        <v>8609</v>
      </c>
      <c r="E1641" s="2">
        <v>43569</v>
      </c>
      <c r="F1641" s="1" t="s">
        <v>12</v>
      </c>
      <c r="G1641" s="1">
        <v>4</v>
      </c>
      <c r="H1641" t="str">
        <f t="shared" si="129"/>
        <v>Mini</v>
      </c>
      <c r="I1641" t="str">
        <f t="shared" si="125"/>
        <v>Mini</v>
      </c>
      <c r="J1641" s="1">
        <v>77.040000000000006</v>
      </c>
      <c r="K1641">
        <f t="shared" si="126"/>
        <v>0</v>
      </c>
      <c r="L1641">
        <f t="shared" si="127"/>
        <v>77.040000000000006</v>
      </c>
      <c r="M1641" s="1">
        <f t="shared" si="128"/>
        <v>77.040000000000006</v>
      </c>
      <c r="N1641" s="1" t="s">
        <v>10</v>
      </c>
      <c r="O1641" s="1">
        <v>2.7</v>
      </c>
    </row>
    <row r="1642" spans="4:15" x14ac:dyDescent="0.3">
      <c r="D1642" s="1">
        <v>13572</v>
      </c>
      <c r="E1642" s="2">
        <v>43602</v>
      </c>
      <c r="F1642" s="1" t="s">
        <v>12</v>
      </c>
      <c r="G1642" s="1">
        <v>7</v>
      </c>
      <c r="H1642" t="str">
        <f t="shared" si="129"/>
        <v>Extra Small</v>
      </c>
      <c r="I1642" t="str">
        <f t="shared" si="125"/>
        <v>Extra Small</v>
      </c>
      <c r="J1642" s="1">
        <v>42.92</v>
      </c>
      <c r="K1642">
        <f t="shared" si="126"/>
        <v>0</v>
      </c>
      <c r="L1642">
        <f t="shared" si="127"/>
        <v>42.92</v>
      </c>
      <c r="M1642" s="1">
        <f t="shared" si="128"/>
        <v>42.92</v>
      </c>
      <c r="N1642" s="1" t="s">
        <v>10</v>
      </c>
      <c r="O1642" s="1">
        <v>5.5</v>
      </c>
    </row>
    <row r="1643" spans="4:15" x14ac:dyDescent="0.3">
      <c r="D1643" s="1">
        <v>57600</v>
      </c>
      <c r="E1643" s="2">
        <v>43780</v>
      </c>
      <c r="F1643" s="1" t="s">
        <v>12</v>
      </c>
      <c r="G1643" s="1">
        <v>44</v>
      </c>
      <c r="H1643" t="str">
        <f t="shared" si="129"/>
        <v>XX Large</v>
      </c>
      <c r="I1643" t="str">
        <f t="shared" si="125"/>
        <v>XX Large</v>
      </c>
      <c r="J1643" s="1">
        <v>200.03</v>
      </c>
      <c r="K1643">
        <f t="shared" si="126"/>
        <v>0.01</v>
      </c>
      <c r="L1643">
        <f t="shared" si="127"/>
        <v>198.02969999999999</v>
      </c>
      <c r="M1643" s="1">
        <f t="shared" si="128"/>
        <v>199.53</v>
      </c>
      <c r="N1643" s="1" t="s">
        <v>10</v>
      </c>
      <c r="O1643" s="1">
        <v>0.5</v>
      </c>
    </row>
    <row r="1644" spans="4:15" x14ac:dyDescent="0.3">
      <c r="D1644" s="1">
        <v>12931</v>
      </c>
      <c r="E1644" s="2">
        <v>43579</v>
      </c>
      <c r="F1644" s="1" t="s">
        <v>14</v>
      </c>
      <c r="G1644" s="1">
        <v>11</v>
      </c>
      <c r="H1644" t="str">
        <f t="shared" si="129"/>
        <v>Small</v>
      </c>
      <c r="I1644" t="str">
        <f t="shared" si="125"/>
        <v>Small</v>
      </c>
      <c r="J1644" s="1">
        <v>699.69</v>
      </c>
      <c r="K1644">
        <f t="shared" si="126"/>
        <v>0</v>
      </c>
      <c r="L1644">
        <f t="shared" si="127"/>
        <v>699.69</v>
      </c>
      <c r="M1644" s="1">
        <f t="shared" si="128"/>
        <v>699.69</v>
      </c>
      <c r="N1644" s="1" t="s">
        <v>10</v>
      </c>
      <c r="O1644" s="1">
        <v>10.4</v>
      </c>
    </row>
    <row r="1645" spans="4:15" x14ac:dyDescent="0.3">
      <c r="D1645" s="1">
        <v>46534</v>
      </c>
      <c r="E1645" s="2">
        <v>43741</v>
      </c>
      <c r="F1645" s="1" t="s">
        <v>9</v>
      </c>
      <c r="G1645" s="1">
        <v>13</v>
      </c>
      <c r="H1645" t="str">
        <f t="shared" si="129"/>
        <v>Small</v>
      </c>
      <c r="I1645" t="str">
        <f t="shared" si="125"/>
        <v>Small</v>
      </c>
      <c r="J1645" s="1">
        <v>1435.2</v>
      </c>
      <c r="K1645">
        <f t="shared" si="126"/>
        <v>0</v>
      </c>
      <c r="L1645">
        <f t="shared" si="127"/>
        <v>1435.2</v>
      </c>
      <c r="M1645" s="1">
        <f t="shared" si="128"/>
        <v>1435.2</v>
      </c>
      <c r="N1645" s="1" t="s">
        <v>10</v>
      </c>
      <c r="O1645" s="1">
        <v>21.4</v>
      </c>
    </row>
    <row r="1646" spans="4:15" x14ac:dyDescent="0.3">
      <c r="D1646" s="1">
        <v>27841</v>
      </c>
      <c r="E1646" s="2">
        <v>43724</v>
      </c>
      <c r="F1646" s="1" t="s">
        <v>9</v>
      </c>
      <c r="G1646" s="1">
        <v>33</v>
      </c>
      <c r="H1646" t="str">
        <f t="shared" si="129"/>
        <v>Large</v>
      </c>
      <c r="I1646" t="str">
        <f t="shared" si="125"/>
        <v>Large</v>
      </c>
      <c r="J1646" s="1">
        <v>72.599999999999994</v>
      </c>
      <c r="K1646">
        <f t="shared" si="126"/>
        <v>0</v>
      </c>
      <c r="L1646">
        <f t="shared" si="127"/>
        <v>72.599999999999994</v>
      </c>
      <c r="M1646" s="1">
        <f t="shared" si="128"/>
        <v>72.599999999999994</v>
      </c>
      <c r="N1646" s="1" t="s">
        <v>10</v>
      </c>
      <c r="O1646" s="1">
        <v>0.7</v>
      </c>
    </row>
    <row r="1647" spans="4:15" x14ac:dyDescent="0.3">
      <c r="D1647" s="1">
        <v>47686</v>
      </c>
      <c r="E1647" s="2">
        <v>43749</v>
      </c>
      <c r="F1647" s="1" t="s">
        <v>11</v>
      </c>
      <c r="G1647" s="1">
        <v>48</v>
      </c>
      <c r="H1647" t="str">
        <f t="shared" si="129"/>
        <v>XXX Large</v>
      </c>
      <c r="I1647" t="str">
        <f t="shared" si="125"/>
        <v>XXX Large</v>
      </c>
      <c r="J1647" s="1">
        <v>192.23</v>
      </c>
      <c r="K1647">
        <f t="shared" si="126"/>
        <v>0.01</v>
      </c>
      <c r="L1647">
        <f t="shared" si="127"/>
        <v>190.30769999999998</v>
      </c>
      <c r="M1647" s="1">
        <f t="shared" si="128"/>
        <v>190.92999999999998</v>
      </c>
      <c r="N1647" s="1" t="s">
        <v>10</v>
      </c>
      <c r="O1647" s="1">
        <v>1.3</v>
      </c>
    </row>
    <row r="1648" spans="4:15" x14ac:dyDescent="0.3">
      <c r="D1648" s="1">
        <v>54791</v>
      </c>
      <c r="E1648" s="2">
        <v>43819</v>
      </c>
      <c r="F1648" s="1" t="s">
        <v>9</v>
      </c>
      <c r="G1648" s="1">
        <v>42</v>
      </c>
      <c r="H1648" t="str">
        <f t="shared" si="129"/>
        <v>XX Large</v>
      </c>
      <c r="I1648" t="str">
        <f t="shared" si="125"/>
        <v>XX Large</v>
      </c>
      <c r="J1648" s="1">
        <v>4572.4799999999996</v>
      </c>
      <c r="K1648">
        <f t="shared" si="126"/>
        <v>0.01</v>
      </c>
      <c r="L1648">
        <f t="shared" si="127"/>
        <v>4526.7551999999996</v>
      </c>
      <c r="M1648" s="1">
        <f t="shared" si="128"/>
        <v>4534.9799999999996</v>
      </c>
      <c r="N1648" s="1" t="s">
        <v>10</v>
      </c>
      <c r="O1648" s="1">
        <v>37.5</v>
      </c>
    </row>
    <row r="1649" spans="4:15" x14ac:dyDescent="0.3">
      <c r="D1649" s="1">
        <v>39075</v>
      </c>
      <c r="E1649" s="2">
        <v>43514</v>
      </c>
      <c r="F1649" s="1" t="s">
        <v>11</v>
      </c>
      <c r="G1649" s="1">
        <v>50</v>
      </c>
      <c r="H1649" t="str">
        <f t="shared" si="129"/>
        <v>XXX Large</v>
      </c>
      <c r="I1649" t="str">
        <f t="shared" si="125"/>
        <v>XXX Large</v>
      </c>
      <c r="J1649" s="1">
        <v>548.19000000000005</v>
      </c>
      <c r="K1649">
        <f t="shared" si="126"/>
        <v>0.01</v>
      </c>
      <c r="L1649">
        <f t="shared" si="127"/>
        <v>542.70810000000006</v>
      </c>
      <c r="M1649" s="1">
        <f t="shared" si="128"/>
        <v>547.09</v>
      </c>
      <c r="N1649" s="1" t="s">
        <v>10</v>
      </c>
      <c r="O1649" s="1">
        <v>1.1000000000000001</v>
      </c>
    </row>
    <row r="1650" spans="4:15" x14ac:dyDescent="0.3">
      <c r="D1650" s="1">
        <v>9024</v>
      </c>
      <c r="E1650" s="2">
        <v>43618</v>
      </c>
      <c r="F1650" s="1" t="s">
        <v>14</v>
      </c>
      <c r="G1650" s="1">
        <v>2</v>
      </c>
      <c r="H1650" t="str">
        <f t="shared" si="129"/>
        <v>Mini</v>
      </c>
      <c r="I1650" t="str">
        <f t="shared" si="125"/>
        <v>Mini</v>
      </c>
      <c r="J1650" s="1">
        <v>12.968400000000001</v>
      </c>
      <c r="K1650">
        <f t="shared" si="126"/>
        <v>0</v>
      </c>
      <c r="L1650">
        <f t="shared" si="127"/>
        <v>12.968400000000001</v>
      </c>
      <c r="M1650" s="1">
        <f t="shared" si="128"/>
        <v>12.968400000000001</v>
      </c>
      <c r="N1650" s="1" t="s">
        <v>10</v>
      </c>
      <c r="O1650" s="1">
        <v>1</v>
      </c>
    </row>
    <row r="1651" spans="4:15" x14ac:dyDescent="0.3">
      <c r="D1651" s="1">
        <v>44037</v>
      </c>
      <c r="E1651" s="2">
        <v>43644</v>
      </c>
      <c r="F1651" s="1" t="s">
        <v>9</v>
      </c>
      <c r="G1651" s="1">
        <v>39</v>
      </c>
      <c r="H1651" t="str">
        <f t="shared" si="129"/>
        <v>Extra Large</v>
      </c>
      <c r="I1651" t="str">
        <f t="shared" si="125"/>
        <v>Extra Large</v>
      </c>
      <c r="J1651" s="1">
        <v>894.04</v>
      </c>
      <c r="K1651">
        <f t="shared" si="126"/>
        <v>0.01</v>
      </c>
      <c r="L1651">
        <f t="shared" si="127"/>
        <v>885.09960000000001</v>
      </c>
      <c r="M1651" s="1">
        <f t="shared" si="128"/>
        <v>888.64</v>
      </c>
      <c r="N1651" s="1" t="s">
        <v>10</v>
      </c>
      <c r="O1651" s="1">
        <v>5.4</v>
      </c>
    </row>
    <row r="1652" spans="4:15" x14ac:dyDescent="0.3">
      <c r="D1652" s="1">
        <v>7042</v>
      </c>
      <c r="E1652" s="2">
        <v>43472</v>
      </c>
      <c r="F1652" s="1" t="s">
        <v>14</v>
      </c>
      <c r="G1652" s="1">
        <v>4</v>
      </c>
      <c r="H1652" t="str">
        <f t="shared" si="129"/>
        <v>Mini</v>
      </c>
      <c r="I1652" t="str">
        <f t="shared" si="125"/>
        <v>Mini</v>
      </c>
      <c r="J1652" s="1">
        <v>1271.0145</v>
      </c>
      <c r="K1652">
        <f t="shared" si="126"/>
        <v>0</v>
      </c>
      <c r="L1652">
        <f t="shared" si="127"/>
        <v>1271.0145</v>
      </c>
      <c r="M1652" s="1">
        <f t="shared" si="128"/>
        <v>1271.0145</v>
      </c>
      <c r="N1652" s="1" t="s">
        <v>13</v>
      </c>
      <c r="O1652" s="1">
        <v>91.6</v>
      </c>
    </row>
    <row r="1653" spans="4:15" x14ac:dyDescent="0.3">
      <c r="D1653" s="1">
        <v>26919</v>
      </c>
      <c r="E1653" s="2">
        <v>43809</v>
      </c>
      <c r="F1653" s="1" t="s">
        <v>7</v>
      </c>
      <c r="G1653" s="1">
        <v>12</v>
      </c>
      <c r="H1653" t="str">
        <f t="shared" si="129"/>
        <v>Small</v>
      </c>
      <c r="I1653" t="str">
        <f t="shared" si="125"/>
        <v>Small</v>
      </c>
      <c r="J1653" s="1">
        <v>3781.98</v>
      </c>
      <c r="K1653">
        <f t="shared" si="126"/>
        <v>0</v>
      </c>
      <c r="L1653">
        <f t="shared" si="127"/>
        <v>3781.98</v>
      </c>
      <c r="M1653" s="1">
        <f t="shared" si="128"/>
        <v>3781.98</v>
      </c>
      <c r="N1653" s="1" t="s">
        <v>10</v>
      </c>
      <c r="O1653" s="1">
        <v>26.2</v>
      </c>
    </row>
    <row r="1654" spans="4:15" x14ac:dyDescent="0.3">
      <c r="D1654" s="1">
        <v>4800</v>
      </c>
      <c r="E1654" s="2">
        <v>43469</v>
      </c>
      <c r="F1654" s="1" t="s">
        <v>7</v>
      </c>
      <c r="G1654" s="1">
        <v>17</v>
      </c>
      <c r="H1654" t="str">
        <f t="shared" si="129"/>
        <v>Small-Medium</v>
      </c>
      <c r="I1654" t="str">
        <f t="shared" si="125"/>
        <v>Small-Medium</v>
      </c>
      <c r="J1654" s="1">
        <v>95.5</v>
      </c>
      <c r="K1654">
        <f t="shared" si="126"/>
        <v>0</v>
      </c>
      <c r="L1654">
        <f t="shared" si="127"/>
        <v>95.5</v>
      </c>
      <c r="M1654" s="1">
        <f t="shared" si="128"/>
        <v>95.5</v>
      </c>
      <c r="N1654" s="1" t="s">
        <v>10</v>
      </c>
      <c r="O1654" s="1">
        <v>0.5</v>
      </c>
    </row>
    <row r="1655" spans="4:15" x14ac:dyDescent="0.3">
      <c r="D1655" s="1">
        <v>10470</v>
      </c>
      <c r="E1655" s="2">
        <v>43589</v>
      </c>
      <c r="F1655" s="1" t="s">
        <v>7</v>
      </c>
      <c r="G1655" s="1">
        <v>40</v>
      </c>
      <c r="H1655" t="str">
        <f t="shared" si="129"/>
        <v>Extra Large</v>
      </c>
      <c r="I1655" t="str">
        <f t="shared" si="125"/>
        <v>Extra Large</v>
      </c>
      <c r="J1655" s="1">
        <v>1880.4501</v>
      </c>
      <c r="K1655">
        <f t="shared" si="126"/>
        <v>0.01</v>
      </c>
      <c r="L1655">
        <f t="shared" si="127"/>
        <v>1861.6455989999999</v>
      </c>
      <c r="M1655" s="1">
        <f t="shared" si="128"/>
        <v>1876.7501</v>
      </c>
      <c r="N1655" s="1" t="s">
        <v>8</v>
      </c>
      <c r="O1655" s="1">
        <v>3.7</v>
      </c>
    </row>
    <row r="1656" spans="4:15" x14ac:dyDescent="0.3">
      <c r="D1656" s="1">
        <v>13031</v>
      </c>
      <c r="E1656" s="2">
        <v>43803</v>
      </c>
      <c r="F1656" s="1" t="s">
        <v>7</v>
      </c>
      <c r="G1656" s="1">
        <v>34</v>
      </c>
      <c r="H1656" t="str">
        <f t="shared" si="129"/>
        <v>Large</v>
      </c>
      <c r="I1656" t="str">
        <f t="shared" si="125"/>
        <v>Large</v>
      </c>
      <c r="J1656" s="1">
        <v>224.76</v>
      </c>
      <c r="K1656">
        <f t="shared" si="126"/>
        <v>0</v>
      </c>
      <c r="L1656">
        <f t="shared" si="127"/>
        <v>224.76</v>
      </c>
      <c r="M1656" s="1">
        <f t="shared" si="128"/>
        <v>224.76</v>
      </c>
      <c r="N1656" s="1" t="s">
        <v>10</v>
      </c>
      <c r="O1656" s="1">
        <v>7.9</v>
      </c>
    </row>
    <row r="1657" spans="4:15" x14ac:dyDescent="0.3">
      <c r="D1657" s="1">
        <v>11398</v>
      </c>
      <c r="E1657" s="2">
        <v>43683</v>
      </c>
      <c r="F1657" s="1" t="s">
        <v>9</v>
      </c>
      <c r="G1657" s="1">
        <v>26</v>
      </c>
      <c r="H1657" t="str">
        <f t="shared" si="129"/>
        <v>Medium-Large</v>
      </c>
      <c r="I1657" t="str">
        <f t="shared" si="125"/>
        <v>Medium-Large</v>
      </c>
      <c r="J1657" s="1">
        <v>86.55</v>
      </c>
      <c r="K1657">
        <f t="shared" si="126"/>
        <v>0</v>
      </c>
      <c r="L1657">
        <f t="shared" si="127"/>
        <v>86.55</v>
      </c>
      <c r="M1657" s="1">
        <f t="shared" si="128"/>
        <v>86.55</v>
      </c>
      <c r="N1657" s="1" t="s">
        <v>10</v>
      </c>
      <c r="O1657" s="1">
        <v>0.9</v>
      </c>
    </row>
    <row r="1658" spans="4:15" x14ac:dyDescent="0.3">
      <c r="D1658" s="1">
        <v>8231</v>
      </c>
      <c r="E1658" s="2">
        <v>43756</v>
      </c>
      <c r="F1658" s="1" t="s">
        <v>12</v>
      </c>
      <c r="G1658" s="1">
        <v>27</v>
      </c>
      <c r="H1658" t="str">
        <f t="shared" si="129"/>
        <v>Medium-Large</v>
      </c>
      <c r="I1658" t="str">
        <f t="shared" si="125"/>
        <v>Medium-Large</v>
      </c>
      <c r="J1658" s="1">
        <v>85</v>
      </c>
      <c r="K1658">
        <f t="shared" si="126"/>
        <v>0</v>
      </c>
      <c r="L1658">
        <f t="shared" si="127"/>
        <v>85</v>
      </c>
      <c r="M1658" s="1">
        <f t="shared" si="128"/>
        <v>85</v>
      </c>
      <c r="N1658" s="1" t="s">
        <v>10</v>
      </c>
      <c r="O1658" s="1">
        <v>0.5</v>
      </c>
    </row>
    <row r="1659" spans="4:15" x14ac:dyDescent="0.3">
      <c r="D1659" s="1">
        <v>26818</v>
      </c>
      <c r="E1659" s="2">
        <v>43472</v>
      </c>
      <c r="F1659" s="1" t="s">
        <v>11</v>
      </c>
      <c r="G1659" s="1">
        <v>5</v>
      </c>
      <c r="H1659" t="str">
        <f t="shared" si="129"/>
        <v>Mini</v>
      </c>
      <c r="I1659" t="str">
        <f t="shared" si="125"/>
        <v>Mini</v>
      </c>
      <c r="J1659" s="1">
        <v>83.88</v>
      </c>
      <c r="K1659">
        <f t="shared" si="126"/>
        <v>0</v>
      </c>
      <c r="L1659">
        <f t="shared" si="127"/>
        <v>83.88</v>
      </c>
      <c r="M1659" s="1">
        <f t="shared" si="128"/>
        <v>83.88</v>
      </c>
      <c r="N1659" s="1" t="s">
        <v>8</v>
      </c>
      <c r="O1659" s="1">
        <v>5.3</v>
      </c>
    </row>
    <row r="1660" spans="4:15" x14ac:dyDescent="0.3">
      <c r="D1660" s="1">
        <v>4738</v>
      </c>
      <c r="E1660" s="2">
        <v>43562</v>
      </c>
      <c r="F1660" s="1" t="s">
        <v>9</v>
      </c>
      <c r="G1660" s="1">
        <v>2</v>
      </c>
      <c r="H1660" t="str">
        <f t="shared" si="129"/>
        <v>Mini</v>
      </c>
      <c r="I1660" t="str">
        <f t="shared" si="125"/>
        <v>Mini</v>
      </c>
      <c r="J1660" s="1">
        <v>11.12</v>
      </c>
      <c r="K1660">
        <f t="shared" si="126"/>
        <v>0</v>
      </c>
      <c r="L1660">
        <f t="shared" si="127"/>
        <v>11.12</v>
      </c>
      <c r="M1660" s="1">
        <f t="shared" si="128"/>
        <v>11.12</v>
      </c>
      <c r="N1660" s="1" t="s">
        <v>10</v>
      </c>
      <c r="O1660" s="1">
        <v>0.7</v>
      </c>
    </row>
    <row r="1661" spans="4:15" x14ac:dyDescent="0.3">
      <c r="D1661" s="1">
        <v>19361</v>
      </c>
      <c r="E1661" s="2">
        <v>43731</v>
      </c>
      <c r="F1661" s="1" t="s">
        <v>7</v>
      </c>
      <c r="G1661" s="1">
        <v>43</v>
      </c>
      <c r="H1661" t="str">
        <f t="shared" si="129"/>
        <v>XX Large</v>
      </c>
      <c r="I1661" t="str">
        <f t="shared" si="125"/>
        <v>XX Large</v>
      </c>
      <c r="J1661" s="1">
        <v>390.11</v>
      </c>
      <c r="K1661">
        <f t="shared" si="126"/>
        <v>0.01</v>
      </c>
      <c r="L1661">
        <f t="shared" si="127"/>
        <v>386.20890000000003</v>
      </c>
      <c r="M1661" s="1">
        <f t="shared" si="128"/>
        <v>384.61</v>
      </c>
      <c r="N1661" s="1" t="s">
        <v>10</v>
      </c>
      <c r="O1661" s="1">
        <v>5.5</v>
      </c>
    </row>
    <row r="1662" spans="4:15" x14ac:dyDescent="0.3">
      <c r="D1662" s="1">
        <v>42400</v>
      </c>
      <c r="E1662" s="2">
        <v>43686</v>
      </c>
      <c r="F1662" s="1" t="s">
        <v>7</v>
      </c>
      <c r="G1662" s="1">
        <v>41</v>
      </c>
      <c r="H1662" t="str">
        <f t="shared" si="129"/>
        <v>XX Large</v>
      </c>
      <c r="I1662" t="str">
        <f t="shared" si="125"/>
        <v>XX Large</v>
      </c>
      <c r="J1662" s="1">
        <v>459.33</v>
      </c>
      <c r="K1662">
        <f t="shared" si="126"/>
        <v>0.01</v>
      </c>
      <c r="L1662">
        <f t="shared" si="127"/>
        <v>454.73669999999998</v>
      </c>
      <c r="M1662" s="1">
        <f t="shared" si="128"/>
        <v>452.33</v>
      </c>
      <c r="N1662" s="1" t="s">
        <v>10</v>
      </c>
      <c r="O1662" s="1">
        <v>7</v>
      </c>
    </row>
    <row r="1663" spans="4:15" x14ac:dyDescent="0.3">
      <c r="D1663" s="1">
        <v>28129</v>
      </c>
      <c r="E1663" s="2">
        <v>43490</v>
      </c>
      <c r="F1663" s="1" t="s">
        <v>14</v>
      </c>
      <c r="G1663" s="1">
        <v>5</v>
      </c>
      <c r="H1663" t="str">
        <f t="shared" si="129"/>
        <v>Mini</v>
      </c>
      <c r="I1663" t="str">
        <f t="shared" si="125"/>
        <v>Mini</v>
      </c>
      <c r="J1663" s="1">
        <v>114.93</v>
      </c>
      <c r="K1663">
        <f t="shared" si="126"/>
        <v>0</v>
      </c>
      <c r="L1663">
        <f t="shared" si="127"/>
        <v>114.93</v>
      </c>
      <c r="M1663" s="1">
        <f t="shared" si="128"/>
        <v>114.93</v>
      </c>
      <c r="N1663" s="1" t="s">
        <v>10</v>
      </c>
      <c r="O1663" s="1">
        <v>6.3</v>
      </c>
    </row>
    <row r="1664" spans="4:15" x14ac:dyDescent="0.3">
      <c r="D1664" s="1">
        <v>21344</v>
      </c>
      <c r="E1664" s="2">
        <v>43808</v>
      </c>
      <c r="F1664" s="1" t="s">
        <v>7</v>
      </c>
      <c r="G1664" s="1">
        <v>48</v>
      </c>
      <c r="H1664" t="str">
        <f t="shared" si="129"/>
        <v>XXX Large</v>
      </c>
      <c r="I1664" t="str">
        <f t="shared" si="125"/>
        <v>XXX Large</v>
      </c>
      <c r="J1664" s="1">
        <v>2152.2600000000002</v>
      </c>
      <c r="K1664">
        <f t="shared" si="126"/>
        <v>0.01</v>
      </c>
      <c r="L1664">
        <f t="shared" si="127"/>
        <v>2130.7374</v>
      </c>
      <c r="M1664" s="1">
        <f t="shared" si="128"/>
        <v>2142.96</v>
      </c>
      <c r="N1664" s="1" t="s">
        <v>10</v>
      </c>
      <c r="O1664" s="1">
        <v>9.3000000000000007</v>
      </c>
    </row>
    <row r="1665" spans="4:15" x14ac:dyDescent="0.3">
      <c r="D1665" s="1">
        <v>30469</v>
      </c>
      <c r="E1665" s="2">
        <v>43824</v>
      </c>
      <c r="F1665" s="1" t="s">
        <v>11</v>
      </c>
      <c r="G1665" s="1">
        <v>46</v>
      </c>
      <c r="H1665" t="str">
        <f t="shared" si="129"/>
        <v>XXX Large</v>
      </c>
      <c r="I1665" t="str">
        <f t="shared" si="125"/>
        <v>XXX Large</v>
      </c>
      <c r="J1665" s="1">
        <v>325.5582</v>
      </c>
      <c r="K1665">
        <f t="shared" si="126"/>
        <v>0.01</v>
      </c>
      <c r="L1665">
        <f t="shared" si="127"/>
        <v>322.302618</v>
      </c>
      <c r="M1665" s="1">
        <f t="shared" si="128"/>
        <v>323.0582</v>
      </c>
      <c r="N1665" s="1" t="s">
        <v>10</v>
      </c>
      <c r="O1665" s="1">
        <v>2.5</v>
      </c>
    </row>
    <row r="1666" spans="4:15" x14ac:dyDescent="0.3">
      <c r="D1666" s="1">
        <v>27265</v>
      </c>
      <c r="E1666" s="2">
        <v>43591</v>
      </c>
      <c r="F1666" s="1" t="s">
        <v>12</v>
      </c>
      <c r="G1666" s="1">
        <v>36</v>
      </c>
      <c r="H1666" t="str">
        <f t="shared" si="129"/>
        <v>Extra Large</v>
      </c>
      <c r="I1666" t="str">
        <f t="shared" si="125"/>
        <v>Extra Large</v>
      </c>
      <c r="J1666" s="1">
        <v>5978.3</v>
      </c>
      <c r="K1666">
        <f t="shared" si="126"/>
        <v>0.01</v>
      </c>
      <c r="L1666">
        <f t="shared" si="127"/>
        <v>5918.5169999999998</v>
      </c>
      <c r="M1666" s="1">
        <f t="shared" si="128"/>
        <v>5956.9000000000005</v>
      </c>
      <c r="N1666" s="1" t="s">
        <v>8</v>
      </c>
      <c r="O1666" s="1">
        <v>21.4</v>
      </c>
    </row>
    <row r="1667" spans="4:15" x14ac:dyDescent="0.3">
      <c r="D1667" s="1">
        <v>612</v>
      </c>
      <c r="E1667" s="2">
        <v>43758</v>
      </c>
      <c r="F1667" s="1" t="s">
        <v>14</v>
      </c>
      <c r="G1667" s="1">
        <v>43</v>
      </c>
      <c r="H1667" t="str">
        <f t="shared" si="129"/>
        <v>XX Large</v>
      </c>
      <c r="I1667" t="str">
        <f t="shared" ref="I1667:I1730" si="130">VLOOKUP(G1667, $A$3:$B$12, 2, TRUE)</f>
        <v>XX Large</v>
      </c>
      <c r="J1667" s="1">
        <v>2708.26</v>
      </c>
      <c r="K1667">
        <f t="shared" ref="K1667:K1730" si="131">IF(OR(I1667="Extra Large", I1667="XX Large", I1667="XXX Large"), 0.01, 0)</f>
        <v>0.01</v>
      </c>
      <c r="L1667">
        <f t="shared" ref="L1667:L1730" si="132">J1667 * (1 - K1667)</f>
        <v>2681.1774</v>
      </c>
      <c r="M1667" s="1">
        <f t="shared" ref="M1667:M1730" si="133">IF(OR(I1667="Extra Large",I1667="XX Large",I1667="XXX Large"),J1667-O1667,J1667)</f>
        <v>2705.5600000000004</v>
      </c>
      <c r="N1667" s="1" t="s">
        <v>10</v>
      </c>
      <c r="O1667" s="1">
        <v>2.7</v>
      </c>
    </row>
    <row r="1668" spans="4:15" x14ac:dyDescent="0.3">
      <c r="D1668" s="1">
        <v>8801</v>
      </c>
      <c r="E1668" s="2">
        <v>43687</v>
      </c>
      <c r="F1668" s="1" t="s">
        <v>7</v>
      </c>
      <c r="G1668" s="1">
        <v>32</v>
      </c>
      <c r="H1668" t="str">
        <f t="shared" si="129"/>
        <v>Large</v>
      </c>
      <c r="I1668" t="str">
        <f t="shared" si="130"/>
        <v>Large</v>
      </c>
      <c r="J1668" s="1">
        <v>2774.5956000000001</v>
      </c>
      <c r="K1668">
        <f t="shared" si="131"/>
        <v>0</v>
      </c>
      <c r="L1668">
        <f t="shared" si="132"/>
        <v>2774.5956000000001</v>
      </c>
      <c r="M1668" s="1">
        <f t="shared" si="133"/>
        <v>2774.5956000000001</v>
      </c>
      <c r="N1668" s="1" t="s">
        <v>8</v>
      </c>
      <c r="O1668" s="1">
        <v>51.6</v>
      </c>
    </row>
    <row r="1669" spans="4:15" x14ac:dyDescent="0.3">
      <c r="D1669" s="1">
        <v>50308</v>
      </c>
      <c r="E1669" s="2">
        <v>43756</v>
      </c>
      <c r="F1669" s="1" t="s">
        <v>7</v>
      </c>
      <c r="G1669" s="1">
        <v>19</v>
      </c>
      <c r="H1669" t="str">
        <f t="shared" ref="H1669:H1732" si="134">VLOOKUP(G1669, $A$3:$B$12, 2, TRUE)</f>
        <v>Small-Medium</v>
      </c>
      <c r="I1669" t="str">
        <f t="shared" si="130"/>
        <v>Small-Medium</v>
      </c>
      <c r="J1669" s="1">
        <v>92.53</v>
      </c>
      <c r="K1669">
        <f t="shared" si="131"/>
        <v>0</v>
      </c>
      <c r="L1669">
        <f t="shared" si="132"/>
        <v>92.53</v>
      </c>
      <c r="M1669" s="1">
        <f t="shared" si="133"/>
        <v>92.53</v>
      </c>
      <c r="N1669" s="1" t="s">
        <v>10</v>
      </c>
      <c r="O1669" s="1">
        <v>0.5</v>
      </c>
    </row>
    <row r="1670" spans="4:15" x14ac:dyDescent="0.3">
      <c r="D1670" s="1">
        <v>26853</v>
      </c>
      <c r="E1670" s="2">
        <v>43628</v>
      </c>
      <c r="F1670" s="1" t="s">
        <v>7</v>
      </c>
      <c r="G1670" s="1">
        <v>21</v>
      </c>
      <c r="H1670" t="str">
        <f t="shared" si="134"/>
        <v>Medium</v>
      </c>
      <c r="I1670" t="str">
        <f t="shared" si="130"/>
        <v>Medium</v>
      </c>
      <c r="J1670" s="1">
        <v>68.95</v>
      </c>
      <c r="K1670">
        <f t="shared" si="131"/>
        <v>0</v>
      </c>
      <c r="L1670">
        <f t="shared" si="132"/>
        <v>68.95</v>
      </c>
      <c r="M1670" s="1">
        <f t="shared" si="133"/>
        <v>68.95</v>
      </c>
      <c r="N1670" s="1" t="s">
        <v>10</v>
      </c>
      <c r="O1670" s="1">
        <v>6.8</v>
      </c>
    </row>
    <row r="1671" spans="4:15" x14ac:dyDescent="0.3">
      <c r="D1671" s="1">
        <v>17543</v>
      </c>
      <c r="E1671" s="2">
        <v>43610</v>
      </c>
      <c r="F1671" s="1" t="s">
        <v>12</v>
      </c>
      <c r="G1671" s="1">
        <v>35</v>
      </c>
      <c r="H1671" t="str">
        <f t="shared" si="134"/>
        <v>Large</v>
      </c>
      <c r="I1671" t="str">
        <f t="shared" si="130"/>
        <v>Large</v>
      </c>
      <c r="J1671" s="1">
        <v>1114.6600000000001</v>
      </c>
      <c r="K1671">
        <f t="shared" si="131"/>
        <v>0</v>
      </c>
      <c r="L1671">
        <f t="shared" si="132"/>
        <v>1114.6600000000001</v>
      </c>
      <c r="M1671" s="1">
        <f t="shared" si="133"/>
        <v>1114.6600000000001</v>
      </c>
      <c r="N1671" s="1" t="s">
        <v>10</v>
      </c>
      <c r="O1671" s="1">
        <v>18.3</v>
      </c>
    </row>
    <row r="1672" spans="4:15" x14ac:dyDescent="0.3">
      <c r="D1672" s="1">
        <v>55458</v>
      </c>
      <c r="E1672" s="2">
        <v>43540</v>
      </c>
      <c r="F1672" s="1" t="s">
        <v>9</v>
      </c>
      <c r="G1672" s="1">
        <v>32</v>
      </c>
      <c r="H1672" t="str">
        <f t="shared" si="134"/>
        <v>Large</v>
      </c>
      <c r="I1672" t="str">
        <f t="shared" si="130"/>
        <v>Large</v>
      </c>
      <c r="J1672" s="1">
        <v>123.88</v>
      </c>
      <c r="K1672">
        <f t="shared" si="131"/>
        <v>0</v>
      </c>
      <c r="L1672">
        <f t="shared" si="132"/>
        <v>123.88</v>
      </c>
      <c r="M1672" s="1">
        <f t="shared" si="133"/>
        <v>123.88</v>
      </c>
      <c r="N1672" s="1" t="s">
        <v>10</v>
      </c>
      <c r="O1672" s="1">
        <v>7.3</v>
      </c>
    </row>
    <row r="1673" spans="4:15" x14ac:dyDescent="0.3">
      <c r="D1673" s="1">
        <v>11782</v>
      </c>
      <c r="E1673" s="2">
        <v>43674</v>
      </c>
      <c r="F1673" s="1" t="s">
        <v>7</v>
      </c>
      <c r="G1673" s="1">
        <v>27</v>
      </c>
      <c r="H1673" t="str">
        <f t="shared" si="134"/>
        <v>Medium-Large</v>
      </c>
      <c r="I1673" t="str">
        <f t="shared" si="130"/>
        <v>Medium-Large</v>
      </c>
      <c r="J1673" s="1">
        <v>1649.71</v>
      </c>
      <c r="K1673">
        <f t="shared" si="131"/>
        <v>0</v>
      </c>
      <c r="L1673">
        <f t="shared" si="132"/>
        <v>1649.71</v>
      </c>
      <c r="M1673" s="1">
        <f t="shared" si="133"/>
        <v>1649.71</v>
      </c>
      <c r="N1673" s="1" t="s">
        <v>10</v>
      </c>
      <c r="O1673" s="1">
        <v>15</v>
      </c>
    </row>
    <row r="1674" spans="4:15" x14ac:dyDescent="0.3">
      <c r="D1674" s="1">
        <v>17152</v>
      </c>
      <c r="E1674" s="2">
        <v>43536</v>
      </c>
      <c r="F1674" s="1" t="s">
        <v>9</v>
      </c>
      <c r="G1674" s="1">
        <v>32</v>
      </c>
      <c r="H1674" t="str">
        <f t="shared" si="134"/>
        <v>Large</v>
      </c>
      <c r="I1674" t="str">
        <f t="shared" si="130"/>
        <v>Large</v>
      </c>
      <c r="J1674" s="1">
        <v>253</v>
      </c>
      <c r="K1674">
        <f t="shared" si="131"/>
        <v>0</v>
      </c>
      <c r="L1674">
        <f t="shared" si="132"/>
        <v>253</v>
      </c>
      <c r="M1674" s="1">
        <f t="shared" si="133"/>
        <v>253</v>
      </c>
      <c r="N1674" s="1" t="s">
        <v>10</v>
      </c>
      <c r="O1674" s="1">
        <v>10.4</v>
      </c>
    </row>
    <row r="1675" spans="4:15" x14ac:dyDescent="0.3">
      <c r="D1675" s="1">
        <v>29536</v>
      </c>
      <c r="E1675" s="2">
        <v>43715</v>
      </c>
      <c r="F1675" s="1" t="s">
        <v>14</v>
      </c>
      <c r="G1675" s="1">
        <v>11</v>
      </c>
      <c r="H1675" t="str">
        <f t="shared" si="134"/>
        <v>Small</v>
      </c>
      <c r="I1675" t="str">
        <f t="shared" si="130"/>
        <v>Small</v>
      </c>
      <c r="J1675" s="1">
        <v>2657.38</v>
      </c>
      <c r="K1675">
        <f t="shared" si="131"/>
        <v>0</v>
      </c>
      <c r="L1675">
        <f t="shared" si="132"/>
        <v>2657.38</v>
      </c>
      <c r="M1675" s="1">
        <f t="shared" si="133"/>
        <v>2657.38</v>
      </c>
      <c r="N1675" s="1" t="s">
        <v>13</v>
      </c>
      <c r="O1675" s="1">
        <v>69.2</v>
      </c>
    </row>
    <row r="1676" spans="4:15" x14ac:dyDescent="0.3">
      <c r="D1676" s="1">
        <v>31523</v>
      </c>
      <c r="E1676" s="2">
        <v>43532</v>
      </c>
      <c r="F1676" s="1" t="s">
        <v>7</v>
      </c>
      <c r="G1676" s="1">
        <v>19</v>
      </c>
      <c r="H1676" t="str">
        <f t="shared" si="134"/>
        <v>Small-Medium</v>
      </c>
      <c r="I1676" t="str">
        <f t="shared" si="130"/>
        <v>Small-Medium</v>
      </c>
      <c r="J1676" s="1">
        <v>191.88310000000001</v>
      </c>
      <c r="K1676">
        <f t="shared" si="131"/>
        <v>0</v>
      </c>
      <c r="L1676">
        <f t="shared" si="132"/>
        <v>191.88310000000001</v>
      </c>
      <c r="M1676" s="1">
        <f t="shared" si="133"/>
        <v>191.88310000000001</v>
      </c>
      <c r="N1676" s="1" t="s">
        <v>10</v>
      </c>
      <c r="O1676" s="1">
        <v>8.9</v>
      </c>
    </row>
    <row r="1677" spans="4:15" x14ac:dyDescent="0.3">
      <c r="D1677" s="1">
        <v>14372</v>
      </c>
      <c r="E1677" s="2">
        <v>43761</v>
      </c>
      <c r="F1677" s="1" t="s">
        <v>12</v>
      </c>
      <c r="G1677" s="1">
        <v>34</v>
      </c>
      <c r="H1677" t="str">
        <f t="shared" si="134"/>
        <v>Large</v>
      </c>
      <c r="I1677" t="str">
        <f t="shared" si="130"/>
        <v>Large</v>
      </c>
      <c r="J1677" s="1">
        <v>5725.15</v>
      </c>
      <c r="K1677">
        <f t="shared" si="131"/>
        <v>0</v>
      </c>
      <c r="L1677">
        <f t="shared" si="132"/>
        <v>5725.15</v>
      </c>
      <c r="M1677" s="1">
        <f t="shared" si="133"/>
        <v>5725.15</v>
      </c>
      <c r="N1677" s="1" t="s">
        <v>13</v>
      </c>
      <c r="O1677" s="1">
        <v>64.7</v>
      </c>
    </row>
    <row r="1678" spans="4:15" x14ac:dyDescent="0.3">
      <c r="D1678" s="1">
        <v>34148</v>
      </c>
      <c r="E1678" s="2">
        <v>43698</v>
      </c>
      <c r="F1678" s="1" t="s">
        <v>12</v>
      </c>
      <c r="G1678" s="1">
        <v>33</v>
      </c>
      <c r="H1678" t="str">
        <f t="shared" si="134"/>
        <v>Large</v>
      </c>
      <c r="I1678" t="str">
        <f t="shared" si="130"/>
        <v>Large</v>
      </c>
      <c r="J1678" s="1">
        <v>146.37</v>
      </c>
      <c r="K1678">
        <f t="shared" si="131"/>
        <v>0</v>
      </c>
      <c r="L1678">
        <f t="shared" si="132"/>
        <v>146.37</v>
      </c>
      <c r="M1678" s="1">
        <f t="shared" si="133"/>
        <v>146.37</v>
      </c>
      <c r="N1678" s="1" t="s">
        <v>10</v>
      </c>
      <c r="O1678" s="1">
        <v>1.1000000000000001</v>
      </c>
    </row>
    <row r="1679" spans="4:15" x14ac:dyDescent="0.3">
      <c r="D1679" s="1">
        <v>13346</v>
      </c>
      <c r="E1679" s="2">
        <v>43784</v>
      </c>
      <c r="F1679" s="1" t="s">
        <v>7</v>
      </c>
      <c r="G1679" s="1">
        <v>44</v>
      </c>
      <c r="H1679" t="str">
        <f t="shared" si="134"/>
        <v>XX Large</v>
      </c>
      <c r="I1679" t="str">
        <f t="shared" si="130"/>
        <v>XX Large</v>
      </c>
      <c r="J1679" s="1">
        <v>287.12</v>
      </c>
      <c r="K1679">
        <f t="shared" si="131"/>
        <v>0.01</v>
      </c>
      <c r="L1679">
        <f t="shared" si="132"/>
        <v>284.24880000000002</v>
      </c>
      <c r="M1679" s="1">
        <f t="shared" si="133"/>
        <v>277.62</v>
      </c>
      <c r="N1679" s="1" t="s">
        <v>10</v>
      </c>
      <c r="O1679" s="1">
        <v>9.5</v>
      </c>
    </row>
    <row r="1680" spans="4:15" x14ac:dyDescent="0.3">
      <c r="D1680" s="1">
        <v>18851</v>
      </c>
      <c r="E1680" s="2">
        <v>43815</v>
      </c>
      <c r="F1680" s="1" t="s">
        <v>12</v>
      </c>
      <c r="G1680" s="1">
        <v>32</v>
      </c>
      <c r="H1680" t="str">
        <f t="shared" si="134"/>
        <v>Large</v>
      </c>
      <c r="I1680" t="str">
        <f t="shared" si="130"/>
        <v>Large</v>
      </c>
      <c r="J1680" s="1">
        <v>218.5</v>
      </c>
      <c r="K1680">
        <f t="shared" si="131"/>
        <v>0</v>
      </c>
      <c r="L1680">
        <f t="shared" si="132"/>
        <v>218.5</v>
      </c>
      <c r="M1680" s="1">
        <f t="shared" si="133"/>
        <v>218.5</v>
      </c>
      <c r="N1680" s="1" t="s">
        <v>8</v>
      </c>
      <c r="O1680" s="1">
        <v>11.1</v>
      </c>
    </row>
    <row r="1681" spans="4:15" x14ac:dyDescent="0.3">
      <c r="D1681" s="1">
        <v>15616</v>
      </c>
      <c r="E1681" s="2">
        <v>43547</v>
      </c>
      <c r="F1681" s="1" t="s">
        <v>12</v>
      </c>
      <c r="G1681" s="1">
        <v>12</v>
      </c>
      <c r="H1681" t="str">
        <f t="shared" si="134"/>
        <v>Small</v>
      </c>
      <c r="I1681" t="str">
        <f t="shared" si="130"/>
        <v>Small</v>
      </c>
      <c r="J1681" s="1">
        <v>413.78</v>
      </c>
      <c r="K1681">
        <f t="shared" si="131"/>
        <v>0</v>
      </c>
      <c r="L1681">
        <f t="shared" si="132"/>
        <v>413.78</v>
      </c>
      <c r="M1681" s="1">
        <f t="shared" si="133"/>
        <v>413.78</v>
      </c>
      <c r="N1681" s="1" t="s">
        <v>8</v>
      </c>
      <c r="O1681" s="1">
        <v>7</v>
      </c>
    </row>
    <row r="1682" spans="4:15" x14ac:dyDescent="0.3">
      <c r="D1682" s="1">
        <v>15782</v>
      </c>
      <c r="E1682" s="2">
        <v>43554</v>
      </c>
      <c r="F1682" s="1" t="s">
        <v>9</v>
      </c>
      <c r="G1682" s="1">
        <v>35</v>
      </c>
      <c r="H1682" t="str">
        <f t="shared" si="134"/>
        <v>Large</v>
      </c>
      <c r="I1682" t="str">
        <f t="shared" si="130"/>
        <v>Large</v>
      </c>
      <c r="J1682" s="1">
        <v>2503.4148</v>
      </c>
      <c r="K1682">
        <f t="shared" si="131"/>
        <v>0</v>
      </c>
      <c r="L1682">
        <f t="shared" si="132"/>
        <v>2503.4148</v>
      </c>
      <c r="M1682" s="1">
        <f t="shared" si="133"/>
        <v>2503.4148</v>
      </c>
      <c r="N1682" s="1" t="s">
        <v>10</v>
      </c>
      <c r="O1682" s="1">
        <v>73.8</v>
      </c>
    </row>
    <row r="1683" spans="4:15" x14ac:dyDescent="0.3">
      <c r="D1683" s="1">
        <v>32067</v>
      </c>
      <c r="E1683" s="2">
        <v>43536</v>
      </c>
      <c r="F1683" s="1" t="s">
        <v>9</v>
      </c>
      <c r="G1683" s="1">
        <v>27</v>
      </c>
      <c r="H1683" t="str">
        <f t="shared" si="134"/>
        <v>Medium-Large</v>
      </c>
      <c r="I1683" t="str">
        <f t="shared" si="130"/>
        <v>Medium-Large</v>
      </c>
      <c r="J1683" s="1">
        <v>3053.66</v>
      </c>
      <c r="K1683">
        <f t="shared" si="131"/>
        <v>0</v>
      </c>
      <c r="L1683">
        <f t="shared" si="132"/>
        <v>3053.66</v>
      </c>
      <c r="M1683" s="1">
        <f t="shared" si="133"/>
        <v>3053.66</v>
      </c>
      <c r="N1683" s="1" t="s">
        <v>10</v>
      </c>
      <c r="O1683" s="1">
        <v>8.1999999999999993</v>
      </c>
    </row>
    <row r="1684" spans="4:15" x14ac:dyDescent="0.3">
      <c r="D1684" s="1">
        <v>18373</v>
      </c>
      <c r="E1684" s="2">
        <v>43567</v>
      </c>
      <c r="F1684" s="1" t="s">
        <v>12</v>
      </c>
      <c r="G1684" s="1">
        <v>35</v>
      </c>
      <c r="H1684" t="str">
        <f t="shared" si="134"/>
        <v>Large</v>
      </c>
      <c r="I1684" t="str">
        <f t="shared" si="130"/>
        <v>Large</v>
      </c>
      <c r="J1684" s="1">
        <v>7070.82</v>
      </c>
      <c r="K1684">
        <f t="shared" si="131"/>
        <v>0</v>
      </c>
      <c r="L1684">
        <f t="shared" si="132"/>
        <v>7070.82</v>
      </c>
      <c r="M1684" s="1">
        <f t="shared" si="133"/>
        <v>7070.82</v>
      </c>
      <c r="N1684" s="1" t="s">
        <v>10</v>
      </c>
      <c r="O1684" s="1">
        <v>1.1000000000000001</v>
      </c>
    </row>
    <row r="1685" spans="4:15" x14ac:dyDescent="0.3">
      <c r="D1685" s="1">
        <v>57058</v>
      </c>
      <c r="E1685" s="2">
        <v>43594</v>
      </c>
      <c r="F1685" s="1" t="s">
        <v>14</v>
      </c>
      <c r="G1685" s="1">
        <v>27</v>
      </c>
      <c r="H1685" t="str">
        <f t="shared" si="134"/>
        <v>Medium-Large</v>
      </c>
      <c r="I1685" t="str">
        <f t="shared" si="130"/>
        <v>Medium-Large</v>
      </c>
      <c r="J1685" s="1">
        <v>1047.5899999999999</v>
      </c>
      <c r="K1685">
        <f t="shared" si="131"/>
        <v>0</v>
      </c>
      <c r="L1685">
        <f t="shared" si="132"/>
        <v>1047.5899999999999</v>
      </c>
      <c r="M1685" s="1">
        <f t="shared" si="133"/>
        <v>1047.5899999999999</v>
      </c>
      <c r="N1685" s="1" t="s">
        <v>10</v>
      </c>
      <c r="O1685" s="1">
        <v>9.6999999999999993</v>
      </c>
    </row>
    <row r="1686" spans="4:15" x14ac:dyDescent="0.3">
      <c r="D1686" s="1">
        <v>24613</v>
      </c>
      <c r="E1686" s="2">
        <v>43662</v>
      </c>
      <c r="F1686" s="1" t="s">
        <v>7</v>
      </c>
      <c r="G1686" s="1">
        <v>36</v>
      </c>
      <c r="H1686" t="str">
        <f t="shared" si="134"/>
        <v>Extra Large</v>
      </c>
      <c r="I1686" t="str">
        <f t="shared" si="130"/>
        <v>Extra Large</v>
      </c>
      <c r="J1686" s="1">
        <v>264.07</v>
      </c>
      <c r="K1686">
        <f t="shared" si="131"/>
        <v>0.01</v>
      </c>
      <c r="L1686">
        <f t="shared" si="132"/>
        <v>261.42930000000001</v>
      </c>
      <c r="M1686" s="1">
        <f t="shared" si="133"/>
        <v>256.96999999999997</v>
      </c>
      <c r="N1686" s="1" t="s">
        <v>10</v>
      </c>
      <c r="O1686" s="1">
        <v>7.1</v>
      </c>
    </row>
    <row r="1687" spans="4:15" x14ac:dyDescent="0.3">
      <c r="D1687" s="1">
        <v>19617</v>
      </c>
      <c r="E1687" s="2">
        <v>43484</v>
      </c>
      <c r="F1687" s="1" t="s">
        <v>7</v>
      </c>
      <c r="G1687" s="1">
        <v>3</v>
      </c>
      <c r="H1687" t="str">
        <f t="shared" si="134"/>
        <v>Mini</v>
      </c>
      <c r="I1687" t="str">
        <f t="shared" si="130"/>
        <v>Mini</v>
      </c>
      <c r="J1687" s="1">
        <v>184.0009</v>
      </c>
      <c r="K1687">
        <f t="shared" si="131"/>
        <v>0</v>
      </c>
      <c r="L1687">
        <f t="shared" si="132"/>
        <v>184.0009</v>
      </c>
      <c r="M1687" s="1">
        <f t="shared" si="133"/>
        <v>184.0009</v>
      </c>
      <c r="N1687" s="1" t="s">
        <v>10</v>
      </c>
      <c r="O1687" s="1">
        <v>9.6</v>
      </c>
    </row>
    <row r="1688" spans="4:15" x14ac:dyDescent="0.3">
      <c r="D1688" s="1">
        <v>40289</v>
      </c>
      <c r="E1688" s="2">
        <v>43795</v>
      </c>
      <c r="F1688" s="1" t="s">
        <v>11</v>
      </c>
      <c r="G1688" s="1">
        <v>26</v>
      </c>
      <c r="H1688" t="str">
        <f t="shared" si="134"/>
        <v>Medium-Large</v>
      </c>
      <c r="I1688" t="str">
        <f t="shared" si="130"/>
        <v>Medium-Large</v>
      </c>
      <c r="J1688" s="1">
        <v>83.56</v>
      </c>
      <c r="K1688">
        <f t="shared" si="131"/>
        <v>0</v>
      </c>
      <c r="L1688">
        <f t="shared" si="132"/>
        <v>83.56</v>
      </c>
      <c r="M1688" s="1">
        <f t="shared" si="133"/>
        <v>83.56</v>
      </c>
      <c r="N1688" s="1" t="s">
        <v>10</v>
      </c>
      <c r="O1688" s="1">
        <v>1.1000000000000001</v>
      </c>
    </row>
    <row r="1689" spans="4:15" x14ac:dyDescent="0.3">
      <c r="D1689" s="1">
        <v>38817</v>
      </c>
      <c r="E1689" s="2">
        <v>43605</v>
      </c>
      <c r="F1689" s="1" t="s">
        <v>11</v>
      </c>
      <c r="G1689" s="1">
        <v>1</v>
      </c>
      <c r="H1689" t="str">
        <f t="shared" si="134"/>
        <v>Mini</v>
      </c>
      <c r="I1689" t="str">
        <f t="shared" si="130"/>
        <v>Mini</v>
      </c>
      <c r="J1689" s="1">
        <v>10.38</v>
      </c>
      <c r="K1689">
        <f t="shared" si="131"/>
        <v>0</v>
      </c>
      <c r="L1689">
        <f t="shared" si="132"/>
        <v>10.38</v>
      </c>
      <c r="M1689" s="1">
        <f t="shared" si="133"/>
        <v>10.38</v>
      </c>
      <c r="N1689" s="1" t="s">
        <v>10</v>
      </c>
      <c r="O1689" s="1">
        <v>4.9000000000000004</v>
      </c>
    </row>
    <row r="1690" spans="4:15" x14ac:dyDescent="0.3">
      <c r="D1690" s="1">
        <v>11808</v>
      </c>
      <c r="E1690" s="2">
        <v>43677</v>
      </c>
      <c r="F1690" s="1" t="s">
        <v>11</v>
      </c>
      <c r="G1690" s="1">
        <v>1</v>
      </c>
      <c r="H1690" t="str">
        <f t="shared" si="134"/>
        <v>Mini</v>
      </c>
      <c r="I1690" t="str">
        <f t="shared" si="130"/>
        <v>Mini</v>
      </c>
      <c r="J1690" s="1">
        <v>158.72999999999999</v>
      </c>
      <c r="K1690">
        <f t="shared" si="131"/>
        <v>0</v>
      </c>
      <c r="L1690">
        <f t="shared" si="132"/>
        <v>158.72999999999999</v>
      </c>
      <c r="M1690" s="1">
        <f t="shared" si="133"/>
        <v>158.72999999999999</v>
      </c>
      <c r="N1690" s="1" t="s">
        <v>13</v>
      </c>
      <c r="O1690" s="1">
        <v>42</v>
      </c>
    </row>
    <row r="1691" spans="4:15" x14ac:dyDescent="0.3">
      <c r="D1691" s="1">
        <v>2023</v>
      </c>
      <c r="E1691" s="2">
        <v>43590</v>
      </c>
      <c r="F1691" s="1" t="s">
        <v>7</v>
      </c>
      <c r="G1691" s="1">
        <v>50</v>
      </c>
      <c r="H1691" t="str">
        <f t="shared" si="134"/>
        <v>XXX Large</v>
      </c>
      <c r="I1691" t="str">
        <f t="shared" si="130"/>
        <v>XXX Large</v>
      </c>
      <c r="J1691" s="1">
        <v>263.82990000000001</v>
      </c>
      <c r="K1691">
        <f t="shared" si="131"/>
        <v>0.01</v>
      </c>
      <c r="L1691">
        <f t="shared" si="132"/>
        <v>261.19160099999999</v>
      </c>
      <c r="M1691" s="1">
        <f t="shared" si="133"/>
        <v>257.92990000000003</v>
      </c>
      <c r="N1691" s="1" t="s">
        <v>10</v>
      </c>
      <c r="O1691" s="1">
        <v>5.9</v>
      </c>
    </row>
    <row r="1692" spans="4:15" x14ac:dyDescent="0.3">
      <c r="D1692" s="1">
        <v>12551</v>
      </c>
      <c r="E1692" s="2">
        <v>43627</v>
      </c>
      <c r="F1692" s="1" t="s">
        <v>7</v>
      </c>
      <c r="G1692" s="1">
        <v>46</v>
      </c>
      <c r="H1692" t="str">
        <f t="shared" si="134"/>
        <v>XXX Large</v>
      </c>
      <c r="I1692" t="str">
        <f t="shared" si="130"/>
        <v>XXX Large</v>
      </c>
      <c r="J1692" s="1">
        <v>5374.8811999999998</v>
      </c>
      <c r="K1692">
        <f t="shared" si="131"/>
        <v>0.01</v>
      </c>
      <c r="L1692">
        <f t="shared" si="132"/>
        <v>5321.132388</v>
      </c>
      <c r="M1692" s="1">
        <f t="shared" si="133"/>
        <v>5369.2811999999994</v>
      </c>
      <c r="N1692" s="1" t="s">
        <v>10</v>
      </c>
      <c r="O1692" s="1">
        <v>5.6</v>
      </c>
    </row>
    <row r="1693" spans="4:15" x14ac:dyDescent="0.3">
      <c r="D1693" s="1">
        <v>51175</v>
      </c>
      <c r="E1693" s="2">
        <v>43691</v>
      </c>
      <c r="F1693" s="1" t="s">
        <v>9</v>
      </c>
      <c r="G1693" s="1">
        <v>3</v>
      </c>
      <c r="H1693" t="str">
        <f t="shared" si="134"/>
        <v>Mini</v>
      </c>
      <c r="I1693" t="str">
        <f t="shared" si="130"/>
        <v>Mini</v>
      </c>
      <c r="J1693" s="1">
        <v>2286.52</v>
      </c>
      <c r="K1693">
        <f t="shared" si="131"/>
        <v>0</v>
      </c>
      <c r="L1693">
        <f t="shared" si="132"/>
        <v>2286.52</v>
      </c>
      <c r="M1693" s="1">
        <f t="shared" si="133"/>
        <v>2286.52</v>
      </c>
      <c r="N1693" s="1" t="s">
        <v>10</v>
      </c>
      <c r="O1693" s="1">
        <v>26.2</v>
      </c>
    </row>
    <row r="1694" spans="4:15" x14ac:dyDescent="0.3">
      <c r="D1694" s="1">
        <v>38912</v>
      </c>
      <c r="E1694" s="2">
        <v>43766</v>
      </c>
      <c r="F1694" s="1" t="s">
        <v>7</v>
      </c>
      <c r="G1694" s="1">
        <v>46</v>
      </c>
      <c r="H1694" t="str">
        <f t="shared" si="134"/>
        <v>XXX Large</v>
      </c>
      <c r="I1694" t="str">
        <f t="shared" si="130"/>
        <v>XXX Large</v>
      </c>
      <c r="J1694" s="1">
        <v>7430.02</v>
      </c>
      <c r="K1694">
        <f t="shared" si="131"/>
        <v>0.01</v>
      </c>
      <c r="L1694">
        <f t="shared" si="132"/>
        <v>7355.7198000000008</v>
      </c>
      <c r="M1694" s="1">
        <f t="shared" si="133"/>
        <v>7425.72</v>
      </c>
      <c r="N1694" s="1" t="s">
        <v>10</v>
      </c>
      <c r="O1694" s="1">
        <v>4.3</v>
      </c>
    </row>
    <row r="1695" spans="4:15" x14ac:dyDescent="0.3">
      <c r="D1695" s="1">
        <v>42246</v>
      </c>
      <c r="E1695" s="2">
        <v>43581</v>
      </c>
      <c r="F1695" s="1" t="s">
        <v>11</v>
      </c>
      <c r="G1695" s="1">
        <v>40</v>
      </c>
      <c r="H1695" t="str">
        <f t="shared" si="134"/>
        <v>Extra Large</v>
      </c>
      <c r="I1695" t="str">
        <f t="shared" si="130"/>
        <v>Extra Large</v>
      </c>
      <c r="J1695" s="1">
        <v>3274.6</v>
      </c>
      <c r="K1695">
        <f t="shared" si="131"/>
        <v>0.01</v>
      </c>
      <c r="L1695">
        <f t="shared" si="132"/>
        <v>3241.8539999999998</v>
      </c>
      <c r="M1695" s="1">
        <f t="shared" si="133"/>
        <v>3270.2999999999997</v>
      </c>
      <c r="N1695" s="1" t="s">
        <v>10</v>
      </c>
      <c r="O1695" s="1">
        <v>4.3</v>
      </c>
    </row>
    <row r="1696" spans="4:15" x14ac:dyDescent="0.3">
      <c r="D1696" s="1">
        <v>44261</v>
      </c>
      <c r="E1696" s="2">
        <v>43547</v>
      </c>
      <c r="F1696" s="1" t="s">
        <v>9</v>
      </c>
      <c r="G1696" s="1">
        <v>31</v>
      </c>
      <c r="H1696" t="str">
        <f t="shared" si="134"/>
        <v>Large</v>
      </c>
      <c r="I1696" t="str">
        <f t="shared" si="130"/>
        <v>Large</v>
      </c>
      <c r="J1696" s="1">
        <v>13978.54</v>
      </c>
      <c r="K1696">
        <f t="shared" si="131"/>
        <v>0</v>
      </c>
      <c r="L1696">
        <f t="shared" si="132"/>
        <v>13978.54</v>
      </c>
      <c r="M1696" s="1">
        <f t="shared" si="133"/>
        <v>13978.54</v>
      </c>
      <c r="N1696" s="1" t="s">
        <v>8</v>
      </c>
      <c r="O1696" s="1">
        <v>21.4</v>
      </c>
    </row>
    <row r="1697" spans="4:15" x14ac:dyDescent="0.3">
      <c r="D1697" s="1">
        <v>31232</v>
      </c>
      <c r="E1697" s="2">
        <v>43706</v>
      </c>
      <c r="F1697" s="1" t="s">
        <v>9</v>
      </c>
      <c r="G1697" s="1">
        <v>9</v>
      </c>
      <c r="H1697" t="str">
        <f t="shared" si="134"/>
        <v>Extra Small</v>
      </c>
      <c r="I1697" t="str">
        <f t="shared" si="130"/>
        <v>Extra Small</v>
      </c>
      <c r="J1697" s="1">
        <v>2828.1705000000002</v>
      </c>
      <c r="K1697">
        <f t="shared" si="131"/>
        <v>0</v>
      </c>
      <c r="L1697">
        <f t="shared" si="132"/>
        <v>2828.1705000000002</v>
      </c>
      <c r="M1697" s="1">
        <f t="shared" si="133"/>
        <v>2828.1705000000002</v>
      </c>
      <c r="N1697" s="1" t="s">
        <v>13</v>
      </c>
      <c r="O1697" s="1">
        <v>66.099999999999994</v>
      </c>
    </row>
    <row r="1698" spans="4:15" x14ac:dyDescent="0.3">
      <c r="D1698" s="1">
        <v>25985</v>
      </c>
      <c r="E1698" s="2">
        <v>43710</v>
      </c>
      <c r="F1698" s="1" t="s">
        <v>7</v>
      </c>
      <c r="G1698" s="1">
        <v>50</v>
      </c>
      <c r="H1698" t="str">
        <f t="shared" si="134"/>
        <v>XXX Large</v>
      </c>
      <c r="I1698" t="str">
        <f t="shared" si="130"/>
        <v>XXX Large</v>
      </c>
      <c r="J1698" s="1">
        <v>246.77</v>
      </c>
      <c r="K1698">
        <f t="shared" si="131"/>
        <v>0.01</v>
      </c>
      <c r="L1698">
        <f t="shared" si="132"/>
        <v>244.3023</v>
      </c>
      <c r="M1698" s="1">
        <f t="shared" si="133"/>
        <v>243.47</v>
      </c>
      <c r="N1698" s="1" t="s">
        <v>10</v>
      </c>
      <c r="O1698" s="1">
        <v>3.3</v>
      </c>
    </row>
    <row r="1699" spans="4:15" x14ac:dyDescent="0.3">
      <c r="D1699" s="1">
        <v>26535</v>
      </c>
      <c r="E1699" s="2">
        <v>43544</v>
      </c>
      <c r="F1699" s="1" t="s">
        <v>11</v>
      </c>
      <c r="G1699" s="1">
        <v>33</v>
      </c>
      <c r="H1699" t="str">
        <f t="shared" si="134"/>
        <v>Large</v>
      </c>
      <c r="I1699" t="str">
        <f t="shared" si="130"/>
        <v>Large</v>
      </c>
      <c r="J1699" s="1">
        <v>151.62</v>
      </c>
      <c r="K1699">
        <f t="shared" si="131"/>
        <v>0</v>
      </c>
      <c r="L1699">
        <f t="shared" si="132"/>
        <v>151.62</v>
      </c>
      <c r="M1699" s="1">
        <f t="shared" si="133"/>
        <v>151.62</v>
      </c>
      <c r="N1699" s="1" t="s">
        <v>10</v>
      </c>
      <c r="O1699" s="1">
        <v>5.6</v>
      </c>
    </row>
    <row r="1700" spans="4:15" x14ac:dyDescent="0.3">
      <c r="D1700" s="1">
        <v>21792</v>
      </c>
      <c r="E1700" s="2">
        <v>43733</v>
      </c>
      <c r="F1700" s="1" t="s">
        <v>11</v>
      </c>
      <c r="G1700" s="1">
        <v>26</v>
      </c>
      <c r="H1700" t="str">
        <f t="shared" si="134"/>
        <v>Medium-Large</v>
      </c>
      <c r="I1700" t="str">
        <f t="shared" si="130"/>
        <v>Medium-Large</v>
      </c>
      <c r="J1700" s="1">
        <v>388.15320000000003</v>
      </c>
      <c r="K1700">
        <f t="shared" si="131"/>
        <v>0</v>
      </c>
      <c r="L1700">
        <f t="shared" si="132"/>
        <v>388.15320000000003</v>
      </c>
      <c r="M1700" s="1">
        <f t="shared" si="133"/>
        <v>388.15320000000003</v>
      </c>
      <c r="N1700" s="1" t="s">
        <v>10</v>
      </c>
      <c r="O1700" s="1">
        <v>6.9</v>
      </c>
    </row>
    <row r="1701" spans="4:15" x14ac:dyDescent="0.3">
      <c r="D1701" s="1">
        <v>12418</v>
      </c>
      <c r="E1701" s="2">
        <v>43513</v>
      </c>
      <c r="F1701" s="1" t="s">
        <v>11</v>
      </c>
      <c r="G1701" s="1">
        <v>38</v>
      </c>
      <c r="H1701" t="str">
        <f t="shared" si="134"/>
        <v>Extra Large</v>
      </c>
      <c r="I1701" t="str">
        <f t="shared" si="130"/>
        <v>Extra Large</v>
      </c>
      <c r="J1701" s="1">
        <v>319.94</v>
      </c>
      <c r="K1701">
        <f t="shared" si="131"/>
        <v>0.01</v>
      </c>
      <c r="L1701">
        <f t="shared" si="132"/>
        <v>316.74059999999997</v>
      </c>
      <c r="M1701" s="1">
        <f t="shared" si="133"/>
        <v>312.94</v>
      </c>
      <c r="N1701" s="1" t="s">
        <v>10</v>
      </c>
      <c r="O1701" s="1">
        <v>7</v>
      </c>
    </row>
    <row r="1702" spans="4:15" x14ac:dyDescent="0.3">
      <c r="D1702" s="1">
        <v>2052</v>
      </c>
      <c r="E1702" s="2">
        <v>43567</v>
      </c>
      <c r="F1702" s="1" t="s">
        <v>9</v>
      </c>
      <c r="G1702" s="1">
        <v>23</v>
      </c>
      <c r="H1702" t="str">
        <f t="shared" si="134"/>
        <v>Medium</v>
      </c>
      <c r="I1702" t="str">
        <f t="shared" si="130"/>
        <v>Medium</v>
      </c>
      <c r="J1702" s="1">
        <v>115.4851</v>
      </c>
      <c r="K1702">
        <f t="shared" si="131"/>
        <v>0</v>
      </c>
      <c r="L1702">
        <f t="shared" si="132"/>
        <v>115.4851</v>
      </c>
      <c r="M1702" s="1">
        <f t="shared" si="133"/>
        <v>115.4851</v>
      </c>
      <c r="N1702" s="1" t="s">
        <v>10</v>
      </c>
      <c r="O1702" s="1">
        <v>5.7</v>
      </c>
    </row>
    <row r="1703" spans="4:15" x14ac:dyDescent="0.3">
      <c r="D1703" s="1">
        <v>44679</v>
      </c>
      <c r="E1703" s="2">
        <v>43619</v>
      </c>
      <c r="F1703" s="1" t="s">
        <v>14</v>
      </c>
      <c r="G1703" s="1">
        <v>35</v>
      </c>
      <c r="H1703" t="str">
        <f t="shared" si="134"/>
        <v>Large</v>
      </c>
      <c r="I1703" t="str">
        <f t="shared" si="130"/>
        <v>Large</v>
      </c>
      <c r="J1703" s="1">
        <v>2144.52</v>
      </c>
      <c r="K1703">
        <f t="shared" si="131"/>
        <v>0</v>
      </c>
      <c r="L1703">
        <f t="shared" si="132"/>
        <v>2144.52</v>
      </c>
      <c r="M1703" s="1">
        <f t="shared" si="133"/>
        <v>2144.52</v>
      </c>
      <c r="N1703" s="1" t="s">
        <v>10</v>
      </c>
      <c r="O1703" s="1">
        <v>13.1</v>
      </c>
    </row>
    <row r="1704" spans="4:15" x14ac:dyDescent="0.3">
      <c r="D1704" s="1">
        <v>57894</v>
      </c>
      <c r="E1704" s="2">
        <v>43558</v>
      </c>
      <c r="F1704" s="1" t="s">
        <v>7</v>
      </c>
      <c r="G1704" s="1">
        <v>47</v>
      </c>
      <c r="H1704" t="str">
        <f t="shared" si="134"/>
        <v>XXX Large</v>
      </c>
      <c r="I1704" t="str">
        <f t="shared" si="130"/>
        <v>XXX Large</v>
      </c>
      <c r="J1704" s="1">
        <v>14318.75</v>
      </c>
      <c r="K1704">
        <f t="shared" si="131"/>
        <v>0.01</v>
      </c>
      <c r="L1704">
        <f t="shared" si="132"/>
        <v>14175.5625</v>
      </c>
      <c r="M1704" s="1">
        <f t="shared" si="133"/>
        <v>14290.35</v>
      </c>
      <c r="N1704" s="1" t="s">
        <v>13</v>
      </c>
      <c r="O1704" s="1">
        <v>28.4</v>
      </c>
    </row>
    <row r="1705" spans="4:15" x14ac:dyDescent="0.3">
      <c r="D1705" s="1">
        <v>50471</v>
      </c>
      <c r="E1705" s="2">
        <v>43467</v>
      </c>
      <c r="F1705" s="1" t="s">
        <v>7</v>
      </c>
      <c r="G1705" s="1">
        <v>25</v>
      </c>
      <c r="H1705" t="str">
        <f t="shared" si="134"/>
        <v>Medium</v>
      </c>
      <c r="I1705" t="str">
        <f t="shared" si="130"/>
        <v>Medium</v>
      </c>
      <c r="J1705" s="1">
        <v>6269.4</v>
      </c>
      <c r="K1705">
        <f t="shared" si="131"/>
        <v>0</v>
      </c>
      <c r="L1705">
        <f t="shared" si="132"/>
        <v>6269.4</v>
      </c>
      <c r="M1705" s="1">
        <f t="shared" si="133"/>
        <v>6269.4</v>
      </c>
      <c r="N1705" s="1" t="s">
        <v>13</v>
      </c>
      <c r="O1705" s="1">
        <v>30.1</v>
      </c>
    </row>
    <row r="1706" spans="4:15" x14ac:dyDescent="0.3">
      <c r="D1706" s="1">
        <v>39876</v>
      </c>
      <c r="E1706" s="2">
        <v>43568</v>
      </c>
      <c r="F1706" s="1" t="s">
        <v>9</v>
      </c>
      <c r="G1706" s="1">
        <v>43</v>
      </c>
      <c r="H1706" t="str">
        <f t="shared" si="134"/>
        <v>XX Large</v>
      </c>
      <c r="I1706" t="str">
        <f t="shared" si="130"/>
        <v>XX Large</v>
      </c>
      <c r="J1706" s="1">
        <v>17408.71</v>
      </c>
      <c r="K1706">
        <f t="shared" si="131"/>
        <v>0.01</v>
      </c>
      <c r="L1706">
        <f t="shared" si="132"/>
        <v>17234.622899999998</v>
      </c>
      <c r="M1706" s="1">
        <f t="shared" si="133"/>
        <v>17387.309999999998</v>
      </c>
      <c r="N1706" s="1" t="s">
        <v>10</v>
      </c>
      <c r="O1706" s="1">
        <v>21.4</v>
      </c>
    </row>
    <row r="1707" spans="4:15" x14ac:dyDescent="0.3">
      <c r="D1707" s="1">
        <v>39652</v>
      </c>
      <c r="E1707" s="2">
        <v>43589</v>
      </c>
      <c r="F1707" s="1" t="s">
        <v>7</v>
      </c>
      <c r="G1707" s="1">
        <v>5</v>
      </c>
      <c r="H1707" t="str">
        <f t="shared" si="134"/>
        <v>Mini</v>
      </c>
      <c r="I1707" t="str">
        <f t="shared" si="130"/>
        <v>Mini</v>
      </c>
      <c r="J1707" s="1">
        <v>15.63</v>
      </c>
      <c r="K1707">
        <f t="shared" si="131"/>
        <v>0</v>
      </c>
      <c r="L1707">
        <f t="shared" si="132"/>
        <v>15.63</v>
      </c>
      <c r="M1707" s="1">
        <f t="shared" si="133"/>
        <v>15.63</v>
      </c>
      <c r="N1707" s="1" t="s">
        <v>10</v>
      </c>
      <c r="O1707" s="1">
        <v>0.5</v>
      </c>
    </row>
    <row r="1708" spans="4:15" x14ac:dyDescent="0.3">
      <c r="D1708" s="1">
        <v>1826</v>
      </c>
      <c r="E1708" s="2">
        <v>43570</v>
      </c>
      <c r="F1708" s="1" t="s">
        <v>11</v>
      </c>
      <c r="G1708" s="1">
        <v>5</v>
      </c>
      <c r="H1708" t="str">
        <f t="shared" si="134"/>
        <v>Mini</v>
      </c>
      <c r="I1708" t="str">
        <f t="shared" si="130"/>
        <v>Mini</v>
      </c>
      <c r="J1708" s="1">
        <v>30.302399999999999</v>
      </c>
      <c r="K1708">
        <f t="shared" si="131"/>
        <v>0</v>
      </c>
      <c r="L1708">
        <f t="shared" si="132"/>
        <v>30.302399999999999</v>
      </c>
      <c r="M1708" s="1">
        <f t="shared" si="133"/>
        <v>30.302399999999999</v>
      </c>
      <c r="N1708" s="1" t="s">
        <v>10</v>
      </c>
      <c r="O1708" s="1">
        <v>5.0999999999999996</v>
      </c>
    </row>
    <row r="1709" spans="4:15" x14ac:dyDescent="0.3">
      <c r="D1709" s="1">
        <v>20579</v>
      </c>
      <c r="E1709" s="2">
        <v>43739</v>
      </c>
      <c r="F1709" s="1" t="s">
        <v>14</v>
      </c>
      <c r="G1709" s="1">
        <v>16</v>
      </c>
      <c r="H1709" t="str">
        <f t="shared" si="134"/>
        <v>Small-Medium</v>
      </c>
      <c r="I1709" t="str">
        <f t="shared" si="130"/>
        <v>Small-Medium</v>
      </c>
      <c r="J1709" s="1">
        <v>1534.47</v>
      </c>
      <c r="K1709">
        <f t="shared" si="131"/>
        <v>0</v>
      </c>
      <c r="L1709">
        <f t="shared" si="132"/>
        <v>1534.47</v>
      </c>
      <c r="M1709" s="1">
        <f t="shared" si="133"/>
        <v>1534.47</v>
      </c>
      <c r="N1709" s="1" t="s">
        <v>10</v>
      </c>
      <c r="O1709" s="1">
        <v>9.6</v>
      </c>
    </row>
    <row r="1710" spans="4:15" x14ac:dyDescent="0.3">
      <c r="D1710" s="1">
        <v>49927</v>
      </c>
      <c r="E1710" s="2">
        <v>43666</v>
      </c>
      <c r="F1710" s="1" t="s">
        <v>11</v>
      </c>
      <c r="G1710" s="1">
        <v>28</v>
      </c>
      <c r="H1710" t="str">
        <f t="shared" si="134"/>
        <v>Medium-Large</v>
      </c>
      <c r="I1710" t="str">
        <f t="shared" si="130"/>
        <v>Medium-Large</v>
      </c>
      <c r="J1710" s="1">
        <v>213.49</v>
      </c>
      <c r="K1710">
        <f t="shared" si="131"/>
        <v>0</v>
      </c>
      <c r="L1710">
        <f t="shared" si="132"/>
        <v>213.49</v>
      </c>
      <c r="M1710" s="1">
        <f t="shared" si="133"/>
        <v>213.49</v>
      </c>
      <c r="N1710" s="1" t="s">
        <v>10</v>
      </c>
      <c r="O1710" s="1">
        <v>4.3</v>
      </c>
    </row>
    <row r="1711" spans="4:15" x14ac:dyDescent="0.3">
      <c r="D1711" s="1">
        <v>39877</v>
      </c>
      <c r="E1711" s="2">
        <v>43693</v>
      </c>
      <c r="F1711" s="1" t="s">
        <v>12</v>
      </c>
      <c r="G1711" s="1">
        <v>41</v>
      </c>
      <c r="H1711" t="str">
        <f t="shared" si="134"/>
        <v>XX Large</v>
      </c>
      <c r="I1711" t="str">
        <f t="shared" si="130"/>
        <v>XX Large</v>
      </c>
      <c r="J1711" s="1">
        <v>97.24</v>
      </c>
      <c r="K1711">
        <f t="shared" si="131"/>
        <v>0.01</v>
      </c>
      <c r="L1711">
        <f t="shared" si="132"/>
        <v>96.267599999999987</v>
      </c>
      <c r="M1711" s="1">
        <f t="shared" si="133"/>
        <v>96.44</v>
      </c>
      <c r="N1711" s="1" t="s">
        <v>10</v>
      </c>
      <c r="O1711" s="1">
        <v>0.8</v>
      </c>
    </row>
    <row r="1712" spans="4:15" x14ac:dyDescent="0.3">
      <c r="D1712" s="1">
        <v>24390</v>
      </c>
      <c r="E1712" s="2">
        <v>43622</v>
      </c>
      <c r="F1712" s="1" t="s">
        <v>7</v>
      </c>
      <c r="G1712" s="1">
        <v>2</v>
      </c>
      <c r="H1712" t="str">
        <f t="shared" si="134"/>
        <v>Mini</v>
      </c>
      <c r="I1712" t="str">
        <f t="shared" si="130"/>
        <v>Mini</v>
      </c>
      <c r="J1712" s="1">
        <v>115.21</v>
      </c>
      <c r="K1712">
        <f t="shared" si="131"/>
        <v>0</v>
      </c>
      <c r="L1712">
        <f t="shared" si="132"/>
        <v>115.21</v>
      </c>
      <c r="M1712" s="1">
        <f t="shared" si="133"/>
        <v>115.21</v>
      </c>
      <c r="N1712" s="1" t="s">
        <v>8</v>
      </c>
      <c r="O1712" s="1">
        <v>7</v>
      </c>
    </row>
    <row r="1713" spans="4:15" x14ac:dyDescent="0.3">
      <c r="D1713" s="1">
        <v>2022</v>
      </c>
      <c r="E1713" s="2">
        <v>43538</v>
      </c>
      <c r="F1713" s="1" t="s">
        <v>12</v>
      </c>
      <c r="G1713" s="1">
        <v>45</v>
      </c>
      <c r="H1713" t="str">
        <f t="shared" si="134"/>
        <v>XX Large</v>
      </c>
      <c r="I1713" t="str">
        <f t="shared" si="130"/>
        <v>XX Large</v>
      </c>
      <c r="J1713" s="1">
        <v>199.49</v>
      </c>
      <c r="K1713">
        <f t="shared" si="131"/>
        <v>0.01</v>
      </c>
      <c r="L1713">
        <f t="shared" si="132"/>
        <v>197.49510000000001</v>
      </c>
      <c r="M1713" s="1">
        <f t="shared" si="133"/>
        <v>193.99</v>
      </c>
      <c r="N1713" s="1" t="s">
        <v>10</v>
      </c>
      <c r="O1713" s="1">
        <v>5.5</v>
      </c>
    </row>
    <row r="1714" spans="4:15" x14ac:dyDescent="0.3">
      <c r="D1714" s="1">
        <v>39266</v>
      </c>
      <c r="E1714" s="2">
        <v>43704</v>
      </c>
      <c r="F1714" s="1" t="s">
        <v>9</v>
      </c>
      <c r="G1714" s="1">
        <v>16</v>
      </c>
      <c r="H1714" t="str">
        <f t="shared" si="134"/>
        <v>Small-Medium</v>
      </c>
      <c r="I1714" t="str">
        <f t="shared" si="130"/>
        <v>Small-Medium</v>
      </c>
      <c r="J1714" s="1">
        <v>1049.95</v>
      </c>
      <c r="K1714">
        <f t="shared" si="131"/>
        <v>0</v>
      </c>
      <c r="L1714">
        <f t="shared" si="132"/>
        <v>1049.95</v>
      </c>
      <c r="M1714" s="1">
        <f t="shared" si="133"/>
        <v>1049.95</v>
      </c>
      <c r="N1714" s="1" t="s">
        <v>10</v>
      </c>
      <c r="O1714" s="1">
        <v>52.4</v>
      </c>
    </row>
    <row r="1715" spans="4:15" x14ac:dyDescent="0.3">
      <c r="D1715" s="1">
        <v>15781</v>
      </c>
      <c r="E1715" s="2">
        <v>43711</v>
      </c>
      <c r="F1715" s="1" t="s">
        <v>9</v>
      </c>
      <c r="G1715" s="1">
        <v>29</v>
      </c>
      <c r="H1715" t="str">
        <f t="shared" si="134"/>
        <v>Medium-Large</v>
      </c>
      <c r="I1715" t="str">
        <f t="shared" si="130"/>
        <v>Medium-Large</v>
      </c>
      <c r="J1715" s="1">
        <v>882.23</v>
      </c>
      <c r="K1715">
        <f t="shared" si="131"/>
        <v>0</v>
      </c>
      <c r="L1715">
        <f t="shared" si="132"/>
        <v>882.23</v>
      </c>
      <c r="M1715" s="1">
        <f t="shared" si="133"/>
        <v>882.23</v>
      </c>
      <c r="N1715" s="1" t="s">
        <v>10</v>
      </c>
      <c r="O1715" s="1">
        <v>4.3</v>
      </c>
    </row>
    <row r="1716" spans="4:15" x14ac:dyDescent="0.3">
      <c r="D1716" s="1">
        <v>4896</v>
      </c>
      <c r="E1716" s="2">
        <v>43698</v>
      </c>
      <c r="F1716" s="1" t="s">
        <v>12</v>
      </c>
      <c r="G1716" s="1">
        <v>10</v>
      </c>
      <c r="H1716" t="str">
        <f t="shared" si="134"/>
        <v>Extra Small</v>
      </c>
      <c r="I1716" t="str">
        <f t="shared" si="130"/>
        <v>Extra Small</v>
      </c>
      <c r="J1716" s="1">
        <v>1166.1609000000001</v>
      </c>
      <c r="K1716">
        <f t="shared" si="131"/>
        <v>0</v>
      </c>
      <c r="L1716">
        <f t="shared" si="132"/>
        <v>1166.1609000000001</v>
      </c>
      <c r="M1716" s="1">
        <f t="shared" si="133"/>
        <v>1166.1609000000001</v>
      </c>
      <c r="N1716" s="1" t="s">
        <v>8</v>
      </c>
      <c r="O1716" s="1">
        <v>6.4</v>
      </c>
    </row>
    <row r="1717" spans="4:15" x14ac:dyDescent="0.3">
      <c r="D1717" s="1">
        <v>40289</v>
      </c>
      <c r="E1717" s="2">
        <v>43795</v>
      </c>
      <c r="F1717" s="1" t="s">
        <v>11</v>
      </c>
      <c r="G1717" s="1">
        <v>4</v>
      </c>
      <c r="H1717" t="str">
        <f t="shared" si="134"/>
        <v>Mini</v>
      </c>
      <c r="I1717" t="str">
        <f t="shared" si="130"/>
        <v>Mini</v>
      </c>
      <c r="J1717" s="1">
        <v>45.76</v>
      </c>
      <c r="K1717">
        <f t="shared" si="131"/>
        <v>0</v>
      </c>
      <c r="L1717">
        <f t="shared" si="132"/>
        <v>45.76</v>
      </c>
      <c r="M1717" s="1">
        <f t="shared" si="133"/>
        <v>45.76</v>
      </c>
      <c r="N1717" s="1" t="s">
        <v>10</v>
      </c>
      <c r="O1717" s="1">
        <v>2.4</v>
      </c>
    </row>
    <row r="1718" spans="4:15" x14ac:dyDescent="0.3">
      <c r="D1718" s="1">
        <v>46048</v>
      </c>
      <c r="E1718" s="2">
        <v>43810</v>
      </c>
      <c r="F1718" s="1" t="s">
        <v>14</v>
      </c>
      <c r="G1718" s="1">
        <v>35</v>
      </c>
      <c r="H1718" t="str">
        <f t="shared" si="134"/>
        <v>Large</v>
      </c>
      <c r="I1718" t="str">
        <f t="shared" si="130"/>
        <v>Large</v>
      </c>
      <c r="J1718" s="1">
        <v>478.56</v>
      </c>
      <c r="K1718">
        <f t="shared" si="131"/>
        <v>0</v>
      </c>
      <c r="L1718">
        <f t="shared" si="132"/>
        <v>478.56</v>
      </c>
      <c r="M1718" s="1">
        <f t="shared" si="133"/>
        <v>478.56</v>
      </c>
      <c r="N1718" s="1" t="s">
        <v>10</v>
      </c>
      <c r="O1718" s="1">
        <v>4.8</v>
      </c>
    </row>
    <row r="1719" spans="4:15" x14ac:dyDescent="0.3">
      <c r="D1719" s="1">
        <v>26726</v>
      </c>
      <c r="E1719" s="2">
        <v>43826</v>
      </c>
      <c r="F1719" s="1" t="s">
        <v>9</v>
      </c>
      <c r="G1719" s="1">
        <v>37</v>
      </c>
      <c r="H1719" t="str">
        <f t="shared" si="134"/>
        <v>Extra Large</v>
      </c>
      <c r="I1719" t="str">
        <f t="shared" si="130"/>
        <v>Extra Large</v>
      </c>
      <c r="J1719" s="1">
        <v>185.2277</v>
      </c>
      <c r="K1719">
        <f t="shared" si="131"/>
        <v>0.01</v>
      </c>
      <c r="L1719">
        <f t="shared" si="132"/>
        <v>183.37542299999998</v>
      </c>
      <c r="M1719" s="1">
        <f t="shared" si="133"/>
        <v>179.7277</v>
      </c>
      <c r="N1719" s="1" t="s">
        <v>10</v>
      </c>
      <c r="O1719" s="1">
        <v>5.5</v>
      </c>
    </row>
    <row r="1720" spans="4:15" x14ac:dyDescent="0.3">
      <c r="D1720" s="1">
        <v>30597</v>
      </c>
      <c r="E1720" s="2">
        <v>43682</v>
      </c>
      <c r="F1720" s="1" t="s">
        <v>9</v>
      </c>
      <c r="G1720" s="1">
        <v>18</v>
      </c>
      <c r="H1720" t="str">
        <f t="shared" si="134"/>
        <v>Small-Medium</v>
      </c>
      <c r="I1720" t="str">
        <f t="shared" si="130"/>
        <v>Small-Medium</v>
      </c>
      <c r="J1720" s="1">
        <v>99.53</v>
      </c>
      <c r="K1720">
        <f t="shared" si="131"/>
        <v>0</v>
      </c>
      <c r="L1720">
        <f t="shared" si="132"/>
        <v>99.53</v>
      </c>
      <c r="M1720" s="1">
        <f t="shared" si="133"/>
        <v>99.53</v>
      </c>
      <c r="N1720" s="1" t="s">
        <v>10</v>
      </c>
      <c r="O1720" s="1">
        <v>2.2000000000000002</v>
      </c>
    </row>
    <row r="1721" spans="4:15" x14ac:dyDescent="0.3">
      <c r="D1721" s="1">
        <v>26691</v>
      </c>
      <c r="E1721" s="2">
        <v>43680</v>
      </c>
      <c r="F1721" s="1" t="s">
        <v>11</v>
      </c>
      <c r="G1721" s="1">
        <v>37</v>
      </c>
      <c r="H1721" t="str">
        <f t="shared" si="134"/>
        <v>Extra Large</v>
      </c>
      <c r="I1721" t="str">
        <f t="shared" si="130"/>
        <v>Extra Large</v>
      </c>
      <c r="J1721" s="1">
        <v>289.36</v>
      </c>
      <c r="K1721">
        <f t="shared" si="131"/>
        <v>0.01</v>
      </c>
      <c r="L1721">
        <f t="shared" si="132"/>
        <v>286.46640000000002</v>
      </c>
      <c r="M1721" s="1">
        <f t="shared" si="133"/>
        <v>282.76</v>
      </c>
      <c r="N1721" s="1" t="s">
        <v>10</v>
      </c>
      <c r="O1721" s="1">
        <v>6.6</v>
      </c>
    </row>
    <row r="1722" spans="4:15" x14ac:dyDescent="0.3">
      <c r="D1722" s="1">
        <v>52516</v>
      </c>
      <c r="E1722" s="2">
        <v>43469</v>
      </c>
      <c r="F1722" s="1" t="s">
        <v>9</v>
      </c>
      <c r="G1722" s="1">
        <v>19</v>
      </c>
      <c r="H1722" t="str">
        <f t="shared" si="134"/>
        <v>Small-Medium</v>
      </c>
      <c r="I1722" t="str">
        <f t="shared" si="130"/>
        <v>Small-Medium</v>
      </c>
      <c r="J1722" s="1">
        <v>205.86</v>
      </c>
      <c r="K1722">
        <f t="shared" si="131"/>
        <v>0</v>
      </c>
      <c r="L1722">
        <f t="shared" si="132"/>
        <v>205.86</v>
      </c>
      <c r="M1722" s="1">
        <f t="shared" si="133"/>
        <v>205.86</v>
      </c>
      <c r="N1722" s="1" t="s">
        <v>8</v>
      </c>
      <c r="O1722" s="1">
        <v>5</v>
      </c>
    </row>
    <row r="1723" spans="4:15" x14ac:dyDescent="0.3">
      <c r="D1723" s="1">
        <v>21634</v>
      </c>
      <c r="E1723" s="2">
        <v>43766</v>
      </c>
      <c r="F1723" s="1" t="s">
        <v>11</v>
      </c>
      <c r="G1723" s="1">
        <v>1</v>
      </c>
      <c r="H1723" t="str">
        <f t="shared" si="134"/>
        <v>Mini</v>
      </c>
      <c r="I1723" t="str">
        <f t="shared" si="130"/>
        <v>Mini</v>
      </c>
      <c r="J1723" s="1">
        <v>2082.81</v>
      </c>
      <c r="K1723">
        <f t="shared" si="131"/>
        <v>0</v>
      </c>
      <c r="L1723">
        <f t="shared" si="132"/>
        <v>2082.81</v>
      </c>
      <c r="M1723" s="1">
        <f t="shared" si="133"/>
        <v>2082.81</v>
      </c>
      <c r="N1723" s="1" t="s">
        <v>10</v>
      </c>
      <c r="O1723" s="1">
        <v>15</v>
      </c>
    </row>
    <row r="1724" spans="4:15" x14ac:dyDescent="0.3">
      <c r="D1724" s="1">
        <v>28165</v>
      </c>
      <c r="E1724" s="2">
        <v>43655</v>
      </c>
      <c r="F1724" s="1" t="s">
        <v>11</v>
      </c>
      <c r="G1724" s="1">
        <v>2</v>
      </c>
      <c r="H1724" t="str">
        <f t="shared" si="134"/>
        <v>Mini</v>
      </c>
      <c r="I1724" t="str">
        <f t="shared" si="130"/>
        <v>Mini</v>
      </c>
      <c r="J1724" s="1">
        <v>26.71</v>
      </c>
      <c r="K1724">
        <f t="shared" si="131"/>
        <v>0</v>
      </c>
      <c r="L1724">
        <f t="shared" si="132"/>
        <v>26.71</v>
      </c>
      <c r="M1724" s="1">
        <f t="shared" si="133"/>
        <v>26.71</v>
      </c>
      <c r="N1724" s="1" t="s">
        <v>10</v>
      </c>
      <c r="O1724" s="1">
        <v>3.2</v>
      </c>
    </row>
    <row r="1725" spans="4:15" x14ac:dyDescent="0.3">
      <c r="D1725" s="1">
        <v>6529</v>
      </c>
      <c r="E1725" s="2">
        <v>43795</v>
      </c>
      <c r="F1725" s="1" t="s">
        <v>14</v>
      </c>
      <c r="G1725" s="1">
        <v>35</v>
      </c>
      <c r="H1725" t="str">
        <f t="shared" si="134"/>
        <v>Large</v>
      </c>
      <c r="I1725" t="str">
        <f t="shared" si="130"/>
        <v>Large</v>
      </c>
      <c r="J1725" s="1">
        <v>95.99</v>
      </c>
      <c r="K1725">
        <f t="shared" si="131"/>
        <v>0</v>
      </c>
      <c r="L1725">
        <f t="shared" si="132"/>
        <v>95.99</v>
      </c>
      <c r="M1725" s="1">
        <f t="shared" si="133"/>
        <v>95.99</v>
      </c>
      <c r="N1725" s="1" t="s">
        <v>10</v>
      </c>
      <c r="O1725" s="1">
        <v>0.9</v>
      </c>
    </row>
    <row r="1726" spans="4:15" x14ac:dyDescent="0.3">
      <c r="D1726" s="1">
        <v>48067</v>
      </c>
      <c r="E1726" s="2">
        <v>43645</v>
      </c>
      <c r="F1726" s="1" t="s">
        <v>7</v>
      </c>
      <c r="G1726" s="1">
        <v>24</v>
      </c>
      <c r="H1726" t="str">
        <f t="shared" si="134"/>
        <v>Medium</v>
      </c>
      <c r="I1726" t="str">
        <f t="shared" si="130"/>
        <v>Medium</v>
      </c>
      <c r="J1726" s="1">
        <v>4291.7</v>
      </c>
      <c r="K1726">
        <f t="shared" si="131"/>
        <v>0</v>
      </c>
      <c r="L1726">
        <f t="shared" si="132"/>
        <v>4291.7</v>
      </c>
      <c r="M1726" s="1">
        <f t="shared" si="133"/>
        <v>4291.7</v>
      </c>
      <c r="N1726" s="1" t="s">
        <v>8</v>
      </c>
      <c r="O1726" s="1">
        <v>9.6</v>
      </c>
    </row>
    <row r="1727" spans="4:15" x14ac:dyDescent="0.3">
      <c r="D1727" s="1">
        <v>11269</v>
      </c>
      <c r="E1727" s="2">
        <v>43611</v>
      </c>
      <c r="F1727" s="1" t="s">
        <v>7</v>
      </c>
      <c r="G1727" s="1">
        <v>1</v>
      </c>
      <c r="H1727" t="str">
        <f t="shared" si="134"/>
        <v>Mini</v>
      </c>
      <c r="I1727" t="str">
        <f t="shared" si="130"/>
        <v>Mini</v>
      </c>
      <c r="J1727" s="1">
        <v>50.3</v>
      </c>
      <c r="K1727">
        <f t="shared" si="131"/>
        <v>0</v>
      </c>
      <c r="L1727">
        <f t="shared" si="132"/>
        <v>50.3</v>
      </c>
      <c r="M1727" s="1">
        <f t="shared" si="133"/>
        <v>50.3</v>
      </c>
      <c r="N1727" s="1" t="s">
        <v>10</v>
      </c>
      <c r="O1727" s="1">
        <v>21.4</v>
      </c>
    </row>
    <row r="1728" spans="4:15" x14ac:dyDescent="0.3">
      <c r="D1728" s="1">
        <v>36101</v>
      </c>
      <c r="E1728" s="2">
        <v>43697</v>
      </c>
      <c r="F1728" s="1" t="s">
        <v>9</v>
      </c>
      <c r="G1728" s="1">
        <v>3</v>
      </c>
      <c r="H1728" t="str">
        <f t="shared" si="134"/>
        <v>Mini</v>
      </c>
      <c r="I1728" t="str">
        <f t="shared" si="130"/>
        <v>Mini</v>
      </c>
      <c r="J1728" s="1">
        <v>477.27</v>
      </c>
      <c r="K1728">
        <f t="shared" si="131"/>
        <v>0</v>
      </c>
      <c r="L1728">
        <f t="shared" si="132"/>
        <v>477.27</v>
      </c>
      <c r="M1728" s="1">
        <f t="shared" si="133"/>
        <v>477.27</v>
      </c>
      <c r="N1728" s="1" t="s">
        <v>13</v>
      </c>
      <c r="O1728" s="1">
        <v>57.2</v>
      </c>
    </row>
    <row r="1729" spans="4:15" x14ac:dyDescent="0.3">
      <c r="D1729" s="1">
        <v>47591</v>
      </c>
      <c r="E1729" s="2">
        <v>43466</v>
      </c>
      <c r="F1729" s="1" t="s">
        <v>12</v>
      </c>
      <c r="G1729" s="1">
        <v>27</v>
      </c>
      <c r="H1729" t="str">
        <f t="shared" si="134"/>
        <v>Medium-Large</v>
      </c>
      <c r="I1729" t="str">
        <f t="shared" si="130"/>
        <v>Medium-Large</v>
      </c>
      <c r="J1729" s="1">
        <v>298.95999999999998</v>
      </c>
      <c r="K1729">
        <f t="shared" si="131"/>
        <v>0</v>
      </c>
      <c r="L1729">
        <f t="shared" si="132"/>
        <v>298.95999999999998</v>
      </c>
      <c r="M1729" s="1">
        <f t="shared" si="133"/>
        <v>298.95999999999998</v>
      </c>
      <c r="N1729" s="1" t="s">
        <v>10</v>
      </c>
      <c r="O1729" s="1">
        <v>7.4</v>
      </c>
    </row>
    <row r="1730" spans="4:15" x14ac:dyDescent="0.3">
      <c r="D1730" s="1">
        <v>38498</v>
      </c>
      <c r="E1730" s="2">
        <v>43582</v>
      </c>
      <c r="F1730" s="1" t="s">
        <v>12</v>
      </c>
      <c r="G1730" s="1">
        <v>30</v>
      </c>
      <c r="H1730" t="str">
        <f t="shared" si="134"/>
        <v>Medium-Large</v>
      </c>
      <c r="I1730" t="str">
        <f t="shared" si="130"/>
        <v>Medium-Large</v>
      </c>
      <c r="J1730" s="1">
        <v>3525.81</v>
      </c>
      <c r="K1730">
        <f t="shared" si="131"/>
        <v>0</v>
      </c>
      <c r="L1730">
        <f t="shared" si="132"/>
        <v>3525.81</v>
      </c>
      <c r="M1730" s="1">
        <f t="shared" si="133"/>
        <v>3525.81</v>
      </c>
      <c r="N1730" s="1" t="s">
        <v>10</v>
      </c>
      <c r="O1730" s="1">
        <v>2.1</v>
      </c>
    </row>
    <row r="1731" spans="4:15" x14ac:dyDescent="0.3">
      <c r="D1731" s="1">
        <v>21827</v>
      </c>
      <c r="E1731" s="2">
        <v>43778</v>
      </c>
      <c r="F1731" s="1" t="s">
        <v>11</v>
      </c>
      <c r="G1731" s="1">
        <v>25</v>
      </c>
      <c r="H1731" t="str">
        <f t="shared" si="134"/>
        <v>Medium</v>
      </c>
      <c r="I1731" t="str">
        <f t="shared" ref="I1731:I1794" si="135">VLOOKUP(G1731, $A$3:$B$12, 2, TRUE)</f>
        <v>Medium</v>
      </c>
      <c r="J1731" s="1">
        <v>1446.4</v>
      </c>
      <c r="K1731">
        <f t="shared" ref="K1731:K1794" si="136">IF(OR(I1731="Extra Large", I1731="XX Large", I1731="XXX Large"), 0.01, 0)</f>
        <v>0</v>
      </c>
      <c r="L1731">
        <f t="shared" ref="L1731:L1794" si="137">J1731 * (1 - K1731)</f>
        <v>1446.4</v>
      </c>
      <c r="M1731" s="1">
        <f t="shared" ref="M1731:M1794" si="138">IF(OR(I1731="Extra Large",I1731="XX Large",I1731="XXX Large"),J1731-O1731,J1731)</f>
        <v>1446.4</v>
      </c>
      <c r="N1731" s="1" t="s">
        <v>10</v>
      </c>
      <c r="O1731" s="1">
        <v>14.1</v>
      </c>
    </row>
    <row r="1732" spans="4:15" x14ac:dyDescent="0.3">
      <c r="D1732" s="1">
        <v>481</v>
      </c>
      <c r="E1732" s="2">
        <v>43745</v>
      </c>
      <c r="F1732" s="1" t="s">
        <v>9</v>
      </c>
      <c r="G1732" s="1">
        <v>44</v>
      </c>
      <c r="H1732" t="str">
        <f t="shared" si="134"/>
        <v>XX Large</v>
      </c>
      <c r="I1732" t="str">
        <f t="shared" si="135"/>
        <v>XX Large</v>
      </c>
      <c r="J1732" s="1">
        <v>4825.03</v>
      </c>
      <c r="K1732">
        <f t="shared" si="136"/>
        <v>0.01</v>
      </c>
      <c r="L1732">
        <f t="shared" si="137"/>
        <v>4776.7797</v>
      </c>
      <c r="M1732" s="1">
        <f t="shared" si="138"/>
        <v>4819.4299999999994</v>
      </c>
      <c r="N1732" s="1" t="s">
        <v>10</v>
      </c>
      <c r="O1732" s="1">
        <v>5.6</v>
      </c>
    </row>
    <row r="1733" spans="4:15" x14ac:dyDescent="0.3">
      <c r="D1733" s="1">
        <v>19745</v>
      </c>
      <c r="E1733" s="2">
        <v>43817</v>
      </c>
      <c r="F1733" s="1" t="s">
        <v>9</v>
      </c>
      <c r="G1733" s="1">
        <v>2</v>
      </c>
      <c r="H1733" t="str">
        <f t="shared" ref="H1733:H1796" si="139">VLOOKUP(G1733, $A$3:$B$12, 2, TRUE)</f>
        <v>Mini</v>
      </c>
      <c r="I1733" t="str">
        <f t="shared" si="135"/>
        <v>Mini</v>
      </c>
      <c r="J1733" s="1">
        <v>68.44</v>
      </c>
      <c r="K1733">
        <f t="shared" si="136"/>
        <v>0</v>
      </c>
      <c r="L1733">
        <f t="shared" si="137"/>
        <v>68.44</v>
      </c>
      <c r="M1733" s="1">
        <f t="shared" si="138"/>
        <v>68.44</v>
      </c>
      <c r="N1733" s="1" t="s">
        <v>10</v>
      </c>
      <c r="O1733" s="1">
        <v>2.1</v>
      </c>
    </row>
    <row r="1734" spans="4:15" x14ac:dyDescent="0.3">
      <c r="D1734" s="1">
        <v>57600</v>
      </c>
      <c r="E1734" s="2">
        <v>43780</v>
      </c>
      <c r="F1734" s="1" t="s">
        <v>12</v>
      </c>
      <c r="G1734" s="1">
        <v>32</v>
      </c>
      <c r="H1734" t="str">
        <f t="shared" si="139"/>
        <v>Large</v>
      </c>
      <c r="I1734" t="str">
        <f t="shared" si="135"/>
        <v>Large</v>
      </c>
      <c r="J1734" s="1">
        <v>2013.87</v>
      </c>
      <c r="K1734">
        <f t="shared" si="136"/>
        <v>0</v>
      </c>
      <c r="L1734">
        <f t="shared" si="137"/>
        <v>2013.87</v>
      </c>
      <c r="M1734" s="1">
        <f t="shared" si="138"/>
        <v>2013.87</v>
      </c>
      <c r="N1734" s="1" t="s">
        <v>10</v>
      </c>
      <c r="O1734" s="1">
        <v>11</v>
      </c>
    </row>
    <row r="1735" spans="4:15" x14ac:dyDescent="0.3">
      <c r="D1735" s="1">
        <v>31297</v>
      </c>
      <c r="E1735" s="2">
        <v>43695</v>
      </c>
      <c r="F1735" s="1" t="s">
        <v>7</v>
      </c>
      <c r="G1735" s="1">
        <v>39</v>
      </c>
      <c r="H1735" t="str">
        <f t="shared" si="139"/>
        <v>Extra Large</v>
      </c>
      <c r="I1735" t="str">
        <f t="shared" si="135"/>
        <v>Extra Large</v>
      </c>
      <c r="J1735" s="1">
        <v>727.55</v>
      </c>
      <c r="K1735">
        <f t="shared" si="136"/>
        <v>0.01</v>
      </c>
      <c r="L1735">
        <f t="shared" si="137"/>
        <v>720.27449999999999</v>
      </c>
      <c r="M1735" s="1">
        <f t="shared" si="138"/>
        <v>718.25</v>
      </c>
      <c r="N1735" s="1" t="s">
        <v>10</v>
      </c>
      <c r="O1735" s="1">
        <v>9.3000000000000007</v>
      </c>
    </row>
    <row r="1736" spans="4:15" x14ac:dyDescent="0.3">
      <c r="D1736" s="1">
        <v>54115</v>
      </c>
      <c r="E1736" s="2">
        <v>43471</v>
      </c>
      <c r="F1736" s="1" t="s">
        <v>7</v>
      </c>
      <c r="G1736" s="1">
        <v>39</v>
      </c>
      <c r="H1736" t="str">
        <f t="shared" si="139"/>
        <v>Extra Large</v>
      </c>
      <c r="I1736" t="str">
        <f t="shared" si="135"/>
        <v>Extra Large</v>
      </c>
      <c r="J1736" s="1">
        <v>210.91</v>
      </c>
      <c r="K1736">
        <f t="shared" si="136"/>
        <v>0.01</v>
      </c>
      <c r="L1736">
        <f t="shared" si="137"/>
        <v>208.80089999999998</v>
      </c>
      <c r="M1736" s="1">
        <f t="shared" si="138"/>
        <v>205.60999999999999</v>
      </c>
      <c r="N1736" s="1" t="s">
        <v>10</v>
      </c>
      <c r="O1736" s="1">
        <v>5.3</v>
      </c>
    </row>
    <row r="1737" spans="4:15" x14ac:dyDescent="0.3">
      <c r="D1737" s="1">
        <v>58181</v>
      </c>
      <c r="E1737" s="2">
        <v>43745</v>
      </c>
      <c r="F1737" s="1" t="s">
        <v>11</v>
      </c>
      <c r="G1737" s="1">
        <v>5</v>
      </c>
      <c r="H1737" t="str">
        <f t="shared" si="139"/>
        <v>Mini</v>
      </c>
      <c r="I1737" t="str">
        <f t="shared" si="135"/>
        <v>Mini</v>
      </c>
      <c r="J1737" s="1">
        <v>38.9801</v>
      </c>
      <c r="K1737">
        <f t="shared" si="136"/>
        <v>0</v>
      </c>
      <c r="L1737">
        <f t="shared" si="137"/>
        <v>38.9801</v>
      </c>
      <c r="M1737" s="1">
        <f t="shared" si="138"/>
        <v>38.9801</v>
      </c>
      <c r="N1737" s="1" t="s">
        <v>10</v>
      </c>
      <c r="O1737" s="1">
        <v>7.7</v>
      </c>
    </row>
    <row r="1738" spans="4:15" x14ac:dyDescent="0.3">
      <c r="D1738" s="1">
        <v>18917</v>
      </c>
      <c r="E1738" s="2">
        <v>43588</v>
      </c>
      <c r="F1738" s="1" t="s">
        <v>12</v>
      </c>
      <c r="G1738" s="1">
        <v>14</v>
      </c>
      <c r="H1738" t="str">
        <f t="shared" si="139"/>
        <v>Small</v>
      </c>
      <c r="I1738" t="str">
        <f t="shared" si="135"/>
        <v>Small</v>
      </c>
      <c r="J1738" s="1">
        <v>30.84</v>
      </c>
      <c r="K1738">
        <f t="shared" si="136"/>
        <v>0</v>
      </c>
      <c r="L1738">
        <f t="shared" si="137"/>
        <v>30.84</v>
      </c>
      <c r="M1738" s="1">
        <f t="shared" si="138"/>
        <v>30.84</v>
      </c>
      <c r="N1738" s="1" t="s">
        <v>10</v>
      </c>
      <c r="O1738" s="1">
        <v>1.6</v>
      </c>
    </row>
    <row r="1739" spans="4:15" x14ac:dyDescent="0.3">
      <c r="D1739" s="1">
        <v>10951</v>
      </c>
      <c r="E1739" s="2">
        <v>43775</v>
      </c>
      <c r="F1739" s="1" t="s">
        <v>11</v>
      </c>
      <c r="G1739" s="1">
        <v>14</v>
      </c>
      <c r="H1739" t="str">
        <f t="shared" si="139"/>
        <v>Small</v>
      </c>
      <c r="I1739" t="str">
        <f t="shared" si="135"/>
        <v>Small</v>
      </c>
      <c r="J1739" s="1">
        <v>724.85</v>
      </c>
      <c r="K1739">
        <f t="shared" si="136"/>
        <v>0</v>
      </c>
      <c r="L1739">
        <f t="shared" si="137"/>
        <v>724.85</v>
      </c>
      <c r="M1739" s="1">
        <f t="shared" si="138"/>
        <v>724.85</v>
      </c>
      <c r="N1739" s="1" t="s">
        <v>10</v>
      </c>
      <c r="O1739" s="1">
        <v>23.8</v>
      </c>
    </row>
    <row r="1740" spans="4:15" x14ac:dyDescent="0.3">
      <c r="D1740" s="1">
        <v>9473</v>
      </c>
      <c r="E1740" s="2">
        <v>43749</v>
      </c>
      <c r="F1740" s="1" t="s">
        <v>11</v>
      </c>
      <c r="G1740" s="1">
        <v>3</v>
      </c>
      <c r="H1740" t="str">
        <f t="shared" si="139"/>
        <v>Mini</v>
      </c>
      <c r="I1740" t="str">
        <f t="shared" si="135"/>
        <v>Mini</v>
      </c>
      <c r="J1740" s="1">
        <v>34.19</v>
      </c>
      <c r="K1740">
        <f t="shared" si="136"/>
        <v>0</v>
      </c>
      <c r="L1740">
        <f t="shared" si="137"/>
        <v>34.19</v>
      </c>
      <c r="M1740" s="1">
        <f t="shared" si="138"/>
        <v>34.19</v>
      </c>
      <c r="N1740" s="1" t="s">
        <v>10</v>
      </c>
      <c r="O1740" s="1">
        <v>9.6</v>
      </c>
    </row>
    <row r="1741" spans="4:15" x14ac:dyDescent="0.3">
      <c r="D1741" s="1">
        <v>25443</v>
      </c>
      <c r="E1741" s="2">
        <v>43730</v>
      </c>
      <c r="F1741" s="1" t="s">
        <v>14</v>
      </c>
      <c r="G1741" s="1">
        <v>33</v>
      </c>
      <c r="H1741" t="str">
        <f t="shared" si="139"/>
        <v>Large</v>
      </c>
      <c r="I1741" t="str">
        <f t="shared" si="135"/>
        <v>Large</v>
      </c>
      <c r="J1741" s="1">
        <v>610.16</v>
      </c>
      <c r="K1741">
        <f t="shared" si="136"/>
        <v>0</v>
      </c>
      <c r="L1741">
        <f t="shared" si="137"/>
        <v>610.16</v>
      </c>
      <c r="M1741" s="1">
        <f t="shared" si="138"/>
        <v>610.16</v>
      </c>
      <c r="N1741" s="1" t="s">
        <v>10</v>
      </c>
      <c r="O1741" s="1">
        <v>12.1</v>
      </c>
    </row>
    <row r="1742" spans="4:15" x14ac:dyDescent="0.3">
      <c r="D1742" s="1">
        <v>13923</v>
      </c>
      <c r="E1742" s="2">
        <v>43654</v>
      </c>
      <c r="F1742" s="1" t="s">
        <v>9</v>
      </c>
      <c r="G1742" s="1">
        <v>39</v>
      </c>
      <c r="H1742" t="str">
        <f t="shared" si="139"/>
        <v>Extra Large</v>
      </c>
      <c r="I1742" t="str">
        <f t="shared" si="135"/>
        <v>Extra Large</v>
      </c>
      <c r="J1742" s="1">
        <v>235.5</v>
      </c>
      <c r="K1742">
        <f t="shared" si="136"/>
        <v>0.01</v>
      </c>
      <c r="L1742">
        <f t="shared" si="137"/>
        <v>233.14500000000001</v>
      </c>
      <c r="M1742" s="1">
        <f t="shared" si="138"/>
        <v>183.1</v>
      </c>
      <c r="N1742" s="1" t="s">
        <v>10</v>
      </c>
      <c r="O1742" s="1">
        <v>52.4</v>
      </c>
    </row>
    <row r="1743" spans="4:15" x14ac:dyDescent="0.3">
      <c r="D1743" s="1">
        <v>18757</v>
      </c>
      <c r="E1743" s="2">
        <v>43607</v>
      </c>
      <c r="F1743" s="1" t="s">
        <v>7</v>
      </c>
      <c r="G1743" s="1">
        <v>5</v>
      </c>
      <c r="H1743" t="str">
        <f t="shared" si="139"/>
        <v>Mini</v>
      </c>
      <c r="I1743" t="str">
        <f t="shared" si="135"/>
        <v>Mini</v>
      </c>
      <c r="J1743" s="1">
        <v>42.69</v>
      </c>
      <c r="K1743">
        <f t="shared" si="136"/>
        <v>0</v>
      </c>
      <c r="L1743">
        <f t="shared" si="137"/>
        <v>42.69</v>
      </c>
      <c r="M1743" s="1">
        <f t="shared" si="138"/>
        <v>42.69</v>
      </c>
      <c r="N1743" s="1" t="s">
        <v>10</v>
      </c>
      <c r="O1743" s="1">
        <v>10.6</v>
      </c>
    </row>
    <row r="1744" spans="4:15" x14ac:dyDescent="0.3">
      <c r="D1744" s="1">
        <v>19653</v>
      </c>
      <c r="E1744" s="2">
        <v>43719</v>
      </c>
      <c r="F1744" s="1" t="s">
        <v>11</v>
      </c>
      <c r="G1744" s="1">
        <v>34</v>
      </c>
      <c r="H1744" t="str">
        <f t="shared" si="139"/>
        <v>Large</v>
      </c>
      <c r="I1744" t="str">
        <f t="shared" si="135"/>
        <v>Large</v>
      </c>
      <c r="J1744" s="1">
        <v>134.2422</v>
      </c>
      <c r="K1744">
        <f t="shared" si="136"/>
        <v>0</v>
      </c>
      <c r="L1744">
        <f t="shared" si="137"/>
        <v>134.2422</v>
      </c>
      <c r="M1744" s="1">
        <f t="shared" si="138"/>
        <v>134.2422</v>
      </c>
      <c r="N1744" s="1" t="s">
        <v>10</v>
      </c>
      <c r="O1744" s="1">
        <v>5.9</v>
      </c>
    </row>
    <row r="1745" spans="4:15" x14ac:dyDescent="0.3">
      <c r="D1745" s="1">
        <v>21860</v>
      </c>
      <c r="E1745" s="2">
        <v>43583</v>
      </c>
      <c r="F1745" s="1" t="s">
        <v>12</v>
      </c>
      <c r="G1745" s="1">
        <v>9</v>
      </c>
      <c r="H1745" t="str">
        <f t="shared" si="139"/>
        <v>Extra Small</v>
      </c>
      <c r="I1745" t="str">
        <f t="shared" si="135"/>
        <v>Extra Small</v>
      </c>
      <c r="J1745" s="1">
        <v>78.86</v>
      </c>
      <c r="K1745">
        <f t="shared" si="136"/>
        <v>0</v>
      </c>
      <c r="L1745">
        <f t="shared" si="137"/>
        <v>78.86</v>
      </c>
      <c r="M1745" s="1">
        <f t="shared" si="138"/>
        <v>78.86</v>
      </c>
      <c r="N1745" s="1" t="s">
        <v>8</v>
      </c>
      <c r="O1745" s="1">
        <v>4.3</v>
      </c>
    </row>
    <row r="1746" spans="4:15" x14ac:dyDescent="0.3">
      <c r="D1746" s="1">
        <v>59015</v>
      </c>
      <c r="E1746" s="2">
        <v>43611</v>
      </c>
      <c r="F1746" s="1" t="s">
        <v>14</v>
      </c>
      <c r="G1746" s="1">
        <v>32</v>
      </c>
      <c r="H1746" t="str">
        <f t="shared" si="139"/>
        <v>Large</v>
      </c>
      <c r="I1746" t="str">
        <f t="shared" si="135"/>
        <v>Large</v>
      </c>
      <c r="J1746" s="1">
        <v>1778.69</v>
      </c>
      <c r="K1746">
        <f t="shared" si="136"/>
        <v>0</v>
      </c>
      <c r="L1746">
        <f t="shared" si="137"/>
        <v>1778.69</v>
      </c>
      <c r="M1746" s="1">
        <f t="shared" si="138"/>
        <v>1778.69</v>
      </c>
      <c r="N1746" s="1" t="s">
        <v>10</v>
      </c>
      <c r="O1746" s="1">
        <v>6.2</v>
      </c>
    </row>
    <row r="1747" spans="4:15" x14ac:dyDescent="0.3">
      <c r="D1747" s="1">
        <v>18464</v>
      </c>
      <c r="E1747" s="2">
        <v>43552</v>
      </c>
      <c r="F1747" s="1" t="s">
        <v>9</v>
      </c>
      <c r="G1747" s="1">
        <v>41</v>
      </c>
      <c r="H1747" t="str">
        <f t="shared" si="139"/>
        <v>XX Large</v>
      </c>
      <c r="I1747" t="str">
        <f t="shared" si="135"/>
        <v>XX Large</v>
      </c>
      <c r="J1747" s="1">
        <v>86.18</v>
      </c>
      <c r="K1747">
        <f t="shared" si="136"/>
        <v>0.01</v>
      </c>
      <c r="L1747">
        <f t="shared" si="137"/>
        <v>85.318200000000004</v>
      </c>
      <c r="M1747" s="1">
        <f t="shared" si="138"/>
        <v>85.38000000000001</v>
      </c>
      <c r="N1747" s="1" t="s">
        <v>10</v>
      </c>
      <c r="O1747" s="1">
        <v>0.8</v>
      </c>
    </row>
    <row r="1748" spans="4:15" x14ac:dyDescent="0.3">
      <c r="D1748" s="1">
        <v>39876</v>
      </c>
      <c r="E1748" s="2">
        <v>43568</v>
      </c>
      <c r="F1748" s="1" t="s">
        <v>9</v>
      </c>
      <c r="G1748" s="1">
        <v>41</v>
      </c>
      <c r="H1748" t="str">
        <f t="shared" si="139"/>
        <v>XX Large</v>
      </c>
      <c r="I1748" t="str">
        <f t="shared" si="135"/>
        <v>XX Large</v>
      </c>
      <c r="J1748" s="1">
        <v>5350.93</v>
      </c>
      <c r="K1748">
        <f t="shared" si="136"/>
        <v>0.01</v>
      </c>
      <c r="L1748">
        <f t="shared" si="137"/>
        <v>5297.4207000000006</v>
      </c>
      <c r="M1748" s="1">
        <f t="shared" si="138"/>
        <v>5295.33</v>
      </c>
      <c r="N1748" s="1" t="s">
        <v>13</v>
      </c>
      <c r="O1748" s="1">
        <v>55.6</v>
      </c>
    </row>
    <row r="1749" spans="4:15" x14ac:dyDescent="0.3">
      <c r="D1749" s="1">
        <v>36833</v>
      </c>
      <c r="E1749" s="2">
        <v>43657</v>
      </c>
      <c r="F1749" s="1" t="s">
        <v>7</v>
      </c>
      <c r="G1749" s="1">
        <v>25</v>
      </c>
      <c r="H1749" t="str">
        <f t="shared" si="139"/>
        <v>Medium</v>
      </c>
      <c r="I1749" t="str">
        <f t="shared" si="135"/>
        <v>Medium</v>
      </c>
      <c r="J1749" s="1">
        <v>197.22</v>
      </c>
      <c r="K1749">
        <f t="shared" si="136"/>
        <v>0</v>
      </c>
      <c r="L1749">
        <f t="shared" si="137"/>
        <v>197.22</v>
      </c>
      <c r="M1749" s="1">
        <f t="shared" si="138"/>
        <v>197.22</v>
      </c>
      <c r="N1749" s="1" t="s">
        <v>10</v>
      </c>
      <c r="O1749" s="1">
        <v>7.8</v>
      </c>
    </row>
    <row r="1750" spans="4:15" x14ac:dyDescent="0.3">
      <c r="D1750" s="1">
        <v>51205</v>
      </c>
      <c r="E1750" s="2">
        <v>43809</v>
      </c>
      <c r="F1750" s="1" t="s">
        <v>9</v>
      </c>
      <c r="G1750" s="1">
        <v>5</v>
      </c>
      <c r="H1750" t="str">
        <f t="shared" si="139"/>
        <v>Mini</v>
      </c>
      <c r="I1750" t="str">
        <f t="shared" si="135"/>
        <v>Mini</v>
      </c>
      <c r="J1750" s="1">
        <v>241.52</v>
      </c>
      <c r="K1750">
        <f t="shared" si="136"/>
        <v>0</v>
      </c>
      <c r="L1750">
        <f t="shared" si="137"/>
        <v>241.52</v>
      </c>
      <c r="M1750" s="1">
        <f t="shared" si="138"/>
        <v>241.52</v>
      </c>
      <c r="N1750" s="1" t="s">
        <v>10</v>
      </c>
      <c r="O1750" s="1">
        <v>10.5</v>
      </c>
    </row>
    <row r="1751" spans="4:15" x14ac:dyDescent="0.3">
      <c r="D1751" s="1">
        <v>34086</v>
      </c>
      <c r="E1751" s="2">
        <v>43584</v>
      </c>
      <c r="F1751" s="1" t="s">
        <v>9</v>
      </c>
      <c r="G1751" s="1">
        <v>41</v>
      </c>
      <c r="H1751" t="str">
        <f t="shared" si="139"/>
        <v>XX Large</v>
      </c>
      <c r="I1751" t="str">
        <f t="shared" si="135"/>
        <v>XX Large</v>
      </c>
      <c r="J1751" s="1">
        <v>2409.5473999999999</v>
      </c>
      <c r="K1751">
        <f t="shared" si="136"/>
        <v>0.01</v>
      </c>
      <c r="L1751">
        <f t="shared" si="137"/>
        <v>2385.4519259999997</v>
      </c>
      <c r="M1751" s="1">
        <f t="shared" si="138"/>
        <v>2406.8474000000001</v>
      </c>
      <c r="N1751" s="1" t="s">
        <v>10</v>
      </c>
      <c r="O1751" s="1">
        <v>2.7</v>
      </c>
    </row>
    <row r="1752" spans="4:15" x14ac:dyDescent="0.3">
      <c r="D1752" s="1">
        <v>52068</v>
      </c>
      <c r="E1752" s="2">
        <v>43477</v>
      </c>
      <c r="F1752" s="1" t="s">
        <v>11</v>
      </c>
      <c r="G1752" s="1">
        <v>21</v>
      </c>
      <c r="H1752" t="str">
        <f t="shared" si="139"/>
        <v>Medium</v>
      </c>
      <c r="I1752" t="str">
        <f t="shared" si="135"/>
        <v>Medium</v>
      </c>
      <c r="J1752" s="1">
        <v>1302.73</v>
      </c>
      <c r="K1752">
        <f t="shared" si="136"/>
        <v>0</v>
      </c>
      <c r="L1752">
        <f t="shared" si="137"/>
        <v>1302.73</v>
      </c>
      <c r="M1752" s="1">
        <f t="shared" si="138"/>
        <v>1302.73</v>
      </c>
      <c r="N1752" s="1" t="s">
        <v>13</v>
      </c>
      <c r="O1752" s="1">
        <v>39.200000000000003</v>
      </c>
    </row>
    <row r="1753" spans="4:15" x14ac:dyDescent="0.3">
      <c r="D1753" s="1">
        <v>4578</v>
      </c>
      <c r="E1753" s="2">
        <v>43720</v>
      </c>
      <c r="F1753" s="1" t="s">
        <v>7</v>
      </c>
      <c r="G1753" s="1">
        <v>15</v>
      </c>
      <c r="H1753" t="str">
        <f t="shared" si="139"/>
        <v>Small</v>
      </c>
      <c r="I1753" t="str">
        <f t="shared" si="135"/>
        <v>Small</v>
      </c>
      <c r="J1753" s="1">
        <v>315.29000000000002</v>
      </c>
      <c r="K1753">
        <f t="shared" si="136"/>
        <v>0</v>
      </c>
      <c r="L1753">
        <f t="shared" si="137"/>
        <v>315.29000000000002</v>
      </c>
      <c r="M1753" s="1">
        <f t="shared" si="138"/>
        <v>315.29000000000002</v>
      </c>
      <c r="N1753" s="1" t="s">
        <v>10</v>
      </c>
      <c r="O1753" s="1">
        <v>7.1</v>
      </c>
    </row>
    <row r="1754" spans="4:15" x14ac:dyDescent="0.3">
      <c r="D1754" s="1">
        <v>8231</v>
      </c>
      <c r="E1754" s="2">
        <v>43756</v>
      </c>
      <c r="F1754" s="1" t="s">
        <v>12</v>
      </c>
      <c r="G1754" s="1">
        <v>5</v>
      </c>
      <c r="H1754" t="str">
        <f t="shared" si="139"/>
        <v>Mini</v>
      </c>
      <c r="I1754" t="str">
        <f t="shared" si="135"/>
        <v>Mini</v>
      </c>
      <c r="J1754" s="1">
        <v>117.73</v>
      </c>
      <c r="K1754">
        <f t="shared" si="136"/>
        <v>0</v>
      </c>
      <c r="L1754">
        <f t="shared" si="137"/>
        <v>117.73</v>
      </c>
      <c r="M1754" s="1">
        <f t="shared" si="138"/>
        <v>117.73</v>
      </c>
      <c r="N1754" s="1" t="s">
        <v>10</v>
      </c>
      <c r="O1754" s="1">
        <v>11.2</v>
      </c>
    </row>
    <row r="1755" spans="4:15" x14ac:dyDescent="0.3">
      <c r="D1755" s="1">
        <v>44992</v>
      </c>
      <c r="E1755" s="2">
        <v>43823</v>
      </c>
      <c r="F1755" s="1" t="s">
        <v>12</v>
      </c>
      <c r="G1755" s="1">
        <v>32</v>
      </c>
      <c r="H1755" t="str">
        <f t="shared" si="139"/>
        <v>Large</v>
      </c>
      <c r="I1755" t="str">
        <f t="shared" si="135"/>
        <v>Large</v>
      </c>
      <c r="J1755" s="1">
        <v>1790.68</v>
      </c>
      <c r="K1755">
        <f t="shared" si="136"/>
        <v>0</v>
      </c>
      <c r="L1755">
        <f t="shared" si="137"/>
        <v>1790.68</v>
      </c>
      <c r="M1755" s="1">
        <f t="shared" si="138"/>
        <v>1790.68</v>
      </c>
      <c r="N1755" s="1" t="s">
        <v>10</v>
      </c>
      <c r="O1755" s="1">
        <v>10.9</v>
      </c>
    </row>
    <row r="1756" spans="4:15" x14ac:dyDescent="0.3">
      <c r="D1756" s="1">
        <v>44679</v>
      </c>
      <c r="E1756" s="2">
        <v>43619</v>
      </c>
      <c r="F1756" s="1" t="s">
        <v>14</v>
      </c>
      <c r="G1756" s="1">
        <v>22</v>
      </c>
      <c r="H1756" t="str">
        <f t="shared" si="139"/>
        <v>Medium</v>
      </c>
      <c r="I1756" t="str">
        <f t="shared" si="135"/>
        <v>Medium</v>
      </c>
      <c r="J1756" s="1">
        <v>136.4357</v>
      </c>
      <c r="K1756">
        <f t="shared" si="136"/>
        <v>0</v>
      </c>
      <c r="L1756">
        <f t="shared" si="137"/>
        <v>136.4357</v>
      </c>
      <c r="M1756" s="1">
        <f t="shared" si="138"/>
        <v>136.4357</v>
      </c>
      <c r="N1756" s="1" t="s">
        <v>10</v>
      </c>
      <c r="O1756" s="1">
        <v>1.6</v>
      </c>
    </row>
    <row r="1757" spans="4:15" x14ac:dyDescent="0.3">
      <c r="D1757" s="1">
        <v>43494</v>
      </c>
      <c r="E1757" s="2">
        <v>43467</v>
      </c>
      <c r="F1757" s="1" t="s">
        <v>14</v>
      </c>
      <c r="G1757" s="1">
        <v>2</v>
      </c>
      <c r="H1757" t="str">
        <f t="shared" si="139"/>
        <v>Mini</v>
      </c>
      <c r="I1757" t="str">
        <f t="shared" si="135"/>
        <v>Mini</v>
      </c>
      <c r="J1757" s="1">
        <v>3925.06</v>
      </c>
      <c r="K1757">
        <f t="shared" si="136"/>
        <v>0</v>
      </c>
      <c r="L1757">
        <f t="shared" si="137"/>
        <v>3925.06</v>
      </c>
      <c r="M1757" s="1">
        <f t="shared" si="138"/>
        <v>3925.06</v>
      </c>
      <c r="N1757" s="1" t="s">
        <v>10</v>
      </c>
      <c r="O1757" s="1">
        <v>15</v>
      </c>
    </row>
    <row r="1758" spans="4:15" x14ac:dyDescent="0.3">
      <c r="D1758" s="1">
        <v>26661</v>
      </c>
      <c r="E1758" s="2">
        <v>43818</v>
      </c>
      <c r="F1758" s="1" t="s">
        <v>14</v>
      </c>
      <c r="G1758" s="1">
        <v>31</v>
      </c>
      <c r="H1758" t="str">
        <f t="shared" si="139"/>
        <v>Large</v>
      </c>
      <c r="I1758" t="str">
        <f t="shared" si="135"/>
        <v>Large</v>
      </c>
      <c r="J1758" s="1">
        <v>1896.28</v>
      </c>
      <c r="K1758">
        <f t="shared" si="136"/>
        <v>0</v>
      </c>
      <c r="L1758">
        <f t="shared" si="137"/>
        <v>1896.28</v>
      </c>
      <c r="M1758" s="1">
        <f t="shared" si="138"/>
        <v>1896.28</v>
      </c>
      <c r="N1758" s="1" t="s">
        <v>10</v>
      </c>
      <c r="O1758" s="1">
        <v>5.3</v>
      </c>
    </row>
    <row r="1759" spans="4:15" x14ac:dyDescent="0.3">
      <c r="D1759" s="1">
        <v>194</v>
      </c>
      <c r="E1759" s="2">
        <v>43559</v>
      </c>
      <c r="F1759" s="1" t="s">
        <v>14</v>
      </c>
      <c r="G1759" s="1">
        <v>49</v>
      </c>
      <c r="H1759" t="str">
        <f t="shared" si="139"/>
        <v>XXX Large</v>
      </c>
      <c r="I1759" t="str">
        <f t="shared" si="135"/>
        <v>XXX Large</v>
      </c>
      <c r="J1759" s="1">
        <v>352.06</v>
      </c>
      <c r="K1759">
        <f t="shared" si="136"/>
        <v>0.01</v>
      </c>
      <c r="L1759">
        <f t="shared" si="137"/>
        <v>348.5394</v>
      </c>
      <c r="M1759" s="1">
        <f t="shared" si="138"/>
        <v>343.56</v>
      </c>
      <c r="N1759" s="1" t="s">
        <v>10</v>
      </c>
      <c r="O1759" s="1">
        <v>8.5</v>
      </c>
    </row>
    <row r="1760" spans="4:15" x14ac:dyDescent="0.3">
      <c r="D1760" s="1">
        <v>27201</v>
      </c>
      <c r="E1760" s="2">
        <v>43671</v>
      </c>
      <c r="F1760" s="1" t="s">
        <v>9</v>
      </c>
      <c r="G1760" s="1">
        <v>10</v>
      </c>
      <c r="H1760" t="str">
        <f t="shared" si="139"/>
        <v>Extra Small</v>
      </c>
      <c r="I1760" t="str">
        <f t="shared" si="135"/>
        <v>Extra Small</v>
      </c>
      <c r="J1760" s="1">
        <v>5410.87</v>
      </c>
      <c r="K1760">
        <f t="shared" si="136"/>
        <v>0</v>
      </c>
      <c r="L1760">
        <f t="shared" si="137"/>
        <v>5410.87</v>
      </c>
      <c r="M1760" s="1">
        <f t="shared" si="138"/>
        <v>5410.87</v>
      </c>
      <c r="N1760" s="1" t="s">
        <v>13</v>
      </c>
      <c r="O1760" s="1">
        <v>27.8</v>
      </c>
    </row>
    <row r="1761" spans="4:15" x14ac:dyDescent="0.3">
      <c r="D1761" s="1">
        <v>5409</v>
      </c>
      <c r="E1761" s="2">
        <v>43472</v>
      </c>
      <c r="F1761" s="1" t="s">
        <v>7</v>
      </c>
      <c r="G1761" s="1">
        <v>11</v>
      </c>
      <c r="H1761" t="str">
        <f t="shared" si="139"/>
        <v>Small</v>
      </c>
      <c r="I1761" t="str">
        <f t="shared" si="135"/>
        <v>Small</v>
      </c>
      <c r="J1761" s="1">
        <v>52.33</v>
      </c>
      <c r="K1761">
        <f t="shared" si="136"/>
        <v>0</v>
      </c>
      <c r="L1761">
        <f t="shared" si="137"/>
        <v>52.33</v>
      </c>
      <c r="M1761" s="1">
        <f t="shared" si="138"/>
        <v>52.33</v>
      </c>
      <c r="N1761" s="1" t="s">
        <v>10</v>
      </c>
      <c r="O1761" s="1">
        <v>3.2</v>
      </c>
    </row>
    <row r="1762" spans="4:15" x14ac:dyDescent="0.3">
      <c r="D1762" s="1">
        <v>51556</v>
      </c>
      <c r="E1762" s="2">
        <v>43765</v>
      </c>
      <c r="F1762" s="1" t="s">
        <v>9</v>
      </c>
      <c r="G1762" s="1">
        <v>10</v>
      </c>
      <c r="H1762" t="str">
        <f t="shared" si="139"/>
        <v>Extra Small</v>
      </c>
      <c r="I1762" t="str">
        <f t="shared" si="135"/>
        <v>Extra Small</v>
      </c>
      <c r="J1762" s="1">
        <v>48.89</v>
      </c>
      <c r="K1762">
        <f t="shared" si="136"/>
        <v>0</v>
      </c>
      <c r="L1762">
        <f t="shared" si="137"/>
        <v>48.89</v>
      </c>
      <c r="M1762" s="1">
        <f t="shared" si="138"/>
        <v>48.89</v>
      </c>
      <c r="N1762" s="1" t="s">
        <v>8</v>
      </c>
      <c r="O1762" s="1">
        <v>4.5</v>
      </c>
    </row>
    <row r="1763" spans="4:15" x14ac:dyDescent="0.3">
      <c r="D1763" s="1">
        <v>8388</v>
      </c>
      <c r="E1763" s="2">
        <v>43518</v>
      </c>
      <c r="F1763" s="1" t="s">
        <v>7</v>
      </c>
      <c r="G1763" s="1">
        <v>42</v>
      </c>
      <c r="H1763" t="str">
        <f t="shared" si="139"/>
        <v>XX Large</v>
      </c>
      <c r="I1763" t="str">
        <f t="shared" si="135"/>
        <v>XX Large</v>
      </c>
      <c r="J1763" s="1">
        <v>309.12</v>
      </c>
      <c r="K1763">
        <f t="shared" si="136"/>
        <v>0.01</v>
      </c>
      <c r="L1763">
        <f t="shared" si="137"/>
        <v>306.02879999999999</v>
      </c>
      <c r="M1763" s="1">
        <f t="shared" si="138"/>
        <v>307.42</v>
      </c>
      <c r="N1763" s="1" t="s">
        <v>10</v>
      </c>
      <c r="O1763" s="1">
        <v>1.7</v>
      </c>
    </row>
    <row r="1764" spans="4:15" x14ac:dyDescent="0.3">
      <c r="D1764" s="1">
        <v>44099</v>
      </c>
      <c r="E1764" s="2">
        <v>43536</v>
      </c>
      <c r="F1764" s="1" t="s">
        <v>14</v>
      </c>
      <c r="G1764" s="1">
        <v>19</v>
      </c>
      <c r="H1764" t="str">
        <f t="shared" si="139"/>
        <v>Small-Medium</v>
      </c>
      <c r="I1764" t="str">
        <f t="shared" si="135"/>
        <v>Small-Medium</v>
      </c>
      <c r="J1764" s="1">
        <v>86.47</v>
      </c>
      <c r="K1764">
        <f t="shared" si="136"/>
        <v>0</v>
      </c>
      <c r="L1764">
        <f t="shared" si="137"/>
        <v>86.47</v>
      </c>
      <c r="M1764" s="1">
        <f t="shared" si="138"/>
        <v>86.47</v>
      </c>
      <c r="N1764" s="1" t="s">
        <v>10</v>
      </c>
      <c r="O1764" s="1">
        <v>5.8</v>
      </c>
    </row>
    <row r="1765" spans="4:15" x14ac:dyDescent="0.3">
      <c r="D1765" s="1">
        <v>57152</v>
      </c>
      <c r="E1765" s="2">
        <v>43711</v>
      </c>
      <c r="F1765" s="1" t="s">
        <v>7</v>
      </c>
      <c r="G1765" s="1">
        <v>18</v>
      </c>
      <c r="H1765" t="str">
        <f t="shared" si="139"/>
        <v>Small-Medium</v>
      </c>
      <c r="I1765" t="str">
        <f t="shared" si="135"/>
        <v>Small-Medium</v>
      </c>
      <c r="J1765" s="1">
        <v>290.87950000000001</v>
      </c>
      <c r="K1765">
        <f t="shared" si="136"/>
        <v>0</v>
      </c>
      <c r="L1765">
        <f t="shared" si="137"/>
        <v>290.87950000000001</v>
      </c>
      <c r="M1765" s="1">
        <f t="shared" si="138"/>
        <v>290.87950000000001</v>
      </c>
      <c r="N1765" s="1" t="s">
        <v>10</v>
      </c>
      <c r="O1765" s="1">
        <v>1.5</v>
      </c>
    </row>
    <row r="1766" spans="4:15" x14ac:dyDescent="0.3">
      <c r="D1766" s="1">
        <v>25442</v>
      </c>
      <c r="E1766" s="2">
        <v>43469</v>
      </c>
      <c r="F1766" s="1" t="s">
        <v>9</v>
      </c>
      <c r="G1766" s="1">
        <v>40</v>
      </c>
      <c r="H1766" t="str">
        <f t="shared" si="139"/>
        <v>Extra Large</v>
      </c>
      <c r="I1766" t="str">
        <f t="shared" si="135"/>
        <v>Extra Large</v>
      </c>
      <c r="J1766" s="1">
        <v>485.76</v>
      </c>
      <c r="K1766">
        <f t="shared" si="136"/>
        <v>0.01</v>
      </c>
      <c r="L1766">
        <f t="shared" si="137"/>
        <v>480.9024</v>
      </c>
      <c r="M1766" s="1">
        <f t="shared" si="138"/>
        <v>480.36</v>
      </c>
      <c r="N1766" s="1" t="s">
        <v>10</v>
      </c>
      <c r="O1766" s="1">
        <v>5.4</v>
      </c>
    </row>
    <row r="1767" spans="4:15" x14ac:dyDescent="0.3">
      <c r="D1767" s="1">
        <v>5699</v>
      </c>
      <c r="E1767" s="2">
        <v>43675</v>
      </c>
      <c r="F1767" s="1" t="s">
        <v>7</v>
      </c>
      <c r="G1767" s="1">
        <v>41</v>
      </c>
      <c r="H1767" t="str">
        <f t="shared" si="139"/>
        <v>XX Large</v>
      </c>
      <c r="I1767" t="str">
        <f t="shared" si="135"/>
        <v>XX Large</v>
      </c>
      <c r="J1767" s="1">
        <v>614.05999999999995</v>
      </c>
      <c r="K1767">
        <f t="shared" si="136"/>
        <v>0.01</v>
      </c>
      <c r="L1767">
        <f t="shared" si="137"/>
        <v>607.9194</v>
      </c>
      <c r="M1767" s="1">
        <f t="shared" si="138"/>
        <v>605.8599999999999</v>
      </c>
      <c r="N1767" s="1" t="s">
        <v>8</v>
      </c>
      <c r="O1767" s="1">
        <v>8.1999999999999993</v>
      </c>
    </row>
    <row r="1768" spans="4:15" x14ac:dyDescent="0.3">
      <c r="D1768" s="1">
        <v>21478</v>
      </c>
      <c r="E1768" s="2">
        <v>43526</v>
      </c>
      <c r="F1768" s="1" t="s">
        <v>7</v>
      </c>
      <c r="G1768" s="1">
        <v>33</v>
      </c>
      <c r="H1768" t="str">
        <f t="shared" si="139"/>
        <v>Large</v>
      </c>
      <c r="I1768" t="str">
        <f t="shared" si="135"/>
        <v>Large</v>
      </c>
      <c r="J1768" s="1">
        <v>1714.36</v>
      </c>
      <c r="K1768">
        <f t="shared" si="136"/>
        <v>0</v>
      </c>
      <c r="L1768">
        <f t="shared" si="137"/>
        <v>1714.36</v>
      </c>
      <c r="M1768" s="1">
        <f t="shared" si="138"/>
        <v>1714.36</v>
      </c>
      <c r="N1768" s="1" t="s">
        <v>10</v>
      </c>
      <c r="O1768" s="1">
        <v>6.2</v>
      </c>
    </row>
    <row r="1769" spans="4:15" x14ac:dyDescent="0.3">
      <c r="D1769" s="1">
        <v>15104</v>
      </c>
      <c r="E1769" s="2">
        <v>43553</v>
      </c>
      <c r="F1769" s="1" t="s">
        <v>14</v>
      </c>
      <c r="G1769" s="1">
        <v>23</v>
      </c>
      <c r="H1769" t="str">
        <f t="shared" si="139"/>
        <v>Medium</v>
      </c>
      <c r="I1769" t="str">
        <f t="shared" si="135"/>
        <v>Medium</v>
      </c>
      <c r="J1769" s="1">
        <v>117.09</v>
      </c>
      <c r="K1769">
        <f t="shared" si="136"/>
        <v>0</v>
      </c>
      <c r="L1769">
        <f t="shared" si="137"/>
        <v>117.09</v>
      </c>
      <c r="M1769" s="1">
        <f t="shared" si="138"/>
        <v>117.09</v>
      </c>
      <c r="N1769" s="1" t="s">
        <v>10</v>
      </c>
      <c r="O1769" s="1">
        <v>1.6</v>
      </c>
    </row>
    <row r="1770" spans="4:15" x14ac:dyDescent="0.3">
      <c r="D1770" s="1">
        <v>33479</v>
      </c>
      <c r="E1770" s="2">
        <v>43726</v>
      </c>
      <c r="F1770" s="1" t="s">
        <v>12</v>
      </c>
      <c r="G1770" s="1">
        <v>27</v>
      </c>
      <c r="H1770" t="str">
        <f t="shared" si="139"/>
        <v>Medium-Large</v>
      </c>
      <c r="I1770" t="str">
        <f t="shared" si="135"/>
        <v>Medium-Large</v>
      </c>
      <c r="J1770" s="1">
        <v>251.93</v>
      </c>
      <c r="K1770">
        <f t="shared" si="136"/>
        <v>0</v>
      </c>
      <c r="L1770">
        <f t="shared" si="137"/>
        <v>251.93</v>
      </c>
      <c r="M1770" s="1">
        <f t="shared" si="138"/>
        <v>251.93</v>
      </c>
      <c r="N1770" s="1" t="s">
        <v>10</v>
      </c>
      <c r="O1770" s="1">
        <v>5.5</v>
      </c>
    </row>
    <row r="1771" spans="4:15" x14ac:dyDescent="0.3">
      <c r="D1771" s="1">
        <v>20450</v>
      </c>
      <c r="E1771" s="2">
        <v>43806</v>
      </c>
      <c r="F1771" s="1" t="s">
        <v>12</v>
      </c>
      <c r="G1771" s="1">
        <v>26</v>
      </c>
      <c r="H1771" t="str">
        <f t="shared" si="139"/>
        <v>Medium-Large</v>
      </c>
      <c r="I1771" t="str">
        <f t="shared" si="135"/>
        <v>Medium-Large</v>
      </c>
      <c r="J1771" s="1">
        <v>7360.05</v>
      </c>
      <c r="K1771">
        <f t="shared" si="136"/>
        <v>0</v>
      </c>
      <c r="L1771">
        <f t="shared" si="137"/>
        <v>7360.05</v>
      </c>
      <c r="M1771" s="1">
        <f t="shared" si="138"/>
        <v>7360.05</v>
      </c>
      <c r="N1771" s="1" t="s">
        <v>13</v>
      </c>
      <c r="O1771" s="1">
        <v>71.3</v>
      </c>
    </row>
    <row r="1772" spans="4:15" x14ac:dyDescent="0.3">
      <c r="D1772" s="1">
        <v>33793</v>
      </c>
      <c r="E1772" s="2">
        <v>43643</v>
      </c>
      <c r="F1772" s="1" t="s">
        <v>12</v>
      </c>
      <c r="G1772" s="1">
        <v>17</v>
      </c>
      <c r="H1772" t="str">
        <f t="shared" si="139"/>
        <v>Small-Medium</v>
      </c>
      <c r="I1772" t="str">
        <f t="shared" si="135"/>
        <v>Small-Medium</v>
      </c>
      <c r="J1772" s="1">
        <v>286.31</v>
      </c>
      <c r="K1772">
        <f t="shared" si="136"/>
        <v>0</v>
      </c>
      <c r="L1772">
        <f t="shared" si="137"/>
        <v>286.31</v>
      </c>
      <c r="M1772" s="1">
        <f t="shared" si="138"/>
        <v>286.31</v>
      </c>
      <c r="N1772" s="1" t="s">
        <v>10</v>
      </c>
      <c r="O1772" s="1">
        <v>16.100000000000001</v>
      </c>
    </row>
    <row r="1773" spans="4:15" x14ac:dyDescent="0.3">
      <c r="D1773" s="1">
        <v>4261</v>
      </c>
      <c r="E1773" s="2">
        <v>43740</v>
      </c>
      <c r="F1773" s="1" t="s">
        <v>12</v>
      </c>
      <c r="G1773" s="1">
        <v>32</v>
      </c>
      <c r="H1773" t="str">
        <f t="shared" si="139"/>
        <v>Large</v>
      </c>
      <c r="I1773" t="str">
        <f t="shared" si="135"/>
        <v>Large</v>
      </c>
      <c r="J1773" s="1">
        <v>9882.49</v>
      </c>
      <c r="K1773">
        <f t="shared" si="136"/>
        <v>0</v>
      </c>
      <c r="L1773">
        <f t="shared" si="137"/>
        <v>9882.49</v>
      </c>
      <c r="M1773" s="1">
        <f t="shared" si="138"/>
        <v>9882.49</v>
      </c>
      <c r="N1773" s="1" t="s">
        <v>10</v>
      </c>
      <c r="O1773" s="1">
        <v>26.2</v>
      </c>
    </row>
    <row r="1774" spans="4:15" x14ac:dyDescent="0.3">
      <c r="D1774" s="1">
        <v>29223</v>
      </c>
      <c r="E1774" s="2">
        <v>43484</v>
      </c>
      <c r="F1774" s="1" t="s">
        <v>9</v>
      </c>
      <c r="G1774" s="1">
        <v>48</v>
      </c>
      <c r="H1774" t="str">
        <f t="shared" si="139"/>
        <v>XXX Large</v>
      </c>
      <c r="I1774" t="str">
        <f t="shared" si="135"/>
        <v>XXX Large</v>
      </c>
      <c r="J1774" s="1">
        <v>26430.2</v>
      </c>
      <c r="K1774">
        <f t="shared" si="136"/>
        <v>0.01</v>
      </c>
      <c r="L1774">
        <f t="shared" si="137"/>
        <v>26165.898000000001</v>
      </c>
      <c r="M1774" s="1">
        <f t="shared" si="138"/>
        <v>26402.400000000001</v>
      </c>
      <c r="N1774" s="1" t="s">
        <v>13</v>
      </c>
      <c r="O1774" s="1">
        <v>27.8</v>
      </c>
    </row>
    <row r="1775" spans="4:15" x14ac:dyDescent="0.3">
      <c r="D1775" s="1">
        <v>23268</v>
      </c>
      <c r="E1775" s="2">
        <v>43480</v>
      </c>
      <c r="F1775" s="1" t="s">
        <v>9</v>
      </c>
      <c r="G1775" s="1">
        <v>5</v>
      </c>
      <c r="H1775" t="str">
        <f t="shared" si="139"/>
        <v>Mini</v>
      </c>
      <c r="I1775" t="str">
        <f t="shared" si="135"/>
        <v>Mini</v>
      </c>
      <c r="J1775" s="1">
        <v>273.18</v>
      </c>
      <c r="K1775">
        <f t="shared" si="136"/>
        <v>0</v>
      </c>
      <c r="L1775">
        <f t="shared" si="137"/>
        <v>273.18</v>
      </c>
      <c r="M1775" s="1">
        <f t="shared" si="138"/>
        <v>273.18</v>
      </c>
      <c r="N1775" s="1" t="s">
        <v>10</v>
      </c>
      <c r="O1775" s="1">
        <v>6.2</v>
      </c>
    </row>
    <row r="1776" spans="4:15" x14ac:dyDescent="0.3">
      <c r="D1776" s="1">
        <v>10470</v>
      </c>
      <c r="E1776" s="2">
        <v>43589</v>
      </c>
      <c r="F1776" s="1" t="s">
        <v>7</v>
      </c>
      <c r="G1776" s="1">
        <v>8</v>
      </c>
      <c r="H1776" t="str">
        <f t="shared" si="139"/>
        <v>Extra Small</v>
      </c>
      <c r="I1776" t="str">
        <f t="shared" si="135"/>
        <v>Extra Small</v>
      </c>
      <c r="J1776" s="1">
        <v>146.87</v>
      </c>
      <c r="K1776">
        <f t="shared" si="136"/>
        <v>0</v>
      </c>
      <c r="L1776">
        <f t="shared" si="137"/>
        <v>146.87</v>
      </c>
      <c r="M1776" s="1">
        <f t="shared" si="138"/>
        <v>146.87</v>
      </c>
      <c r="N1776" s="1" t="s">
        <v>10</v>
      </c>
      <c r="O1776" s="1">
        <v>14.1</v>
      </c>
    </row>
    <row r="1777" spans="4:15" x14ac:dyDescent="0.3">
      <c r="D1777" s="1">
        <v>14212</v>
      </c>
      <c r="E1777" s="2">
        <v>43511</v>
      </c>
      <c r="F1777" s="1" t="s">
        <v>12</v>
      </c>
      <c r="G1777" s="1">
        <v>4</v>
      </c>
      <c r="H1777" t="str">
        <f t="shared" si="139"/>
        <v>Mini</v>
      </c>
      <c r="I1777" t="str">
        <f t="shared" si="135"/>
        <v>Mini</v>
      </c>
      <c r="J1777" s="1">
        <v>33.36</v>
      </c>
      <c r="K1777">
        <f t="shared" si="136"/>
        <v>0</v>
      </c>
      <c r="L1777">
        <f t="shared" si="137"/>
        <v>33.36</v>
      </c>
      <c r="M1777" s="1">
        <f t="shared" si="138"/>
        <v>33.36</v>
      </c>
      <c r="N1777" s="1" t="s">
        <v>10</v>
      </c>
      <c r="O1777" s="1">
        <v>5.6</v>
      </c>
    </row>
    <row r="1778" spans="4:15" x14ac:dyDescent="0.3">
      <c r="D1778" s="1">
        <v>11396</v>
      </c>
      <c r="E1778" s="2">
        <v>43667</v>
      </c>
      <c r="F1778" s="1" t="s">
        <v>12</v>
      </c>
      <c r="G1778" s="1">
        <v>42</v>
      </c>
      <c r="H1778" t="str">
        <f t="shared" si="139"/>
        <v>XX Large</v>
      </c>
      <c r="I1778" t="str">
        <f t="shared" si="135"/>
        <v>XX Large</v>
      </c>
      <c r="J1778" s="1">
        <v>13129.221</v>
      </c>
      <c r="K1778">
        <f t="shared" si="136"/>
        <v>0.01</v>
      </c>
      <c r="L1778">
        <f t="shared" si="137"/>
        <v>12997.92879</v>
      </c>
      <c r="M1778" s="1">
        <f t="shared" si="138"/>
        <v>13107.821</v>
      </c>
      <c r="N1778" s="1" t="s">
        <v>10</v>
      </c>
      <c r="O1778" s="1">
        <v>21.4</v>
      </c>
    </row>
    <row r="1779" spans="4:15" x14ac:dyDescent="0.3">
      <c r="D1779" s="1">
        <v>19972</v>
      </c>
      <c r="E1779" s="2">
        <v>43632</v>
      </c>
      <c r="F1779" s="1" t="s">
        <v>12</v>
      </c>
      <c r="G1779" s="1">
        <v>6</v>
      </c>
      <c r="H1779" t="str">
        <f t="shared" si="139"/>
        <v>Extra Small</v>
      </c>
      <c r="I1779" t="str">
        <f t="shared" si="135"/>
        <v>Extra Small</v>
      </c>
      <c r="J1779" s="1">
        <v>104.7102</v>
      </c>
      <c r="K1779">
        <f t="shared" si="136"/>
        <v>0</v>
      </c>
      <c r="L1779">
        <f t="shared" si="137"/>
        <v>104.7102</v>
      </c>
      <c r="M1779" s="1">
        <f t="shared" si="138"/>
        <v>104.7102</v>
      </c>
      <c r="N1779" s="1" t="s">
        <v>10</v>
      </c>
      <c r="O1779" s="1">
        <v>9.6</v>
      </c>
    </row>
    <row r="1780" spans="4:15" x14ac:dyDescent="0.3">
      <c r="D1780" s="1">
        <v>43488</v>
      </c>
      <c r="E1780" s="2">
        <v>43634</v>
      </c>
      <c r="F1780" s="1" t="s">
        <v>12</v>
      </c>
      <c r="G1780" s="1">
        <v>46</v>
      </c>
      <c r="H1780" t="str">
        <f t="shared" si="139"/>
        <v>XXX Large</v>
      </c>
      <c r="I1780" t="str">
        <f t="shared" si="135"/>
        <v>XXX Large</v>
      </c>
      <c r="J1780" s="1">
        <v>2264.33</v>
      </c>
      <c r="K1780">
        <f t="shared" si="136"/>
        <v>0.01</v>
      </c>
      <c r="L1780">
        <f t="shared" si="137"/>
        <v>2241.6866999999997</v>
      </c>
      <c r="M1780" s="1">
        <f t="shared" si="138"/>
        <v>2259.5299999999997</v>
      </c>
      <c r="N1780" s="1" t="s">
        <v>10</v>
      </c>
      <c r="O1780" s="1">
        <v>4.8</v>
      </c>
    </row>
    <row r="1781" spans="4:15" x14ac:dyDescent="0.3">
      <c r="D1781" s="1">
        <v>18464</v>
      </c>
      <c r="E1781" s="2">
        <v>43552</v>
      </c>
      <c r="F1781" s="1" t="s">
        <v>9</v>
      </c>
      <c r="G1781" s="1">
        <v>27</v>
      </c>
      <c r="H1781" t="str">
        <f t="shared" si="139"/>
        <v>Medium-Large</v>
      </c>
      <c r="I1781" t="str">
        <f t="shared" si="135"/>
        <v>Medium-Large</v>
      </c>
      <c r="J1781" s="1">
        <v>5234.29</v>
      </c>
      <c r="K1781">
        <f t="shared" si="136"/>
        <v>0</v>
      </c>
      <c r="L1781">
        <f t="shared" si="137"/>
        <v>5234.29</v>
      </c>
      <c r="M1781" s="1">
        <f t="shared" si="138"/>
        <v>5234.29</v>
      </c>
      <c r="N1781" s="1" t="s">
        <v>13</v>
      </c>
      <c r="O1781" s="1">
        <v>59.1</v>
      </c>
    </row>
    <row r="1782" spans="4:15" x14ac:dyDescent="0.3">
      <c r="D1782" s="1">
        <v>18661</v>
      </c>
      <c r="E1782" s="2">
        <v>43716</v>
      </c>
      <c r="F1782" s="1" t="s">
        <v>7</v>
      </c>
      <c r="G1782" s="1">
        <v>12</v>
      </c>
      <c r="H1782" t="str">
        <f t="shared" si="139"/>
        <v>Small</v>
      </c>
      <c r="I1782" t="str">
        <f t="shared" si="135"/>
        <v>Small</v>
      </c>
      <c r="J1782" s="1">
        <v>1291.58</v>
      </c>
      <c r="K1782">
        <f t="shared" si="136"/>
        <v>0</v>
      </c>
      <c r="L1782">
        <f t="shared" si="137"/>
        <v>1291.58</v>
      </c>
      <c r="M1782" s="1">
        <f t="shared" si="138"/>
        <v>1291.58</v>
      </c>
      <c r="N1782" s="1" t="s">
        <v>13</v>
      </c>
      <c r="O1782" s="1">
        <v>62.3</v>
      </c>
    </row>
    <row r="1783" spans="4:15" x14ac:dyDescent="0.3">
      <c r="D1783" s="1">
        <v>36354</v>
      </c>
      <c r="E1783" s="2">
        <v>43621</v>
      </c>
      <c r="F1783" s="1" t="s">
        <v>14</v>
      </c>
      <c r="G1783" s="1">
        <v>13</v>
      </c>
      <c r="H1783" t="str">
        <f t="shared" si="139"/>
        <v>Small</v>
      </c>
      <c r="I1783" t="str">
        <f t="shared" si="135"/>
        <v>Small</v>
      </c>
      <c r="J1783" s="1">
        <v>4887.08</v>
      </c>
      <c r="K1783">
        <f t="shared" si="136"/>
        <v>0</v>
      </c>
      <c r="L1783">
        <f t="shared" si="137"/>
        <v>4887.08</v>
      </c>
      <c r="M1783" s="1">
        <f t="shared" si="138"/>
        <v>4887.08</v>
      </c>
      <c r="N1783" s="1" t="s">
        <v>10</v>
      </c>
      <c r="O1783" s="1">
        <v>21.4</v>
      </c>
    </row>
    <row r="1784" spans="4:15" x14ac:dyDescent="0.3">
      <c r="D1784" s="1">
        <v>801</v>
      </c>
      <c r="E1784" s="2">
        <v>43512</v>
      </c>
      <c r="F1784" s="1" t="s">
        <v>12</v>
      </c>
      <c r="G1784" s="1">
        <v>20</v>
      </c>
      <c r="H1784" t="str">
        <f t="shared" si="139"/>
        <v>Small-Medium</v>
      </c>
      <c r="I1784" t="str">
        <f t="shared" si="135"/>
        <v>Small-Medium</v>
      </c>
      <c r="J1784" s="1">
        <v>64.040000000000006</v>
      </c>
      <c r="K1784">
        <f t="shared" si="136"/>
        <v>0</v>
      </c>
      <c r="L1784">
        <f t="shared" si="137"/>
        <v>64.040000000000006</v>
      </c>
      <c r="M1784" s="1">
        <f t="shared" si="138"/>
        <v>64.040000000000006</v>
      </c>
      <c r="N1784" s="1" t="s">
        <v>10</v>
      </c>
      <c r="O1784" s="1">
        <v>3.7</v>
      </c>
    </row>
    <row r="1785" spans="4:15" x14ac:dyDescent="0.3">
      <c r="D1785" s="1">
        <v>51813</v>
      </c>
      <c r="E1785" s="2">
        <v>43820</v>
      </c>
      <c r="F1785" s="1" t="s">
        <v>11</v>
      </c>
      <c r="G1785" s="1">
        <v>13</v>
      </c>
      <c r="H1785" t="str">
        <f t="shared" si="139"/>
        <v>Small</v>
      </c>
      <c r="I1785" t="str">
        <f t="shared" si="135"/>
        <v>Small</v>
      </c>
      <c r="J1785" s="1">
        <v>1487.48</v>
      </c>
      <c r="K1785">
        <f t="shared" si="136"/>
        <v>0</v>
      </c>
      <c r="L1785">
        <f t="shared" si="137"/>
        <v>1487.48</v>
      </c>
      <c r="M1785" s="1">
        <f t="shared" si="138"/>
        <v>1487.48</v>
      </c>
      <c r="N1785" s="1" t="s">
        <v>10</v>
      </c>
      <c r="O1785" s="1">
        <v>37.5</v>
      </c>
    </row>
    <row r="1786" spans="4:15" x14ac:dyDescent="0.3">
      <c r="D1786" s="1">
        <v>32640</v>
      </c>
      <c r="E1786" s="2">
        <v>43723</v>
      </c>
      <c r="F1786" s="1" t="s">
        <v>9</v>
      </c>
      <c r="G1786" s="1">
        <v>12</v>
      </c>
      <c r="H1786" t="str">
        <f t="shared" si="139"/>
        <v>Small</v>
      </c>
      <c r="I1786" t="str">
        <f t="shared" si="135"/>
        <v>Small</v>
      </c>
      <c r="J1786" s="1">
        <v>173.46</v>
      </c>
      <c r="K1786">
        <f t="shared" si="136"/>
        <v>0</v>
      </c>
      <c r="L1786">
        <f t="shared" si="137"/>
        <v>173.46</v>
      </c>
      <c r="M1786" s="1">
        <f t="shared" si="138"/>
        <v>173.46</v>
      </c>
      <c r="N1786" s="1" t="s">
        <v>8</v>
      </c>
      <c r="O1786" s="1">
        <v>6.9</v>
      </c>
    </row>
    <row r="1787" spans="4:15" x14ac:dyDescent="0.3">
      <c r="D1787" s="1">
        <v>52130</v>
      </c>
      <c r="E1787" s="2">
        <v>43713</v>
      </c>
      <c r="F1787" s="1" t="s">
        <v>7</v>
      </c>
      <c r="G1787" s="1">
        <v>13</v>
      </c>
      <c r="H1787" t="str">
        <f t="shared" si="139"/>
        <v>Small</v>
      </c>
      <c r="I1787" t="str">
        <f t="shared" si="135"/>
        <v>Small</v>
      </c>
      <c r="J1787" s="1">
        <v>67.760000000000005</v>
      </c>
      <c r="K1787">
        <f t="shared" si="136"/>
        <v>0</v>
      </c>
      <c r="L1787">
        <f t="shared" si="137"/>
        <v>67.760000000000005</v>
      </c>
      <c r="M1787" s="1">
        <f t="shared" si="138"/>
        <v>67.760000000000005</v>
      </c>
      <c r="N1787" s="1" t="s">
        <v>10</v>
      </c>
      <c r="O1787" s="1">
        <v>5.7</v>
      </c>
    </row>
    <row r="1788" spans="4:15" x14ac:dyDescent="0.3">
      <c r="D1788" s="1">
        <v>52068</v>
      </c>
      <c r="E1788" s="2">
        <v>43477</v>
      </c>
      <c r="F1788" s="1" t="s">
        <v>11</v>
      </c>
      <c r="G1788" s="1">
        <v>47</v>
      </c>
      <c r="H1788" t="str">
        <f t="shared" si="139"/>
        <v>XXX Large</v>
      </c>
      <c r="I1788" t="str">
        <f t="shared" si="135"/>
        <v>XXX Large</v>
      </c>
      <c r="J1788" s="1">
        <v>26279.1</v>
      </c>
      <c r="K1788">
        <f t="shared" si="136"/>
        <v>0.01</v>
      </c>
      <c r="L1788">
        <f t="shared" si="137"/>
        <v>26016.308999999997</v>
      </c>
      <c r="M1788" s="1">
        <f t="shared" si="138"/>
        <v>26261.3</v>
      </c>
      <c r="N1788" s="1" t="s">
        <v>13</v>
      </c>
      <c r="O1788" s="1">
        <v>17.8</v>
      </c>
    </row>
    <row r="1789" spans="4:15" x14ac:dyDescent="0.3">
      <c r="D1789" s="1">
        <v>34852</v>
      </c>
      <c r="E1789" s="2">
        <v>43713</v>
      </c>
      <c r="F1789" s="1" t="s">
        <v>7</v>
      </c>
      <c r="G1789" s="1">
        <v>26</v>
      </c>
      <c r="H1789" t="str">
        <f t="shared" si="139"/>
        <v>Medium-Large</v>
      </c>
      <c r="I1789" t="str">
        <f t="shared" si="135"/>
        <v>Medium-Large</v>
      </c>
      <c r="J1789" s="1">
        <v>57.71</v>
      </c>
      <c r="K1789">
        <f t="shared" si="136"/>
        <v>0</v>
      </c>
      <c r="L1789">
        <f t="shared" si="137"/>
        <v>57.71</v>
      </c>
      <c r="M1789" s="1">
        <f t="shared" si="138"/>
        <v>57.71</v>
      </c>
      <c r="N1789" s="1" t="s">
        <v>10</v>
      </c>
      <c r="O1789" s="1">
        <v>1.6</v>
      </c>
    </row>
    <row r="1790" spans="4:15" x14ac:dyDescent="0.3">
      <c r="D1790" s="1">
        <v>33184</v>
      </c>
      <c r="E1790" s="2">
        <v>43508</v>
      </c>
      <c r="F1790" s="1" t="s">
        <v>11</v>
      </c>
      <c r="G1790" s="1">
        <v>1</v>
      </c>
      <c r="H1790" t="str">
        <f t="shared" si="139"/>
        <v>Mini</v>
      </c>
      <c r="I1790" t="str">
        <f t="shared" si="135"/>
        <v>Mini</v>
      </c>
      <c r="J1790" s="1">
        <v>1877.09</v>
      </c>
      <c r="K1790">
        <f t="shared" si="136"/>
        <v>0</v>
      </c>
      <c r="L1790">
        <f t="shared" si="137"/>
        <v>1877.09</v>
      </c>
      <c r="M1790" s="1">
        <f t="shared" si="138"/>
        <v>1877.09</v>
      </c>
      <c r="N1790" s="1" t="s">
        <v>10</v>
      </c>
      <c r="O1790" s="1">
        <v>21.4</v>
      </c>
    </row>
    <row r="1791" spans="4:15" x14ac:dyDescent="0.3">
      <c r="D1791" s="1">
        <v>23297</v>
      </c>
      <c r="E1791" s="2">
        <v>43648</v>
      </c>
      <c r="F1791" s="1" t="s">
        <v>12</v>
      </c>
      <c r="G1791" s="1">
        <v>34</v>
      </c>
      <c r="H1791" t="str">
        <f t="shared" si="139"/>
        <v>Large</v>
      </c>
      <c r="I1791" t="str">
        <f t="shared" si="135"/>
        <v>Large</v>
      </c>
      <c r="J1791" s="1">
        <v>5573.39</v>
      </c>
      <c r="K1791">
        <f t="shared" si="136"/>
        <v>0</v>
      </c>
      <c r="L1791">
        <f t="shared" si="137"/>
        <v>5573.39</v>
      </c>
      <c r="M1791" s="1">
        <f t="shared" si="138"/>
        <v>5573.39</v>
      </c>
      <c r="N1791" s="1" t="s">
        <v>10</v>
      </c>
      <c r="O1791" s="1">
        <v>7.6</v>
      </c>
    </row>
    <row r="1792" spans="4:15" x14ac:dyDescent="0.3">
      <c r="D1792" s="1">
        <v>19936</v>
      </c>
      <c r="E1792" s="2">
        <v>43782</v>
      </c>
      <c r="F1792" s="1" t="s">
        <v>12</v>
      </c>
      <c r="G1792" s="1">
        <v>19</v>
      </c>
      <c r="H1792" t="str">
        <f t="shared" si="139"/>
        <v>Small-Medium</v>
      </c>
      <c r="I1792" t="str">
        <f t="shared" si="135"/>
        <v>Small-Medium</v>
      </c>
      <c r="J1792" s="1">
        <v>39.32</v>
      </c>
      <c r="K1792">
        <f t="shared" si="136"/>
        <v>0</v>
      </c>
      <c r="L1792">
        <f t="shared" si="137"/>
        <v>39.32</v>
      </c>
      <c r="M1792" s="1">
        <f t="shared" si="138"/>
        <v>39.32</v>
      </c>
      <c r="N1792" s="1" t="s">
        <v>10</v>
      </c>
      <c r="O1792" s="1">
        <v>1.6</v>
      </c>
    </row>
    <row r="1793" spans="4:15" x14ac:dyDescent="0.3">
      <c r="D1793" s="1">
        <v>36160</v>
      </c>
      <c r="E1793" s="2">
        <v>43791</v>
      </c>
      <c r="F1793" s="1" t="s">
        <v>7</v>
      </c>
      <c r="G1793" s="1">
        <v>12</v>
      </c>
      <c r="H1793" t="str">
        <f t="shared" si="139"/>
        <v>Small</v>
      </c>
      <c r="I1793" t="str">
        <f t="shared" si="135"/>
        <v>Small</v>
      </c>
      <c r="J1793" s="1">
        <v>2374.21</v>
      </c>
      <c r="K1793">
        <f t="shared" si="136"/>
        <v>0</v>
      </c>
      <c r="L1793">
        <f t="shared" si="137"/>
        <v>2374.21</v>
      </c>
      <c r="M1793" s="1">
        <f t="shared" si="138"/>
        <v>2374.21</v>
      </c>
      <c r="N1793" s="1" t="s">
        <v>8</v>
      </c>
      <c r="O1793" s="1">
        <v>9.6</v>
      </c>
    </row>
    <row r="1794" spans="4:15" x14ac:dyDescent="0.3">
      <c r="D1794" s="1">
        <v>4996</v>
      </c>
      <c r="E1794" s="2">
        <v>43721</v>
      </c>
      <c r="F1794" s="1" t="s">
        <v>14</v>
      </c>
      <c r="G1794" s="1">
        <v>30</v>
      </c>
      <c r="H1794" t="str">
        <f t="shared" si="139"/>
        <v>Medium-Large</v>
      </c>
      <c r="I1794" t="str">
        <f t="shared" si="135"/>
        <v>Medium-Large</v>
      </c>
      <c r="J1794" s="1">
        <v>4607.2</v>
      </c>
      <c r="K1794">
        <f t="shared" si="136"/>
        <v>0</v>
      </c>
      <c r="L1794">
        <f t="shared" si="137"/>
        <v>4607.2</v>
      </c>
      <c r="M1794" s="1">
        <f t="shared" si="138"/>
        <v>4607.2</v>
      </c>
      <c r="N1794" s="1" t="s">
        <v>10</v>
      </c>
      <c r="O1794" s="1">
        <v>21.4</v>
      </c>
    </row>
    <row r="1795" spans="4:15" x14ac:dyDescent="0.3">
      <c r="D1795" s="1">
        <v>15044</v>
      </c>
      <c r="E1795" s="2">
        <v>43530</v>
      </c>
      <c r="F1795" s="1" t="s">
        <v>7</v>
      </c>
      <c r="G1795" s="1">
        <v>42</v>
      </c>
      <c r="H1795" t="str">
        <f t="shared" si="139"/>
        <v>XX Large</v>
      </c>
      <c r="I1795" t="str">
        <f t="shared" ref="I1795:I1858" si="140">VLOOKUP(G1795, $A$3:$B$12, 2, TRUE)</f>
        <v>XX Large</v>
      </c>
      <c r="J1795" s="1">
        <v>1799.31</v>
      </c>
      <c r="K1795">
        <f t="shared" ref="K1795:K1858" si="141">IF(OR(I1795="Extra Large", I1795="XX Large", I1795="XXX Large"), 0.01, 0)</f>
        <v>0.01</v>
      </c>
      <c r="L1795">
        <f t="shared" ref="L1795:L1858" si="142">J1795 * (1 - K1795)</f>
        <v>1781.3169</v>
      </c>
      <c r="M1795" s="1">
        <f t="shared" ref="M1795:M1858" si="143">IF(OR(I1795="Extra Large",I1795="XX Large",I1795="XXX Large"),J1795-O1795,J1795)</f>
        <v>1788.31</v>
      </c>
      <c r="N1795" s="1" t="s">
        <v>10</v>
      </c>
      <c r="O1795" s="1">
        <v>11</v>
      </c>
    </row>
    <row r="1796" spans="4:15" x14ac:dyDescent="0.3">
      <c r="D1796" s="1">
        <v>16518</v>
      </c>
      <c r="E1796" s="2">
        <v>43737</v>
      </c>
      <c r="F1796" s="1" t="s">
        <v>12</v>
      </c>
      <c r="G1796" s="1">
        <v>4</v>
      </c>
      <c r="H1796" t="str">
        <f t="shared" si="139"/>
        <v>Mini</v>
      </c>
      <c r="I1796" t="str">
        <f t="shared" si="140"/>
        <v>Mini</v>
      </c>
      <c r="J1796" s="1">
        <v>85.91</v>
      </c>
      <c r="K1796">
        <f t="shared" si="141"/>
        <v>0</v>
      </c>
      <c r="L1796">
        <f t="shared" si="142"/>
        <v>85.91</v>
      </c>
      <c r="M1796" s="1">
        <f t="shared" si="143"/>
        <v>85.91</v>
      </c>
      <c r="N1796" s="1" t="s">
        <v>10</v>
      </c>
      <c r="O1796" s="1">
        <v>5.6</v>
      </c>
    </row>
    <row r="1797" spans="4:15" x14ac:dyDescent="0.3">
      <c r="D1797" s="1">
        <v>27300</v>
      </c>
      <c r="E1797" s="2">
        <v>43738</v>
      </c>
      <c r="F1797" s="1" t="s">
        <v>11</v>
      </c>
      <c r="G1797" s="1">
        <v>50</v>
      </c>
      <c r="H1797" t="str">
        <f t="shared" ref="H1797:H1860" si="144">VLOOKUP(G1797, $A$3:$B$12, 2, TRUE)</f>
        <v>XXX Large</v>
      </c>
      <c r="I1797" t="str">
        <f t="shared" si="140"/>
        <v>XXX Large</v>
      </c>
      <c r="J1797" s="1">
        <v>3566.42</v>
      </c>
      <c r="K1797">
        <f t="shared" si="141"/>
        <v>0.01</v>
      </c>
      <c r="L1797">
        <f t="shared" si="142"/>
        <v>3530.7557999999999</v>
      </c>
      <c r="M1797" s="1">
        <f t="shared" si="143"/>
        <v>3562.12</v>
      </c>
      <c r="N1797" s="1" t="s">
        <v>10</v>
      </c>
      <c r="O1797" s="1">
        <v>4.3</v>
      </c>
    </row>
    <row r="1798" spans="4:15" x14ac:dyDescent="0.3">
      <c r="D1798" s="1">
        <v>30147</v>
      </c>
      <c r="E1798" s="2">
        <v>43633</v>
      </c>
      <c r="F1798" s="1" t="s">
        <v>11</v>
      </c>
      <c r="G1798" s="1">
        <v>37</v>
      </c>
      <c r="H1798" t="str">
        <f t="shared" si="144"/>
        <v>Extra Large</v>
      </c>
      <c r="I1798" t="str">
        <f t="shared" si="140"/>
        <v>Extra Large</v>
      </c>
      <c r="J1798" s="1">
        <v>791.95</v>
      </c>
      <c r="K1798">
        <f t="shared" si="141"/>
        <v>0.01</v>
      </c>
      <c r="L1798">
        <f t="shared" si="142"/>
        <v>784.03050000000007</v>
      </c>
      <c r="M1798" s="1">
        <f t="shared" si="143"/>
        <v>780.75</v>
      </c>
      <c r="N1798" s="1" t="s">
        <v>10</v>
      </c>
      <c r="O1798" s="1">
        <v>11.2</v>
      </c>
    </row>
    <row r="1799" spans="4:15" x14ac:dyDescent="0.3">
      <c r="D1799" s="1">
        <v>55494</v>
      </c>
      <c r="E1799" s="2">
        <v>43641</v>
      </c>
      <c r="F1799" s="1" t="s">
        <v>11</v>
      </c>
      <c r="G1799" s="1">
        <v>49</v>
      </c>
      <c r="H1799" t="str">
        <f t="shared" si="144"/>
        <v>XXX Large</v>
      </c>
      <c r="I1799" t="str">
        <f t="shared" si="140"/>
        <v>XXX Large</v>
      </c>
      <c r="J1799" s="1">
        <v>583.03</v>
      </c>
      <c r="K1799">
        <f t="shared" si="141"/>
        <v>0.01</v>
      </c>
      <c r="L1799">
        <f t="shared" si="142"/>
        <v>577.19970000000001</v>
      </c>
      <c r="M1799" s="1">
        <f t="shared" si="143"/>
        <v>576.82999999999993</v>
      </c>
      <c r="N1799" s="1" t="s">
        <v>10</v>
      </c>
      <c r="O1799" s="1">
        <v>6.2</v>
      </c>
    </row>
    <row r="1800" spans="4:15" x14ac:dyDescent="0.3">
      <c r="D1800" s="1">
        <v>35811</v>
      </c>
      <c r="E1800" s="2">
        <v>43467</v>
      </c>
      <c r="F1800" s="1" t="s">
        <v>12</v>
      </c>
      <c r="G1800" s="1">
        <v>6</v>
      </c>
      <c r="H1800" t="str">
        <f t="shared" si="144"/>
        <v>Extra Small</v>
      </c>
      <c r="I1800" t="str">
        <f t="shared" si="140"/>
        <v>Extra Small</v>
      </c>
      <c r="J1800" s="1">
        <v>11.12</v>
      </c>
      <c r="K1800">
        <f t="shared" si="141"/>
        <v>0</v>
      </c>
      <c r="L1800">
        <f t="shared" si="142"/>
        <v>11.12</v>
      </c>
      <c r="M1800" s="1">
        <f t="shared" si="143"/>
        <v>11.12</v>
      </c>
      <c r="N1800" s="1" t="s">
        <v>10</v>
      </c>
      <c r="O1800" s="1">
        <v>0.7</v>
      </c>
    </row>
    <row r="1801" spans="4:15" x14ac:dyDescent="0.3">
      <c r="D1801" s="1">
        <v>18466</v>
      </c>
      <c r="E1801" s="2">
        <v>43606</v>
      </c>
      <c r="F1801" s="1" t="s">
        <v>7</v>
      </c>
      <c r="G1801" s="1">
        <v>25</v>
      </c>
      <c r="H1801" t="str">
        <f t="shared" si="144"/>
        <v>Medium</v>
      </c>
      <c r="I1801" t="str">
        <f t="shared" si="140"/>
        <v>Medium</v>
      </c>
      <c r="J1801" s="1">
        <v>289.07119999999998</v>
      </c>
      <c r="K1801">
        <f t="shared" si="141"/>
        <v>0</v>
      </c>
      <c r="L1801">
        <f t="shared" si="142"/>
        <v>289.07119999999998</v>
      </c>
      <c r="M1801" s="1">
        <f t="shared" si="143"/>
        <v>289.07119999999998</v>
      </c>
      <c r="N1801" s="1" t="s">
        <v>10</v>
      </c>
      <c r="O1801" s="1">
        <v>5.6</v>
      </c>
    </row>
    <row r="1802" spans="4:15" x14ac:dyDescent="0.3">
      <c r="D1802" s="1">
        <v>2147</v>
      </c>
      <c r="E1802" s="2">
        <v>43713</v>
      </c>
      <c r="F1802" s="1" t="s">
        <v>11</v>
      </c>
      <c r="G1802" s="1">
        <v>15</v>
      </c>
      <c r="H1802" t="str">
        <f t="shared" si="144"/>
        <v>Small</v>
      </c>
      <c r="I1802" t="str">
        <f t="shared" si="140"/>
        <v>Small</v>
      </c>
      <c r="J1802" s="1">
        <v>647.46</v>
      </c>
      <c r="K1802">
        <f t="shared" si="141"/>
        <v>0</v>
      </c>
      <c r="L1802">
        <f t="shared" si="142"/>
        <v>647.46</v>
      </c>
      <c r="M1802" s="1">
        <f t="shared" si="143"/>
        <v>647.46</v>
      </c>
      <c r="N1802" s="1" t="s">
        <v>8</v>
      </c>
      <c r="O1802" s="1">
        <v>5.7</v>
      </c>
    </row>
    <row r="1803" spans="4:15" x14ac:dyDescent="0.3">
      <c r="D1803" s="1">
        <v>25825</v>
      </c>
      <c r="E1803" s="2">
        <v>43665</v>
      </c>
      <c r="F1803" s="1" t="s">
        <v>11</v>
      </c>
      <c r="G1803" s="1">
        <v>27</v>
      </c>
      <c r="H1803" t="str">
        <f t="shared" si="144"/>
        <v>Medium-Large</v>
      </c>
      <c r="I1803" t="str">
        <f t="shared" si="140"/>
        <v>Medium-Large</v>
      </c>
      <c r="J1803" s="1">
        <v>170.83</v>
      </c>
      <c r="K1803">
        <f t="shared" si="141"/>
        <v>0</v>
      </c>
      <c r="L1803">
        <f t="shared" si="142"/>
        <v>170.83</v>
      </c>
      <c r="M1803" s="1">
        <f t="shared" si="143"/>
        <v>170.83</v>
      </c>
      <c r="N1803" s="1" t="s">
        <v>10</v>
      </c>
      <c r="O1803" s="1">
        <v>2.4</v>
      </c>
    </row>
    <row r="1804" spans="4:15" x14ac:dyDescent="0.3">
      <c r="D1804" s="1">
        <v>54180</v>
      </c>
      <c r="E1804" s="2">
        <v>43760</v>
      </c>
      <c r="F1804" s="1" t="s">
        <v>12</v>
      </c>
      <c r="G1804" s="1">
        <v>43</v>
      </c>
      <c r="H1804" t="str">
        <f t="shared" si="144"/>
        <v>XX Large</v>
      </c>
      <c r="I1804" t="str">
        <f t="shared" si="140"/>
        <v>XX Large</v>
      </c>
      <c r="J1804" s="1">
        <v>977.96929999999998</v>
      </c>
      <c r="K1804">
        <f t="shared" si="141"/>
        <v>0.01</v>
      </c>
      <c r="L1804">
        <f t="shared" si="142"/>
        <v>968.18960700000002</v>
      </c>
      <c r="M1804" s="1">
        <f t="shared" si="143"/>
        <v>968.36929999999995</v>
      </c>
      <c r="N1804" s="1" t="s">
        <v>10</v>
      </c>
      <c r="O1804" s="1">
        <v>9.6</v>
      </c>
    </row>
    <row r="1805" spans="4:15" x14ac:dyDescent="0.3">
      <c r="D1805" s="1">
        <v>58722</v>
      </c>
      <c r="E1805" s="2">
        <v>43749</v>
      </c>
      <c r="F1805" s="1" t="s">
        <v>12</v>
      </c>
      <c r="G1805" s="1">
        <v>45</v>
      </c>
      <c r="H1805" t="str">
        <f t="shared" si="144"/>
        <v>XX Large</v>
      </c>
      <c r="I1805" t="str">
        <f t="shared" si="140"/>
        <v>XX Large</v>
      </c>
      <c r="J1805" s="1">
        <v>4325.9672</v>
      </c>
      <c r="K1805">
        <f t="shared" si="141"/>
        <v>0.01</v>
      </c>
      <c r="L1805">
        <f t="shared" si="142"/>
        <v>4282.7075279999999</v>
      </c>
      <c r="M1805" s="1">
        <f t="shared" si="143"/>
        <v>4281.0672000000004</v>
      </c>
      <c r="N1805" s="1" t="s">
        <v>13</v>
      </c>
      <c r="O1805" s="1">
        <v>44.9</v>
      </c>
    </row>
    <row r="1806" spans="4:15" x14ac:dyDescent="0.3">
      <c r="D1806" s="1">
        <v>55716</v>
      </c>
      <c r="E1806" s="2">
        <v>43760</v>
      </c>
      <c r="F1806" s="1" t="s">
        <v>9</v>
      </c>
      <c r="G1806" s="1">
        <v>9</v>
      </c>
      <c r="H1806" t="str">
        <f t="shared" si="144"/>
        <v>Extra Small</v>
      </c>
      <c r="I1806" t="str">
        <f t="shared" si="140"/>
        <v>Extra Small</v>
      </c>
      <c r="J1806" s="1">
        <v>15692.14</v>
      </c>
      <c r="K1806">
        <f t="shared" si="141"/>
        <v>0</v>
      </c>
      <c r="L1806">
        <f t="shared" si="142"/>
        <v>15692.14</v>
      </c>
      <c r="M1806" s="1">
        <f t="shared" si="143"/>
        <v>15692.14</v>
      </c>
      <c r="N1806" s="1" t="s">
        <v>10</v>
      </c>
      <c r="O1806" s="1">
        <v>26.2</v>
      </c>
    </row>
    <row r="1807" spans="4:15" x14ac:dyDescent="0.3">
      <c r="D1807" s="1">
        <v>16098</v>
      </c>
      <c r="E1807" s="2">
        <v>43667</v>
      </c>
      <c r="F1807" s="1" t="s">
        <v>7</v>
      </c>
      <c r="G1807" s="1">
        <v>31</v>
      </c>
      <c r="H1807" t="str">
        <f t="shared" si="144"/>
        <v>Large</v>
      </c>
      <c r="I1807" t="str">
        <f t="shared" si="140"/>
        <v>Large</v>
      </c>
      <c r="J1807" s="1">
        <v>514.05999999999995</v>
      </c>
      <c r="K1807">
        <f t="shared" si="141"/>
        <v>0</v>
      </c>
      <c r="L1807">
        <f t="shared" si="142"/>
        <v>514.05999999999995</v>
      </c>
      <c r="M1807" s="1">
        <f t="shared" si="143"/>
        <v>514.05999999999995</v>
      </c>
      <c r="N1807" s="1" t="s">
        <v>10</v>
      </c>
      <c r="O1807" s="1">
        <v>9.6</v>
      </c>
    </row>
    <row r="1808" spans="4:15" x14ac:dyDescent="0.3">
      <c r="D1808" s="1">
        <v>23616</v>
      </c>
      <c r="E1808" s="2">
        <v>43705</v>
      </c>
      <c r="F1808" s="1" t="s">
        <v>11</v>
      </c>
      <c r="G1808" s="1">
        <v>47</v>
      </c>
      <c r="H1808" t="str">
        <f t="shared" si="144"/>
        <v>XXX Large</v>
      </c>
      <c r="I1808" t="str">
        <f t="shared" si="140"/>
        <v>XXX Large</v>
      </c>
      <c r="J1808" s="1">
        <v>9910.7099999999991</v>
      </c>
      <c r="K1808">
        <f t="shared" si="141"/>
        <v>0.01</v>
      </c>
      <c r="L1808">
        <f t="shared" si="142"/>
        <v>9811.6028999999999</v>
      </c>
      <c r="M1808" s="1">
        <f t="shared" si="143"/>
        <v>9884.5099999999984</v>
      </c>
      <c r="N1808" s="1" t="s">
        <v>10</v>
      </c>
      <c r="O1808" s="1">
        <v>26.2</v>
      </c>
    </row>
    <row r="1809" spans="4:15" x14ac:dyDescent="0.3">
      <c r="D1809" s="1">
        <v>46726</v>
      </c>
      <c r="E1809" s="2">
        <v>43651</v>
      </c>
      <c r="F1809" s="1" t="s">
        <v>11</v>
      </c>
      <c r="G1809" s="1">
        <v>10</v>
      </c>
      <c r="H1809" t="str">
        <f t="shared" si="144"/>
        <v>Extra Small</v>
      </c>
      <c r="I1809" t="str">
        <f t="shared" si="140"/>
        <v>Extra Small</v>
      </c>
      <c r="J1809" s="1">
        <v>53.13</v>
      </c>
      <c r="K1809">
        <f t="shared" si="141"/>
        <v>0</v>
      </c>
      <c r="L1809">
        <f t="shared" si="142"/>
        <v>53.13</v>
      </c>
      <c r="M1809" s="1">
        <f t="shared" si="143"/>
        <v>53.13</v>
      </c>
      <c r="N1809" s="1" t="s">
        <v>10</v>
      </c>
      <c r="O1809" s="1">
        <v>1.6</v>
      </c>
    </row>
    <row r="1810" spans="4:15" x14ac:dyDescent="0.3">
      <c r="D1810" s="1">
        <v>2240</v>
      </c>
      <c r="E1810" s="2">
        <v>43529</v>
      </c>
      <c r="F1810" s="1" t="s">
        <v>11</v>
      </c>
      <c r="G1810" s="1">
        <v>17</v>
      </c>
      <c r="H1810" t="str">
        <f t="shared" si="144"/>
        <v>Small-Medium</v>
      </c>
      <c r="I1810" t="str">
        <f t="shared" si="140"/>
        <v>Small-Medium</v>
      </c>
      <c r="J1810" s="1">
        <v>199.04</v>
      </c>
      <c r="K1810">
        <f t="shared" si="141"/>
        <v>0</v>
      </c>
      <c r="L1810">
        <f t="shared" si="142"/>
        <v>199.04</v>
      </c>
      <c r="M1810" s="1">
        <f t="shared" si="143"/>
        <v>199.04</v>
      </c>
      <c r="N1810" s="1" t="s">
        <v>10</v>
      </c>
      <c r="O1810" s="1">
        <v>5.5</v>
      </c>
    </row>
    <row r="1811" spans="4:15" x14ac:dyDescent="0.3">
      <c r="D1811" s="1">
        <v>11044</v>
      </c>
      <c r="E1811" s="2">
        <v>43640</v>
      </c>
      <c r="F1811" s="1" t="s">
        <v>14</v>
      </c>
      <c r="G1811" s="1">
        <v>3</v>
      </c>
      <c r="H1811" t="str">
        <f t="shared" si="144"/>
        <v>Mini</v>
      </c>
      <c r="I1811" t="str">
        <f t="shared" si="140"/>
        <v>Mini</v>
      </c>
      <c r="J1811" s="1">
        <v>15.5</v>
      </c>
      <c r="K1811">
        <f t="shared" si="141"/>
        <v>0</v>
      </c>
      <c r="L1811">
        <f t="shared" si="142"/>
        <v>15.5</v>
      </c>
      <c r="M1811" s="1">
        <f t="shared" si="143"/>
        <v>15.5</v>
      </c>
      <c r="N1811" s="1" t="s">
        <v>10</v>
      </c>
      <c r="O1811" s="1">
        <v>5.4</v>
      </c>
    </row>
    <row r="1812" spans="4:15" x14ac:dyDescent="0.3">
      <c r="D1812" s="1">
        <v>21410</v>
      </c>
      <c r="E1812" s="2">
        <v>43586</v>
      </c>
      <c r="F1812" s="1" t="s">
        <v>12</v>
      </c>
      <c r="G1812" s="1">
        <v>16</v>
      </c>
      <c r="H1812" t="str">
        <f t="shared" si="144"/>
        <v>Small-Medium</v>
      </c>
      <c r="I1812" t="str">
        <f t="shared" si="140"/>
        <v>Small-Medium</v>
      </c>
      <c r="J1812" s="1">
        <v>2248.6999999999998</v>
      </c>
      <c r="K1812">
        <f t="shared" si="141"/>
        <v>0</v>
      </c>
      <c r="L1812">
        <f t="shared" si="142"/>
        <v>2248.6999999999998</v>
      </c>
      <c r="M1812" s="1">
        <f t="shared" si="143"/>
        <v>2248.6999999999998</v>
      </c>
      <c r="N1812" s="1" t="s">
        <v>8</v>
      </c>
      <c r="O1812" s="1">
        <v>26.2</v>
      </c>
    </row>
    <row r="1813" spans="4:15" x14ac:dyDescent="0.3">
      <c r="D1813" s="1">
        <v>5986</v>
      </c>
      <c r="E1813" s="2">
        <v>43576</v>
      </c>
      <c r="F1813" s="1" t="s">
        <v>9</v>
      </c>
      <c r="G1813" s="1">
        <v>20</v>
      </c>
      <c r="H1813" t="str">
        <f t="shared" si="144"/>
        <v>Small-Medium</v>
      </c>
      <c r="I1813" t="str">
        <f t="shared" si="140"/>
        <v>Small-Medium</v>
      </c>
      <c r="J1813" s="1">
        <v>1093.0585000000001</v>
      </c>
      <c r="K1813">
        <f t="shared" si="141"/>
        <v>0</v>
      </c>
      <c r="L1813">
        <f t="shared" si="142"/>
        <v>1093.0585000000001</v>
      </c>
      <c r="M1813" s="1">
        <f t="shared" si="143"/>
        <v>1093.0585000000001</v>
      </c>
      <c r="N1813" s="1" t="s">
        <v>13</v>
      </c>
      <c r="O1813" s="1">
        <v>15.2</v>
      </c>
    </row>
    <row r="1814" spans="4:15" x14ac:dyDescent="0.3">
      <c r="D1814" s="1">
        <v>26407</v>
      </c>
      <c r="E1814" s="2">
        <v>43635</v>
      </c>
      <c r="F1814" s="1" t="s">
        <v>12</v>
      </c>
      <c r="G1814" s="1">
        <v>16</v>
      </c>
      <c r="H1814" t="str">
        <f t="shared" si="144"/>
        <v>Small-Medium</v>
      </c>
      <c r="I1814" t="str">
        <f t="shared" si="140"/>
        <v>Small-Medium</v>
      </c>
      <c r="J1814" s="1">
        <v>2124.69</v>
      </c>
      <c r="K1814">
        <f t="shared" si="141"/>
        <v>0</v>
      </c>
      <c r="L1814">
        <f t="shared" si="142"/>
        <v>2124.69</v>
      </c>
      <c r="M1814" s="1">
        <f t="shared" si="143"/>
        <v>2124.69</v>
      </c>
      <c r="N1814" s="1" t="s">
        <v>10</v>
      </c>
      <c r="O1814" s="1">
        <v>9.6</v>
      </c>
    </row>
    <row r="1815" spans="4:15" x14ac:dyDescent="0.3">
      <c r="D1815" s="1">
        <v>25478</v>
      </c>
      <c r="E1815" s="2">
        <v>43579</v>
      </c>
      <c r="F1815" s="1" t="s">
        <v>12</v>
      </c>
      <c r="G1815" s="1">
        <v>50</v>
      </c>
      <c r="H1815" t="str">
        <f t="shared" si="144"/>
        <v>XXX Large</v>
      </c>
      <c r="I1815" t="str">
        <f t="shared" si="140"/>
        <v>XXX Large</v>
      </c>
      <c r="J1815" s="1">
        <v>306.83319999999998</v>
      </c>
      <c r="K1815">
        <f t="shared" si="141"/>
        <v>0.01</v>
      </c>
      <c r="L1815">
        <f t="shared" si="142"/>
        <v>303.76486799999998</v>
      </c>
      <c r="M1815" s="1">
        <f t="shared" si="143"/>
        <v>304.9332</v>
      </c>
      <c r="N1815" s="1" t="s">
        <v>10</v>
      </c>
      <c r="O1815" s="1">
        <v>1.9</v>
      </c>
    </row>
    <row r="1816" spans="4:15" x14ac:dyDescent="0.3">
      <c r="D1816" s="1">
        <v>30720</v>
      </c>
      <c r="E1816" s="2">
        <v>43735</v>
      </c>
      <c r="F1816" s="1" t="s">
        <v>7</v>
      </c>
      <c r="G1816" s="1">
        <v>5</v>
      </c>
      <c r="H1816" t="str">
        <f t="shared" si="144"/>
        <v>Mini</v>
      </c>
      <c r="I1816" t="str">
        <f t="shared" si="140"/>
        <v>Mini</v>
      </c>
      <c r="J1816" s="1">
        <v>35.06</v>
      </c>
      <c r="K1816">
        <f t="shared" si="141"/>
        <v>0</v>
      </c>
      <c r="L1816">
        <f t="shared" si="142"/>
        <v>35.06</v>
      </c>
      <c r="M1816" s="1">
        <f t="shared" si="143"/>
        <v>35.06</v>
      </c>
      <c r="N1816" s="1" t="s">
        <v>10</v>
      </c>
      <c r="O1816" s="1">
        <v>5.4</v>
      </c>
    </row>
    <row r="1817" spans="4:15" x14ac:dyDescent="0.3">
      <c r="D1817" s="1">
        <v>33445</v>
      </c>
      <c r="E1817" s="2">
        <v>43679</v>
      </c>
      <c r="F1817" s="1" t="s">
        <v>7</v>
      </c>
      <c r="G1817" s="1">
        <v>18</v>
      </c>
      <c r="H1817" t="str">
        <f t="shared" si="144"/>
        <v>Small-Medium</v>
      </c>
      <c r="I1817" t="str">
        <f t="shared" si="140"/>
        <v>Small-Medium</v>
      </c>
      <c r="J1817" s="1">
        <v>1901.35</v>
      </c>
      <c r="K1817">
        <f t="shared" si="141"/>
        <v>0</v>
      </c>
      <c r="L1817">
        <f t="shared" si="142"/>
        <v>1901.35</v>
      </c>
      <c r="M1817" s="1">
        <f t="shared" si="143"/>
        <v>1901.35</v>
      </c>
      <c r="N1817" s="1" t="s">
        <v>13</v>
      </c>
      <c r="O1817" s="1">
        <v>38.299999999999997</v>
      </c>
    </row>
    <row r="1818" spans="4:15" x14ac:dyDescent="0.3">
      <c r="D1818" s="1">
        <v>929</v>
      </c>
      <c r="E1818" s="2">
        <v>43739</v>
      </c>
      <c r="F1818" s="1" t="s">
        <v>9</v>
      </c>
      <c r="G1818" s="1">
        <v>21</v>
      </c>
      <c r="H1818" t="str">
        <f t="shared" si="144"/>
        <v>Medium</v>
      </c>
      <c r="I1818" t="str">
        <f t="shared" si="140"/>
        <v>Medium</v>
      </c>
      <c r="J1818" s="1">
        <v>243.6</v>
      </c>
      <c r="K1818">
        <f t="shared" si="141"/>
        <v>0</v>
      </c>
      <c r="L1818">
        <f t="shared" si="142"/>
        <v>243.6</v>
      </c>
      <c r="M1818" s="1">
        <f t="shared" si="143"/>
        <v>243.6</v>
      </c>
      <c r="N1818" s="1" t="s">
        <v>10</v>
      </c>
      <c r="O1818" s="1">
        <v>7</v>
      </c>
    </row>
    <row r="1819" spans="4:15" x14ac:dyDescent="0.3">
      <c r="D1819" s="1">
        <v>36512</v>
      </c>
      <c r="E1819" s="2">
        <v>43552</v>
      </c>
      <c r="F1819" s="1" t="s">
        <v>11</v>
      </c>
      <c r="G1819" s="1">
        <v>30</v>
      </c>
      <c r="H1819" t="str">
        <f t="shared" si="144"/>
        <v>Medium-Large</v>
      </c>
      <c r="I1819" t="str">
        <f t="shared" si="140"/>
        <v>Medium-Large</v>
      </c>
      <c r="J1819" s="1">
        <v>11142.63</v>
      </c>
      <c r="K1819">
        <f t="shared" si="141"/>
        <v>0</v>
      </c>
      <c r="L1819">
        <f t="shared" si="142"/>
        <v>11142.63</v>
      </c>
      <c r="M1819" s="1">
        <f t="shared" si="143"/>
        <v>11142.63</v>
      </c>
      <c r="N1819" s="1" t="s">
        <v>13</v>
      </c>
      <c r="O1819" s="1">
        <v>63</v>
      </c>
    </row>
    <row r="1820" spans="4:15" x14ac:dyDescent="0.3">
      <c r="D1820" s="1">
        <v>42596</v>
      </c>
      <c r="E1820" s="2">
        <v>43691</v>
      </c>
      <c r="F1820" s="1" t="s">
        <v>14</v>
      </c>
      <c r="G1820" s="1">
        <v>9</v>
      </c>
      <c r="H1820" t="str">
        <f t="shared" si="144"/>
        <v>Extra Small</v>
      </c>
      <c r="I1820" t="str">
        <f t="shared" si="140"/>
        <v>Extra Small</v>
      </c>
      <c r="J1820" s="1">
        <v>55.37</v>
      </c>
      <c r="K1820">
        <f t="shared" si="141"/>
        <v>0</v>
      </c>
      <c r="L1820">
        <f t="shared" si="142"/>
        <v>55.37</v>
      </c>
      <c r="M1820" s="1">
        <f t="shared" si="143"/>
        <v>55.37</v>
      </c>
      <c r="N1820" s="1" t="s">
        <v>10</v>
      </c>
      <c r="O1820" s="1">
        <v>0.7</v>
      </c>
    </row>
    <row r="1821" spans="4:15" x14ac:dyDescent="0.3">
      <c r="D1821" s="1">
        <v>58051</v>
      </c>
      <c r="E1821" s="2">
        <v>43544</v>
      </c>
      <c r="F1821" s="1" t="s">
        <v>9</v>
      </c>
      <c r="G1821" s="1">
        <v>6</v>
      </c>
      <c r="H1821" t="str">
        <f t="shared" si="144"/>
        <v>Extra Small</v>
      </c>
      <c r="I1821" t="str">
        <f t="shared" si="140"/>
        <v>Extra Small</v>
      </c>
      <c r="J1821" s="1">
        <v>274.56200000000001</v>
      </c>
      <c r="K1821">
        <f t="shared" si="141"/>
        <v>0</v>
      </c>
      <c r="L1821">
        <f t="shared" si="142"/>
        <v>274.56200000000001</v>
      </c>
      <c r="M1821" s="1">
        <f t="shared" si="143"/>
        <v>274.56200000000001</v>
      </c>
      <c r="N1821" s="1" t="s">
        <v>10</v>
      </c>
      <c r="O1821" s="1">
        <v>7.6</v>
      </c>
    </row>
    <row r="1822" spans="4:15" x14ac:dyDescent="0.3">
      <c r="D1822" s="1">
        <v>43555</v>
      </c>
      <c r="E1822" s="2">
        <v>43649</v>
      </c>
      <c r="F1822" s="1" t="s">
        <v>14</v>
      </c>
      <c r="G1822" s="1">
        <v>34</v>
      </c>
      <c r="H1822" t="str">
        <f t="shared" si="144"/>
        <v>Large</v>
      </c>
      <c r="I1822" t="str">
        <f t="shared" si="140"/>
        <v>Large</v>
      </c>
      <c r="J1822" s="1">
        <v>46.59</v>
      </c>
      <c r="K1822">
        <f t="shared" si="141"/>
        <v>0</v>
      </c>
      <c r="L1822">
        <f t="shared" si="142"/>
        <v>46.59</v>
      </c>
      <c r="M1822" s="1">
        <f t="shared" si="143"/>
        <v>46.59</v>
      </c>
      <c r="N1822" s="1" t="s">
        <v>10</v>
      </c>
      <c r="O1822" s="1">
        <v>0.7</v>
      </c>
    </row>
    <row r="1823" spans="4:15" x14ac:dyDescent="0.3">
      <c r="D1823" s="1">
        <v>5890</v>
      </c>
      <c r="E1823" s="2">
        <v>43772</v>
      </c>
      <c r="F1823" s="1" t="s">
        <v>9</v>
      </c>
      <c r="G1823" s="1">
        <v>42</v>
      </c>
      <c r="H1823" t="str">
        <f t="shared" si="144"/>
        <v>XX Large</v>
      </c>
      <c r="I1823" t="str">
        <f t="shared" si="140"/>
        <v>XX Large</v>
      </c>
      <c r="J1823" s="1">
        <v>870.48</v>
      </c>
      <c r="K1823">
        <f t="shared" si="141"/>
        <v>0.01</v>
      </c>
      <c r="L1823">
        <f t="shared" si="142"/>
        <v>861.77520000000004</v>
      </c>
      <c r="M1823" s="1">
        <f t="shared" si="143"/>
        <v>869.38</v>
      </c>
      <c r="N1823" s="1" t="s">
        <v>8</v>
      </c>
      <c r="O1823" s="1">
        <v>1.1000000000000001</v>
      </c>
    </row>
    <row r="1824" spans="4:15" x14ac:dyDescent="0.3">
      <c r="D1824" s="1">
        <v>13570</v>
      </c>
      <c r="E1824" s="2">
        <v>43801</v>
      </c>
      <c r="F1824" s="1" t="s">
        <v>11</v>
      </c>
      <c r="G1824" s="1">
        <v>42</v>
      </c>
      <c r="H1824" t="str">
        <f t="shared" si="144"/>
        <v>XX Large</v>
      </c>
      <c r="I1824" t="str">
        <f t="shared" si="140"/>
        <v>XX Large</v>
      </c>
      <c r="J1824" s="1">
        <v>4363.2</v>
      </c>
      <c r="K1824">
        <f t="shared" si="141"/>
        <v>0.01</v>
      </c>
      <c r="L1824">
        <f t="shared" si="142"/>
        <v>4319.5680000000002</v>
      </c>
      <c r="M1824" s="1">
        <f t="shared" si="143"/>
        <v>4353.5999999999995</v>
      </c>
      <c r="N1824" s="1" t="s">
        <v>10</v>
      </c>
      <c r="O1824" s="1">
        <v>9.6</v>
      </c>
    </row>
    <row r="1825" spans="4:15" x14ac:dyDescent="0.3">
      <c r="D1825" s="1">
        <v>40065</v>
      </c>
      <c r="E1825" s="2">
        <v>43512</v>
      </c>
      <c r="F1825" s="1" t="s">
        <v>9</v>
      </c>
      <c r="G1825" s="1">
        <v>49</v>
      </c>
      <c r="H1825" t="str">
        <f t="shared" si="144"/>
        <v>XXX Large</v>
      </c>
      <c r="I1825" t="str">
        <f t="shared" si="140"/>
        <v>XXX Large</v>
      </c>
      <c r="J1825" s="1">
        <v>22620.94</v>
      </c>
      <c r="K1825">
        <f t="shared" si="141"/>
        <v>0.01</v>
      </c>
      <c r="L1825">
        <f t="shared" si="142"/>
        <v>22394.730599999999</v>
      </c>
      <c r="M1825" s="1">
        <f t="shared" si="143"/>
        <v>22594.739999999998</v>
      </c>
      <c r="N1825" s="1" t="s">
        <v>10</v>
      </c>
      <c r="O1825" s="1">
        <v>26.2</v>
      </c>
    </row>
    <row r="1826" spans="4:15" x14ac:dyDescent="0.3">
      <c r="D1826" s="1">
        <v>51489</v>
      </c>
      <c r="E1826" s="2">
        <v>43527</v>
      </c>
      <c r="F1826" s="1" t="s">
        <v>12</v>
      </c>
      <c r="G1826" s="1">
        <v>5</v>
      </c>
      <c r="H1826" t="str">
        <f t="shared" si="144"/>
        <v>Mini</v>
      </c>
      <c r="I1826" t="str">
        <f t="shared" si="140"/>
        <v>Mini</v>
      </c>
      <c r="J1826" s="1">
        <v>34.979999999999997</v>
      </c>
      <c r="K1826">
        <f t="shared" si="141"/>
        <v>0</v>
      </c>
      <c r="L1826">
        <f t="shared" si="142"/>
        <v>34.979999999999997</v>
      </c>
      <c r="M1826" s="1">
        <f t="shared" si="143"/>
        <v>34.979999999999997</v>
      </c>
      <c r="N1826" s="1" t="s">
        <v>10</v>
      </c>
      <c r="O1826" s="1">
        <v>8.1</v>
      </c>
    </row>
    <row r="1827" spans="4:15" x14ac:dyDescent="0.3">
      <c r="D1827" s="1">
        <v>45317</v>
      </c>
      <c r="E1827" s="2">
        <v>43525</v>
      </c>
      <c r="F1827" s="1" t="s">
        <v>7</v>
      </c>
      <c r="G1827" s="1">
        <v>36</v>
      </c>
      <c r="H1827" t="str">
        <f t="shared" si="144"/>
        <v>Extra Large</v>
      </c>
      <c r="I1827" t="str">
        <f t="shared" si="140"/>
        <v>Extra Large</v>
      </c>
      <c r="J1827" s="1">
        <v>1536.47</v>
      </c>
      <c r="K1827">
        <f t="shared" si="141"/>
        <v>0.01</v>
      </c>
      <c r="L1827">
        <f t="shared" si="142"/>
        <v>1521.1052999999999</v>
      </c>
      <c r="M1827" s="1">
        <f t="shared" si="143"/>
        <v>1534.3700000000001</v>
      </c>
      <c r="N1827" s="1" t="s">
        <v>10</v>
      </c>
      <c r="O1827" s="1">
        <v>2.1</v>
      </c>
    </row>
    <row r="1828" spans="4:15" x14ac:dyDescent="0.3">
      <c r="D1828" s="1">
        <v>41120</v>
      </c>
      <c r="E1828" s="2">
        <v>43653</v>
      </c>
      <c r="F1828" s="1" t="s">
        <v>7</v>
      </c>
      <c r="G1828" s="1">
        <v>13</v>
      </c>
      <c r="H1828" t="str">
        <f t="shared" si="144"/>
        <v>Small</v>
      </c>
      <c r="I1828" t="str">
        <f t="shared" si="140"/>
        <v>Small</v>
      </c>
      <c r="J1828" s="1">
        <v>46.41</v>
      </c>
      <c r="K1828">
        <f t="shared" si="141"/>
        <v>0</v>
      </c>
      <c r="L1828">
        <f t="shared" si="142"/>
        <v>46.41</v>
      </c>
      <c r="M1828" s="1">
        <f t="shared" si="143"/>
        <v>46.41</v>
      </c>
      <c r="N1828" s="1" t="s">
        <v>10</v>
      </c>
      <c r="O1828" s="1">
        <v>1.1000000000000001</v>
      </c>
    </row>
    <row r="1829" spans="4:15" x14ac:dyDescent="0.3">
      <c r="D1829" s="1">
        <v>25473</v>
      </c>
      <c r="E1829" s="2">
        <v>43752</v>
      </c>
      <c r="F1829" s="1" t="s">
        <v>9</v>
      </c>
      <c r="G1829" s="1">
        <v>20</v>
      </c>
      <c r="H1829" t="str">
        <f t="shared" si="144"/>
        <v>Small-Medium</v>
      </c>
      <c r="I1829" t="str">
        <f t="shared" si="140"/>
        <v>Small-Medium</v>
      </c>
      <c r="J1829" s="1">
        <v>849.92</v>
      </c>
      <c r="K1829">
        <f t="shared" si="141"/>
        <v>0</v>
      </c>
      <c r="L1829">
        <f t="shared" si="142"/>
        <v>849.92</v>
      </c>
      <c r="M1829" s="1">
        <f t="shared" si="143"/>
        <v>849.92</v>
      </c>
      <c r="N1829" s="1" t="s">
        <v>10</v>
      </c>
      <c r="O1829" s="1">
        <v>18.7</v>
      </c>
    </row>
    <row r="1830" spans="4:15" x14ac:dyDescent="0.3">
      <c r="D1830" s="1">
        <v>31552</v>
      </c>
      <c r="E1830" s="2">
        <v>43780</v>
      </c>
      <c r="F1830" s="1" t="s">
        <v>9</v>
      </c>
      <c r="G1830" s="1">
        <v>24</v>
      </c>
      <c r="H1830" t="str">
        <f t="shared" si="144"/>
        <v>Medium</v>
      </c>
      <c r="I1830" t="str">
        <f t="shared" si="140"/>
        <v>Medium</v>
      </c>
      <c r="J1830" s="1">
        <v>782.93</v>
      </c>
      <c r="K1830">
        <f t="shared" si="141"/>
        <v>0</v>
      </c>
      <c r="L1830">
        <f t="shared" si="142"/>
        <v>782.93</v>
      </c>
      <c r="M1830" s="1">
        <f t="shared" si="143"/>
        <v>782.93</v>
      </c>
      <c r="N1830" s="1" t="s">
        <v>10</v>
      </c>
      <c r="O1830" s="1">
        <v>2.1</v>
      </c>
    </row>
    <row r="1831" spans="4:15" x14ac:dyDescent="0.3">
      <c r="D1831" s="1">
        <v>16807</v>
      </c>
      <c r="E1831" s="2">
        <v>43479</v>
      </c>
      <c r="F1831" s="1" t="s">
        <v>14</v>
      </c>
      <c r="G1831" s="1">
        <v>30</v>
      </c>
      <c r="H1831" t="str">
        <f t="shared" si="144"/>
        <v>Medium-Large</v>
      </c>
      <c r="I1831" t="str">
        <f t="shared" si="140"/>
        <v>Medium-Large</v>
      </c>
      <c r="J1831" s="1">
        <v>230.96</v>
      </c>
      <c r="K1831">
        <f t="shared" si="141"/>
        <v>0</v>
      </c>
      <c r="L1831">
        <f t="shared" si="142"/>
        <v>230.96</v>
      </c>
      <c r="M1831" s="1">
        <f t="shared" si="143"/>
        <v>230.96</v>
      </c>
      <c r="N1831" s="1" t="s">
        <v>10</v>
      </c>
      <c r="O1831" s="1">
        <v>1.8</v>
      </c>
    </row>
    <row r="1832" spans="4:15" x14ac:dyDescent="0.3">
      <c r="D1832" s="1">
        <v>40098</v>
      </c>
      <c r="E1832" s="2">
        <v>43500</v>
      </c>
      <c r="F1832" s="1" t="s">
        <v>7</v>
      </c>
      <c r="G1832" s="1">
        <v>46</v>
      </c>
      <c r="H1832" t="str">
        <f t="shared" si="144"/>
        <v>XXX Large</v>
      </c>
      <c r="I1832" t="str">
        <f t="shared" si="140"/>
        <v>XXX Large</v>
      </c>
      <c r="J1832" s="1">
        <v>596.36</v>
      </c>
      <c r="K1832">
        <f t="shared" si="141"/>
        <v>0.01</v>
      </c>
      <c r="L1832">
        <f t="shared" si="142"/>
        <v>590.39639999999997</v>
      </c>
      <c r="M1832" s="1">
        <f t="shared" si="143"/>
        <v>588.66</v>
      </c>
      <c r="N1832" s="1" t="s">
        <v>10</v>
      </c>
      <c r="O1832" s="1">
        <v>7.7</v>
      </c>
    </row>
    <row r="1833" spans="4:15" x14ac:dyDescent="0.3">
      <c r="D1833" s="1">
        <v>26982</v>
      </c>
      <c r="E1833" s="2">
        <v>43583</v>
      </c>
      <c r="F1833" s="1" t="s">
        <v>11</v>
      </c>
      <c r="G1833" s="1">
        <v>37</v>
      </c>
      <c r="H1833" t="str">
        <f t="shared" si="144"/>
        <v>Extra Large</v>
      </c>
      <c r="I1833" t="str">
        <f t="shared" si="140"/>
        <v>Extra Large</v>
      </c>
      <c r="J1833" s="1">
        <v>2123.5300000000002</v>
      </c>
      <c r="K1833">
        <f t="shared" si="141"/>
        <v>0.01</v>
      </c>
      <c r="L1833">
        <f t="shared" si="142"/>
        <v>2102.2947000000004</v>
      </c>
      <c r="M1833" s="1">
        <f t="shared" si="143"/>
        <v>2108.23</v>
      </c>
      <c r="N1833" s="1" t="s">
        <v>8</v>
      </c>
      <c r="O1833" s="1">
        <v>15.3</v>
      </c>
    </row>
    <row r="1834" spans="4:15" x14ac:dyDescent="0.3">
      <c r="D1834" s="1">
        <v>21191</v>
      </c>
      <c r="E1834" s="2">
        <v>43783</v>
      </c>
      <c r="F1834" s="1" t="s">
        <v>9</v>
      </c>
      <c r="G1834" s="1">
        <v>48</v>
      </c>
      <c r="H1834" t="str">
        <f t="shared" si="144"/>
        <v>XXX Large</v>
      </c>
      <c r="I1834" t="str">
        <f t="shared" si="140"/>
        <v>XXX Large</v>
      </c>
      <c r="J1834" s="1">
        <v>7742.34</v>
      </c>
      <c r="K1834">
        <f t="shared" si="141"/>
        <v>0.01</v>
      </c>
      <c r="L1834">
        <f t="shared" si="142"/>
        <v>7664.9166000000005</v>
      </c>
      <c r="M1834" s="1">
        <f t="shared" si="143"/>
        <v>7727.34</v>
      </c>
      <c r="N1834" s="1" t="s">
        <v>10</v>
      </c>
      <c r="O1834" s="1">
        <v>15</v>
      </c>
    </row>
    <row r="1835" spans="4:15" x14ac:dyDescent="0.3">
      <c r="D1835" s="1">
        <v>2688</v>
      </c>
      <c r="E1835" s="2">
        <v>43487</v>
      </c>
      <c r="F1835" s="1" t="s">
        <v>9</v>
      </c>
      <c r="G1835" s="1">
        <v>11</v>
      </c>
      <c r="H1835" t="str">
        <f t="shared" si="144"/>
        <v>Small</v>
      </c>
      <c r="I1835" t="str">
        <f t="shared" si="140"/>
        <v>Small</v>
      </c>
      <c r="J1835" s="1">
        <v>1668.596</v>
      </c>
      <c r="K1835">
        <f t="shared" si="141"/>
        <v>0</v>
      </c>
      <c r="L1835">
        <f t="shared" si="142"/>
        <v>1668.596</v>
      </c>
      <c r="M1835" s="1">
        <f t="shared" si="143"/>
        <v>1668.596</v>
      </c>
      <c r="N1835" s="1" t="s">
        <v>10</v>
      </c>
      <c r="O1835" s="1">
        <v>4.2</v>
      </c>
    </row>
    <row r="1836" spans="4:15" x14ac:dyDescent="0.3">
      <c r="D1836" s="1">
        <v>10688</v>
      </c>
      <c r="E1836" s="2">
        <v>43597</v>
      </c>
      <c r="F1836" s="1" t="s">
        <v>14</v>
      </c>
      <c r="G1836" s="1">
        <v>14</v>
      </c>
      <c r="H1836" t="str">
        <f t="shared" si="144"/>
        <v>Small</v>
      </c>
      <c r="I1836" t="str">
        <f t="shared" si="140"/>
        <v>Small</v>
      </c>
      <c r="J1836" s="1">
        <v>662.15880000000004</v>
      </c>
      <c r="K1836">
        <f t="shared" si="141"/>
        <v>0</v>
      </c>
      <c r="L1836">
        <f t="shared" si="142"/>
        <v>662.15880000000004</v>
      </c>
      <c r="M1836" s="1">
        <f t="shared" si="143"/>
        <v>662.15880000000004</v>
      </c>
      <c r="N1836" s="1" t="s">
        <v>10</v>
      </c>
      <c r="O1836" s="1">
        <v>36.6</v>
      </c>
    </row>
    <row r="1837" spans="4:15" x14ac:dyDescent="0.3">
      <c r="D1837" s="1">
        <v>5697</v>
      </c>
      <c r="E1837" s="2">
        <v>43742</v>
      </c>
      <c r="F1837" s="1" t="s">
        <v>12</v>
      </c>
      <c r="G1837" s="1">
        <v>31</v>
      </c>
      <c r="H1837" t="str">
        <f t="shared" si="144"/>
        <v>Large</v>
      </c>
      <c r="I1837" t="str">
        <f t="shared" si="140"/>
        <v>Large</v>
      </c>
      <c r="J1837" s="1">
        <v>397.7</v>
      </c>
      <c r="K1837">
        <f t="shared" si="141"/>
        <v>0</v>
      </c>
      <c r="L1837">
        <f t="shared" si="142"/>
        <v>397.7</v>
      </c>
      <c r="M1837" s="1">
        <f t="shared" si="143"/>
        <v>397.7</v>
      </c>
      <c r="N1837" s="1" t="s">
        <v>10</v>
      </c>
      <c r="O1837" s="1">
        <v>5.4</v>
      </c>
    </row>
    <row r="1838" spans="4:15" x14ac:dyDescent="0.3">
      <c r="D1838" s="1">
        <v>59204</v>
      </c>
      <c r="E1838" s="2">
        <v>43524</v>
      </c>
      <c r="F1838" s="1" t="s">
        <v>14</v>
      </c>
      <c r="G1838" s="1">
        <v>25</v>
      </c>
      <c r="H1838" t="str">
        <f t="shared" si="144"/>
        <v>Medium</v>
      </c>
      <c r="I1838" t="str">
        <f t="shared" si="140"/>
        <v>Medium</v>
      </c>
      <c r="J1838" s="1">
        <v>162.37</v>
      </c>
      <c r="K1838">
        <f t="shared" si="141"/>
        <v>0</v>
      </c>
      <c r="L1838">
        <f t="shared" si="142"/>
        <v>162.37</v>
      </c>
      <c r="M1838" s="1">
        <f t="shared" si="143"/>
        <v>162.37</v>
      </c>
      <c r="N1838" s="1" t="s">
        <v>10</v>
      </c>
      <c r="O1838" s="1">
        <v>6</v>
      </c>
    </row>
    <row r="1839" spans="4:15" x14ac:dyDescent="0.3">
      <c r="D1839" s="1">
        <v>55651</v>
      </c>
      <c r="E1839" s="2">
        <v>43531</v>
      </c>
      <c r="F1839" s="1" t="s">
        <v>14</v>
      </c>
      <c r="G1839" s="1">
        <v>2</v>
      </c>
      <c r="H1839" t="str">
        <f t="shared" si="144"/>
        <v>Mini</v>
      </c>
      <c r="I1839" t="str">
        <f t="shared" si="140"/>
        <v>Mini</v>
      </c>
      <c r="J1839" s="1">
        <v>85.53</v>
      </c>
      <c r="K1839">
        <f t="shared" si="141"/>
        <v>0</v>
      </c>
      <c r="L1839">
        <f t="shared" si="142"/>
        <v>85.53</v>
      </c>
      <c r="M1839" s="1">
        <f t="shared" si="143"/>
        <v>85.53</v>
      </c>
      <c r="N1839" s="1" t="s">
        <v>10</v>
      </c>
      <c r="O1839" s="1">
        <v>21.4</v>
      </c>
    </row>
    <row r="1840" spans="4:15" x14ac:dyDescent="0.3">
      <c r="D1840" s="1">
        <v>23649</v>
      </c>
      <c r="E1840" s="2">
        <v>43713</v>
      </c>
      <c r="F1840" s="1" t="s">
        <v>11</v>
      </c>
      <c r="G1840" s="1">
        <v>42</v>
      </c>
      <c r="H1840" t="str">
        <f t="shared" si="144"/>
        <v>XX Large</v>
      </c>
      <c r="I1840" t="str">
        <f t="shared" si="140"/>
        <v>XX Large</v>
      </c>
      <c r="J1840" s="1">
        <v>4859.8599999999997</v>
      </c>
      <c r="K1840">
        <f t="shared" si="141"/>
        <v>0.01</v>
      </c>
      <c r="L1840">
        <f t="shared" si="142"/>
        <v>4811.2613999999994</v>
      </c>
      <c r="M1840" s="1">
        <f t="shared" si="143"/>
        <v>4851.2599999999993</v>
      </c>
      <c r="N1840" s="1" t="s">
        <v>10</v>
      </c>
      <c r="O1840" s="1">
        <v>8.6</v>
      </c>
    </row>
    <row r="1841" spans="4:15" x14ac:dyDescent="0.3">
      <c r="D1841" s="1">
        <v>32903</v>
      </c>
      <c r="E1841" s="2">
        <v>43672</v>
      </c>
      <c r="F1841" s="1" t="s">
        <v>7</v>
      </c>
      <c r="G1841" s="1">
        <v>31</v>
      </c>
      <c r="H1841" t="str">
        <f t="shared" si="144"/>
        <v>Large</v>
      </c>
      <c r="I1841" t="str">
        <f t="shared" si="140"/>
        <v>Large</v>
      </c>
      <c r="J1841" s="1">
        <v>486.4</v>
      </c>
      <c r="K1841">
        <f t="shared" si="141"/>
        <v>0</v>
      </c>
      <c r="L1841">
        <f t="shared" si="142"/>
        <v>486.4</v>
      </c>
      <c r="M1841" s="1">
        <f t="shared" si="143"/>
        <v>486.4</v>
      </c>
      <c r="N1841" s="1" t="s">
        <v>10</v>
      </c>
      <c r="O1841" s="1">
        <v>9.4</v>
      </c>
    </row>
    <row r="1842" spans="4:15" x14ac:dyDescent="0.3">
      <c r="D1842" s="1">
        <v>53990</v>
      </c>
      <c r="E1842" s="2">
        <v>43770</v>
      </c>
      <c r="F1842" s="1" t="s">
        <v>11</v>
      </c>
      <c r="G1842" s="1">
        <v>44</v>
      </c>
      <c r="H1842" t="str">
        <f t="shared" si="144"/>
        <v>XX Large</v>
      </c>
      <c r="I1842" t="str">
        <f t="shared" si="140"/>
        <v>XX Large</v>
      </c>
      <c r="J1842" s="1">
        <v>4562.4066999999995</v>
      </c>
      <c r="K1842">
        <f t="shared" si="141"/>
        <v>0.01</v>
      </c>
      <c r="L1842">
        <f t="shared" si="142"/>
        <v>4516.7826329999998</v>
      </c>
      <c r="M1842" s="1">
        <f t="shared" si="143"/>
        <v>4559.7066999999997</v>
      </c>
      <c r="N1842" s="1" t="s">
        <v>10</v>
      </c>
      <c r="O1842" s="1">
        <v>2.7</v>
      </c>
    </row>
    <row r="1843" spans="4:15" x14ac:dyDescent="0.3">
      <c r="D1843" s="1">
        <v>52518</v>
      </c>
      <c r="E1843" s="2">
        <v>43558</v>
      </c>
      <c r="F1843" s="1" t="s">
        <v>12</v>
      </c>
      <c r="G1843" s="1">
        <v>8</v>
      </c>
      <c r="H1843" t="str">
        <f t="shared" si="144"/>
        <v>Extra Small</v>
      </c>
      <c r="I1843" t="str">
        <f t="shared" si="140"/>
        <v>Extra Small</v>
      </c>
      <c r="J1843" s="1">
        <v>180.82</v>
      </c>
      <c r="K1843">
        <f t="shared" si="141"/>
        <v>0</v>
      </c>
      <c r="L1843">
        <f t="shared" si="142"/>
        <v>180.82</v>
      </c>
      <c r="M1843" s="1">
        <f t="shared" si="143"/>
        <v>180.82</v>
      </c>
      <c r="N1843" s="1" t="s">
        <v>10</v>
      </c>
      <c r="O1843" s="1">
        <v>4.3</v>
      </c>
    </row>
    <row r="1844" spans="4:15" x14ac:dyDescent="0.3">
      <c r="D1844" s="1">
        <v>53536</v>
      </c>
      <c r="E1844" s="2">
        <v>43768</v>
      </c>
      <c r="F1844" s="1" t="s">
        <v>9</v>
      </c>
      <c r="G1844" s="1">
        <v>35</v>
      </c>
      <c r="H1844" t="str">
        <f t="shared" si="144"/>
        <v>Large</v>
      </c>
      <c r="I1844" t="str">
        <f t="shared" si="140"/>
        <v>Large</v>
      </c>
      <c r="J1844" s="1">
        <v>790.4</v>
      </c>
      <c r="K1844">
        <f t="shared" si="141"/>
        <v>0</v>
      </c>
      <c r="L1844">
        <f t="shared" si="142"/>
        <v>790.4</v>
      </c>
      <c r="M1844" s="1">
        <f t="shared" si="143"/>
        <v>790.4</v>
      </c>
      <c r="N1844" s="1" t="s">
        <v>10</v>
      </c>
      <c r="O1844" s="1">
        <v>8.1</v>
      </c>
    </row>
    <row r="1845" spans="4:15" x14ac:dyDescent="0.3">
      <c r="D1845" s="1">
        <v>55526</v>
      </c>
      <c r="E1845" s="2">
        <v>43648</v>
      </c>
      <c r="F1845" s="1" t="s">
        <v>9</v>
      </c>
      <c r="G1845" s="1">
        <v>23</v>
      </c>
      <c r="H1845" t="str">
        <f t="shared" si="144"/>
        <v>Medium</v>
      </c>
      <c r="I1845" t="str">
        <f t="shared" si="140"/>
        <v>Medium</v>
      </c>
      <c r="J1845" s="1">
        <v>476.33</v>
      </c>
      <c r="K1845">
        <f t="shared" si="141"/>
        <v>0</v>
      </c>
      <c r="L1845">
        <f t="shared" si="142"/>
        <v>476.33</v>
      </c>
      <c r="M1845" s="1">
        <f t="shared" si="143"/>
        <v>476.33</v>
      </c>
      <c r="N1845" s="1" t="s">
        <v>10</v>
      </c>
      <c r="O1845" s="1">
        <v>9.6999999999999993</v>
      </c>
    </row>
    <row r="1846" spans="4:15" x14ac:dyDescent="0.3">
      <c r="D1846" s="1">
        <v>3845</v>
      </c>
      <c r="E1846" s="2">
        <v>43580</v>
      </c>
      <c r="F1846" s="1" t="s">
        <v>12</v>
      </c>
      <c r="G1846" s="1">
        <v>9</v>
      </c>
      <c r="H1846" t="str">
        <f t="shared" si="144"/>
        <v>Extra Small</v>
      </c>
      <c r="I1846" t="str">
        <f t="shared" si="140"/>
        <v>Extra Small</v>
      </c>
      <c r="J1846" s="1">
        <v>3278.7689</v>
      </c>
      <c r="K1846">
        <f t="shared" si="141"/>
        <v>0</v>
      </c>
      <c r="L1846">
        <f t="shared" si="142"/>
        <v>3278.7689</v>
      </c>
      <c r="M1846" s="1">
        <f t="shared" si="143"/>
        <v>3278.7689</v>
      </c>
      <c r="N1846" s="1" t="s">
        <v>10</v>
      </c>
      <c r="O1846" s="1">
        <v>21.4</v>
      </c>
    </row>
    <row r="1847" spans="4:15" x14ac:dyDescent="0.3">
      <c r="D1847" s="1">
        <v>3650</v>
      </c>
      <c r="E1847" s="2">
        <v>43612</v>
      </c>
      <c r="F1847" s="1" t="s">
        <v>11</v>
      </c>
      <c r="G1847" s="1">
        <v>36</v>
      </c>
      <c r="H1847" t="str">
        <f t="shared" si="144"/>
        <v>Extra Large</v>
      </c>
      <c r="I1847" t="str">
        <f t="shared" si="140"/>
        <v>Extra Large</v>
      </c>
      <c r="J1847" s="1">
        <v>149.75</v>
      </c>
      <c r="K1847">
        <f t="shared" si="141"/>
        <v>0.01</v>
      </c>
      <c r="L1847">
        <f t="shared" si="142"/>
        <v>148.2525</v>
      </c>
      <c r="M1847" s="1">
        <f t="shared" si="143"/>
        <v>143.85</v>
      </c>
      <c r="N1847" s="1" t="s">
        <v>8</v>
      </c>
      <c r="O1847" s="1">
        <v>5.9</v>
      </c>
    </row>
    <row r="1848" spans="4:15" x14ac:dyDescent="0.3">
      <c r="D1848" s="1">
        <v>17414</v>
      </c>
      <c r="E1848" s="2">
        <v>43645</v>
      </c>
      <c r="F1848" s="1" t="s">
        <v>9</v>
      </c>
      <c r="G1848" s="1">
        <v>39</v>
      </c>
      <c r="H1848" t="str">
        <f t="shared" si="144"/>
        <v>Extra Large</v>
      </c>
      <c r="I1848" t="str">
        <f t="shared" si="140"/>
        <v>Extra Large</v>
      </c>
      <c r="J1848" s="1">
        <v>4018.31</v>
      </c>
      <c r="K1848">
        <f t="shared" si="141"/>
        <v>0.01</v>
      </c>
      <c r="L1848">
        <f t="shared" si="142"/>
        <v>3978.1268999999998</v>
      </c>
      <c r="M1848" s="1">
        <f t="shared" si="143"/>
        <v>3996.91</v>
      </c>
      <c r="N1848" s="1" t="s">
        <v>10</v>
      </c>
      <c r="O1848" s="1">
        <v>21.4</v>
      </c>
    </row>
    <row r="1849" spans="4:15" x14ac:dyDescent="0.3">
      <c r="D1849" s="1">
        <v>42758</v>
      </c>
      <c r="E1849" s="2">
        <v>43779</v>
      </c>
      <c r="F1849" s="1" t="s">
        <v>12</v>
      </c>
      <c r="G1849" s="1">
        <v>12</v>
      </c>
      <c r="H1849" t="str">
        <f t="shared" si="144"/>
        <v>Small</v>
      </c>
      <c r="I1849" t="str">
        <f t="shared" si="140"/>
        <v>Small</v>
      </c>
      <c r="J1849" s="1">
        <v>1893.62</v>
      </c>
      <c r="K1849">
        <f t="shared" si="141"/>
        <v>0</v>
      </c>
      <c r="L1849">
        <f t="shared" si="142"/>
        <v>1893.62</v>
      </c>
      <c r="M1849" s="1">
        <f t="shared" si="143"/>
        <v>1893.62</v>
      </c>
      <c r="N1849" s="1" t="s">
        <v>10</v>
      </c>
      <c r="O1849" s="1">
        <v>4.3</v>
      </c>
    </row>
    <row r="1850" spans="4:15" x14ac:dyDescent="0.3">
      <c r="D1850" s="1">
        <v>23268</v>
      </c>
      <c r="E1850" s="2">
        <v>43480</v>
      </c>
      <c r="F1850" s="1" t="s">
        <v>9</v>
      </c>
      <c r="G1850" s="1">
        <v>14</v>
      </c>
      <c r="H1850" t="str">
        <f t="shared" si="144"/>
        <v>Small</v>
      </c>
      <c r="I1850" t="str">
        <f t="shared" si="140"/>
        <v>Small</v>
      </c>
      <c r="J1850" s="1">
        <v>54.41</v>
      </c>
      <c r="K1850">
        <f t="shared" si="141"/>
        <v>0</v>
      </c>
      <c r="L1850">
        <f t="shared" si="142"/>
        <v>54.41</v>
      </c>
      <c r="M1850" s="1">
        <f t="shared" si="143"/>
        <v>54.41</v>
      </c>
      <c r="N1850" s="1" t="s">
        <v>8</v>
      </c>
      <c r="O1850" s="1">
        <v>2.4</v>
      </c>
    </row>
    <row r="1851" spans="4:15" x14ac:dyDescent="0.3">
      <c r="D1851" s="1">
        <v>56802</v>
      </c>
      <c r="E1851" s="2">
        <v>43614</v>
      </c>
      <c r="F1851" s="1" t="s">
        <v>9</v>
      </c>
      <c r="G1851" s="1">
        <v>50</v>
      </c>
      <c r="H1851" t="str">
        <f t="shared" si="144"/>
        <v>XXX Large</v>
      </c>
      <c r="I1851" t="str">
        <f t="shared" si="140"/>
        <v>XXX Large</v>
      </c>
      <c r="J1851" s="1">
        <v>83.67</v>
      </c>
      <c r="K1851">
        <f t="shared" si="141"/>
        <v>0.01</v>
      </c>
      <c r="L1851">
        <f t="shared" si="142"/>
        <v>82.833299999999994</v>
      </c>
      <c r="M1851" s="1">
        <f t="shared" si="143"/>
        <v>82.570000000000007</v>
      </c>
      <c r="N1851" s="1" t="s">
        <v>10</v>
      </c>
      <c r="O1851" s="1">
        <v>1.1000000000000001</v>
      </c>
    </row>
    <row r="1852" spans="4:15" x14ac:dyDescent="0.3">
      <c r="D1852" s="1">
        <v>41378</v>
      </c>
      <c r="E1852" s="2">
        <v>43767</v>
      </c>
      <c r="F1852" s="1" t="s">
        <v>11</v>
      </c>
      <c r="G1852" s="1">
        <v>42</v>
      </c>
      <c r="H1852" t="str">
        <f t="shared" si="144"/>
        <v>XX Large</v>
      </c>
      <c r="I1852" t="str">
        <f t="shared" si="140"/>
        <v>XX Large</v>
      </c>
      <c r="J1852" s="1">
        <v>1352.66</v>
      </c>
      <c r="K1852">
        <f t="shared" si="141"/>
        <v>0.01</v>
      </c>
      <c r="L1852">
        <f t="shared" si="142"/>
        <v>1339.1334000000002</v>
      </c>
      <c r="M1852" s="1">
        <f t="shared" si="143"/>
        <v>1350.5600000000002</v>
      </c>
      <c r="N1852" s="1" t="s">
        <v>10</v>
      </c>
      <c r="O1852" s="1">
        <v>2.1</v>
      </c>
    </row>
    <row r="1853" spans="4:15" x14ac:dyDescent="0.3">
      <c r="D1853" s="1">
        <v>47042</v>
      </c>
      <c r="E1853" s="2">
        <v>43526</v>
      </c>
      <c r="F1853" s="1" t="s">
        <v>12</v>
      </c>
      <c r="G1853" s="1">
        <v>45</v>
      </c>
      <c r="H1853" t="str">
        <f t="shared" si="144"/>
        <v>XX Large</v>
      </c>
      <c r="I1853" t="str">
        <f t="shared" si="140"/>
        <v>XX Large</v>
      </c>
      <c r="J1853" s="1">
        <v>1471.65</v>
      </c>
      <c r="K1853">
        <f t="shared" si="141"/>
        <v>0.01</v>
      </c>
      <c r="L1853">
        <f t="shared" si="142"/>
        <v>1456.9335000000001</v>
      </c>
      <c r="M1853" s="1">
        <f t="shared" si="143"/>
        <v>1468.15</v>
      </c>
      <c r="N1853" s="1" t="s">
        <v>10</v>
      </c>
      <c r="O1853" s="1">
        <v>3.5</v>
      </c>
    </row>
    <row r="1854" spans="4:15" x14ac:dyDescent="0.3">
      <c r="D1854" s="1">
        <v>48801</v>
      </c>
      <c r="E1854" s="2">
        <v>43751</v>
      </c>
      <c r="F1854" s="1" t="s">
        <v>9</v>
      </c>
      <c r="G1854" s="1">
        <v>43</v>
      </c>
      <c r="H1854" t="str">
        <f t="shared" si="144"/>
        <v>XX Large</v>
      </c>
      <c r="I1854" t="str">
        <f t="shared" si="140"/>
        <v>XX Large</v>
      </c>
      <c r="J1854" s="1">
        <v>2554.7399999999998</v>
      </c>
      <c r="K1854">
        <f t="shared" si="141"/>
        <v>0.01</v>
      </c>
      <c r="L1854">
        <f t="shared" si="142"/>
        <v>2529.1925999999999</v>
      </c>
      <c r="M1854" s="1">
        <f t="shared" si="143"/>
        <v>2542.8399999999997</v>
      </c>
      <c r="N1854" s="1" t="s">
        <v>10</v>
      </c>
      <c r="O1854" s="1">
        <v>11.9</v>
      </c>
    </row>
    <row r="1855" spans="4:15" x14ac:dyDescent="0.3">
      <c r="D1855" s="1">
        <v>38723</v>
      </c>
      <c r="E1855" s="2">
        <v>43728</v>
      </c>
      <c r="F1855" s="1" t="s">
        <v>12</v>
      </c>
      <c r="G1855" s="1">
        <v>9</v>
      </c>
      <c r="H1855" t="str">
        <f t="shared" si="144"/>
        <v>Extra Small</v>
      </c>
      <c r="I1855" t="str">
        <f t="shared" si="140"/>
        <v>Extra Small</v>
      </c>
      <c r="J1855" s="1">
        <v>181.12</v>
      </c>
      <c r="K1855">
        <f t="shared" si="141"/>
        <v>0</v>
      </c>
      <c r="L1855">
        <f t="shared" si="142"/>
        <v>181.12</v>
      </c>
      <c r="M1855" s="1">
        <f t="shared" si="143"/>
        <v>181.12</v>
      </c>
      <c r="N1855" s="1" t="s">
        <v>10</v>
      </c>
      <c r="O1855" s="1">
        <v>4.3</v>
      </c>
    </row>
    <row r="1856" spans="4:15" x14ac:dyDescent="0.3">
      <c r="D1856" s="1">
        <v>29280</v>
      </c>
      <c r="E1856" s="2">
        <v>43552</v>
      </c>
      <c r="F1856" s="1" t="s">
        <v>14</v>
      </c>
      <c r="G1856" s="1">
        <v>19</v>
      </c>
      <c r="H1856" t="str">
        <f t="shared" si="144"/>
        <v>Small-Medium</v>
      </c>
      <c r="I1856" t="str">
        <f t="shared" si="140"/>
        <v>Small-Medium</v>
      </c>
      <c r="J1856" s="1">
        <v>255.03</v>
      </c>
      <c r="K1856">
        <f t="shared" si="141"/>
        <v>0</v>
      </c>
      <c r="L1856">
        <f t="shared" si="142"/>
        <v>255.03</v>
      </c>
      <c r="M1856" s="1">
        <f t="shared" si="143"/>
        <v>255.03</v>
      </c>
      <c r="N1856" s="1" t="s">
        <v>10</v>
      </c>
      <c r="O1856" s="1">
        <v>8.5</v>
      </c>
    </row>
    <row r="1857" spans="4:15" x14ac:dyDescent="0.3">
      <c r="D1857" s="1">
        <v>11684</v>
      </c>
      <c r="E1857" s="2">
        <v>43673</v>
      </c>
      <c r="F1857" s="1" t="s">
        <v>9</v>
      </c>
      <c r="G1857" s="1">
        <v>8</v>
      </c>
      <c r="H1857" t="str">
        <f t="shared" si="144"/>
        <v>Extra Small</v>
      </c>
      <c r="I1857" t="str">
        <f t="shared" si="140"/>
        <v>Extra Small</v>
      </c>
      <c r="J1857" s="1">
        <v>1255.6500000000001</v>
      </c>
      <c r="K1857">
        <f t="shared" si="141"/>
        <v>0</v>
      </c>
      <c r="L1857">
        <f t="shared" si="142"/>
        <v>1255.6500000000001</v>
      </c>
      <c r="M1857" s="1">
        <f t="shared" si="143"/>
        <v>1255.6500000000001</v>
      </c>
      <c r="N1857" s="1" t="s">
        <v>10</v>
      </c>
      <c r="O1857" s="1">
        <v>26.2</v>
      </c>
    </row>
    <row r="1858" spans="4:15" x14ac:dyDescent="0.3">
      <c r="D1858" s="1">
        <v>42374</v>
      </c>
      <c r="E1858" s="2">
        <v>43663</v>
      </c>
      <c r="F1858" s="1" t="s">
        <v>12</v>
      </c>
      <c r="G1858" s="1">
        <v>21</v>
      </c>
      <c r="H1858" t="str">
        <f t="shared" si="144"/>
        <v>Medium</v>
      </c>
      <c r="I1858" t="str">
        <f t="shared" si="140"/>
        <v>Medium</v>
      </c>
      <c r="J1858" s="1">
        <v>219.69</v>
      </c>
      <c r="K1858">
        <f t="shared" si="141"/>
        <v>0</v>
      </c>
      <c r="L1858">
        <f t="shared" si="142"/>
        <v>219.69</v>
      </c>
      <c r="M1858" s="1">
        <f t="shared" si="143"/>
        <v>219.69</v>
      </c>
      <c r="N1858" s="1" t="s">
        <v>8</v>
      </c>
      <c r="O1858" s="1">
        <v>2.1</v>
      </c>
    </row>
    <row r="1859" spans="4:15" x14ac:dyDescent="0.3">
      <c r="D1859" s="1">
        <v>19782</v>
      </c>
      <c r="E1859" s="2">
        <v>43756</v>
      </c>
      <c r="F1859" s="1" t="s">
        <v>7</v>
      </c>
      <c r="G1859" s="1">
        <v>18</v>
      </c>
      <c r="H1859" t="str">
        <f t="shared" si="144"/>
        <v>Small-Medium</v>
      </c>
      <c r="I1859" t="str">
        <f t="shared" ref="I1859:I1922" si="145">VLOOKUP(G1859, $A$3:$B$12, 2, TRUE)</f>
        <v>Small-Medium</v>
      </c>
      <c r="J1859" s="1">
        <v>35.53</v>
      </c>
      <c r="K1859">
        <f t="shared" ref="K1859:K1922" si="146">IF(OR(I1859="Extra Large", I1859="XX Large", I1859="XXX Large"), 0.01, 0)</f>
        <v>0</v>
      </c>
      <c r="L1859">
        <f t="shared" ref="L1859:L1922" si="147">J1859 * (1 - K1859)</f>
        <v>35.53</v>
      </c>
      <c r="M1859" s="1">
        <f t="shared" ref="M1859:M1922" si="148">IF(OR(I1859="Extra Large",I1859="XX Large",I1859="XXX Large"),J1859-O1859,J1859)</f>
        <v>35.53</v>
      </c>
      <c r="N1859" s="1" t="s">
        <v>10</v>
      </c>
      <c r="O1859" s="1">
        <v>0.8</v>
      </c>
    </row>
    <row r="1860" spans="4:15" x14ac:dyDescent="0.3">
      <c r="D1860" s="1">
        <v>19745</v>
      </c>
      <c r="E1860" s="2">
        <v>43817</v>
      </c>
      <c r="F1860" s="1" t="s">
        <v>9</v>
      </c>
      <c r="G1860" s="1">
        <v>50</v>
      </c>
      <c r="H1860" t="str">
        <f t="shared" si="144"/>
        <v>XXX Large</v>
      </c>
      <c r="I1860" t="str">
        <f t="shared" si="145"/>
        <v>XXX Large</v>
      </c>
      <c r="J1860" s="1">
        <v>891.31</v>
      </c>
      <c r="K1860">
        <f t="shared" si="146"/>
        <v>0.01</v>
      </c>
      <c r="L1860">
        <f t="shared" si="147"/>
        <v>882.39689999999996</v>
      </c>
      <c r="M1860" s="1">
        <f t="shared" si="148"/>
        <v>889.81</v>
      </c>
      <c r="N1860" s="1" t="s">
        <v>10</v>
      </c>
      <c r="O1860" s="1">
        <v>1.5</v>
      </c>
    </row>
    <row r="1861" spans="4:15" x14ac:dyDescent="0.3">
      <c r="D1861" s="1">
        <v>23363</v>
      </c>
      <c r="E1861" s="2">
        <v>43614</v>
      </c>
      <c r="F1861" s="1" t="s">
        <v>7</v>
      </c>
      <c r="G1861" s="1">
        <v>46</v>
      </c>
      <c r="H1861" t="str">
        <f t="shared" ref="H1861:H1924" si="149">VLOOKUP(G1861, $A$3:$B$12, 2, TRUE)</f>
        <v>XXX Large</v>
      </c>
      <c r="I1861" t="str">
        <f t="shared" si="145"/>
        <v>XXX Large</v>
      </c>
      <c r="J1861" s="1">
        <v>258.73669999999998</v>
      </c>
      <c r="K1861">
        <f t="shared" si="146"/>
        <v>0.01</v>
      </c>
      <c r="L1861">
        <f t="shared" si="147"/>
        <v>256.14933299999996</v>
      </c>
      <c r="M1861" s="1">
        <f t="shared" si="148"/>
        <v>253.43669999999997</v>
      </c>
      <c r="N1861" s="1" t="s">
        <v>10</v>
      </c>
      <c r="O1861" s="1">
        <v>5.3</v>
      </c>
    </row>
    <row r="1862" spans="4:15" x14ac:dyDescent="0.3">
      <c r="D1862" s="1">
        <v>18661</v>
      </c>
      <c r="E1862" s="2">
        <v>43716</v>
      </c>
      <c r="F1862" s="1" t="s">
        <v>7</v>
      </c>
      <c r="G1862" s="1">
        <v>11</v>
      </c>
      <c r="H1862" t="str">
        <f t="shared" si="149"/>
        <v>Small</v>
      </c>
      <c r="I1862" t="str">
        <f t="shared" si="145"/>
        <v>Small</v>
      </c>
      <c r="J1862" s="1">
        <v>2801.38</v>
      </c>
      <c r="K1862">
        <f t="shared" si="146"/>
        <v>0</v>
      </c>
      <c r="L1862">
        <f t="shared" si="147"/>
        <v>2801.38</v>
      </c>
      <c r="M1862" s="1">
        <f t="shared" si="148"/>
        <v>2801.38</v>
      </c>
      <c r="N1862" s="1" t="s">
        <v>13</v>
      </c>
      <c r="O1862" s="1">
        <v>66.099999999999994</v>
      </c>
    </row>
    <row r="1863" spans="4:15" x14ac:dyDescent="0.3">
      <c r="D1863" s="1">
        <v>30499</v>
      </c>
      <c r="E1863" s="2">
        <v>43768</v>
      </c>
      <c r="F1863" s="1" t="s">
        <v>9</v>
      </c>
      <c r="G1863" s="1">
        <v>33</v>
      </c>
      <c r="H1863" t="str">
        <f t="shared" si="149"/>
        <v>Large</v>
      </c>
      <c r="I1863" t="str">
        <f t="shared" si="145"/>
        <v>Large</v>
      </c>
      <c r="J1863" s="1">
        <v>213.59</v>
      </c>
      <c r="K1863">
        <f t="shared" si="146"/>
        <v>0</v>
      </c>
      <c r="L1863">
        <f t="shared" si="147"/>
        <v>213.59</v>
      </c>
      <c r="M1863" s="1">
        <f t="shared" si="148"/>
        <v>213.59</v>
      </c>
      <c r="N1863" s="1" t="s">
        <v>10</v>
      </c>
      <c r="O1863" s="1">
        <v>1.3</v>
      </c>
    </row>
    <row r="1864" spans="4:15" x14ac:dyDescent="0.3">
      <c r="D1864" s="1">
        <v>28390</v>
      </c>
      <c r="E1864" s="2">
        <v>43502</v>
      </c>
      <c r="F1864" s="1" t="s">
        <v>9</v>
      </c>
      <c r="G1864" s="1">
        <v>44</v>
      </c>
      <c r="H1864" t="str">
        <f t="shared" si="149"/>
        <v>XX Large</v>
      </c>
      <c r="I1864" t="str">
        <f t="shared" si="145"/>
        <v>XX Large</v>
      </c>
      <c r="J1864" s="1">
        <v>866.45</v>
      </c>
      <c r="K1864">
        <f t="shared" si="146"/>
        <v>0.01</v>
      </c>
      <c r="L1864">
        <f t="shared" si="147"/>
        <v>857.78550000000007</v>
      </c>
      <c r="M1864" s="1">
        <f t="shared" si="148"/>
        <v>859.35</v>
      </c>
      <c r="N1864" s="1" t="s">
        <v>10</v>
      </c>
      <c r="O1864" s="1">
        <v>7.1</v>
      </c>
    </row>
    <row r="1865" spans="4:15" x14ac:dyDescent="0.3">
      <c r="D1865" s="1">
        <v>53536</v>
      </c>
      <c r="E1865" s="2">
        <v>43768</v>
      </c>
      <c r="F1865" s="1" t="s">
        <v>9</v>
      </c>
      <c r="G1865" s="1">
        <v>5</v>
      </c>
      <c r="H1865" t="str">
        <f t="shared" si="149"/>
        <v>Mini</v>
      </c>
      <c r="I1865" t="str">
        <f t="shared" si="145"/>
        <v>Mini</v>
      </c>
      <c r="J1865" s="1">
        <v>1086.48</v>
      </c>
      <c r="K1865">
        <f t="shared" si="146"/>
        <v>0</v>
      </c>
      <c r="L1865">
        <f t="shared" si="147"/>
        <v>1086.48</v>
      </c>
      <c r="M1865" s="1">
        <f t="shared" si="148"/>
        <v>1086.48</v>
      </c>
      <c r="N1865" s="1" t="s">
        <v>13</v>
      </c>
      <c r="O1865" s="1">
        <v>60.1</v>
      </c>
    </row>
    <row r="1866" spans="4:15" x14ac:dyDescent="0.3">
      <c r="D1866" s="1">
        <v>21382</v>
      </c>
      <c r="E1866" s="2">
        <v>43476</v>
      </c>
      <c r="F1866" s="1" t="s">
        <v>12</v>
      </c>
      <c r="G1866" s="1">
        <v>11</v>
      </c>
      <c r="H1866" t="str">
        <f t="shared" si="149"/>
        <v>Small</v>
      </c>
      <c r="I1866" t="str">
        <f t="shared" si="145"/>
        <v>Small</v>
      </c>
      <c r="J1866" s="1">
        <v>333.87</v>
      </c>
      <c r="K1866">
        <f t="shared" si="146"/>
        <v>0</v>
      </c>
      <c r="L1866">
        <f t="shared" si="147"/>
        <v>333.87</v>
      </c>
      <c r="M1866" s="1">
        <f t="shared" si="148"/>
        <v>333.87</v>
      </c>
      <c r="N1866" s="1" t="s">
        <v>10</v>
      </c>
      <c r="O1866" s="1">
        <v>5.9</v>
      </c>
    </row>
    <row r="1867" spans="4:15" x14ac:dyDescent="0.3">
      <c r="D1867" s="1">
        <v>3559</v>
      </c>
      <c r="E1867" s="2">
        <v>43761</v>
      </c>
      <c r="F1867" s="1" t="s">
        <v>14</v>
      </c>
      <c r="G1867" s="1">
        <v>34</v>
      </c>
      <c r="H1867" t="str">
        <f t="shared" si="149"/>
        <v>Large</v>
      </c>
      <c r="I1867" t="str">
        <f t="shared" si="145"/>
        <v>Large</v>
      </c>
      <c r="J1867" s="1">
        <v>146.23689999999999</v>
      </c>
      <c r="K1867">
        <f t="shared" si="146"/>
        <v>0</v>
      </c>
      <c r="L1867">
        <f t="shared" si="147"/>
        <v>146.23689999999999</v>
      </c>
      <c r="M1867" s="1">
        <f t="shared" si="148"/>
        <v>146.23689999999999</v>
      </c>
      <c r="N1867" s="1" t="s">
        <v>8</v>
      </c>
      <c r="O1867" s="1">
        <v>5.8</v>
      </c>
    </row>
    <row r="1868" spans="4:15" x14ac:dyDescent="0.3">
      <c r="D1868" s="1">
        <v>34022</v>
      </c>
      <c r="E1868" s="2">
        <v>43772</v>
      </c>
      <c r="F1868" s="1" t="s">
        <v>11</v>
      </c>
      <c r="G1868" s="1">
        <v>50</v>
      </c>
      <c r="H1868" t="str">
        <f t="shared" si="149"/>
        <v>XXX Large</v>
      </c>
      <c r="I1868" t="str">
        <f t="shared" si="145"/>
        <v>XXX Large</v>
      </c>
      <c r="J1868" s="1">
        <v>252.82</v>
      </c>
      <c r="K1868">
        <f t="shared" si="146"/>
        <v>0.01</v>
      </c>
      <c r="L1868">
        <f t="shared" si="147"/>
        <v>250.29179999999999</v>
      </c>
      <c r="M1868" s="1">
        <f t="shared" si="148"/>
        <v>249.51999999999998</v>
      </c>
      <c r="N1868" s="1" t="s">
        <v>10</v>
      </c>
      <c r="O1868" s="1">
        <v>3.3</v>
      </c>
    </row>
    <row r="1869" spans="4:15" x14ac:dyDescent="0.3">
      <c r="D1869" s="1">
        <v>48615</v>
      </c>
      <c r="E1869" s="2">
        <v>43802</v>
      </c>
      <c r="F1869" s="1" t="s">
        <v>7</v>
      </c>
      <c r="G1869" s="1">
        <v>8</v>
      </c>
      <c r="H1869" t="str">
        <f t="shared" si="149"/>
        <v>Extra Small</v>
      </c>
      <c r="I1869" t="str">
        <f t="shared" si="145"/>
        <v>Extra Small</v>
      </c>
      <c r="J1869" s="1">
        <v>497.19</v>
      </c>
      <c r="K1869">
        <f t="shared" si="146"/>
        <v>0</v>
      </c>
      <c r="L1869">
        <f t="shared" si="147"/>
        <v>497.19</v>
      </c>
      <c r="M1869" s="1">
        <f t="shared" si="148"/>
        <v>497.19</v>
      </c>
      <c r="N1869" s="1" t="s">
        <v>10</v>
      </c>
      <c r="O1869" s="1">
        <v>15.9</v>
      </c>
    </row>
    <row r="1870" spans="4:15" x14ac:dyDescent="0.3">
      <c r="D1870" s="1">
        <v>1221</v>
      </c>
      <c r="E1870" s="2">
        <v>43573</v>
      </c>
      <c r="F1870" s="1" t="s">
        <v>11</v>
      </c>
      <c r="G1870" s="1">
        <v>1</v>
      </c>
      <c r="H1870" t="str">
        <f t="shared" si="149"/>
        <v>Mini</v>
      </c>
      <c r="I1870" t="str">
        <f t="shared" si="145"/>
        <v>Mini</v>
      </c>
      <c r="J1870" s="1">
        <v>15.71</v>
      </c>
      <c r="K1870">
        <f t="shared" si="146"/>
        <v>0</v>
      </c>
      <c r="L1870">
        <f t="shared" si="147"/>
        <v>15.71</v>
      </c>
      <c r="M1870" s="1">
        <f t="shared" si="148"/>
        <v>15.71</v>
      </c>
      <c r="N1870" s="1" t="s">
        <v>10</v>
      </c>
      <c r="O1870" s="1">
        <v>6.6</v>
      </c>
    </row>
    <row r="1871" spans="4:15" x14ac:dyDescent="0.3">
      <c r="D1871" s="1">
        <v>47399</v>
      </c>
      <c r="E1871" s="2">
        <v>43678</v>
      </c>
      <c r="F1871" s="1" t="s">
        <v>7</v>
      </c>
      <c r="G1871" s="1">
        <v>26</v>
      </c>
      <c r="H1871" t="str">
        <f t="shared" si="149"/>
        <v>Medium-Large</v>
      </c>
      <c r="I1871" t="str">
        <f t="shared" si="145"/>
        <v>Medium-Large</v>
      </c>
      <c r="J1871" s="1">
        <v>155.96</v>
      </c>
      <c r="K1871">
        <f t="shared" si="146"/>
        <v>0</v>
      </c>
      <c r="L1871">
        <f t="shared" si="147"/>
        <v>155.96</v>
      </c>
      <c r="M1871" s="1">
        <f t="shared" si="148"/>
        <v>155.96</v>
      </c>
      <c r="N1871" s="1" t="s">
        <v>10</v>
      </c>
      <c r="O1871" s="1">
        <v>3.2</v>
      </c>
    </row>
    <row r="1872" spans="4:15" x14ac:dyDescent="0.3">
      <c r="D1872" s="1">
        <v>58883</v>
      </c>
      <c r="E1872" s="2">
        <v>43689</v>
      </c>
      <c r="F1872" s="1" t="s">
        <v>7</v>
      </c>
      <c r="G1872" s="1">
        <v>36</v>
      </c>
      <c r="H1872" t="str">
        <f t="shared" si="149"/>
        <v>Extra Large</v>
      </c>
      <c r="I1872" t="str">
        <f t="shared" si="145"/>
        <v>Extra Large</v>
      </c>
      <c r="J1872" s="1">
        <v>172.87</v>
      </c>
      <c r="K1872">
        <f t="shared" si="146"/>
        <v>0.01</v>
      </c>
      <c r="L1872">
        <f t="shared" si="147"/>
        <v>171.1413</v>
      </c>
      <c r="M1872" s="1">
        <f t="shared" si="148"/>
        <v>171.77</v>
      </c>
      <c r="N1872" s="1" t="s">
        <v>10</v>
      </c>
      <c r="O1872" s="1">
        <v>1.1000000000000001</v>
      </c>
    </row>
    <row r="1873" spans="4:15" x14ac:dyDescent="0.3">
      <c r="D1873" s="1">
        <v>3655</v>
      </c>
      <c r="E1873" s="2">
        <v>43743</v>
      </c>
      <c r="F1873" s="1" t="s">
        <v>12</v>
      </c>
      <c r="G1873" s="1">
        <v>24</v>
      </c>
      <c r="H1873" t="str">
        <f t="shared" si="149"/>
        <v>Medium</v>
      </c>
      <c r="I1873" t="str">
        <f t="shared" si="145"/>
        <v>Medium</v>
      </c>
      <c r="J1873" s="1">
        <v>2942.61</v>
      </c>
      <c r="K1873">
        <f t="shared" si="146"/>
        <v>0</v>
      </c>
      <c r="L1873">
        <f t="shared" si="147"/>
        <v>2942.61</v>
      </c>
      <c r="M1873" s="1">
        <f t="shared" si="148"/>
        <v>2942.61</v>
      </c>
      <c r="N1873" s="1" t="s">
        <v>10</v>
      </c>
      <c r="O1873" s="1">
        <v>8.1999999999999993</v>
      </c>
    </row>
    <row r="1874" spans="4:15" x14ac:dyDescent="0.3">
      <c r="D1874" s="1">
        <v>52325</v>
      </c>
      <c r="E1874" s="2">
        <v>43660</v>
      </c>
      <c r="F1874" s="1" t="s">
        <v>11</v>
      </c>
      <c r="G1874" s="1">
        <v>23</v>
      </c>
      <c r="H1874" t="str">
        <f t="shared" si="149"/>
        <v>Medium</v>
      </c>
      <c r="I1874" t="str">
        <f t="shared" si="145"/>
        <v>Medium</v>
      </c>
      <c r="J1874" s="1">
        <v>5485.14</v>
      </c>
      <c r="K1874">
        <f t="shared" si="146"/>
        <v>0</v>
      </c>
      <c r="L1874">
        <f t="shared" si="147"/>
        <v>5485.14</v>
      </c>
      <c r="M1874" s="1">
        <f t="shared" si="148"/>
        <v>5485.14</v>
      </c>
      <c r="N1874" s="1" t="s">
        <v>10</v>
      </c>
      <c r="O1874" s="1">
        <v>16.100000000000001</v>
      </c>
    </row>
    <row r="1875" spans="4:15" x14ac:dyDescent="0.3">
      <c r="D1875" s="1">
        <v>19207</v>
      </c>
      <c r="E1875" s="2">
        <v>43539</v>
      </c>
      <c r="F1875" s="1" t="s">
        <v>11</v>
      </c>
      <c r="G1875" s="1">
        <v>23</v>
      </c>
      <c r="H1875" t="str">
        <f t="shared" si="149"/>
        <v>Medium</v>
      </c>
      <c r="I1875" t="str">
        <f t="shared" si="145"/>
        <v>Medium</v>
      </c>
      <c r="J1875" s="1">
        <v>70.641400000000004</v>
      </c>
      <c r="K1875">
        <f t="shared" si="146"/>
        <v>0</v>
      </c>
      <c r="L1875">
        <f t="shared" si="147"/>
        <v>70.641400000000004</v>
      </c>
      <c r="M1875" s="1">
        <f t="shared" si="148"/>
        <v>70.641400000000004</v>
      </c>
      <c r="N1875" s="1" t="s">
        <v>10</v>
      </c>
      <c r="O1875" s="1">
        <v>1.1000000000000001</v>
      </c>
    </row>
    <row r="1876" spans="4:15" x14ac:dyDescent="0.3">
      <c r="D1876" s="1">
        <v>54630</v>
      </c>
      <c r="E1876" s="2">
        <v>43687</v>
      </c>
      <c r="F1876" s="1" t="s">
        <v>7</v>
      </c>
      <c r="G1876" s="1">
        <v>11</v>
      </c>
      <c r="H1876" t="str">
        <f t="shared" si="149"/>
        <v>Small</v>
      </c>
      <c r="I1876" t="str">
        <f t="shared" si="145"/>
        <v>Small</v>
      </c>
      <c r="J1876" s="1">
        <v>78.345399999999998</v>
      </c>
      <c r="K1876">
        <f t="shared" si="146"/>
        <v>0</v>
      </c>
      <c r="L1876">
        <f t="shared" si="147"/>
        <v>78.345399999999998</v>
      </c>
      <c r="M1876" s="1">
        <f t="shared" si="148"/>
        <v>78.345399999999998</v>
      </c>
      <c r="N1876" s="1" t="s">
        <v>10</v>
      </c>
      <c r="O1876" s="1">
        <v>6.7</v>
      </c>
    </row>
    <row r="1877" spans="4:15" x14ac:dyDescent="0.3">
      <c r="D1877" s="1">
        <v>9473</v>
      </c>
      <c r="E1877" s="2">
        <v>43749</v>
      </c>
      <c r="F1877" s="1" t="s">
        <v>11</v>
      </c>
      <c r="G1877" s="1">
        <v>31</v>
      </c>
      <c r="H1877" t="str">
        <f t="shared" si="149"/>
        <v>Large</v>
      </c>
      <c r="I1877" t="str">
        <f t="shared" si="145"/>
        <v>Large</v>
      </c>
      <c r="J1877" s="1">
        <v>537.61</v>
      </c>
      <c r="K1877">
        <f t="shared" si="146"/>
        <v>0</v>
      </c>
      <c r="L1877">
        <f t="shared" si="147"/>
        <v>537.61</v>
      </c>
      <c r="M1877" s="1">
        <f t="shared" si="148"/>
        <v>537.61</v>
      </c>
      <c r="N1877" s="1" t="s">
        <v>10</v>
      </c>
      <c r="O1877" s="1">
        <v>19</v>
      </c>
    </row>
    <row r="1878" spans="4:15" x14ac:dyDescent="0.3">
      <c r="D1878" s="1">
        <v>2885</v>
      </c>
      <c r="E1878" s="2">
        <v>43726</v>
      </c>
      <c r="F1878" s="1" t="s">
        <v>11</v>
      </c>
      <c r="G1878" s="1">
        <v>46</v>
      </c>
      <c r="H1878" t="str">
        <f t="shared" si="149"/>
        <v>XXX Large</v>
      </c>
      <c r="I1878" t="str">
        <f t="shared" si="145"/>
        <v>XXX Large</v>
      </c>
      <c r="J1878" s="1">
        <v>762.0326</v>
      </c>
      <c r="K1878">
        <f t="shared" si="146"/>
        <v>0.01</v>
      </c>
      <c r="L1878">
        <f t="shared" si="147"/>
        <v>754.41227400000002</v>
      </c>
      <c r="M1878" s="1">
        <f t="shared" si="148"/>
        <v>756.23260000000005</v>
      </c>
      <c r="N1878" s="1" t="s">
        <v>10</v>
      </c>
      <c r="O1878" s="1">
        <v>5.8</v>
      </c>
    </row>
    <row r="1879" spans="4:15" x14ac:dyDescent="0.3">
      <c r="D1879" s="1">
        <v>5699</v>
      </c>
      <c r="E1879" s="2">
        <v>43675</v>
      </c>
      <c r="F1879" s="1" t="s">
        <v>7</v>
      </c>
      <c r="G1879" s="1">
        <v>2</v>
      </c>
      <c r="H1879" t="str">
        <f t="shared" si="149"/>
        <v>Mini</v>
      </c>
      <c r="I1879" t="str">
        <f t="shared" si="145"/>
        <v>Mini</v>
      </c>
      <c r="J1879" s="1">
        <v>9.9</v>
      </c>
      <c r="K1879">
        <f t="shared" si="146"/>
        <v>0</v>
      </c>
      <c r="L1879">
        <f t="shared" si="147"/>
        <v>9.9</v>
      </c>
      <c r="M1879" s="1">
        <f t="shared" si="148"/>
        <v>9.9</v>
      </c>
      <c r="N1879" s="1" t="s">
        <v>10</v>
      </c>
      <c r="O1879" s="1">
        <v>1.1000000000000001</v>
      </c>
    </row>
    <row r="1880" spans="4:15" x14ac:dyDescent="0.3">
      <c r="D1880" s="1">
        <v>4099</v>
      </c>
      <c r="E1880" s="2">
        <v>43697</v>
      </c>
      <c r="F1880" s="1" t="s">
        <v>12</v>
      </c>
      <c r="G1880" s="1">
        <v>12</v>
      </c>
      <c r="H1880" t="str">
        <f t="shared" si="149"/>
        <v>Small</v>
      </c>
      <c r="I1880" t="str">
        <f t="shared" si="145"/>
        <v>Small</v>
      </c>
      <c r="J1880" s="1">
        <v>131.54</v>
      </c>
      <c r="K1880">
        <f t="shared" si="146"/>
        <v>0</v>
      </c>
      <c r="L1880">
        <f t="shared" si="147"/>
        <v>131.54</v>
      </c>
      <c r="M1880" s="1">
        <f t="shared" si="148"/>
        <v>131.54</v>
      </c>
      <c r="N1880" s="1" t="s">
        <v>10</v>
      </c>
      <c r="O1880" s="1">
        <v>6.2</v>
      </c>
    </row>
    <row r="1881" spans="4:15" x14ac:dyDescent="0.3">
      <c r="D1881" s="1">
        <v>35712</v>
      </c>
      <c r="E1881" s="2">
        <v>43761</v>
      </c>
      <c r="F1881" s="1" t="s">
        <v>9</v>
      </c>
      <c r="G1881" s="1">
        <v>24</v>
      </c>
      <c r="H1881" t="str">
        <f t="shared" si="149"/>
        <v>Medium</v>
      </c>
      <c r="I1881" t="str">
        <f t="shared" si="145"/>
        <v>Medium</v>
      </c>
      <c r="J1881" s="1">
        <v>144.32</v>
      </c>
      <c r="K1881">
        <f t="shared" si="146"/>
        <v>0</v>
      </c>
      <c r="L1881">
        <f t="shared" si="147"/>
        <v>144.32</v>
      </c>
      <c r="M1881" s="1">
        <f t="shared" si="148"/>
        <v>144.32</v>
      </c>
      <c r="N1881" s="1" t="s">
        <v>10</v>
      </c>
      <c r="O1881" s="1">
        <v>8.6999999999999993</v>
      </c>
    </row>
    <row r="1882" spans="4:15" x14ac:dyDescent="0.3">
      <c r="D1882" s="1">
        <v>56805</v>
      </c>
      <c r="E1882" s="2">
        <v>43621</v>
      </c>
      <c r="F1882" s="1" t="s">
        <v>9</v>
      </c>
      <c r="G1882" s="1">
        <v>38</v>
      </c>
      <c r="H1882" t="str">
        <f t="shared" si="149"/>
        <v>Extra Large</v>
      </c>
      <c r="I1882" t="str">
        <f t="shared" si="145"/>
        <v>Extra Large</v>
      </c>
      <c r="J1882" s="1">
        <v>15785.8</v>
      </c>
      <c r="K1882">
        <f t="shared" si="146"/>
        <v>0.01</v>
      </c>
      <c r="L1882">
        <f t="shared" si="147"/>
        <v>15627.941999999999</v>
      </c>
      <c r="M1882" s="1">
        <f t="shared" si="148"/>
        <v>15679.9</v>
      </c>
      <c r="N1882" s="1" t="s">
        <v>13</v>
      </c>
      <c r="O1882" s="1">
        <v>105.9</v>
      </c>
    </row>
    <row r="1883" spans="4:15" x14ac:dyDescent="0.3">
      <c r="D1883" s="1">
        <v>23619</v>
      </c>
      <c r="E1883" s="2">
        <v>43820</v>
      </c>
      <c r="F1883" s="1" t="s">
        <v>14</v>
      </c>
      <c r="G1883" s="1">
        <v>7</v>
      </c>
      <c r="H1883" t="str">
        <f t="shared" si="149"/>
        <v>Extra Small</v>
      </c>
      <c r="I1883" t="str">
        <f t="shared" si="145"/>
        <v>Extra Small</v>
      </c>
      <c r="J1883" s="1">
        <v>1116.1400000000001</v>
      </c>
      <c r="K1883">
        <f t="shared" si="146"/>
        <v>0</v>
      </c>
      <c r="L1883">
        <f t="shared" si="147"/>
        <v>1116.1400000000001</v>
      </c>
      <c r="M1883" s="1">
        <f t="shared" si="148"/>
        <v>1116.1400000000001</v>
      </c>
      <c r="N1883" s="1" t="s">
        <v>10</v>
      </c>
      <c r="O1883" s="1">
        <v>15</v>
      </c>
    </row>
    <row r="1884" spans="4:15" x14ac:dyDescent="0.3">
      <c r="D1884" s="1">
        <v>27909</v>
      </c>
      <c r="E1884" s="2">
        <v>43502</v>
      </c>
      <c r="F1884" s="1" t="s">
        <v>12</v>
      </c>
      <c r="G1884" s="1">
        <v>47</v>
      </c>
      <c r="H1884" t="str">
        <f t="shared" si="149"/>
        <v>XXX Large</v>
      </c>
      <c r="I1884" t="str">
        <f t="shared" si="145"/>
        <v>XXX Large</v>
      </c>
      <c r="J1884" s="1">
        <v>62.63</v>
      </c>
      <c r="K1884">
        <f t="shared" si="146"/>
        <v>0.01</v>
      </c>
      <c r="L1884">
        <f t="shared" si="147"/>
        <v>62.003700000000002</v>
      </c>
      <c r="M1884" s="1">
        <f t="shared" si="148"/>
        <v>61.93</v>
      </c>
      <c r="N1884" s="1" t="s">
        <v>10</v>
      </c>
      <c r="O1884" s="1">
        <v>0.7</v>
      </c>
    </row>
    <row r="1885" spans="4:15" x14ac:dyDescent="0.3">
      <c r="D1885" s="1">
        <v>48643</v>
      </c>
      <c r="E1885" s="2">
        <v>43756</v>
      </c>
      <c r="F1885" s="1" t="s">
        <v>14</v>
      </c>
      <c r="G1885" s="1">
        <v>50</v>
      </c>
      <c r="H1885" t="str">
        <f t="shared" si="149"/>
        <v>XXX Large</v>
      </c>
      <c r="I1885" t="str">
        <f t="shared" si="145"/>
        <v>XXX Large</v>
      </c>
      <c r="J1885" s="1">
        <v>3099.1</v>
      </c>
      <c r="K1885">
        <f t="shared" si="146"/>
        <v>0.01</v>
      </c>
      <c r="L1885">
        <f t="shared" si="147"/>
        <v>3068.1089999999999</v>
      </c>
      <c r="M1885" s="1">
        <f t="shared" si="148"/>
        <v>3089.5</v>
      </c>
      <c r="N1885" s="1" t="s">
        <v>10</v>
      </c>
      <c r="O1885" s="1">
        <v>9.6</v>
      </c>
    </row>
    <row r="1886" spans="4:15" x14ac:dyDescent="0.3">
      <c r="D1886" s="1">
        <v>22817</v>
      </c>
      <c r="E1886" s="2">
        <v>43790</v>
      </c>
      <c r="F1886" s="1" t="s">
        <v>12</v>
      </c>
      <c r="G1886" s="1">
        <v>27</v>
      </c>
      <c r="H1886" t="str">
        <f t="shared" si="149"/>
        <v>Medium-Large</v>
      </c>
      <c r="I1886" t="str">
        <f t="shared" si="145"/>
        <v>Medium-Large</v>
      </c>
      <c r="J1886" s="1">
        <v>7260.8702000000003</v>
      </c>
      <c r="K1886">
        <f t="shared" si="146"/>
        <v>0</v>
      </c>
      <c r="L1886">
        <f t="shared" si="147"/>
        <v>7260.8702000000003</v>
      </c>
      <c r="M1886" s="1">
        <f t="shared" si="148"/>
        <v>7260.8702000000003</v>
      </c>
      <c r="N1886" s="1" t="s">
        <v>13</v>
      </c>
      <c r="O1886" s="1">
        <v>67.099999999999994</v>
      </c>
    </row>
    <row r="1887" spans="4:15" x14ac:dyDescent="0.3">
      <c r="D1887" s="1">
        <v>16548</v>
      </c>
      <c r="E1887" s="2">
        <v>43500</v>
      </c>
      <c r="F1887" s="1" t="s">
        <v>11</v>
      </c>
      <c r="G1887" s="1">
        <v>22</v>
      </c>
      <c r="H1887" t="str">
        <f t="shared" si="149"/>
        <v>Medium</v>
      </c>
      <c r="I1887" t="str">
        <f t="shared" si="145"/>
        <v>Medium</v>
      </c>
      <c r="J1887" s="1">
        <v>80.45</v>
      </c>
      <c r="K1887">
        <f t="shared" si="146"/>
        <v>0</v>
      </c>
      <c r="L1887">
        <f t="shared" si="147"/>
        <v>80.45</v>
      </c>
      <c r="M1887" s="1">
        <f t="shared" si="148"/>
        <v>80.45</v>
      </c>
      <c r="N1887" s="1" t="s">
        <v>10</v>
      </c>
      <c r="O1887" s="1">
        <v>4.2</v>
      </c>
    </row>
    <row r="1888" spans="4:15" x14ac:dyDescent="0.3">
      <c r="D1888" s="1">
        <v>9155</v>
      </c>
      <c r="E1888" s="2">
        <v>43707</v>
      </c>
      <c r="F1888" s="1" t="s">
        <v>12</v>
      </c>
      <c r="G1888" s="1">
        <v>17</v>
      </c>
      <c r="H1888" t="str">
        <f t="shared" si="149"/>
        <v>Small-Medium</v>
      </c>
      <c r="I1888" t="str">
        <f t="shared" si="145"/>
        <v>Small-Medium</v>
      </c>
      <c r="J1888" s="1">
        <v>555.12</v>
      </c>
      <c r="K1888">
        <f t="shared" si="146"/>
        <v>0</v>
      </c>
      <c r="L1888">
        <f t="shared" si="147"/>
        <v>555.12</v>
      </c>
      <c r="M1888" s="1">
        <f t="shared" si="148"/>
        <v>555.12</v>
      </c>
      <c r="N1888" s="1" t="s">
        <v>10</v>
      </c>
      <c r="O1888" s="1">
        <v>12.4</v>
      </c>
    </row>
    <row r="1889" spans="4:15" x14ac:dyDescent="0.3">
      <c r="D1889" s="1">
        <v>26336</v>
      </c>
      <c r="E1889" s="2">
        <v>43611</v>
      </c>
      <c r="F1889" s="1" t="s">
        <v>9</v>
      </c>
      <c r="G1889" s="1">
        <v>45</v>
      </c>
      <c r="H1889" t="str">
        <f t="shared" si="149"/>
        <v>XX Large</v>
      </c>
      <c r="I1889" t="str">
        <f t="shared" si="145"/>
        <v>XX Large</v>
      </c>
      <c r="J1889" s="1">
        <v>2945.37</v>
      </c>
      <c r="K1889">
        <f t="shared" si="146"/>
        <v>0.01</v>
      </c>
      <c r="L1889">
        <f t="shared" si="147"/>
        <v>2915.9162999999999</v>
      </c>
      <c r="M1889" s="1">
        <f t="shared" si="148"/>
        <v>2931.67</v>
      </c>
      <c r="N1889" s="1" t="s">
        <v>10</v>
      </c>
      <c r="O1889" s="1">
        <v>13.7</v>
      </c>
    </row>
    <row r="1890" spans="4:15" x14ac:dyDescent="0.3">
      <c r="D1890" s="1">
        <v>36998</v>
      </c>
      <c r="E1890" s="2">
        <v>43737</v>
      </c>
      <c r="F1890" s="1" t="s">
        <v>7</v>
      </c>
      <c r="G1890" s="1">
        <v>41</v>
      </c>
      <c r="H1890" t="str">
        <f t="shared" si="149"/>
        <v>XX Large</v>
      </c>
      <c r="I1890" t="str">
        <f t="shared" si="145"/>
        <v>XX Large</v>
      </c>
      <c r="J1890" s="1">
        <v>283.97000000000003</v>
      </c>
      <c r="K1890">
        <f t="shared" si="146"/>
        <v>0.01</v>
      </c>
      <c r="L1890">
        <f t="shared" si="147"/>
        <v>281.13030000000003</v>
      </c>
      <c r="M1890" s="1">
        <f t="shared" si="148"/>
        <v>273.77000000000004</v>
      </c>
      <c r="N1890" s="1" t="s">
        <v>10</v>
      </c>
      <c r="O1890" s="1">
        <v>10.199999999999999</v>
      </c>
    </row>
    <row r="1891" spans="4:15" x14ac:dyDescent="0.3">
      <c r="D1891" s="1">
        <v>1344</v>
      </c>
      <c r="E1891" s="2">
        <v>43570</v>
      </c>
      <c r="F1891" s="1" t="s">
        <v>7</v>
      </c>
      <c r="G1891" s="1">
        <v>18</v>
      </c>
      <c r="H1891" t="str">
        <f t="shared" si="149"/>
        <v>Small-Medium</v>
      </c>
      <c r="I1891" t="str">
        <f t="shared" si="145"/>
        <v>Small-Medium</v>
      </c>
      <c r="J1891" s="1">
        <v>2654.58</v>
      </c>
      <c r="K1891">
        <f t="shared" si="146"/>
        <v>0</v>
      </c>
      <c r="L1891">
        <f t="shared" si="147"/>
        <v>2654.58</v>
      </c>
      <c r="M1891" s="1">
        <f t="shared" si="148"/>
        <v>2654.58</v>
      </c>
      <c r="N1891" s="1" t="s">
        <v>10</v>
      </c>
      <c r="O1891" s="1">
        <v>9.6</v>
      </c>
    </row>
    <row r="1892" spans="4:15" x14ac:dyDescent="0.3">
      <c r="D1892" s="1">
        <v>34083</v>
      </c>
      <c r="E1892" s="2">
        <v>43500</v>
      </c>
      <c r="F1892" s="1" t="s">
        <v>11</v>
      </c>
      <c r="G1892" s="1">
        <v>29</v>
      </c>
      <c r="H1892" t="str">
        <f t="shared" si="149"/>
        <v>Medium-Large</v>
      </c>
      <c r="I1892" t="str">
        <f t="shared" si="145"/>
        <v>Medium-Large</v>
      </c>
      <c r="J1892" s="1">
        <v>1514.21</v>
      </c>
      <c r="K1892">
        <f t="shared" si="146"/>
        <v>0</v>
      </c>
      <c r="L1892">
        <f t="shared" si="147"/>
        <v>1514.21</v>
      </c>
      <c r="M1892" s="1">
        <f t="shared" si="148"/>
        <v>1514.21</v>
      </c>
      <c r="N1892" s="1" t="s">
        <v>8</v>
      </c>
      <c r="O1892" s="1">
        <v>5.4</v>
      </c>
    </row>
    <row r="1893" spans="4:15" x14ac:dyDescent="0.3">
      <c r="D1893" s="1">
        <v>16103</v>
      </c>
      <c r="E1893" s="2">
        <v>43661</v>
      </c>
      <c r="F1893" s="1" t="s">
        <v>11</v>
      </c>
      <c r="G1893" s="1">
        <v>22</v>
      </c>
      <c r="H1893" t="str">
        <f t="shared" si="149"/>
        <v>Medium</v>
      </c>
      <c r="I1893" t="str">
        <f t="shared" si="145"/>
        <v>Medium</v>
      </c>
      <c r="J1893" s="1">
        <v>456.57</v>
      </c>
      <c r="K1893">
        <f t="shared" si="146"/>
        <v>0</v>
      </c>
      <c r="L1893">
        <f t="shared" si="147"/>
        <v>456.57</v>
      </c>
      <c r="M1893" s="1">
        <f t="shared" si="148"/>
        <v>456.57</v>
      </c>
      <c r="N1893" s="1" t="s">
        <v>10</v>
      </c>
      <c r="O1893" s="1">
        <v>4.4000000000000004</v>
      </c>
    </row>
    <row r="1894" spans="4:15" x14ac:dyDescent="0.3">
      <c r="D1894" s="1">
        <v>41120</v>
      </c>
      <c r="E1894" s="2">
        <v>43653</v>
      </c>
      <c r="F1894" s="1" t="s">
        <v>7</v>
      </c>
      <c r="G1894" s="1">
        <v>35</v>
      </c>
      <c r="H1894" t="str">
        <f t="shared" si="149"/>
        <v>Large</v>
      </c>
      <c r="I1894" t="str">
        <f t="shared" si="145"/>
        <v>Large</v>
      </c>
      <c r="J1894" s="1">
        <v>931.7</v>
      </c>
      <c r="K1894">
        <f t="shared" si="146"/>
        <v>0</v>
      </c>
      <c r="L1894">
        <f t="shared" si="147"/>
        <v>931.7</v>
      </c>
      <c r="M1894" s="1">
        <f t="shared" si="148"/>
        <v>931.7</v>
      </c>
      <c r="N1894" s="1" t="s">
        <v>10</v>
      </c>
      <c r="O1894" s="1">
        <v>5.7</v>
      </c>
    </row>
    <row r="1895" spans="4:15" x14ac:dyDescent="0.3">
      <c r="D1895" s="1">
        <v>44037</v>
      </c>
      <c r="E1895" s="2">
        <v>43644</v>
      </c>
      <c r="F1895" s="1" t="s">
        <v>9</v>
      </c>
      <c r="G1895" s="1">
        <v>38</v>
      </c>
      <c r="H1895" t="str">
        <f t="shared" si="149"/>
        <v>Extra Large</v>
      </c>
      <c r="I1895" t="str">
        <f t="shared" si="145"/>
        <v>Extra Large</v>
      </c>
      <c r="J1895" s="1">
        <v>1925.58</v>
      </c>
      <c r="K1895">
        <f t="shared" si="146"/>
        <v>0.01</v>
      </c>
      <c r="L1895">
        <f t="shared" si="147"/>
        <v>1906.3242</v>
      </c>
      <c r="M1895" s="1">
        <f t="shared" si="148"/>
        <v>1924.28</v>
      </c>
      <c r="N1895" s="1" t="s">
        <v>10</v>
      </c>
      <c r="O1895" s="1">
        <v>1.3</v>
      </c>
    </row>
    <row r="1896" spans="4:15" x14ac:dyDescent="0.3">
      <c r="D1896" s="1">
        <v>29411</v>
      </c>
      <c r="E1896" s="2">
        <v>43561</v>
      </c>
      <c r="F1896" s="1" t="s">
        <v>9</v>
      </c>
      <c r="G1896" s="1">
        <v>29</v>
      </c>
      <c r="H1896" t="str">
        <f t="shared" si="149"/>
        <v>Medium-Large</v>
      </c>
      <c r="I1896" t="str">
        <f t="shared" si="145"/>
        <v>Medium-Large</v>
      </c>
      <c r="J1896" s="1">
        <v>72.62</v>
      </c>
      <c r="K1896">
        <f t="shared" si="146"/>
        <v>0</v>
      </c>
      <c r="L1896">
        <f t="shared" si="147"/>
        <v>72.62</v>
      </c>
      <c r="M1896" s="1">
        <f t="shared" si="148"/>
        <v>72.62</v>
      </c>
      <c r="N1896" s="1" t="s">
        <v>10</v>
      </c>
      <c r="O1896" s="1">
        <v>5.4</v>
      </c>
    </row>
    <row r="1897" spans="4:15" x14ac:dyDescent="0.3">
      <c r="D1897" s="1">
        <v>4578</v>
      </c>
      <c r="E1897" s="2">
        <v>43720</v>
      </c>
      <c r="F1897" s="1" t="s">
        <v>7</v>
      </c>
      <c r="G1897" s="1">
        <v>45</v>
      </c>
      <c r="H1897" t="str">
        <f t="shared" si="149"/>
        <v>XX Large</v>
      </c>
      <c r="I1897" t="str">
        <f t="shared" si="145"/>
        <v>XX Large</v>
      </c>
      <c r="J1897" s="1">
        <v>302.5</v>
      </c>
      <c r="K1897">
        <f t="shared" si="146"/>
        <v>0.01</v>
      </c>
      <c r="L1897">
        <f t="shared" si="147"/>
        <v>299.47500000000002</v>
      </c>
      <c r="M1897" s="1">
        <f t="shared" si="148"/>
        <v>295.3</v>
      </c>
      <c r="N1897" s="1" t="s">
        <v>10</v>
      </c>
      <c r="O1897" s="1">
        <v>7.2</v>
      </c>
    </row>
    <row r="1898" spans="4:15" x14ac:dyDescent="0.3">
      <c r="D1898" s="1">
        <v>36294</v>
      </c>
      <c r="E1898" s="2">
        <v>43697</v>
      </c>
      <c r="F1898" s="1" t="s">
        <v>14</v>
      </c>
      <c r="G1898" s="1">
        <v>46</v>
      </c>
      <c r="H1898" t="str">
        <f t="shared" si="149"/>
        <v>XXX Large</v>
      </c>
      <c r="I1898" t="str">
        <f t="shared" si="145"/>
        <v>XXX Large</v>
      </c>
      <c r="J1898" s="1">
        <v>653.94119999999998</v>
      </c>
      <c r="K1898">
        <f t="shared" si="146"/>
        <v>0.01</v>
      </c>
      <c r="L1898">
        <f t="shared" si="147"/>
        <v>647.40178800000001</v>
      </c>
      <c r="M1898" s="1">
        <f t="shared" si="148"/>
        <v>648.64120000000003</v>
      </c>
      <c r="N1898" s="1" t="s">
        <v>10</v>
      </c>
      <c r="O1898" s="1">
        <v>5.3</v>
      </c>
    </row>
    <row r="1899" spans="4:15" x14ac:dyDescent="0.3">
      <c r="D1899" s="1">
        <v>49798</v>
      </c>
      <c r="E1899" s="2">
        <v>43807</v>
      </c>
      <c r="F1899" s="1" t="s">
        <v>12</v>
      </c>
      <c r="G1899" s="1">
        <v>29</v>
      </c>
      <c r="H1899" t="str">
        <f t="shared" si="149"/>
        <v>Medium-Large</v>
      </c>
      <c r="I1899" t="str">
        <f t="shared" si="145"/>
        <v>Medium-Large</v>
      </c>
      <c r="J1899" s="1">
        <v>344.01</v>
      </c>
      <c r="K1899">
        <f t="shared" si="146"/>
        <v>0</v>
      </c>
      <c r="L1899">
        <f t="shared" si="147"/>
        <v>344.01</v>
      </c>
      <c r="M1899" s="1">
        <f t="shared" si="148"/>
        <v>344.01</v>
      </c>
      <c r="N1899" s="1" t="s">
        <v>10</v>
      </c>
      <c r="O1899" s="1">
        <v>3.6</v>
      </c>
    </row>
    <row r="1900" spans="4:15" x14ac:dyDescent="0.3">
      <c r="D1900" s="1">
        <v>194</v>
      </c>
      <c r="E1900" s="2">
        <v>43559</v>
      </c>
      <c r="F1900" s="1" t="s">
        <v>14</v>
      </c>
      <c r="G1900" s="1">
        <v>6</v>
      </c>
      <c r="H1900" t="str">
        <f t="shared" si="149"/>
        <v>Extra Small</v>
      </c>
      <c r="I1900" t="str">
        <f t="shared" si="145"/>
        <v>Extra Small</v>
      </c>
      <c r="J1900" s="1">
        <v>21.6</v>
      </c>
      <c r="K1900">
        <f t="shared" si="146"/>
        <v>0</v>
      </c>
      <c r="L1900">
        <f t="shared" si="147"/>
        <v>21.6</v>
      </c>
      <c r="M1900" s="1">
        <f t="shared" si="148"/>
        <v>21.6</v>
      </c>
      <c r="N1900" s="1" t="s">
        <v>10</v>
      </c>
      <c r="O1900" s="1">
        <v>2.1</v>
      </c>
    </row>
    <row r="1901" spans="4:15" x14ac:dyDescent="0.3">
      <c r="D1901" s="1">
        <v>41634</v>
      </c>
      <c r="E1901" s="2">
        <v>43807</v>
      </c>
      <c r="F1901" s="1" t="s">
        <v>11</v>
      </c>
      <c r="G1901" s="1">
        <v>10</v>
      </c>
      <c r="H1901" t="str">
        <f t="shared" si="149"/>
        <v>Extra Small</v>
      </c>
      <c r="I1901" t="str">
        <f t="shared" si="145"/>
        <v>Extra Small</v>
      </c>
      <c r="J1901" s="1">
        <v>397.45</v>
      </c>
      <c r="K1901">
        <f t="shared" si="146"/>
        <v>0</v>
      </c>
      <c r="L1901">
        <f t="shared" si="147"/>
        <v>397.45</v>
      </c>
      <c r="M1901" s="1">
        <f t="shared" si="148"/>
        <v>397.45</v>
      </c>
      <c r="N1901" s="1" t="s">
        <v>10</v>
      </c>
      <c r="O1901" s="1">
        <v>8.3000000000000007</v>
      </c>
    </row>
    <row r="1902" spans="4:15" x14ac:dyDescent="0.3">
      <c r="D1902" s="1">
        <v>11362</v>
      </c>
      <c r="E1902" s="2">
        <v>43718</v>
      </c>
      <c r="F1902" s="1" t="s">
        <v>7</v>
      </c>
      <c r="G1902" s="1">
        <v>27</v>
      </c>
      <c r="H1902" t="str">
        <f t="shared" si="149"/>
        <v>Medium-Large</v>
      </c>
      <c r="I1902" t="str">
        <f t="shared" si="145"/>
        <v>Medium-Large</v>
      </c>
      <c r="J1902" s="1">
        <v>67.430000000000007</v>
      </c>
      <c r="K1902">
        <f t="shared" si="146"/>
        <v>0</v>
      </c>
      <c r="L1902">
        <f t="shared" si="147"/>
        <v>67.430000000000007</v>
      </c>
      <c r="M1902" s="1">
        <f t="shared" si="148"/>
        <v>67.430000000000007</v>
      </c>
      <c r="N1902" s="1" t="s">
        <v>10</v>
      </c>
      <c r="O1902" s="1">
        <v>5.4</v>
      </c>
    </row>
    <row r="1903" spans="4:15" x14ac:dyDescent="0.3">
      <c r="D1903" s="1">
        <v>43815</v>
      </c>
      <c r="E1903" s="2">
        <v>43629</v>
      </c>
      <c r="F1903" s="1" t="s">
        <v>11</v>
      </c>
      <c r="G1903" s="1">
        <v>22</v>
      </c>
      <c r="H1903" t="str">
        <f t="shared" si="149"/>
        <v>Medium</v>
      </c>
      <c r="I1903" t="str">
        <f t="shared" si="145"/>
        <v>Medium</v>
      </c>
      <c r="J1903" s="1">
        <v>1338.998</v>
      </c>
      <c r="K1903">
        <f t="shared" si="146"/>
        <v>0</v>
      </c>
      <c r="L1903">
        <f t="shared" si="147"/>
        <v>1338.998</v>
      </c>
      <c r="M1903" s="1">
        <f t="shared" si="148"/>
        <v>1338.998</v>
      </c>
      <c r="N1903" s="1" t="s">
        <v>10</v>
      </c>
      <c r="O1903" s="1">
        <v>7.3</v>
      </c>
    </row>
    <row r="1904" spans="4:15" x14ac:dyDescent="0.3">
      <c r="D1904" s="1">
        <v>49094</v>
      </c>
      <c r="E1904" s="2">
        <v>43711</v>
      </c>
      <c r="F1904" s="1" t="s">
        <v>12</v>
      </c>
      <c r="G1904" s="1">
        <v>31</v>
      </c>
      <c r="H1904" t="str">
        <f t="shared" si="149"/>
        <v>Large</v>
      </c>
      <c r="I1904" t="str">
        <f t="shared" si="145"/>
        <v>Large</v>
      </c>
      <c r="J1904" s="1">
        <v>906.13</v>
      </c>
      <c r="K1904">
        <f t="shared" si="146"/>
        <v>0</v>
      </c>
      <c r="L1904">
        <f t="shared" si="147"/>
        <v>906.13</v>
      </c>
      <c r="M1904" s="1">
        <f t="shared" si="148"/>
        <v>906.13</v>
      </c>
      <c r="N1904" s="1" t="s">
        <v>10</v>
      </c>
      <c r="O1904" s="1">
        <v>4.3</v>
      </c>
    </row>
    <row r="1905" spans="4:15" x14ac:dyDescent="0.3">
      <c r="D1905" s="1">
        <v>23555</v>
      </c>
      <c r="E1905" s="2">
        <v>43810</v>
      </c>
      <c r="F1905" s="1" t="s">
        <v>9</v>
      </c>
      <c r="G1905" s="1">
        <v>29</v>
      </c>
      <c r="H1905" t="str">
        <f t="shared" si="149"/>
        <v>Medium-Large</v>
      </c>
      <c r="I1905" t="str">
        <f t="shared" si="145"/>
        <v>Medium-Large</v>
      </c>
      <c r="J1905" s="1">
        <v>112.03</v>
      </c>
      <c r="K1905">
        <f t="shared" si="146"/>
        <v>0</v>
      </c>
      <c r="L1905">
        <f t="shared" si="147"/>
        <v>112.03</v>
      </c>
      <c r="M1905" s="1">
        <f t="shared" si="148"/>
        <v>112.03</v>
      </c>
      <c r="N1905" s="1" t="s">
        <v>10</v>
      </c>
      <c r="O1905" s="1">
        <v>0.5</v>
      </c>
    </row>
    <row r="1906" spans="4:15" x14ac:dyDescent="0.3">
      <c r="D1906" s="1">
        <v>51202</v>
      </c>
      <c r="E1906" s="2">
        <v>43568</v>
      </c>
      <c r="F1906" s="1" t="s">
        <v>9</v>
      </c>
      <c r="G1906" s="1">
        <v>4</v>
      </c>
      <c r="H1906" t="str">
        <f t="shared" si="149"/>
        <v>Mini</v>
      </c>
      <c r="I1906" t="str">
        <f t="shared" si="145"/>
        <v>Mini</v>
      </c>
      <c r="J1906" s="1">
        <v>33.049999999999997</v>
      </c>
      <c r="K1906">
        <f t="shared" si="146"/>
        <v>0</v>
      </c>
      <c r="L1906">
        <f t="shared" si="147"/>
        <v>33.049999999999997</v>
      </c>
      <c r="M1906" s="1">
        <f t="shared" si="148"/>
        <v>33.049999999999997</v>
      </c>
      <c r="N1906" s="1" t="s">
        <v>10</v>
      </c>
      <c r="O1906" s="1">
        <v>8.1999999999999993</v>
      </c>
    </row>
    <row r="1907" spans="4:15" x14ac:dyDescent="0.3">
      <c r="D1907" s="1">
        <v>22466</v>
      </c>
      <c r="E1907" s="2">
        <v>43552</v>
      </c>
      <c r="F1907" s="1" t="s">
        <v>7</v>
      </c>
      <c r="G1907" s="1">
        <v>40</v>
      </c>
      <c r="H1907" t="str">
        <f t="shared" si="149"/>
        <v>Extra Large</v>
      </c>
      <c r="I1907" t="str">
        <f t="shared" si="145"/>
        <v>Extra Large</v>
      </c>
      <c r="J1907" s="1">
        <v>460.3</v>
      </c>
      <c r="K1907">
        <f t="shared" si="146"/>
        <v>0.01</v>
      </c>
      <c r="L1907">
        <f t="shared" si="147"/>
        <v>455.697</v>
      </c>
      <c r="M1907" s="1">
        <f t="shared" si="148"/>
        <v>458.40000000000003</v>
      </c>
      <c r="N1907" s="1" t="s">
        <v>10</v>
      </c>
      <c r="O1907" s="1">
        <v>1.9</v>
      </c>
    </row>
    <row r="1908" spans="4:15" x14ac:dyDescent="0.3">
      <c r="D1908" s="1">
        <v>9794</v>
      </c>
      <c r="E1908" s="2">
        <v>43548</v>
      </c>
      <c r="F1908" s="1" t="s">
        <v>11</v>
      </c>
      <c r="G1908" s="1">
        <v>25</v>
      </c>
      <c r="H1908" t="str">
        <f t="shared" si="149"/>
        <v>Medium</v>
      </c>
      <c r="I1908" t="str">
        <f t="shared" si="145"/>
        <v>Medium</v>
      </c>
      <c r="J1908" s="1">
        <v>144.69999999999999</v>
      </c>
      <c r="K1908">
        <f t="shared" si="146"/>
        <v>0</v>
      </c>
      <c r="L1908">
        <f t="shared" si="147"/>
        <v>144.69999999999999</v>
      </c>
      <c r="M1908" s="1">
        <f t="shared" si="148"/>
        <v>144.69999999999999</v>
      </c>
      <c r="N1908" s="1" t="s">
        <v>10</v>
      </c>
      <c r="O1908" s="1">
        <v>3.9</v>
      </c>
    </row>
    <row r="1909" spans="4:15" x14ac:dyDescent="0.3">
      <c r="D1909" s="1">
        <v>45698</v>
      </c>
      <c r="E1909" s="2">
        <v>43578</v>
      </c>
      <c r="F1909" s="1" t="s">
        <v>9</v>
      </c>
      <c r="G1909" s="1">
        <v>36</v>
      </c>
      <c r="H1909" t="str">
        <f t="shared" si="149"/>
        <v>Extra Large</v>
      </c>
      <c r="I1909" t="str">
        <f t="shared" si="145"/>
        <v>Extra Large</v>
      </c>
      <c r="J1909" s="1">
        <v>281.81</v>
      </c>
      <c r="K1909">
        <f t="shared" si="146"/>
        <v>0.01</v>
      </c>
      <c r="L1909">
        <f t="shared" si="147"/>
        <v>278.99189999999999</v>
      </c>
      <c r="M1909" s="1">
        <f t="shared" si="148"/>
        <v>277.31</v>
      </c>
      <c r="N1909" s="1" t="s">
        <v>10</v>
      </c>
      <c r="O1909" s="1">
        <v>4.5</v>
      </c>
    </row>
    <row r="1910" spans="4:15" x14ac:dyDescent="0.3">
      <c r="D1910" s="1">
        <v>6950</v>
      </c>
      <c r="E1910" s="2">
        <v>43550</v>
      </c>
      <c r="F1910" s="1" t="s">
        <v>7</v>
      </c>
      <c r="G1910" s="1">
        <v>4</v>
      </c>
      <c r="H1910" t="str">
        <f t="shared" si="149"/>
        <v>Mini</v>
      </c>
      <c r="I1910" t="str">
        <f t="shared" si="145"/>
        <v>Mini</v>
      </c>
      <c r="J1910" s="1">
        <v>200.52</v>
      </c>
      <c r="K1910">
        <f t="shared" si="146"/>
        <v>0</v>
      </c>
      <c r="L1910">
        <f t="shared" si="147"/>
        <v>200.52</v>
      </c>
      <c r="M1910" s="1">
        <f t="shared" si="148"/>
        <v>200.52</v>
      </c>
      <c r="N1910" s="1" t="s">
        <v>10</v>
      </c>
      <c r="O1910" s="1">
        <v>3.5</v>
      </c>
    </row>
    <row r="1911" spans="4:15" x14ac:dyDescent="0.3">
      <c r="D1911" s="1">
        <v>42374</v>
      </c>
      <c r="E1911" s="2">
        <v>43663</v>
      </c>
      <c r="F1911" s="1" t="s">
        <v>12</v>
      </c>
      <c r="G1911" s="1">
        <v>47</v>
      </c>
      <c r="H1911" t="str">
        <f t="shared" si="149"/>
        <v>XXX Large</v>
      </c>
      <c r="I1911" t="str">
        <f t="shared" si="145"/>
        <v>XXX Large</v>
      </c>
      <c r="J1911" s="1">
        <v>864.13</v>
      </c>
      <c r="K1911">
        <f t="shared" si="146"/>
        <v>0.01</v>
      </c>
      <c r="L1911">
        <f t="shared" si="147"/>
        <v>855.48869999999999</v>
      </c>
      <c r="M1911" s="1">
        <f t="shared" si="148"/>
        <v>858.73</v>
      </c>
      <c r="N1911" s="1" t="s">
        <v>10</v>
      </c>
      <c r="O1911" s="1">
        <v>5.4</v>
      </c>
    </row>
    <row r="1912" spans="4:15" x14ac:dyDescent="0.3">
      <c r="D1912" s="1">
        <v>29090</v>
      </c>
      <c r="E1912" s="2">
        <v>43480</v>
      </c>
      <c r="F1912" s="1" t="s">
        <v>14</v>
      </c>
      <c r="G1912" s="1">
        <v>24</v>
      </c>
      <c r="H1912" t="str">
        <f t="shared" si="149"/>
        <v>Medium</v>
      </c>
      <c r="I1912" t="str">
        <f t="shared" si="145"/>
        <v>Medium</v>
      </c>
      <c r="J1912" s="1">
        <v>106.04</v>
      </c>
      <c r="K1912">
        <f t="shared" si="146"/>
        <v>0</v>
      </c>
      <c r="L1912">
        <f t="shared" si="147"/>
        <v>106.04</v>
      </c>
      <c r="M1912" s="1">
        <f t="shared" si="148"/>
        <v>106.04</v>
      </c>
      <c r="N1912" s="1" t="s">
        <v>10</v>
      </c>
      <c r="O1912" s="1">
        <v>1.1000000000000001</v>
      </c>
    </row>
    <row r="1913" spans="4:15" x14ac:dyDescent="0.3">
      <c r="D1913" s="1">
        <v>55777</v>
      </c>
      <c r="E1913" s="2">
        <v>43779</v>
      </c>
      <c r="F1913" s="1" t="s">
        <v>11</v>
      </c>
      <c r="G1913" s="1">
        <v>6</v>
      </c>
      <c r="H1913" t="str">
        <f t="shared" si="149"/>
        <v>Extra Small</v>
      </c>
      <c r="I1913" t="str">
        <f t="shared" si="145"/>
        <v>Extra Small</v>
      </c>
      <c r="J1913" s="1">
        <v>346.1771</v>
      </c>
      <c r="K1913">
        <f t="shared" si="146"/>
        <v>0</v>
      </c>
      <c r="L1913">
        <f t="shared" si="147"/>
        <v>346.1771</v>
      </c>
      <c r="M1913" s="1">
        <f t="shared" si="148"/>
        <v>346.1771</v>
      </c>
      <c r="N1913" s="1" t="s">
        <v>10</v>
      </c>
      <c r="O1913" s="1">
        <v>21.4</v>
      </c>
    </row>
    <row r="1914" spans="4:15" x14ac:dyDescent="0.3">
      <c r="D1914" s="1">
        <v>31456</v>
      </c>
      <c r="E1914" s="2">
        <v>43784</v>
      </c>
      <c r="F1914" s="1" t="s">
        <v>9</v>
      </c>
      <c r="G1914" s="1">
        <v>10</v>
      </c>
      <c r="H1914" t="str">
        <f t="shared" si="149"/>
        <v>Extra Small</v>
      </c>
      <c r="I1914" t="str">
        <f t="shared" si="145"/>
        <v>Extra Small</v>
      </c>
      <c r="J1914" s="1">
        <v>240.85</v>
      </c>
      <c r="K1914">
        <f t="shared" si="146"/>
        <v>0</v>
      </c>
      <c r="L1914">
        <f t="shared" si="147"/>
        <v>240.85</v>
      </c>
      <c r="M1914" s="1">
        <f t="shared" si="148"/>
        <v>240.85</v>
      </c>
      <c r="N1914" s="1" t="s">
        <v>10</v>
      </c>
      <c r="O1914" s="1">
        <v>3.2</v>
      </c>
    </row>
    <row r="1915" spans="4:15" x14ac:dyDescent="0.3">
      <c r="D1915" s="1">
        <v>59589</v>
      </c>
      <c r="E1915" s="2">
        <v>43566</v>
      </c>
      <c r="F1915" s="1" t="s">
        <v>14</v>
      </c>
      <c r="G1915" s="1">
        <v>25</v>
      </c>
      <c r="H1915" t="str">
        <f t="shared" si="149"/>
        <v>Medium</v>
      </c>
      <c r="I1915" t="str">
        <f t="shared" si="145"/>
        <v>Medium</v>
      </c>
      <c r="J1915" s="1">
        <v>1722.98</v>
      </c>
      <c r="K1915">
        <f t="shared" si="146"/>
        <v>0</v>
      </c>
      <c r="L1915">
        <f t="shared" si="147"/>
        <v>1722.98</v>
      </c>
      <c r="M1915" s="1">
        <f t="shared" si="148"/>
        <v>1722.98</v>
      </c>
      <c r="N1915" s="1" t="s">
        <v>10</v>
      </c>
      <c r="O1915" s="1">
        <v>7.4</v>
      </c>
    </row>
    <row r="1916" spans="4:15" x14ac:dyDescent="0.3">
      <c r="D1916" s="1">
        <v>52580</v>
      </c>
      <c r="E1916" s="2">
        <v>43705</v>
      </c>
      <c r="F1916" s="1" t="s">
        <v>9</v>
      </c>
      <c r="G1916" s="1">
        <v>16</v>
      </c>
      <c r="H1916" t="str">
        <f t="shared" si="149"/>
        <v>Small-Medium</v>
      </c>
      <c r="I1916" t="str">
        <f t="shared" si="145"/>
        <v>Small-Medium</v>
      </c>
      <c r="J1916" s="1">
        <v>392.79</v>
      </c>
      <c r="K1916">
        <f t="shared" si="146"/>
        <v>0</v>
      </c>
      <c r="L1916">
        <f t="shared" si="147"/>
        <v>392.79</v>
      </c>
      <c r="M1916" s="1">
        <f t="shared" si="148"/>
        <v>392.79</v>
      </c>
      <c r="N1916" s="1" t="s">
        <v>10</v>
      </c>
      <c r="O1916" s="1">
        <v>2.1</v>
      </c>
    </row>
    <row r="1917" spans="4:15" x14ac:dyDescent="0.3">
      <c r="D1917" s="1">
        <v>44323</v>
      </c>
      <c r="E1917" s="2">
        <v>43684</v>
      </c>
      <c r="F1917" s="1" t="s">
        <v>14</v>
      </c>
      <c r="G1917" s="1">
        <v>27</v>
      </c>
      <c r="H1917" t="str">
        <f t="shared" si="149"/>
        <v>Medium-Large</v>
      </c>
      <c r="I1917" t="str">
        <f t="shared" si="145"/>
        <v>Medium-Large</v>
      </c>
      <c r="J1917" s="1">
        <v>22813.02</v>
      </c>
      <c r="K1917">
        <f t="shared" si="146"/>
        <v>0</v>
      </c>
      <c r="L1917">
        <f t="shared" si="147"/>
        <v>22813.02</v>
      </c>
      <c r="M1917" s="1">
        <f t="shared" si="148"/>
        <v>22813.02</v>
      </c>
      <c r="N1917" s="1" t="s">
        <v>13</v>
      </c>
      <c r="O1917" s="1">
        <v>17.2</v>
      </c>
    </row>
    <row r="1918" spans="4:15" x14ac:dyDescent="0.3">
      <c r="D1918" s="1">
        <v>44000</v>
      </c>
      <c r="E1918" s="2">
        <v>43742</v>
      </c>
      <c r="F1918" s="1" t="s">
        <v>11</v>
      </c>
      <c r="G1918" s="1">
        <v>18</v>
      </c>
      <c r="H1918" t="str">
        <f t="shared" si="149"/>
        <v>Small-Medium</v>
      </c>
      <c r="I1918" t="str">
        <f t="shared" si="145"/>
        <v>Small-Medium</v>
      </c>
      <c r="J1918" s="1">
        <v>90.98</v>
      </c>
      <c r="K1918">
        <f t="shared" si="146"/>
        <v>0</v>
      </c>
      <c r="L1918">
        <f t="shared" si="147"/>
        <v>90.98</v>
      </c>
      <c r="M1918" s="1">
        <f t="shared" si="148"/>
        <v>90.98</v>
      </c>
      <c r="N1918" s="1" t="s">
        <v>10</v>
      </c>
      <c r="O1918" s="1">
        <v>7.2</v>
      </c>
    </row>
    <row r="1919" spans="4:15" x14ac:dyDescent="0.3">
      <c r="D1919" s="1">
        <v>56708</v>
      </c>
      <c r="E1919" s="2">
        <v>43801</v>
      </c>
      <c r="F1919" s="1" t="s">
        <v>11</v>
      </c>
      <c r="G1919" s="1">
        <v>36</v>
      </c>
      <c r="H1919" t="str">
        <f t="shared" si="149"/>
        <v>Extra Large</v>
      </c>
      <c r="I1919" t="str">
        <f t="shared" si="145"/>
        <v>Extra Large</v>
      </c>
      <c r="J1919" s="1">
        <v>10706.72</v>
      </c>
      <c r="K1919">
        <f t="shared" si="146"/>
        <v>0.01</v>
      </c>
      <c r="L1919">
        <f t="shared" si="147"/>
        <v>10599.6528</v>
      </c>
      <c r="M1919" s="1">
        <f t="shared" si="148"/>
        <v>10640.619999999999</v>
      </c>
      <c r="N1919" s="1" t="s">
        <v>13</v>
      </c>
      <c r="O1919" s="1">
        <v>66.099999999999994</v>
      </c>
    </row>
    <row r="1920" spans="4:15" x14ac:dyDescent="0.3">
      <c r="D1920" s="1">
        <v>29411</v>
      </c>
      <c r="E1920" s="2">
        <v>43561</v>
      </c>
      <c r="F1920" s="1" t="s">
        <v>9</v>
      </c>
      <c r="G1920" s="1">
        <v>45</v>
      </c>
      <c r="H1920" t="str">
        <f t="shared" si="149"/>
        <v>XX Large</v>
      </c>
      <c r="I1920" t="str">
        <f t="shared" si="145"/>
        <v>XX Large</v>
      </c>
      <c r="J1920" s="1">
        <v>1160.01</v>
      </c>
      <c r="K1920">
        <f t="shared" si="146"/>
        <v>0.01</v>
      </c>
      <c r="L1920">
        <f t="shared" si="147"/>
        <v>1148.4098999999999</v>
      </c>
      <c r="M1920" s="1">
        <f t="shared" si="148"/>
        <v>1153.31</v>
      </c>
      <c r="N1920" s="1" t="s">
        <v>10</v>
      </c>
      <c r="O1920" s="1">
        <v>6.7</v>
      </c>
    </row>
    <row r="1921" spans="4:15" x14ac:dyDescent="0.3">
      <c r="D1921" s="1">
        <v>16423</v>
      </c>
      <c r="E1921" s="2">
        <v>43682</v>
      </c>
      <c r="F1921" s="1" t="s">
        <v>14</v>
      </c>
      <c r="G1921" s="1">
        <v>19</v>
      </c>
      <c r="H1921" t="str">
        <f t="shared" si="149"/>
        <v>Small-Medium</v>
      </c>
      <c r="I1921" t="str">
        <f t="shared" si="145"/>
        <v>Small-Medium</v>
      </c>
      <c r="J1921" s="1">
        <v>137.18</v>
      </c>
      <c r="K1921">
        <f t="shared" si="146"/>
        <v>0</v>
      </c>
      <c r="L1921">
        <f t="shared" si="147"/>
        <v>137.18</v>
      </c>
      <c r="M1921" s="1">
        <f t="shared" si="148"/>
        <v>137.18</v>
      </c>
      <c r="N1921" s="1" t="s">
        <v>10</v>
      </c>
      <c r="O1921" s="1">
        <v>7</v>
      </c>
    </row>
    <row r="1922" spans="4:15" x14ac:dyDescent="0.3">
      <c r="D1922" s="1">
        <v>35104</v>
      </c>
      <c r="E1922" s="2">
        <v>43577</v>
      </c>
      <c r="F1922" s="1" t="s">
        <v>9</v>
      </c>
      <c r="G1922" s="1">
        <v>1</v>
      </c>
      <c r="H1922" t="str">
        <f t="shared" si="149"/>
        <v>Mini</v>
      </c>
      <c r="I1922" t="str">
        <f t="shared" si="145"/>
        <v>Mini</v>
      </c>
      <c r="J1922" s="1">
        <v>38.85</v>
      </c>
      <c r="K1922">
        <f t="shared" si="146"/>
        <v>0</v>
      </c>
      <c r="L1922">
        <f t="shared" si="147"/>
        <v>38.85</v>
      </c>
      <c r="M1922" s="1">
        <f t="shared" si="148"/>
        <v>38.85</v>
      </c>
      <c r="N1922" s="1" t="s">
        <v>10</v>
      </c>
      <c r="O1922" s="1">
        <v>5.9</v>
      </c>
    </row>
    <row r="1923" spans="4:15" x14ac:dyDescent="0.3">
      <c r="D1923" s="1">
        <v>12096</v>
      </c>
      <c r="E1923" s="2">
        <v>43727</v>
      </c>
      <c r="F1923" s="1" t="s">
        <v>14</v>
      </c>
      <c r="G1923" s="1">
        <v>23</v>
      </c>
      <c r="H1923" t="str">
        <f t="shared" si="149"/>
        <v>Medium</v>
      </c>
      <c r="I1923" t="str">
        <f t="shared" ref="I1923:I1986" si="150">VLOOKUP(G1923, $A$3:$B$12, 2, TRUE)</f>
        <v>Medium</v>
      </c>
      <c r="J1923" s="1">
        <v>5017.9399999999996</v>
      </c>
      <c r="K1923">
        <f t="shared" ref="K1923:K1986" si="151">IF(OR(I1923="Extra Large", I1923="XX Large", I1923="XXX Large"), 0.01, 0)</f>
        <v>0</v>
      </c>
      <c r="L1923">
        <f t="shared" ref="L1923:L1986" si="152">J1923 * (1 - K1923)</f>
        <v>5017.9399999999996</v>
      </c>
      <c r="M1923" s="1">
        <f t="shared" ref="M1923:M1986" si="153">IF(OR(I1923="Extra Large",I1923="XX Large",I1923="XXX Large"),J1923-O1923,J1923)</f>
        <v>5017.9399999999996</v>
      </c>
      <c r="N1923" s="1" t="s">
        <v>10</v>
      </c>
      <c r="O1923" s="1">
        <v>12.3</v>
      </c>
    </row>
    <row r="1924" spans="4:15" x14ac:dyDescent="0.3">
      <c r="D1924" s="1">
        <v>55171</v>
      </c>
      <c r="E1924" s="2">
        <v>43764</v>
      </c>
      <c r="F1924" s="1" t="s">
        <v>9</v>
      </c>
      <c r="G1924" s="1">
        <v>29</v>
      </c>
      <c r="H1924" t="str">
        <f t="shared" si="149"/>
        <v>Medium-Large</v>
      </c>
      <c r="I1924" t="str">
        <f t="shared" si="150"/>
        <v>Medium-Large</v>
      </c>
      <c r="J1924" s="1">
        <v>616.20000000000005</v>
      </c>
      <c r="K1924">
        <f t="shared" si="151"/>
        <v>0</v>
      </c>
      <c r="L1924">
        <f t="shared" si="152"/>
        <v>616.20000000000005</v>
      </c>
      <c r="M1924" s="1">
        <f t="shared" si="153"/>
        <v>616.20000000000005</v>
      </c>
      <c r="N1924" s="1" t="s">
        <v>10</v>
      </c>
      <c r="O1924" s="1">
        <v>4.3</v>
      </c>
    </row>
    <row r="1925" spans="4:15" x14ac:dyDescent="0.3">
      <c r="D1925" s="1">
        <v>24865</v>
      </c>
      <c r="E1925" s="2">
        <v>43543</v>
      </c>
      <c r="F1925" s="1" t="s">
        <v>9</v>
      </c>
      <c r="G1925" s="1">
        <v>46</v>
      </c>
      <c r="H1925" t="str">
        <f t="shared" ref="H1925:H1988" si="154">VLOOKUP(G1925, $A$3:$B$12, 2, TRUE)</f>
        <v>XXX Large</v>
      </c>
      <c r="I1925" t="str">
        <f t="shared" si="150"/>
        <v>XXX Large</v>
      </c>
      <c r="J1925" s="1">
        <v>187.5</v>
      </c>
      <c r="K1925">
        <f t="shared" si="151"/>
        <v>0.01</v>
      </c>
      <c r="L1925">
        <f t="shared" si="152"/>
        <v>185.625</v>
      </c>
      <c r="M1925" s="1">
        <f t="shared" si="153"/>
        <v>184.8</v>
      </c>
      <c r="N1925" s="1" t="s">
        <v>10</v>
      </c>
      <c r="O1925" s="1">
        <v>2.7</v>
      </c>
    </row>
    <row r="1926" spans="4:15" x14ac:dyDescent="0.3">
      <c r="D1926" s="1">
        <v>52580</v>
      </c>
      <c r="E1926" s="2">
        <v>43705</v>
      </c>
      <c r="F1926" s="1" t="s">
        <v>9</v>
      </c>
      <c r="G1926" s="1">
        <v>23</v>
      </c>
      <c r="H1926" t="str">
        <f t="shared" si="154"/>
        <v>Medium</v>
      </c>
      <c r="I1926" t="str">
        <f t="shared" si="150"/>
        <v>Medium</v>
      </c>
      <c r="J1926" s="1">
        <v>149.44</v>
      </c>
      <c r="K1926">
        <f t="shared" si="151"/>
        <v>0</v>
      </c>
      <c r="L1926">
        <f t="shared" si="152"/>
        <v>149.44</v>
      </c>
      <c r="M1926" s="1">
        <f t="shared" si="153"/>
        <v>149.44</v>
      </c>
      <c r="N1926" s="1" t="s">
        <v>10</v>
      </c>
      <c r="O1926" s="1">
        <v>1.5</v>
      </c>
    </row>
    <row r="1927" spans="4:15" x14ac:dyDescent="0.3">
      <c r="D1927" s="1">
        <v>39399</v>
      </c>
      <c r="E1927" s="2">
        <v>43816</v>
      </c>
      <c r="F1927" s="1" t="s">
        <v>14</v>
      </c>
      <c r="G1927" s="1">
        <v>28</v>
      </c>
      <c r="H1927" t="str">
        <f t="shared" si="154"/>
        <v>Medium-Large</v>
      </c>
      <c r="I1927" t="str">
        <f t="shared" si="150"/>
        <v>Medium-Large</v>
      </c>
      <c r="J1927" s="1">
        <v>325.25</v>
      </c>
      <c r="K1927">
        <f t="shared" si="151"/>
        <v>0</v>
      </c>
      <c r="L1927">
        <f t="shared" si="152"/>
        <v>325.25</v>
      </c>
      <c r="M1927" s="1">
        <f t="shared" si="153"/>
        <v>325.25</v>
      </c>
      <c r="N1927" s="1" t="s">
        <v>10</v>
      </c>
      <c r="O1927" s="1">
        <v>5.5</v>
      </c>
    </row>
    <row r="1928" spans="4:15" x14ac:dyDescent="0.3">
      <c r="D1928" s="1">
        <v>49510</v>
      </c>
      <c r="E1928" s="2">
        <v>43544</v>
      </c>
      <c r="F1928" s="1" t="s">
        <v>12</v>
      </c>
      <c r="G1928" s="1">
        <v>16</v>
      </c>
      <c r="H1928" t="str">
        <f t="shared" si="154"/>
        <v>Small-Medium</v>
      </c>
      <c r="I1928" t="str">
        <f t="shared" si="150"/>
        <v>Small-Medium</v>
      </c>
      <c r="J1928" s="1">
        <v>47.19</v>
      </c>
      <c r="K1928">
        <f t="shared" si="151"/>
        <v>0</v>
      </c>
      <c r="L1928">
        <f t="shared" si="152"/>
        <v>47.19</v>
      </c>
      <c r="M1928" s="1">
        <f t="shared" si="153"/>
        <v>47.19</v>
      </c>
      <c r="N1928" s="1" t="s">
        <v>10</v>
      </c>
      <c r="O1928" s="1">
        <v>1.4</v>
      </c>
    </row>
    <row r="1929" spans="4:15" x14ac:dyDescent="0.3">
      <c r="D1929" s="1">
        <v>58853</v>
      </c>
      <c r="E1929" s="2">
        <v>43598</v>
      </c>
      <c r="F1929" s="1" t="s">
        <v>12</v>
      </c>
      <c r="G1929" s="1">
        <v>27</v>
      </c>
      <c r="H1929" t="str">
        <f t="shared" si="154"/>
        <v>Medium-Large</v>
      </c>
      <c r="I1929" t="str">
        <f t="shared" si="150"/>
        <v>Medium-Large</v>
      </c>
      <c r="J1929" s="1">
        <v>5679.03</v>
      </c>
      <c r="K1929">
        <f t="shared" si="151"/>
        <v>0</v>
      </c>
      <c r="L1929">
        <f t="shared" si="152"/>
        <v>5679.03</v>
      </c>
      <c r="M1929" s="1">
        <f t="shared" si="153"/>
        <v>5679.03</v>
      </c>
      <c r="N1929" s="1" t="s">
        <v>13</v>
      </c>
      <c r="O1929" s="1">
        <v>25.4</v>
      </c>
    </row>
    <row r="1930" spans="4:15" x14ac:dyDescent="0.3">
      <c r="D1930" s="1">
        <v>34309</v>
      </c>
      <c r="E1930" s="2">
        <v>43714</v>
      </c>
      <c r="F1930" s="1" t="s">
        <v>9</v>
      </c>
      <c r="G1930" s="1">
        <v>16</v>
      </c>
      <c r="H1930" t="str">
        <f t="shared" si="154"/>
        <v>Small-Medium</v>
      </c>
      <c r="I1930" t="str">
        <f t="shared" si="150"/>
        <v>Small-Medium</v>
      </c>
      <c r="J1930" s="1">
        <v>81.073899999999995</v>
      </c>
      <c r="K1930">
        <f t="shared" si="151"/>
        <v>0</v>
      </c>
      <c r="L1930">
        <f t="shared" si="152"/>
        <v>81.073899999999995</v>
      </c>
      <c r="M1930" s="1">
        <f t="shared" si="153"/>
        <v>81.073899999999995</v>
      </c>
      <c r="N1930" s="1" t="s">
        <v>10</v>
      </c>
      <c r="O1930" s="1">
        <v>5.5</v>
      </c>
    </row>
    <row r="1931" spans="4:15" x14ac:dyDescent="0.3">
      <c r="D1931" s="1">
        <v>15591</v>
      </c>
      <c r="E1931" s="2">
        <v>43622</v>
      </c>
      <c r="F1931" s="1" t="s">
        <v>12</v>
      </c>
      <c r="G1931" s="1">
        <v>31</v>
      </c>
      <c r="H1931" t="str">
        <f t="shared" si="154"/>
        <v>Large</v>
      </c>
      <c r="I1931" t="str">
        <f t="shared" si="150"/>
        <v>Large</v>
      </c>
      <c r="J1931" s="1">
        <v>456.18</v>
      </c>
      <c r="K1931">
        <f t="shared" si="151"/>
        <v>0</v>
      </c>
      <c r="L1931">
        <f t="shared" si="152"/>
        <v>456.18</v>
      </c>
      <c r="M1931" s="1">
        <f t="shared" si="153"/>
        <v>456.18</v>
      </c>
      <c r="N1931" s="1" t="s">
        <v>10</v>
      </c>
      <c r="O1931" s="1">
        <v>5.5</v>
      </c>
    </row>
    <row r="1932" spans="4:15" x14ac:dyDescent="0.3">
      <c r="D1932" s="1">
        <v>23685</v>
      </c>
      <c r="E1932" s="2">
        <v>43645</v>
      </c>
      <c r="F1932" s="1" t="s">
        <v>11</v>
      </c>
      <c r="G1932" s="1">
        <v>46</v>
      </c>
      <c r="H1932" t="str">
        <f t="shared" si="154"/>
        <v>XXX Large</v>
      </c>
      <c r="I1932" t="str">
        <f t="shared" si="150"/>
        <v>XXX Large</v>
      </c>
      <c r="J1932" s="1">
        <v>8483.56</v>
      </c>
      <c r="K1932">
        <f t="shared" si="151"/>
        <v>0.01</v>
      </c>
      <c r="L1932">
        <f t="shared" si="152"/>
        <v>8398.7243999999992</v>
      </c>
      <c r="M1932" s="1">
        <f t="shared" si="153"/>
        <v>8478.16</v>
      </c>
      <c r="N1932" s="1" t="s">
        <v>10</v>
      </c>
      <c r="O1932" s="1">
        <v>5.4</v>
      </c>
    </row>
    <row r="1933" spans="4:15" x14ac:dyDescent="0.3">
      <c r="D1933" s="1">
        <v>41666</v>
      </c>
      <c r="E1933" s="2">
        <v>43527</v>
      </c>
      <c r="F1933" s="1" t="s">
        <v>14</v>
      </c>
      <c r="G1933" s="1">
        <v>26</v>
      </c>
      <c r="H1933" t="str">
        <f t="shared" si="154"/>
        <v>Medium-Large</v>
      </c>
      <c r="I1933" t="str">
        <f t="shared" si="150"/>
        <v>Medium-Large</v>
      </c>
      <c r="J1933" s="1">
        <v>637.89</v>
      </c>
      <c r="K1933">
        <f t="shared" si="151"/>
        <v>0</v>
      </c>
      <c r="L1933">
        <f t="shared" si="152"/>
        <v>637.89</v>
      </c>
      <c r="M1933" s="1">
        <f t="shared" si="153"/>
        <v>637.89</v>
      </c>
      <c r="N1933" s="1" t="s">
        <v>8</v>
      </c>
      <c r="O1933" s="1">
        <v>9.1999999999999993</v>
      </c>
    </row>
    <row r="1934" spans="4:15" x14ac:dyDescent="0.3">
      <c r="D1934" s="1">
        <v>46466</v>
      </c>
      <c r="E1934" s="2">
        <v>43516</v>
      </c>
      <c r="F1934" s="1" t="s">
        <v>14</v>
      </c>
      <c r="G1934" s="1">
        <v>7</v>
      </c>
      <c r="H1934" t="str">
        <f t="shared" si="154"/>
        <v>Extra Small</v>
      </c>
      <c r="I1934" t="str">
        <f t="shared" si="150"/>
        <v>Extra Small</v>
      </c>
      <c r="J1934" s="1">
        <v>290.26</v>
      </c>
      <c r="K1934">
        <f t="shared" si="151"/>
        <v>0</v>
      </c>
      <c r="L1934">
        <f t="shared" si="152"/>
        <v>290.26</v>
      </c>
      <c r="M1934" s="1">
        <f t="shared" si="153"/>
        <v>290.26</v>
      </c>
      <c r="N1934" s="1" t="s">
        <v>10</v>
      </c>
      <c r="O1934" s="1">
        <v>15</v>
      </c>
    </row>
    <row r="1935" spans="4:15" x14ac:dyDescent="0.3">
      <c r="D1935" s="1">
        <v>40838</v>
      </c>
      <c r="E1935" s="2">
        <v>43795</v>
      </c>
      <c r="F1935" s="1" t="s">
        <v>11</v>
      </c>
      <c r="G1935" s="1">
        <v>10</v>
      </c>
      <c r="H1935" t="str">
        <f t="shared" si="154"/>
        <v>Extra Small</v>
      </c>
      <c r="I1935" t="str">
        <f t="shared" si="150"/>
        <v>Extra Small</v>
      </c>
      <c r="J1935" s="1">
        <v>188.17</v>
      </c>
      <c r="K1935">
        <f t="shared" si="151"/>
        <v>0</v>
      </c>
      <c r="L1935">
        <f t="shared" si="152"/>
        <v>188.17</v>
      </c>
      <c r="M1935" s="1">
        <f t="shared" si="153"/>
        <v>188.17</v>
      </c>
      <c r="N1935" s="1" t="s">
        <v>10</v>
      </c>
      <c r="O1935" s="1">
        <v>1.3</v>
      </c>
    </row>
    <row r="1936" spans="4:15" x14ac:dyDescent="0.3">
      <c r="D1936" s="1">
        <v>50822</v>
      </c>
      <c r="E1936" s="2">
        <v>43502</v>
      </c>
      <c r="F1936" s="1" t="s">
        <v>14</v>
      </c>
      <c r="G1936" s="1">
        <v>37</v>
      </c>
      <c r="H1936" t="str">
        <f t="shared" si="154"/>
        <v>Extra Large</v>
      </c>
      <c r="I1936" t="str">
        <f t="shared" si="150"/>
        <v>Extra Large</v>
      </c>
      <c r="J1936" s="1">
        <v>338.49</v>
      </c>
      <c r="K1936">
        <f t="shared" si="151"/>
        <v>0.01</v>
      </c>
      <c r="L1936">
        <f t="shared" si="152"/>
        <v>335.10509999999999</v>
      </c>
      <c r="M1936" s="1">
        <f t="shared" si="153"/>
        <v>335.49</v>
      </c>
      <c r="N1936" s="1" t="s">
        <v>8</v>
      </c>
      <c r="O1936" s="1">
        <v>3</v>
      </c>
    </row>
    <row r="1937" spans="4:15" x14ac:dyDescent="0.3">
      <c r="D1937" s="1">
        <v>23395</v>
      </c>
      <c r="E1937" s="2">
        <v>43765</v>
      </c>
      <c r="F1937" s="1" t="s">
        <v>14</v>
      </c>
      <c r="G1937" s="1">
        <v>31</v>
      </c>
      <c r="H1937" t="str">
        <f t="shared" si="154"/>
        <v>Large</v>
      </c>
      <c r="I1937" t="str">
        <f t="shared" si="150"/>
        <v>Large</v>
      </c>
      <c r="J1937" s="1">
        <v>1387.21</v>
      </c>
      <c r="K1937">
        <f t="shared" si="151"/>
        <v>0</v>
      </c>
      <c r="L1937">
        <f t="shared" si="152"/>
        <v>1387.21</v>
      </c>
      <c r="M1937" s="1">
        <f t="shared" si="153"/>
        <v>1387.21</v>
      </c>
      <c r="N1937" s="1" t="s">
        <v>10</v>
      </c>
      <c r="O1937" s="1">
        <v>2.1</v>
      </c>
    </row>
    <row r="1938" spans="4:15" x14ac:dyDescent="0.3">
      <c r="D1938" s="1">
        <v>29280</v>
      </c>
      <c r="E1938" s="2">
        <v>43552</v>
      </c>
      <c r="F1938" s="1" t="s">
        <v>14</v>
      </c>
      <c r="G1938" s="1">
        <v>30</v>
      </c>
      <c r="H1938" t="str">
        <f t="shared" si="154"/>
        <v>Medium-Large</v>
      </c>
      <c r="I1938" t="str">
        <f t="shared" si="150"/>
        <v>Medium-Large</v>
      </c>
      <c r="J1938" s="1">
        <v>916.28</v>
      </c>
      <c r="K1938">
        <f t="shared" si="151"/>
        <v>0</v>
      </c>
      <c r="L1938">
        <f t="shared" si="152"/>
        <v>916.28</v>
      </c>
      <c r="M1938" s="1">
        <f t="shared" si="153"/>
        <v>916.28</v>
      </c>
      <c r="N1938" s="1" t="s">
        <v>10</v>
      </c>
      <c r="O1938" s="1">
        <v>2.1</v>
      </c>
    </row>
    <row r="1939" spans="4:15" x14ac:dyDescent="0.3">
      <c r="D1939" s="1">
        <v>14851</v>
      </c>
      <c r="E1939" s="2">
        <v>43596</v>
      </c>
      <c r="F1939" s="1" t="s">
        <v>11</v>
      </c>
      <c r="G1939" s="1">
        <v>26</v>
      </c>
      <c r="H1939" t="str">
        <f t="shared" si="154"/>
        <v>Medium-Large</v>
      </c>
      <c r="I1939" t="str">
        <f t="shared" si="150"/>
        <v>Medium-Large</v>
      </c>
      <c r="J1939" s="1">
        <v>1544.29</v>
      </c>
      <c r="K1939">
        <f t="shared" si="151"/>
        <v>0</v>
      </c>
      <c r="L1939">
        <f t="shared" si="152"/>
        <v>1544.29</v>
      </c>
      <c r="M1939" s="1">
        <f t="shared" si="153"/>
        <v>1544.29</v>
      </c>
      <c r="N1939" s="1" t="s">
        <v>10</v>
      </c>
      <c r="O1939" s="1">
        <v>9.6</v>
      </c>
    </row>
    <row r="1940" spans="4:15" x14ac:dyDescent="0.3">
      <c r="D1940" s="1">
        <v>35905</v>
      </c>
      <c r="E1940" s="2">
        <v>43514</v>
      </c>
      <c r="F1940" s="1" t="s">
        <v>7</v>
      </c>
      <c r="G1940" s="1">
        <v>20</v>
      </c>
      <c r="H1940" t="str">
        <f t="shared" si="154"/>
        <v>Small-Medium</v>
      </c>
      <c r="I1940" t="str">
        <f t="shared" si="150"/>
        <v>Small-Medium</v>
      </c>
      <c r="J1940" s="1">
        <v>40.020000000000003</v>
      </c>
      <c r="K1940">
        <f t="shared" si="151"/>
        <v>0</v>
      </c>
      <c r="L1940">
        <f t="shared" si="152"/>
        <v>40.020000000000003</v>
      </c>
      <c r="M1940" s="1">
        <f t="shared" si="153"/>
        <v>40.020000000000003</v>
      </c>
      <c r="N1940" s="1" t="s">
        <v>8</v>
      </c>
      <c r="O1940" s="1">
        <v>1.7</v>
      </c>
    </row>
    <row r="1941" spans="4:15" x14ac:dyDescent="0.3">
      <c r="D1941" s="1">
        <v>29473</v>
      </c>
      <c r="E1941" s="2">
        <v>43510</v>
      </c>
      <c r="F1941" s="1" t="s">
        <v>14</v>
      </c>
      <c r="G1941" s="1">
        <v>40</v>
      </c>
      <c r="H1941" t="str">
        <f t="shared" si="154"/>
        <v>Extra Large</v>
      </c>
      <c r="I1941" t="str">
        <f t="shared" si="150"/>
        <v>Extra Large</v>
      </c>
      <c r="J1941" s="1">
        <v>14303.57</v>
      </c>
      <c r="K1941">
        <f t="shared" si="151"/>
        <v>0.01</v>
      </c>
      <c r="L1941">
        <f t="shared" si="152"/>
        <v>14160.534299999999</v>
      </c>
      <c r="M1941" s="1">
        <f t="shared" si="153"/>
        <v>14272.369999999999</v>
      </c>
      <c r="N1941" s="1" t="s">
        <v>13</v>
      </c>
      <c r="O1941" s="1">
        <v>31.2</v>
      </c>
    </row>
    <row r="1942" spans="4:15" x14ac:dyDescent="0.3">
      <c r="D1942" s="1">
        <v>45125</v>
      </c>
      <c r="E1942" s="2">
        <v>43613</v>
      </c>
      <c r="F1942" s="1" t="s">
        <v>12</v>
      </c>
      <c r="G1942" s="1">
        <v>6</v>
      </c>
      <c r="H1942" t="str">
        <f t="shared" si="154"/>
        <v>Extra Small</v>
      </c>
      <c r="I1942" t="str">
        <f t="shared" si="150"/>
        <v>Extra Small</v>
      </c>
      <c r="J1942" s="1">
        <v>1043.79</v>
      </c>
      <c r="K1942">
        <f t="shared" si="151"/>
        <v>0</v>
      </c>
      <c r="L1942">
        <f t="shared" si="152"/>
        <v>1043.79</v>
      </c>
      <c r="M1942" s="1">
        <f t="shared" si="153"/>
        <v>1043.79</v>
      </c>
      <c r="N1942" s="1" t="s">
        <v>13</v>
      </c>
      <c r="O1942" s="1">
        <v>37.5</v>
      </c>
    </row>
    <row r="1943" spans="4:15" x14ac:dyDescent="0.3">
      <c r="D1943" s="1">
        <v>7072</v>
      </c>
      <c r="E1943" s="2">
        <v>43499</v>
      </c>
      <c r="F1943" s="1" t="s">
        <v>12</v>
      </c>
      <c r="G1943" s="1">
        <v>29</v>
      </c>
      <c r="H1943" t="str">
        <f t="shared" si="154"/>
        <v>Medium-Large</v>
      </c>
      <c r="I1943" t="str">
        <f t="shared" si="150"/>
        <v>Medium-Large</v>
      </c>
      <c r="J1943" s="1">
        <v>276.70999999999998</v>
      </c>
      <c r="K1943">
        <f t="shared" si="151"/>
        <v>0</v>
      </c>
      <c r="L1943">
        <f t="shared" si="152"/>
        <v>276.70999999999998</v>
      </c>
      <c r="M1943" s="1">
        <f t="shared" si="153"/>
        <v>276.70999999999998</v>
      </c>
      <c r="N1943" s="1" t="s">
        <v>10</v>
      </c>
      <c r="O1943" s="1">
        <v>6</v>
      </c>
    </row>
    <row r="1944" spans="4:15" x14ac:dyDescent="0.3">
      <c r="D1944" s="1">
        <v>40132</v>
      </c>
      <c r="E1944" s="2">
        <v>43518</v>
      </c>
      <c r="F1944" s="1" t="s">
        <v>7</v>
      </c>
      <c r="G1944" s="1">
        <v>36</v>
      </c>
      <c r="H1944" t="str">
        <f t="shared" si="154"/>
        <v>Extra Large</v>
      </c>
      <c r="I1944" t="str">
        <f t="shared" si="150"/>
        <v>Extra Large</v>
      </c>
      <c r="J1944" s="1">
        <v>5027.3999999999996</v>
      </c>
      <c r="K1944">
        <f t="shared" si="151"/>
        <v>0.01</v>
      </c>
      <c r="L1944">
        <f t="shared" si="152"/>
        <v>4977.1259999999993</v>
      </c>
      <c r="M1944" s="1">
        <f t="shared" si="153"/>
        <v>4971.7999999999993</v>
      </c>
      <c r="N1944" s="1" t="s">
        <v>13</v>
      </c>
      <c r="O1944" s="1">
        <v>55.6</v>
      </c>
    </row>
    <row r="1945" spans="4:15" x14ac:dyDescent="0.3">
      <c r="D1945" s="1">
        <v>7841</v>
      </c>
      <c r="E1945" s="2">
        <v>43605</v>
      </c>
      <c r="F1945" s="1" t="s">
        <v>11</v>
      </c>
      <c r="G1945" s="1">
        <v>21</v>
      </c>
      <c r="H1945" t="str">
        <f t="shared" si="154"/>
        <v>Medium</v>
      </c>
      <c r="I1945" t="str">
        <f t="shared" si="150"/>
        <v>Medium</v>
      </c>
      <c r="J1945" s="1">
        <v>1072.96</v>
      </c>
      <c r="K1945">
        <f t="shared" si="151"/>
        <v>0</v>
      </c>
      <c r="L1945">
        <f t="shared" si="152"/>
        <v>1072.96</v>
      </c>
      <c r="M1945" s="1">
        <f t="shared" si="153"/>
        <v>1072.96</v>
      </c>
      <c r="N1945" s="1" t="s">
        <v>10</v>
      </c>
      <c r="O1945" s="1">
        <v>11</v>
      </c>
    </row>
    <row r="1946" spans="4:15" x14ac:dyDescent="0.3">
      <c r="D1946" s="1">
        <v>8065</v>
      </c>
      <c r="E1946" s="2">
        <v>43759</v>
      </c>
      <c r="F1946" s="1" t="s">
        <v>14</v>
      </c>
      <c r="G1946" s="1">
        <v>17</v>
      </c>
      <c r="H1946" t="str">
        <f t="shared" si="154"/>
        <v>Small-Medium</v>
      </c>
      <c r="I1946" t="str">
        <f t="shared" si="150"/>
        <v>Small-Medium</v>
      </c>
      <c r="J1946" s="1">
        <v>1204.56</v>
      </c>
      <c r="K1946">
        <f t="shared" si="151"/>
        <v>0</v>
      </c>
      <c r="L1946">
        <f t="shared" si="152"/>
        <v>1204.56</v>
      </c>
      <c r="M1946" s="1">
        <f t="shared" si="153"/>
        <v>1204.56</v>
      </c>
      <c r="N1946" s="1" t="s">
        <v>10</v>
      </c>
      <c r="O1946" s="1">
        <v>13.1</v>
      </c>
    </row>
    <row r="1947" spans="4:15" x14ac:dyDescent="0.3">
      <c r="D1947" s="1">
        <v>25249</v>
      </c>
      <c r="E1947" s="2">
        <v>43775</v>
      </c>
      <c r="F1947" s="1" t="s">
        <v>14</v>
      </c>
      <c r="G1947" s="1">
        <v>34</v>
      </c>
      <c r="H1947" t="str">
        <f t="shared" si="154"/>
        <v>Large</v>
      </c>
      <c r="I1947" t="str">
        <f t="shared" si="150"/>
        <v>Large</v>
      </c>
      <c r="J1947" s="1">
        <v>991.73</v>
      </c>
      <c r="K1947">
        <f t="shared" si="151"/>
        <v>0</v>
      </c>
      <c r="L1947">
        <f t="shared" si="152"/>
        <v>991.73</v>
      </c>
      <c r="M1947" s="1">
        <f t="shared" si="153"/>
        <v>991.73</v>
      </c>
      <c r="N1947" s="1" t="s">
        <v>10</v>
      </c>
      <c r="O1947" s="1">
        <v>1.6</v>
      </c>
    </row>
    <row r="1948" spans="4:15" x14ac:dyDescent="0.3">
      <c r="D1948" s="1">
        <v>31555</v>
      </c>
      <c r="E1948" s="2">
        <v>43468</v>
      </c>
      <c r="F1948" s="1" t="s">
        <v>12</v>
      </c>
      <c r="G1948" s="1">
        <v>5</v>
      </c>
      <c r="H1948" t="str">
        <f t="shared" si="154"/>
        <v>Mini</v>
      </c>
      <c r="I1948" t="str">
        <f t="shared" si="150"/>
        <v>Mini</v>
      </c>
      <c r="J1948" s="1">
        <v>535.54</v>
      </c>
      <c r="K1948">
        <f t="shared" si="151"/>
        <v>0</v>
      </c>
      <c r="L1948">
        <f t="shared" si="152"/>
        <v>535.54</v>
      </c>
      <c r="M1948" s="1">
        <f t="shared" si="153"/>
        <v>535.54</v>
      </c>
      <c r="N1948" s="1" t="s">
        <v>13</v>
      </c>
      <c r="O1948" s="1">
        <v>30</v>
      </c>
    </row>
    <row r="1949" spans="4:15" x14ac:dyDescent="0.3">
      <c r="D1949" s="1">
        <v>25571</v>
      </c>
      <c r="E1949" s="2">
        <v>43695</v>
      </c>
      <c r="F1949" s="1" t="s">
        <v>12</v>
      </c>
      <c r="G1949" s="1">
        <v>42</v>
      </c>
      <c r="H1949" t="str">
        <f t="shared" si="154"/>
        <v>XX Large</v>
      </c>
      <c r="I1949" t="str">
        <f t="shared" si="150"/>
        <v>XX Large</v>
      </c>
      <c r="J1949" s="1">
        <v>4011.43</v>
      </c>
      <c r="K1949">
        <f t="shared" si="151"/>
        <v>0.01</v>
      </c>
      <c r="L1949">
        <f t="shared" si="152"/>
        <v>3971.3156999999997</v>
      </c>
      <c r="M1949" s="1">
        <f t="shared" si="153"/>
        <v>3973.93</v>
      </c>
      <c r="N1949" s="1" t="s">
        <v>10</v>
      </c>
      <c r="O1949" s="1">
        <v>37.5</v>
      </c>
    </row>
    <row r="1950" spans="4:15" x14ac:dyDescent="0.3">
      <c r="D1950" s="1">
        <v>39269</v>
      </c>
      <c r="E1950" s="2">
        <v>43764</v>
      </c>
      <c r="F1950" s="1" t="s">
        <v>7</v>
      </c>
      <c r="G1950" s="1">
        <v>16</v>
      </c>
      <c r="H1950" t="str">
        <f t="shared" si="154"/>
        <v>Small-Medium</v>
      </c>
      <c r="I1950" t="str">
        <f t="shared" si="150"/>
        <v>Small-Medium</v>
      </c>
      <c r="J1950" s="1">
        <v>497.22</v>
      </c>
      <c r="K1950">
        <f t="shared" si="151"/>
        <v>0</v>
      </c>
      <c r="L1950">
        <f t="shared" si="152"/>
        <v>497.22</v>
      </c>
      <c r="M1950" s="1">
        <f t="shared" si="153"/>
        <v>497.22</v>
      </c>
      <c r="N1950" s="1" t="s">
        <v>10</v>
      </c>
      <c r="O1950" s="1">
        <v>2.7</v>
      </c>
    </row>
    <row r="1951" spans="4:15" x14ac:dyDescent="0.3">
      <c r="D1951" s="1">
        <v>42722</v>
      </c>
      <c r="E1951" s="2">
        <v>43745</v>
      </c>
      <c r="F1951" s="1" t="s">
        <v>11</v>
      </c>
      <c r="G1951" s="1">
        <v>2</v>
      </c>
      <c r="H1951" t="str">
        <f t="shared" si="154"/>
        <v>Mini</v>
      </c>
      <c r="I1951" t="str">
        <f t="shared" si="150"/>
        <v>Mini</v>
      </c>
      <c r="J1951" s="1">
        <v>21.29</v>
      </c>
      <c r="K1951">
        <f t="shared" si="151"/>
        <v>0</v>
      </c>
      <c r="L1951">
        <f t="shared" si="152"/>
        <v>21.29</v>
      </c>
      <c r="M1951" s="1">
        <f t="shared" si="153"/>
        <v>21.29</v>
      </c>
      <c r="N1951" s="1" t="s">
        <v>10</v>
      </c>
      <c r="O1951" s="1">
        <v>5.6</v>
      </c>
    </row>
    <row r="1952" spans="4:15" x14ac:dyDescent="0.3">
      <c r="D1952" s="1">
        <v>21925</v>
      </c>
      <c r="E1952" s="2">
        <v>43658</v>
      </c>
      <c r="F1952" s="1" t="s">
        <v>11</v>
      </c>
      <c r="G1952" s="1">
        <v>3</v>
      </c>
      <c r="H1952" t="str">
        <f t="shared" si="154"/>
        <v>Mini</v>
      </c>
      <c r="I1952" t="str">
        <f t="shared" si="150"/>
        <v>Mini</v>
      </c>
      <c r="J1952" s="1">
        <v>252.86</v>
      </c>
      <c r="K1952">
        <f t="shared" si="151"/>
        <v>0</v>
      </c>
      <c r="L1952">
        <f t="shared" si="152"/>
        <v>252.86</v>
      </c>
      <c r="M1952" s="1">
        <f t="shared" si="153"/>
        <v>252.86</v>
      </c>
      <c r="N1952" s="1" t="s">
        <v>10</v>
      </c>
      <c r="O1952" s="1">
        <v>4.3</v>
      </c>
    </row>
    <row r="1953" spans="4:15" x14ac:dyDescent="0.3">
      <c r="D1953" s="1">
        <v>31270</v>
      </c>
      <c r="E1953" s="2">
        <v>43792</v>
      </c>
      <c r="F1953" s="1" t="s">
        <v>14</v>
      </c>
      <c r="G1953" s="1">
        <v>21</v>
      </c>
      <c r="H1953" t="str">
        <f t="shared" si="154"/>
        <v>Medium</v>
      </c>
      <c r="I1953" t="str">
        <f t="shared" si="150"/>
        <v>Medium</v>
      </c>
      <c r="J1953" s="1">
        <v>7283.1261999999997</v>
      </c>
      <c r="K1953">
        <f t="shared" si="151"/>
        <v>0</v>
      </c>
      <c r="L1953">
        <f t="shared" si="152"/>
        <v>7283.1261999999997</v>
      </c>
      <c r="M1953" s="1">
        <f t="shared" si="153"/>
        <v>7283.1261999999997</v>
      </c>
      <c r="N1953" s="1" t="s">
        <v>13</v>
      </c>
      <c r="O1953" s="1">
        <v>93.1</v>
      </c>
    </row>
    <row r="1954" spans="4:15" x14ac:dyDescent="0.3">
      <c r="D1954" s="1">
        <v>50914</v>
      </c>
      <c r="E1954" s="2">
        <v>43649</v>
      </c>
      <c r="F1954" s="1" t="s">
        <v>12</v>
      </c>
      <c r="G1954" s="1">
        <v>49</v>
      </c>
      <c r="H1954" t="str">
        <f t="shared" si="154"/>
        <v>XXX Large</v>
      </c>
      <c r="I1954" t="str">
        <f t="shared" si="150"/>
        <v>XXX Large</v>
      </c>
      <c r="J1954" s="1">
        <v>9150.15</v>
      </c>
      <c r="K1954">
        <f t="shared" si="151"/>
        <v>0.01</v>
      </c>
      <c r="L1954">
        <f t="shared" si="152"/>
        <v>9058.6484999999993</v>
      </c>
      <c r="M1954" s="1">
        <f t="shared" si="153"/>
        <v>9140.5499999999993</v>
      </c>
      <c r="N1954" s="1" t="s">
        <v>10</v>
      </c>
      <c r="O1954" s="1">
        <v>9.6</v>
      </c>
    </row>
    <row r="1955" spans="4:15" x14ac:dyDescent="0.3">
      <c r="D1955" s="1">
        <v>33479</v>
      </c>
      <c r="E1955" s="2">
        <v>43726</v>
      </c>
      <c r="F1955" s="1" t="s">
        <v>12</v>
      </c>
      <c r="G1955" s="1">
        <v>50</v>
      </c>
      <c r="H1955" t="str">
        <f t="shared" si="154"/>
        <v>XXX Large</v>
      </c>
      <c r="I1955" t="str">
        <f t="shared" si="150"/>
        <v>XXX Large</v>
      </c>
      <c r="J1955" s="1">
        <v>815.55</v>
      </c>
      <c r="K1955">
        <f t="shared" si="151"/>
        <v>0.01</v>
      </c>
      <c r="L1955">
        <f t="shared" si="152"/>
        <v>807.39449999999999</v>
      </c>
      <c r="M1955" s="1">
        <f t="shared" si="153"/>
        <v>806.55</v>
      </c>
      <c r="N1955" s="1" t="s">
        <v>10</v>
      </c>
      <c r="O1955" s="1">
        <v>9</v>
      </c>
    </row>
    <row r="1956" spans="4:15" x14ac:dyDescent="0.3">
      <c r="D1956" s="1">
        <v>27302</v>
      </c>
      <c r="E1956" s="2">
        <v>43720</v>
      </c>
      <c r="F1956" s="1" t="s">
        <v>7</v>
      </c>
      <c r="G1956" s="1">
        <v>3</v>
      </c>
      <c r="H1956" t="str">
        <f t="shared" si="154"/>
        <v>Mini</v>
      </c>
      <c r="I1956" t="str">
        <f t="shared" si="150"/>
        <v>Mini</v>
      </c>
      <c r="J1956" s="1">
        <v>153.55000000000001</v>
      </c>
      <c r="K1956">
        <f t="shared" si="151"/>
        <v>0</v>
      </c>
      <c r="L1956">
        <f t="shared" si="152"/>
        <v>153.55000000000001</v>
      </c>
      <c r="M1956" s="1">
        <f t="shared" si="153"/>
        <v>153.55000000000001</v>
      </c>
      <c r="N1956" s="1" t="s">
        <v>10</v>
      </c>
      <c r="O1956" s="1">
        <v>6.2</v>
      </c>
    </row>
    <row r="1957" spans="4:15" x14ac:dyDescent="0.3">
      <c r="D1957" s="1">
        <v>16036</v>
      </c>
      <c r="E1957" s="2">
        <v>43469</v>
      </c>
      <c r="F1957" s="1" t="s">
        <v>14</v>
      </c>
      <c r="G1957" s="1">
        <v>33</v>
      </c>
      <c r="H1957" t="str">
        <f t="shared" si="154"/>
        <v>Large</v>
      </c>
      <c r="I1957" t="str">
        <f t="shared" si="150"/>
        <v>Large</v>
      </c>
      <c r="J1957" s="1">
        <v>589.5</v>
      </c>
      <c r="K1957">
        <f t="shared" si="151"/>
        <v>0</v>
      </c>
      <c r="L1957">
        <f t="shared" si="152"/>
        <v>589.5</v>
      </c>
      <c r="M1957" s="1">
        <f t="shared" si="153"/>
        <v>589.5</v>
      </c>
      <c r="N1957" s="1" t="s">
        <v>10</v>
      </c>
      <c r="O1957" s="1">
        <v>10.1</v>
      </c>
    </row>
    <row r="1958" spans="4:15" x14ac:dyDescent="0.3">
      <c r="D1958" s="1">
        <v>53378</v>
      </c>
      <c r="E1958" s="2">
        <v>43659</v>
      </c>
      <c r="F1958" s="1" t="s">
        <v>14</v>
      </c>
      <c r="G1958" s="1">
        <v>50</v>
      </c>
      <c r="H1958" t="str">
        <f t="shared" si="154"/>
        <v>XXX Large</v>
      </c>
      <c r="I1958" t="str">
        <f t="shared" si="150"/>
        <v>XXX Large</v>
      </c>
      <c r="J1958" s="1">
        <v>14909.947099999999</v>
      </c>
      <c r="K1958">
        <f t="shared" si="151"/>
        <v>0.01</v>
      </c>
      <c r="L1958">
        <f t="shared" si="152"/>
        <v>14760.847629</v>
      </c>
      <c r="M1958" s="1">
        <f t="shared" si="153"/>
        <v>14897.447099999999</v>
      </c>
      <c r="N1958" s="1" t="s">
        <v>8</v>
      </c>
      <c r="O1958" s="1">
        <v>12.5</v>
      </c>
    </row>
    <row r="1959" spans="4:15" x14ac:dyDescent="0.3">
      <c r="D1959" s="1">
        <v>26759</v>
      </c>
      <c r="E1959" s="2">
        <v>43489</v>
      </c>
      <c r="F1959" s="1" t="s">
        <v>11</v>
      </c>
      <c r="G1959" s="1">
        <v>30</v>
      </c>
      <c r="H1959" t="str">
        <f t="shared" si="154"/>
        <v>Medium-Large</v>
      </c>
      <c r="I1959" t="str">
        <f t="shared" si="150"/>
        <v>Medium-Large</v>
      </c>
      <c r="J1959" s="1">
        <v>268.68770000000001</v>
      </c>
      <c r="K1959">
        <f t="shared" si="151"/>
        <v>0</v>
      </c>
      <c r="L1959">
        <f t="shared" si="152"/>
        <v>268.68770000000001</v>
      </c>
      <c r="M1959" s="1">
        <f t="shared" si="153"/>
        <v>268.68770000000001</v>
      </c>
      <c r="N1959" s="1" t="s">
        <v>10</v>
      </c>
      <c r="O1959" s="1">
        <v>5</v>
      </c>
    </row>
    <row r="1960" spans="4:15" x14ac:dyDescent="0.3">
      <c r="D1960" s="1">
        <v>55460</v>
      </c>
      <c r="E1960" s="2">
        <v>43611</v>
      </c>
      <c r="F1960" s="1" t="s">
        <v>9</v>
      </c>
      <c r="G1960" s="1">
        <v>12</v>
      </c>
      <c r="H1960" t="str">
        <f t="shared" si="154"/>
        <v>Small</v>
      </c>
      <c r="I1960" t="str">
        <f t="shared" si="150"/>
        <v>Small</v>
      </c>
      <c r="J1960" s="1">
        <v>66.150000000000006</v>
      </c>
      <c r="K1960">
        <f t="shared" si="151"/>
        <v>0</v>
      </c>
      <c r="L1960">
        <f t="shared" si="152"/>
        <v>66.150000000000006</v>
      </c>
      <c r="M1960" s="1">
        <f t="shared" si="153"/>
        <v>66.150000000000006</v>
      </c>
      <c r="N1960" s="1" t="s">
        <v>10</v>
      </c>
      <c r="O1960" s="1">
        <v>3.2</v>
      </c>
    </row>
    <row r="1961" spans="4:15" x14ac:dyDescent="0.3">
      <c r="D1961" s="1">
        <v>17862</v>
      </c>
      <c r="E1961" s="2">
        <v>43592</v>
      </c>
      <c r="F1961" s="1" t="s">
        <v>11</v>
      </c>
      <c r="G1961" s="1">
        <v>1</v>
      </c>
      <c r="H1961" t="str">
        <f t="shared" si="154"/>
        <v>Mini</v>
      </c>
      <c r="I1961" t="str">
        <f t="shared" si="150"/>
        <v>Mini</v>
      </c>
      <c r="J1961" s="1">
        <v>30.74</v>
      </c>
      <c r="K1961">
        <f t="shared" si="151"/>
        <v>0</v>
      </c>
      <c r="L1961">
        <f t="shared" si="152"/>
        <v>30.74</v>
      </c>
      <c r="M1961" s="1">
        <f t="shared" si="153"/>
        <v>30.74</v>
      </c>
      <c r="N1961" s="1" t="s">
        <v>10</v>
      </c>
      <c r="O1961" s="1">
        <v>7</v>
      </c>
    </row>
    <row r="1962" spans="4:15" x14ac:dyDescent="0.3">
      <c r="D1962" s="1">
        <v>48000</v>
      </c>
      <c r="E1962" s="2">
        <v>43690</v>
      </c>
      <c r="F1962" s="1" t="s">
        <v>9</v>
      </c>
      <c r="G1962" s="1">
        <v>12</v>
      </c>
      <c r="H1962" t="str">
        <f t="shared" si="154"/>
        <v>Small</v>
      </c>
      <c r="I1962" t="str">
        <f t="shared" si="150"/>
        <v>Small</v>
      </c>
      <c r="J1962" s="1">
        <v>229.98580000000001</v>
      </c>
      <c r="K1962">
        <f t="shared" si="151"/>
        <v>0</v>
      </c>
      <c r="L1962">
        <f t="shared" si="152"/>
        <v>229.98580000000001</v>
      </c>
      <c r="M1962" s="1">
        <f t="shared" si="153"/>
        <v>229.98580000000001</v>
      </c>
      <c r="N1962" s="1" t="s">
        <v>10</v>
      </c>
      <c r="O1962" s="1">
        <v>2.1</v>
      </c>
    </row>
    <row r="1963" spans="4:15" x14ac:dyDescent="0.3">
      <c r="D1963" s="1">
        <v>17093</v>
      </c>
      <c r="E1963" s="2">
        <v>43506</v>
      </c>
      <c r="F1963" s="1" t="s">
        <v>11</v>
      </c>
      <c r="G1963" s="1">
        <v>50</v>
      </c>
      <c r="H1963" t="str">
        <f t="shared" si="154"/>
        <v>XXX Large</v>
      </c>
      <c r="I1963" t="str">
        <f t="shared" si="150"/>
        <v>XXX Large</v>
      </c>
      <c r="J1963" s="1">
        <v>4868.5600000000004</v>
      </c>
      <c r="K1963">
        <f t="shared" si="151"/>
        <v>0.01</v>
      </c>
      <c r="L1963">
        <f t="shared" si="152"/>
        <v>4819.8744000000006</v>
      </c>
      <c r="M1963" s="1">
        <f t="shared" si="153"/>
        <v>4806.26</v>
      </c>
      <c r="N1963" s="1" t="s">
        <v>13</v>
      </c>
      <c r="O1963" s="1">
        <v>62.3</v>
      </c>
    </row>
    <row r="1964" spans="4:15" x14ac:dyDescent="0.3">
      <c r="D1964" s="1">
        <v>46276</v>
      </c>
      <c r="E1964" s="2">
        <v>43808</v>
      </c>
      <c r="F1964" s="1" t="s">
        <v>12</v>
      </c>
      <c r="G1964" s="1">
        <v>23</v>
      </c>
      <c r="H1964" t="str">
        <f t="shared" si="154"/>
        <v>Medium</v>
      </c>
      <c r="I1964" t="str">
        <f t="shared" si="150"/>
        <v>Medium</v>
      </c>
      <c r="J1964" s="1">
        <v>17915.82</v>
      </c>
      <c r="K1964">
        <f t="shared" si="151"/>
        <v>0</v>
      </c>
      <c r="L1964">
        <f t="shared" si="152"/>
        <v>17915.82</v>
      </c>
      <c r="M1964" s="1">
        <f t="shared" si="153"/>
        <v>17915.82</v>
      </c>
      <c r="N1964" s="1" t="s">
        <v>10</v>
      </c>
      <c r="O1964" s="1">
        <v>26.2</v>
      </c>
    </row>
    <row r="1965" spans="4:15" x14ac:dyDescent="0.3">
      <c r="D1965" s="1">
        <v>21856</v>
      </c>
      <c r="E1965" s="2">
        <v>43560</v>
      </c>
      <c r="F1965" s="1" t="s">
        <v>11</v>
      </c>
      <c r="G1965" s="1">
        <v>47</v>
      </c>
      <c r="H1965" t="str">
        <f t="shared" si="154"/>
        <v>XXX Large</v>
      </c>
      <c r="I1965" t="str">
        <f t="shared" si="150"/>
        <v>XXX Large</v>
      </c>
      <c r="J1965" s="1">
        <v>180.35</v>
      </c>
      <c r="K1965">
        <f t="shared" si="151"/>
        <v>0.01</v>
      </c>
      <c r="L1965">
        <f t="shared" si="152"/>
        <v>178.54649999999998</v>
      </c>
      <c r="M1965" s="1">
        <f t="shared" si="153"/>
        <v>179.85</v>
      </c>
      <c r="N1965" s="1" t="s">
        <v>10</v>
      </c>
      <c r="O1965" s="1">
        <v>0.5</v>
      </c>
    </row>
    <row r="1966" spans="4:15" x14ac:dyDescent="0.3">
      <c r="D1966" s="1">
        <v>48353</v>
      </c>
      <c r="E1966" s="2">
        <v>43814</v>
      </c>
      <c r="F1966" s="1" t="s">
        <v>11</v>
      </c>
      <c r="G1966" s="1">
        <v>18</v>
      </c>
      <c r="H1966" t="str">
        <f t="shared" si="154"/>
        <v>Small-Medium</v>
      </c>
      <c r="I1966" t="str">
        <f t="shared" si="150"/>
        <v>Small-Medium</v>
      </c>
      <c r="J1966" s="1">
        <v>76.209999999999994</v>
      </c>
      <c r="K1966">
        <f t="shared" si="151"/>
        <v>0</v>
      </c>
      <c r="L1966">
        <f t="shared" si="152"/>
        <v>76.209999999999994</v>
      </c>
      <c r="M1966" s="1">
        <f t="shared" si="153"/>
        <v>76.209999999999994</v>
      </c>
      <c r="N1966" s="1" t="s">
        <v>10</v>
      </c>
      <c r="O1966" s="1">
        <v>0.7</v>
      </c>
    </row>
    <row r="1967" spans="4:15" x14ac:dyDescent="0.3">
      <c r="D1967" s="1">
        <v>42115</v>
      </c>
      <c r="E1967" s="2">
        <v>43513</v>
      </c>
      <c r="F1967" s="1" t="s">
        <v>12</v>
      </c>
      <c r="G1967" s="1">
        <v>19</v>
      </c>
      <c r="H1967" t="str">
        <f t="shared" si="154"/>
        <v>Small-Medium</v>
      </c>
      <c r="I1967" t="str">
        <f t="shared" si="150"/>
        <v>Small-Medium</v>
      </c>
      <c r="J1967" s="1">
        <v>578.4</v>
      </c>
      <c r="K1967">
        <f t="shared" si="151"/>
        <v>0</v>
      </c>
      <c r="L1967">
        <f t="shared" si="152"/>
        <v>578.4</v>
      </c>
      <c r="M1967" s="1">
        <f t="shared" si="153"/>
        <v>578.4</v>
      </c>
      <c r="N1967" s="1" t="s">
        <v>10</v>
      </c>
      <c r="O1967" s="1">
        <v>15</v>
      </c>
    </row>
    <row r="1968" spans="4:15" x14ac:dyDescent="0.3">
      <c r="D1968" s="1">
        <v>3907</v>
      </c>
      <c r="E1968" s="2">
        <v>43695</v>
      </c>
      <c r="F1968" s="1" t="s">
        <v>14</v>
      </c>
      <c r="G1968" s="1">
        <v>36</v>
      </c>
      <c r="H1968" t="str">
        <f t="shared" si="154"/>
        <v>Extra Large</v>
      </c>
      <c r="I1968" t="str">
        <f t="shared" si="150"/>
        <v>Extra Large</v>
      </c>
      <c r="J1968" s="1">
        <v>233.39</v>
      </c>
      <c r="K1968">
        <f t="shared" si="151"/>
        <v>0.01</v>
      </c>
      <c r="L1968">
        <f t="shared" si="152"/>
        <v>231.05609999999999</v>
      </c>
      <c r="M1968" s="1">
        <f t="shared" si="153"/>
        <v>180.98999999999998</v>
      </c>
      <c r="N1968" s="1" t="s">
        <v>10</v>
      </c>
      <c r="O1968" s="1">
        <v>52.4</v>
      </c>
    </row>
    <row r="1969" spans="4:15" x14ac:dyDescent="0.3">
      <c r="D1969" s="1">
        <v>33222</v>
      </c>
      <c r="E1969" s="2">
        <v>43635</v>
      </c>
      <c r="F1969" s="1" t="s">
        <v>14</v>
      </c>
      <c r="G1969" s="1">
        <v>18</v>
      </c>
      <c r="H1969" t="str">
        <f t="shared" si="154"/>
        <v>Small-Medium</v>
      </c>
      <c r="I1969" t="str">
        <f t="shared" si="150"/>
        <v>Small-Medium</v>
      </c>
      <c r="J1969" s="1">
        <v>450.21319999999997</v>
      </c>
      <c r="K1969">
        <f t="shared" si="151"/>
        <v>0</v>
      </c>
      <c r="L1969">
        <f t="shared" si="152"/>
        <v>450.21319999999997</v>
      </c>
      <c r="M1969" s="1">
        <f t="shared" si="153"/>
        <v>450.21319999999997</v>
      </c>
      <c r="N1969" s="1" t="s">
        <v>10</v>
      </c>
      <c r="O1969" s="1">
        <v>16.2</v>
      </c>
    </row>
    <row r="1970" spans="4:15" x14ac:dyDescent="0.3">
      <c r="D1970" s="1">
        <v>13633</v>
      </c>
      <c r="E1970" s="2">
        <v>43558</v>
      </c>
      <c r="F1970" s="1" t="s">
        <v>11</v>
      </c>
      <c r="G1970" s="1">
        <v>39</v>
      </c>
      <c r="H1970" t="str">
        <f t="shared" si="154"/>
        <v>Extra Large</v>
      </c>
      <c r="I1970" t="str">
        <f t="shared" si="150"/>
        <v>Extra Large</v>
      </c>
      <c r="J1970" s="1">
        <v>1645.84</v>
      </c>
      <c r="K1970">
        <f t="shared" si="151"/>
        <v>0.01</v>
      </c>
      <c r="L1970">
        <f t="shared" si="152"/>
        <v>1629.3815999999999</v>
      </c>
      <c r="M1970" s="1">
        <f t="shared" si="153"/>
        <v>1608.34</v>
      </c>
      <c r="N1970" s="1" t="s">
        <v>10</v>
      </c>
      <c r="O1970" s="1">
        <v>37.5</v>
      </c>
    </row>
    <row r="1971" spans="4:15" x14ac:dyDescent="0.3">
      <c r="D1971" s="1">
        <v>46497</v>
      </c>
      <c r="E1971" s="2">
        <v>43635</v>
      </c>
      <c r="F1971" s="1" t="s">
        <v>9</v>
      </c>
      <c r="G1971" s="1">
        <v>30</v>
      </c>
      <c r="H1971" t="str">
        <f t="shared" si="154"/>
        <v>Medium-Large</v>
      </c>
      <c r="I1971" t="str">
        <f t="shared" si="150"/>
        <v>Medium-Large</v>
      </c>
      <c r="J1971" s="1">
        <v>674.68</v>
      </c>
      <c r="K1971">
        <f t="shared" si="151"/>
        <v>0</v>
      </c>
      <c r="L1971">
        <f t="shared" si="152"/>
        <v>674.68</v>
      </c>
      <c r="M1971" s="1">
        <f t="shared" si="153"/>
        <v>674.68</v>
      </c>
      <c r="N1971" s="1" t="s">
        <v>10</v>
      </c>
      <c r="O1971" s="1">
        <v>9.6</v>
      </c>
    </row>
    <row r="1972" spans="4:15" x14ac:dyDescent="0.3">
      <c r="D1972" s="1">
        <v>26979</v>
      </c>
      <c r="E1972" s="2">
        <v>43552</v>
      </c>
      <c r="F1972" s="1" t="s">
        <v>14</v>
      </c>
      <c r="G1972" s="1">
        <v>50</v>
      </c>
      <c r="H1972" t="str">
        <f t="shared" si="154"/>
        <v>XXX Large</v>
      </c>
      <c r="I1972" t="str">
        <f t="shared" si="150"/>
        <v>XXX Large</v>
      </c>
      <c r="J1972" s="1">
        <v>6519.77</v>
      </c>
      <c r="K1972">
        <f t="shared" si="151"/>
        <v>0.01</v>
      </c>
      <c r="L1972">
        <f t="shared" si="152"/>
        <v>6454.5723000000007</v>
      </c>
      <c r="M1972" s="1">
        <f t="shared" si="153"/>
        <v>6511.17</v>
      </c>
      <c r="N1972" s="1" t="s">
        <v>10</v>
      </c>
      <c r="O1972" s="1">
        <v>8.6</v>
      </c>
    </row>
    <row r="1973" spans="4:15" x14ac:dyDescent="0.3">
      <c r="D1973" s="1">
        <v>13282</v>
      </c>
      <c r="E1973" s="2">
        <v>43594</v>
      </c>
      <c r="F1973" s="1" t="s">
        <v>7</v>
      </c>
      <c r="G1973" s="1">
        <v>2</v>
      </c>
      <c r="H1973" t="str">
        <f t="shared" si="154"/>
        <v>Mini</v>
      </c>
      <c r="I1973" t="str">
        <f t="shared" si="150"/>
        <v>Mini</v>
      </c>
      <c r="J1973" s="1">
        <v>13.47</v>
      </c>
      <c r="K1973">
        <f t="shared" si="151"/>
        <v>0</v>
      </c>
      <c r="L1973">
        <f t="shared" si="152"/>
        <v>13.47</v>
      </c>
      <c r="M1973" s="1">
        <f t="shared" si="153"/>
        <v>13.47</v>
      </c>
      <c r="N1973" s="1" t="s">
        <v>10</v>
      </c>
      <c r="O1973" s="1">
        <v>0.5</v>
      </c>
    </row>
    <row r="1974" spans="4:15" x14ac:dyDescent="0.3">
      <c r="D1974" s="1">
        <v>59329</v>
      </c>
      <c r="E1974" s="2">
        <v>43803</v>
      </c>
      <c r="F1974" s="1" t="s">
        <v>12</v>
      </c>
      <c r="G1974" s="1">
        <v>41</v>
      </c>
      <c r="H1974" t="str">
        <f t="shared" si="154"/>
        <v>XX Large</v>
      </c>
      <c r="I1974" t="str">
        <f t="shared" si="150"/>
        <v>XX Large</v>
      </c>
      <c r="J1974" s="1">
        <v>229.18</v>
      </c>
      <c r="K1974">
        <f t="shared" si="151"/>
        <v>0.01</v>
      </c>
      <c r="L1974">
        <f t="shared" si="152"/>
        <v>226.88820000000001</v>
      </c>
      <c r="M1974" s="1">
        <f t="shared" si="153"/>
        <v>224.18</v>
      </c>
      <c r="N1974" s="1" t="s">
        <v>10</v>
      </c>
      <c r="O1974" s="1">
        <v>5</v>
      </c>
    </row>
    <row r="1975" spans="4:15" x14ac:dyDescent="0.3">
      <c r="D1975" s="1">
        <v>31393</v>
      </c>
      <c r="E1975" s="2">
        <v>43596</v>
      </c>
      <c r="F1975" s="1" t="s">
        <v>12</v>
      </c>
      <c r="G1975" s="1">
        <v>4</v>
      </c>
      <c r="H1975" t="str">
        <f t="shared" si="154"/>
        <v>Mini</v>
      </c>
      <c r="I1975" t="str">
        <f t="shared" si="150"/>
        <v>Mini</v>
      </c>
      <c r="J1975" s="1">
        <v>104.4</v>
      </c>
      <c r="K1975">
        <f t="shared" si="151"/>
        <v>0</v>
      </c>
      <c r="L1975">
        <f t="shared" si="152"/>
        <v>104.4</v>
      </c>
      <c r="M1975" s="1">
        <f t="shared" si="153"/>
        <v>104.4</v>
      </c>
      <c r="N1975" s="1" t="s">
        <v>10</v>
      </c>
      <c r="O1975" s="1">
        <v>15.9</v>
      </c>
    </row>
    <row r="1976" spans="4:15" x14ac:dyDescent="0.3">
      <c r="D1976" s="1">
        <v>38723</v>
      </c>
      <c r="E1976" s="2">
        <v>43728</v>
      </c>
      <c r="F1976" s="1" t="s">
        <v>12</v>
      </c>
      <c r="G1976" s="1">
        <v>39</v>
      </c>
      <c r="H1976" t="str">
        <f t="shared" si="154"/>
        <v>Extra Large</v>
      </c>
      <c r="I1976" t="str">
        <f t="shared" si="150"/>
        <v>Extra Large</v>
      </c>
      <c r="J1976" s="1">
        <v>2800.33</v>
      </c>
      <c r="K1976">
        <f t="shared" si="151"/>
        <v>0.01</v>
      </c>
      <c r="L1976">
        <f t="shared" si="152"/>
        <v>2772.3267000000001</v>
      </c>
      <c r="M1976" s="1">
        <f t="shared" si="153"/>
        <v>2792.93</v>
      </c>
      <c r="N1976" s="1" t="s">
        <v>10</v>
      </c>
      <c r="O1976" s="1">
        <v>7.4</v>
      </c>
    </row>
    <row r="1977" spans="4:15" x14ac:dyDescent="0.3">
      <c r="D1977" s="1">
        <v>56291</v>
      </c>
      <c r="E1977" s="2">
        <v>43725</v>
      </c>
      <c r="F1977" s="1" t="s">
        <v>11</v>
      </c>
      <c r="G1977" s="1">
        <v>25</v>
      </c>
      <c r="H1977" t="str">
        <f t="shared" si="154"/>
        <v>Medium</v>
      </c>
      <c r="I1977" t="str">
        <f t="shared" si="150"/>
        <v>Medium</v>
      </c>
      <c r="J1977" s="1">
        <v>403.78590000000003</v>
      </c>
      <c r="K1977">
        <f t="shared" si="151"/>
        <v>0</v>
      </c>
      <c r="L1977">
        <f t="shared" si="152"/>
        <v>403.78590000000003</v>
      </c>
      <c r="M1977" s="1">
        <f t="shared" si="153"/>
        <v>403.78590000000003</v>
      </c>
      <c r="N1977" s="1" t="s">
        <v>10</v>
      </c>
      <c r="O1977" s="1">
        <v>2.1</v>
      </c>
    </row>
    <row r="1978" spans="4:15" x14ac:dyDescent="0.3">
      <c r="D1978" s="1">
        <v>50503</v>
      </c>
      <c r="E1978" s="2">
        <v>43790</v>
      </c>
      <c r="F1978" s="1" t="s">
        <v>14</v>
      </c>
      <c r="G1978" s="1">
        <v>28</v>
      </c>
      <c r="H1978" t="str">
        <f t="shared" si="154"/>
        <v>Medium-Large</v>
      </c>
      <c r="I1978" t="str">
        <f t="shared" si="150"/>
        <v>Medium-Large</v>
      </c>
      <c r="J1978" s="1">
        <v>1646.59</v>
      </c>
      <c r="K1978">
        <f t="shared" si="151"/>
        <v>0</v>
      </c>
      <c r="L1978">
        <f t="shared" si="152"/>
        <v>1646.59</v>
      </c>
      <c r="M1978" s="1">
        <f t="shared" si="153"/>
        <v>1646.59</v>
      </c>
      <c r="N1978" s="1" t="s">
        <v>10</v>
      </c>
      <c r="O1978" s="1">
        <v>21.4</v>
      </c>
    </row>
    <row r="1979" spans="4:15" x14ac:dyDescent="0.3">
      <c r="D1979" s="1">
        <v>11137</v>
      </c>
      <c r="E1979" s="2">
        <v>43798</v>
      </c>
      <c r="F1979" s="1" t="s">
        <v>9</v>
      </c>
      <c r="G1979" s="1">
        <v>48</v>
      </c>
      <c r="H1979" t="str">
        <f t="shared" si="154"/>
        <v>XXX Large</v>
      </c>
      <c r="I1979" t="str">
        <f t="shared" si="150"/>
        <v>XXX Large</v>
      </c>
      <c r="J1979" s="1">
        <v>5552.08</v>
      </c>
      <c r="K1979">
        <f t="shared" si="151"/>
        <v>0.01</v>
      </c>
      <c r="L1979">
        <f t="shared" si="152"/>
        <v>5496.5591999999997</v>
      </c>
      <c r="M1979" s="1">
        <f t="shared" si="153"/>
        <v>5542.88</v>
      </c>
      <c r="N1979" s="1" t="s">
        <v>10</v>
      </c>
      <c r="O1979" s="1">
        <v>9.1999999999999993</v>
      </c>
    </row>
    <row r="1980" spans="4:15" x14ac:dyDescent="0.3">
      <c r="D1980" s="1">
        <v>59491</v>
      </c>
      <c r="E1980" s="2">
        <v>43548</v>
      </c>
      <c r="F1980" s="1" t="s">
        <v>9</v>
      </c>
      <c r="G1980" s="1">
        <v>46</v>
      </c>
      <c r="H1980" t="str">
        <f t="shared" si="154"/>
        <v>XXX Large</v>
      </c>
      <c r="I1980" t="str">
        <f t="shared" si="150"/>
        <v>XXX Large</v>
      </c>
      <c r="J1980" s="1">
        <v>602.35649999999998</v>
      </c>
      <c r="K1980">
        <f t="shared" si="151"/>
        <v>0.01</v>
      </c>
      <c r="L1980">
        <f t="shared" si="152"/>
        <v>596.33293500000002</v>
      </c>
      <c r="M1980" s="1">
        <f t="shared" si="153"/>
        <v>599.35649999999998</v>
      </c>
      <c r="N1980" s="1" t="s">
        <v>10</v>
      </c>
      <c r="O1980" s="1">
        <v>3</v>
      </c>
    </row>
    <row r="1981" spans="4:15" x14ac:dyDescent="0.3">
      <c r="D1981" s="1">
        <v>28901</v>
      </c>
      <c r="E1981" s="2">
        <v>43627</v>
      </c>
      <c r="F1981" s="1" t="s">
        <v>9</v>
      </c>
      <c r="G1981" s="1">
        <v>23</v>
      </c>
      <c r="H1981" t="str">
        <f t="shared" si="154"/>
        <v>Medium</v>
      </c>
      <c r="I1981" t="str">
        <f t="shared" si="150"/>
        <v>Medium</v>
      </c>
      <c r="J1981" s="1">
        <v>932.31</v>
      </c>
      <c r="K1981">
        <f t="shared" si="151"/>
        <v>0</v>
      </c>
      <c r="L1981">
        <f t="shared" si="152"/>
        <v>932.31</v>
      </c>
      <c r="M1981" s="1">
        <f t="shared" si="153"/>
        <v>932.31</v>
      </c>
      <c r="N1981" s="1" t="s">
        <v>10</v>
      </c>
      <c r="O1981" s="1">
        <v>6.3</v>
      </c>
    </row>
    <row r="1982" spans="4:15" x14ac:dyDescent="0.3">
      <c r="D1982" s="1">
        <v>31106</v>
      </c>
      <c r="E1982" s="2">
        <v>43511</v>
      </c>
      <c r="F1982" s="1" t="s">
        <v>7</v>
      </c>
      <c r="G1982" s="1">
        <v>43</v>
      </c>
      <c r="H1982" t="str">
        <f t="shared" si="154"/>
        <v>XX Large</v>
      </c>
      <c r="I1982" t="str">
        <f t="shared" si="150"/>
        <v>XX Large</v>
      </c>
      <c r="J1982" s="1">
        <v>5025.8242</v>
      </c>
      <c r="K1982">
        <f t="shared" si="151"/>
        <v>0.01</v>
      </c>
      <c r="L1982">
        <f t="shared" si="152"/>
        <v>4975.5659580000001</v>
      </c>
      <c r="M1982" s="1">
        <f t="shared" si="153"/>
        <v>5019.8242</v>
      </c>
      <c r="N1982" s="1" t="s">
        <v>10</v>
      </c>
      <c r="O1982" s="1">
        <v>6</v>
      </c>
    </row>
    <row r="1983" spans="4:15" x14ac:dyDescent="0.3">
      <c r="D1983" s="1">
        <v>17571</v>
      </c>
      <c r="E1983" s="2">
        <v>43539</v>
      </c>
      <c r="F1983" s="1" t="s">
        <v>11</v>
      </c>
      <c r="G1983" s="1">
        <v>50</v>
      </c>
      <c r="H1983" t="str">
        <f t="shared" si="154"/>
        <v>XXX Large</v>
      </c>
      <c r="I1983" t="str">
        <f t="shared" si="150"/>
        <v>XXX Large</v>
      </c>
      <c r="J1983" s="1">
        <v>1814.35</v>
      </c>
      <c r="K1983">
        <f t="shared" si="151"/>
        <v>0.01</v>
      </c>
      <c r="L1983">
        <f t="shared" si="152"/>
        <v>1796.2065</v>
      </c>
      <c r="M1983" s="1">
        <f t="shared" si="153"/>
        <v>1808.4499999999998</v>
      </c>
      <c r="N1983" s="1" t="s">
        <v>8</v>
      </c>
      <c r="O1983" s="1">
        <v>5.9</v>
      </c>
    </row>
    <row r="1984" spans="4:15" x14ac:dyDescent="0.3">
      <c r="D1984" s="1">
        <v>6150</v>
      </c>
      <c r="E1984" s="2">
        <v>43739</v>
      </c>
      <c r="F1984" s="1" t="s">
        <v>12</v>
      </c>
      <c r="G1984" s="1">
        <v>38</v>
      </c>
      <c r="H1984" t="str">
        <f t="shared" si="154"/>
        <v>Extra Large</v>
      </c>
      <c r="I1984" t="str">
        <f t="shared" si="150"/>
        <v>Extra Large</v>
      </c>
      <c r="J1984" s="1">
        <v>204.52</v>
      </c>
      <c r="K1984">
        <f t="shared" si="151"/>
        <v>0.01</v>
      </c>
      <c r="L1984">
        <f t="shared" si="152"/>
        <v>202.47480000000002</v>
      </c>
      <c r="M1984" s="1">
        <f t="shared" si="153"/>
        <v>203.62</v>
      </c>
      <c r="N1984" s="1" t="s">
        <v>10</v>
      </c>
      <c r="O1984" s="1">
        <v>0.9</v>
      </c>
    </row>
    <row r="1985" spans="4:15" x14ac:dyDescent="0.3">
      <c r="D1985" s="1">
        <v>26055</v>
      </c>
      <c r="E1985" s="2">
        <v>43794</v>
      </c>
      <c r="F1985" s="1" t="s">
        <v>11</v>
      </c>
      <c r="G1985" s="1">
        <v>46</v>
      </c>
      <c r="H1985" t="str">
        <f t="shared" si="154"/>
        <v>XXX Large</v>
      </c>
      <c r="I1985" t="str">
        <f t="shared" si="150"/>
        <v>XXX Large</v>
      </c>
      <c r="J1985" s="1">
        <v>7204.87</v>
      </c>
      <c r="K1985">
        <f t="shared" si="151"/>
        <v>0.01</v>
      </c>
      <c r="L1985">
        <f t="shared" si="152"/>
        <v>7132.8212999999996</v>
      </c>
      <c r="M1985" s="1">
        <f t="shared" si="153"/>
        <v>7200.57</v>
      </c>
      <c r="N1985" s="1" t="s">
        <v>10</v>
      </c>
      <c r="O1985" s="1">
        <v>4.3</v>
      </c>
    </row>
    <row r="1986" spans="4:15" x14ac:dyDescent="0.3">
      <c r="D1986" s="1">
        <v>44678</v>
      </c>
      <c r="E1986" s="2">
        <v>43751</v>
      </c>
      <c r="F1986" s="1" t="s">
        <v>7</v>
      </c>
      <c r="G1986" s="1">
        <v>36</v>
      </c>
      <c r="H1986" t="str">
        <f t="shared" si="154"/>
        <v>Extra Large</v>
      </c>
      <c r="I1986" t="str">
        <f t="shared" si="150"/>
        <v>Extra Large</v>
      </c>
      <c r="J1986" s="1">
        <v>1233.3141000000001</v>
      </c>
      <c r="K1986">
        <f t="shared" si="151"/>
        <v>0.01</v>
      </c>
      <c r="L1986">
        <f t="shared" si="152"/>
        <v>1220.980959</v>
      </c>
      <c r="M1986" s="1">
        <f t="shared" si="153"/>
        <v>1225.7141000000001</v>
      </c>
      <c r="N1986" s="1" t="s">
        <v>10</v>
      </c>
      <c r="O1986" s="1">
        <v>7.6</v>
      </c>
    </row>
    <row r="1987" spans="4:15" x14ac:dyDescent="0.3">
      <c r="D1987" s="1">
        <v>10341</v>
      </c>
      <c r="E1987" s="2">
        <v>43820</v>
      </c>
      <c r="F1987" s="1" t="s">
        <v>9</v>
      </c>
      <c r="G1987" s="1">
        <v>17</v>
      </c>
      <c r="H1987" t="str">
        <f t="shared" si="154"/>
        <v>Small-Medium</v>
      </c>
      <c r="I1987" t="str">
        <f t="shared" ref="I1987:I2050" si="155">VLOOKUP(G1987, $A$3:$B$12, 2, TRUE)</f>
        <v>Small-Medium</v>
      </c>
      <c r="J1987" s="1">
        <v>2474.8672000000001</v>
      </c>
      <c r="K1987">
        <f t="shared" ref="K1987:K2050" si="156">IF(OR(I1987="Extra Large", I1987="XX Large", I1987="XXX Large"), 0.01, 0)</f>
        <v>0</v>
      </c>
      <c r="L1987">
        <f t="shared" ref="L1987:L2050" si="157">J1987 * (1 - K1987)</f>
        <v>2474.8672000000001</v>
      </c>
      <c r="M1987" s="1">
        <f t="shared" ref="M1987:M2050" si="158">IF(OR(I1987="Extra Large",I1987="XX Large",I1987="XXX Large"),J1987-O1987,J1987)</f>
        <v>2474.8672000000001</v>
      </c>
      <c r="N1987" s="1" t="s">
        <v>13</v>
      </c>
      <c r="O1987" s="1">
        <v>19.100000000000001</v>
      </c>
    </row>
    <row r="1988" spans="4:15" x14ac:dyDescent="0.3">
      <c r="D1988" s="1">
        <v>28738</v>
      </c>
      <c r="E1988" s="2">
        <v>43687</v>
      </c>
      <c r="F1988" s="1" t="s">
        <v>14</v>
      </c>
      <c r="G1988" s="1">
        <v>10</v>
      </c>
      <c r="H1988" t="str">
        <f t="shared" si="154"/>
        <v>Extra Small</v>
      </c>
      <c r="I1988" t="str">
        <f t="shared" si="155"/>
        <v>Extra Small</v>
      </c>
      <c r="J1988" s="1">
        <v>1647.62</v>
      </c>
      <c r="K1988">
        <f t="shared" si="156"/>
        <v>0</v>
      </c>
      <c r="L1988">
        <f t="shared" si="157"/>
        <v>1647.62</v>
      </c>
      <c r="M1988" s="1">
        <f t="shared" si="158"/>
        <v>1647.62</v>
      </c>
      <c r="N1988" s="1" t="s">
        <v>10</v>
      </c>
      <c r="O1988" s="1">
        <v>21.4</v>
      </c>
    </row>
    <row r="1989" spans="4:15" x14ac:dyDescent="0.3">
      <c r="D1989" s="1">
        <v>47846</v>
      </c>
      <c r="E1989" s="2">
        <v>43688</v>
      </c>
      <c r="F1989" s="1" t="s">
        <v>9</v>
      </c>
      <c r="G1989" s="1">
        <v>37</v>
      </c>
      <c r="H1989" t="str">
        <f t="shared" ref="H1989:H2052" si="159">VLOOKUP(G1989, $A$3:$B$12, 2, TRUE)</f>
        <v>Extra Large</v>
      </c>
      <c r="I1989" t="str">
        <f t="shared" si="155"/>
        <v>Extra Large</v>
      </c>
      <c r="J1989" s="1">
        <v>258.02</v>
      </c>
      <c r="K1989">
        <f t="shared" si="156"/>
        <v>0.01</v>
      </c>
      <c r="L1989">
        <f t="shared" si="157"/>
        <v>255.43979999999999</v>
      </c>
      <c r="M1989" s="1">
        <f t="shared" si="158"/>
        <v>250.61999999999998</v>
      </c>
      <c r="N1989" s="1" t="s">
        <v>10</v>
      </c>
      <c r="O1989" s="1">
        <v>7.4</v>
      </c>
    </row>
    <row r="1990" spans="4:15" x14ac:dyDescent="0.3">
      <c r="D1990" s="1">
        <v>9925</v>
      </c>
      <c r="E1990" s="2">
        <v>43494</v>
      </c>
      <c r="F1990" s="1" t="s">
        <v>12</v>
      </c>
      <c r="G1990" s="1">
        <v>17</v>
      </c>
      <c r="H1990" t="str">
        <f t="shared" si="159"/>
        <v>Small-Medium</v>
      </c>
      <c r="I1990" t="str">
        <f t="shared" si="155"/>
        <v>Small-Medium</v>
      </c>
      <c r="J1990" s="1">
        <v>92.52</v>
      </c>
      <c r="K1990">
        <f t="shared" si="156"/>
        <v>0</v>
      </c>
      <c r="L1990">
        <f t="shared" si="157"/>
        <v>92.52</v>
      </c>
      <c r="M1990" s="1">
        <f t="shared" si="158"/>
        <v>92.52</v>
      </c>
      <c r="N1990" s="1" t="s">
        <v>10</v>
      </c>
      <c r="O1990" s="1">
        <v>3.2</v>
      </c>
    </row>
    <row r="1991" spans="4:15" x14ac:dyDescent="0.3">
      <c r="D1991" s="1">
        <v>47622</v>
      </c>
      <c r="E1991" s="2">
        <v>43720</v>
      </c>
      <c r="F1991" s="1" t="s">
        <v>11</v>
      </c>
      <c r="G1991" s="1">
        <v>41</v>
      </c>
      <c r="H1991" t="str">
        <f t="shared" si="159"/>
        <v>XX Large</v>
      </c>
      <c r="I1991" t="str">
        <f t="shared" si="155"/>
        <v>XX Large</v>
      </c>
      <c r="J1991" s="1">
        <v>8761.36</v>
      </c>
      <c r="K1991">
        <f t="shared" si="156"/>
        <v>0.01</v>
      </c>
      <c r="L1991">
        <f t="shared" si="157"/>
        <v>8673.7464</v>
      </c>
      <c r="M1991" s="1">
        <f t="shared" si="158"/>
        <v>8746.36</v>
      </c>
      <c r="N1991" s="1" t="s">
        <v>10</v>
      </c>
      <c r="O1991" s="1">
        <v>15</v>
      </c>
    </row>
    <row r="1992" spans="4:15" x14ac:dyDescent="0.3">
      <c r="D1992" s="1">
        <v>4261</v>
      </c>
      <c r="E1992" s="2">
        <v>43740</v>
      </c>
      <c r="F1992" s="1" t="s">
        <v>12</v>
      </c>
      <c r="G1992" s="1">
        <v>22</v>
      </c>
      <c r="H1992" t="str">
        <f t="shared" si="159"/>
        <v>Medium</v>
      </c>
      <c r="I1992" t="str">
        <f t="shared" si="155"/>
        <v>Medium</v>
      </c>
      <c r="J1992" s="1">
        <v>1665.8508999999999</v>
      </c>
      <c r="K1992">
        <f t="shared" si="156"/>
        <v>0</v>
      </c>
      <c r="L1992">
        <f t="shared" si="157"/>
        <v>1665.8508999999999</v>
      </c>
      <c r="M1992" s="1">
        <f t="shared" si="158"/>
        <v>1665.8508999999999</v>
      </c>
      <c r="N1992" s="1" t="s">
        <v>13</v>
      </c>
      <c r="O1992" s="1">
        <v>64.2</v>
      </c>
    </row>
    <row r="1993" spans="4:15" x14ac:dyDescent="0.3">
      <c r="D1993" s="1">
        <v>9024</v>
      </c>
      <c r="E1993" s="2">
        <v>43618</v>
      </c>
      <c r="F1993" s="1" t="s">
        <v>14</v>
      </c>
      <c r="G1993" s="1">
        <v>44</v>
      </c>
      <c r="H1993" t="str">
        <f t="shared" si="159"/>
        <v>XX Large</v>
      </c>
      <c r="I1993" t="str">
        <f t="shared" si="155"/>
        <v>XX Large</v>
      </c>
      <c r="J1993" s="1">
        <v>2480.4899999999998</v>
      </c>
      <c r="K1993">
        <f t="shared" si="156"/>
        <v>0.01</v>
      </c>
      <c r="L1993">
        <f t="shared" si="157"/>
        <v>2455.6850999999997</v>
      </c>
      <c r="M1993" s="1">
        <f t="shared" si="158"/>
        <v>2477.4899999999998</v>
      </c>
      <c r="N1993" s="1" t="s">
        <v>10</v>
      </c>
      <c r="O1993" s="1">
        <v>3</v>
      </c>
    </row>
    <row r="1994" spans="4:15" x14ac:dyDescent="0.3">
      <c r="D1994" s="1">
        <v>50978</v>
      </c>
      <c r="E1994" s="2">
        <v>43555</v>
      </c>
      <c r="F1994" s="1" t="s">
        <v>9</v>
      </c>
      <c r="G1994" s="1">
        <v>4</v>
      </c>
      <c r="H1994" t="str">
        <f t="shared" si="159"/>
        <v>Mini</v>
      </c>
      <c r="I1994" t="str">
        <f t="shared" si="155"/>
        <v>Mini</v>
      </c>
      <c r="J1994" s="1">
        <v>873.22</v>
      </c>
      <c r="K1994">
        <f t="shared" si="156"/>
        <v>0</v>
      </c>
      <c r="L1994">
        <f t="shared" si="157"/>
        <v>873.22</v>
      </c>
      <c r="M1994" s="1">
        <f t="shared" si="158"/>
        <v>873.22</v>
      </c>
      <c r="N1994" s="1" t="s">
        <v>10</v>
      </c>
      <c r="O1994" s="1">
        <v>10.7</v>
      </c>
    </row>
    <row r="1995" spans="4:15" x14ac:dyDescent="0.3">
      <c r="D1995" s="1">
        <v>36257</v>
      </c>
      <c r="E1995" s="2">
        <v>43522</v>
      </c>
      <c r="F1995" s="1" t="s">
        <v>9</v>
      </c>
      <c r="G1995" s="1">
        <v>43</v>
      </c>
      <c r="H1995" t="str">
        <f t="shared" si="159"/>
        <v>XX Large</v>
      </c>
      <c r="I1995" t="str">
        <f t="shared" si="155"/>
        <v>XX Large</v>
      </c>
      <c r="J1995" s="1">
        <v>957.12570000000005</v>
      </c>
      <c r="K1995">
        <f t="shared" si="156"/>
        <v>0.01</v>
      </c>
      <c r="L1995">
        <f t="shared" si="157"/>
        <v>947.55444299999999</v>
      </c>
      <c r="M1995" s="1">
        <f t="shared" si="158"/>
        <v>955.02570000000003</v>
      </c>
      <c r="N1995" s="1" t="s">
        <v>10</v>
      </c>
      <c r="O1995" s="1">
        <v>2.1</v>
      </c>
    </row>
    <row r="1996" spans="4:15" x14ac:dyDescent="0.3">
      <c r="D1996" s="1">
        <v>4261</v>
      </c>
      <c r="E1996" s="2">
        <v>43740</v>
      </c>
      <c r="F1996" s="1" t="s">
        <v>12</v>
      </c>
      <c r="G1996" s="1">
        <v>48</v>
      </c>
      <c r="H1996" t="str">
        <f t="shared" si="159"/>
        <v>XXX Large</v>
      </c>
      <c r="I1996" t="str">
        <f t="shared" si="155"/>
        <v>XXX Large</v>
      </c>
      <c r="J1996" s="1">
        <v>293.58999999999997</v>
      </c>
      <c r="K1996">
        <f t="shared" si="156"/>
        <v>0.01</v>
      </c>
      <c r="L1996">
        <f t="shared" si="157"/>
        <v>290.65409999999997</v>
      </c>
      <c r="M1996" s="1">
        <f t="shared" si="158"/>
        <v>287.89</v>
      </c>
      <c r="N1996" s="1" t="s">
        <v>10</v>
      </c>
      <c r="O1996" s="1">
        <v>5.7</v>
      </c>
    </row>
    <row r="1997" spans="4:15" x14ac:dyDescent="0.3">
      <c r="D1997" s="1">
        <v>17571</v>
      </c>
      <c r="E1997" s="2">
        <v>43539</v>
      </c>
      <c r="F1997" s="1" t="s">
        <v>11</v>
      </c>
      <c r="G1997" s="1">
        <v>32</v>
      </c>
      <c r="H1997" t="str">
        <f t="shared" si="159"/>
        <v>Large</v>
      </c>
      <c r="I1997" t="str">
        <f t="shared" si="155"/>
        <v>Large</v>
      </c>
      <c r="J1997" s="1">
        <v>109.77</v>
      </c>
      <c r="K1997">
        <f t="shared" si="156"/>
        <v>0</v>
      </c>
      <c r="L1997">
        <f t="shared" si="157"/>
        <v>109.77</v>
      </c>
      <c r="M1997" s="1">
        <f t="shared" si="158"/>
        <v>109.77</v>
      </c>
      <c r="N1997" s="1" t="s">
        <v>10</v>
      </c>
      <c r="O1997" s="1">
        <v>1.7</v>
      </c>
    </row>
    <row r="1998" spans="4:15" x14ac:dyDescent="0.3">
      <c r="D1998" s="1">
        <v>36103</v>
      </c>
      <c r="E1998" s="2">
        <v>43584</v>
      </c>
      <c r="F1998" s="1" t="s">
        <v>12</v>
      </c>
      <c r="G1998" s="1">
        <v>10</v>
      </c>
      <c r="H1998" t="str">
        <f t="shared" si="159"/>
        <v>Extra Small</v>
      </c>
      <c r="I1998" t="str">
        <f t="shared" si="155"/>
        <v>Extra Small</v>
      </c>
      <c r="J1998" s="1">
        <v>59.727400000000003</v>
      </c>
      <c r="K1998">
        <f t="shared" si="156"/>
        <v>0</v>
      </c>
      <c r="L1998">
        <f t="shared" si="157"/>
        <v>59.727400000000003</v>
      </c>
      <c r="M1998" s="1">
        <f t="shared" si="158"/>
        <v>59.727400000000003</v>
      </c>
      <c r="N1998" s="1" t="s">
        <v>10</v>
      </c>
      <c r="O1998" s="1">
        <v>6.1</v>
      </c>
    </row>
    <row r="1999" spans="4:15" x14ac:dyDescent="0.3">
      <c r="D1999" s="1">
        <v>1282</v>
      </c>
      <c r="E1999" s="2">
        <v>43522</v>
      </c>
      <c r="F1999" s="1" t="s">
        <v>11</v>
      </c>
      <c r="G1999" s="1">
        <v>10</v>
      </c>
      <c r="H1999" t="str">
        <f t="shared" si="159"/>
        <v>Extra Small</v>
      </c>
      <c r="I1999" t="str">
        <f t="shared" si="155"/>
        <v>Extra Small</v>
      </c>
      <c r="J1999" s="1">
        <v>31.47</v>
      </c>
      <c r="K1999">
        <f t="shared" si="156"/>
        <v>0</v>
      </c>
      <c r="L1999">
        <f t="shared" si="157"/>
        <v>31.47</v>
      </c>
      <c r="M1999" s="1">
        <f t="shared" si="158"/>
        <v>31.47</v>
      </c>
      <c r="N1999" s="1" t="s">
        <v>10</v>
      </c>
      <c r="O1999" s="1">
        <v>1.4</v>
      </c>
    </row>
    <row r="2000" spans="4:15" x14ac:dyDescent="0.3">
      <c r="D2000" s="1">
        <v>21223</v>
      </c>
      <c r="E2000" s="2">
        <v>43539</v>
      </c>
      <c r="F2000" s="1" t="s">
        <v>11</v>
      </c>
      <c r="G2000" s="1">
        <v>3</v>
      </c>
      <c r="H2000" t="str">
        <f t="shared" si="159"/>
        <v>Mini</v>
      </c>
      <c r="I2000" t="str">
        <f t="shared" si="155"/>
        <v>Mini</v>
      </c>
      <c r="J2000" s="1">
        <v>340.21</v>
      </c>
      <c r="K2000">
        <f t="shared" si="156"/>
        <v>0</v>
      </c>
      <c r="L2000">
        <f t="shared" si="157"/>
        <v>340.21</v>
      </c>
      <c r="M2000" s="1">
        <f t="shared" si="158"/>
        <v>340.21</v>
      </c>
      <c r="N2000" s="1" t="s">
        <v>13</v>
      </c>
      <c r="O2000" s="1">
        <v>28.1</v>
      </c>
    </row>
    <row r="2001" spans="4:15" x14ac:dyDescent="0.3">
      <c r="D2001" s="1">
        <v>45670</v>
      </c>
      <c r="E2001" s="2">
        <v>43684</v>
      </c>
      <c r="F2001" s="1" t="s">
        <v>7</v>
      </c>
      <c r="G2001" s="1">
        <v>2</v>
      </c>
      <c r="H2001" t="str">
        <f t="shared" si="159"/>
        <v>Mini</v>
      </c>
      <c r="I2001" t="str">
        <f t="shared" si="155"/>
        <v>Mini</v>
      </c>
      <c r="J2001" s="1">
        <v>21.57</v>
      </c>
      <c r="K2001">
        <f t="shared" si="156"/>
        <v>0</v>
      </c>
      <c r="L2001">
        <f t="shared" si="157"/>
        <v>21.57</v>
      </c>
      <c r="M2001" s="1">
        <f t="shared" si="158"/>
        <v>21.57</v>
      </c>
      <c r="N2001" s="1" t="s">
        <v>10</v>
      </c>
      <c r="O2001" s="1">
        <v>8.4</v>
      </c>
    </row>
    <row r="2002" spans="4:15" x14ac:dyDescent="0.3">
      <c r="D2002" s="1">
        <v>33702</v>
      </c>
      <c r="E2002" s="2">
        <v>43710</v>
      </c>
      <c r="F2002" s="1" t="s">
        <v>11</v>
      </c>
      <c r="G2002" s="1">
        <v>14</v>
      </c>
      <c r="H2002" t="str">
        <f t="shared" si="159"/>
        <v>Small</v>
      </c>
      <c r="I2002" t="str">
        <f t="shared" si="155"/>
        <v>Small</v>
      </c>
      <c r="J2002" s="1">
        <v>60.2</v>
      </c>
      <c r="K2002">
        <f t="shared" si="156"/>
        <v>0</v>
      </c>
      <c r="L2002">
        <f t="shared" si="157"/>
        <v>60.2</v>
      </c>
      <c r="M2002" s="1">
        <f t="shared" si="158"/>
        <v>60.2</v>
      </c>
      <c r="N2002" s="1" t="s">
        <v>8</v>
      </c>
      <c r="O2002" s="1">
        <v>0.5</v>
      </c>
    </row>
    <row r="2003" spans="4:15" x14ac:dyDescent="0.3">
      <c r="D2003" s="1">
        <v>32871</v>
      </c>
      <c r="E2003" s="2">
        <v>43764</v>
      </c>
      <c r="F2003" s="1" t="s">
        <v>9</v>
      </c>
      <c r="G2003" s="1">
        <v>14</v>
      </c>
      <c r="H2003" t="str">
        <f t="shared" si="159"/>
        <v>Small</v>
      </c>
      <c r="I2003" t="str">
        <f t="shared" si="155"/>
        <v>Small</v>
      </c>
      <c r="J2003" s="1">
        <v>2301.66</v>
      </c>
      <c r="K2003">
        <f t="shared" si="156"/>
        <v>0</v>
      </c>
      <c r="L2003">
        <f t="shared" si="157"/>
        <v>2301.66</v>
      </c>
      <c r="M2003" s="1">
        <f t="shared" si="158"/>
        <v>2301.66</v>
      </c>
      <c r="N2003" s="1" t="s">
        <v>13</v>
      </c>
      <c r="O2003" s="1">
        <v>19.100000000000001</v>
      </c>
    </row>
    <row r="2004" spans="4:15" x14ac:dyDescent="0.3">
      <c r="D2004" s="1">
        <v>34400</v>
      </c>
      <c r="E2004" s="2">
        <v>43823</v>
      </c>
      <c r="F2004" s="1" t="s">
        <v>7</v>
      </c>
      <c r="G2004" s="1">
        <v>25</v>
      </c>
      <c r="H2004" t="str">
        <f t="shared" si="159"/>
        <v>Medium</v>
      </c>
      <c r="I2004" t="str">
        <f t="shared" si="155"/>
        <v>Medium</v>
      </c>
      <c r="J2004" s="1">
        <v>99.01</v>
      </c>
      <c r="K2004">
        <f t="shared" si="156"/>
        <v>0</v>
      </c>
      <c r="L2004">
        <f t="shared" si="157"/>
        <v>99.01</v>
      </c>
      <c r="M2004" s="1">
        <f t="shared" si="158"/>
        <v>99.01</v>
      </c>
      <c r="N2004" s="1" t="s">
        <v>10</v>
      </c>
      <c r="O2004" s="1">
        <v>4.5</v>
      </c>
    </row>
    <row r="2005" spans="4:15" x14ac:dyDescent="0.3">
      <c r="D2005" s="1">
        <v>57602</v>
      </c>
      <c r="E2005" s="2">
        <v>43602</v>
      </c>
      <c r="F2005" s="1" t="s">
        <v>7</v>
      </c>
      <c r="G2005" s="1">
        <v>43</v>
      </c>
      <c r="H2005" t="str">
        <f t="shared" si="159"/>
        <v>XX Large</v>
      </c>
      <c r="I2005" t="str">
        <f t="shared" si="155"/>
        <v>XX Large</v>
      </c>
      <c r="J2005" s="1">
        <v>139.49</v>
      </c>
      <c r="K2005">
        <f t="shared" si="156"/>
        <v>0.01</v>
      </c>
      <c r="L2005">
        <f t="shared" si="157"/>
        <v>138.0951</v>
      </c>
      <c r="M2005" s="1">
        <f t="shared" si="158"/>
        <v>138.99</v>
      </c>
      <c r="N2005" s="1" t="s">
        <v>10</v>
      </c>
      <c r="O2005" s="1">
        <v>0.5</v>
      </c>
    </row>
    <row r="2006" spans="4:15" x14ac:dyDescent="0.3">
      <c r="D2006" s="1">
        <v>52324</v>
      </c>
      <c r="E2006" s="2">
        <v>43645</v>
      </c>
      <c r="F2006" s="1" t="s">
        <v>11</v>
      </c>
      <c r="G2006" s="1">
        <v>4</v>
      </c>
      <c r="H2006" t="str">
        <f t="shared" si="159"/>
        <v>Mini</v>
      </c>
      <c r="I2006" t="str">
        <f t="shared" si="155"/>
        <v>Mini</v>
      </c>
      <c r="J2006" s="1">
        <v>810.11</v>
      </c>
      <c r="K2006">
        <f t="shared" si="156"/>
        <v>0</v>
      </c>
      <c r="L2006">
        <f t="shared" si="157"/>
        <v>810.11</v>
      </c>
      <c r="M2006" s="1">
        <f t="shared" si="158"/>
        <v>810.11</v>
      </c>
      <c r="N2006" s="1" t="s">
        <v>13</v>
      </c>
      <c r="O2006" s="1">
        <v>32.1</v>
      </c>
    </row>
    <row r="2007" spans="4:15" x14ac:dyDescent="0.3">
      <c r="D2007" s="1">
        <v>59075</v>
      </c>
      <c r="E2007" s="2">
        <v>43521</v>
      </c>
      <c r="F2007" s="1" t="s">
        <v>7</v>
      </c>
      <c r="G2007" s="1">
        <v>38</v>
      </c>
      <c r="H2007" t="str">
        <f t="shared" si="159"/>
        <v>Extra Large</v>
      </c>
      <c r="I2007" t="str">
        <f t="shared" si="155"/>
        <v>Extra Large</v>
      </c>
      <c r="J2007" s="1">
        <v>455.72</v>
      </c>
      <c r="K2007">
        <f t="shared" si="156"/>
        <v>0.01</v>
      </c>
      <c r="L2007">
        <f t="shared" si="157"/>
        <v>451.1628</v>
      </c>
      <c r="M2007" s="1">
        <f t="shared" si="158"/>
        <v>450.32000000000005</v>
      </c>
      <c r="N2007" s="1" t="s">
        <v>10</v>
      </c>
      <c r="O2007" s="1">
        <v>5.4</v>
      </c>
    </row>
    <row r="2008" spans="4:15" x14ac:dyDescent="0.3">
      <c r="D2008" s="1">
        <v>38656</v>
      </c>
      <c r="E2008" s="2">
        <v>43687</v>
      </c>
      <c r="F2008" s="1" t="s">
        <v>7</v>
      </c>
      <c r="G2008" s="1">
        <v>3</v>
      </c>
      <c r="H2008" t="str">
        <f t="shared" si="159"/>
        <v>Mini</v>
      </c>
      <c r="I2008" t="str">
        <f t="shared" si="155"/>
        <v>Mini</v>
      </c>
      <c r="J2008" s="1">
        <v>600.73</v>
      </c>
      <c r="K2008">
        <f t="shared" si="156"/>
        <v>0</v>
      </c>
      <c r="L2008">
        <f t="shared" si="157"/>
        <v>600.73</v>
      </c>
      <c r="M2008" s="1">
        <f t="shared" si="158"/>
        <v>600.73</v>
      </c>
      <c r="N2008" s="1" t="s">
        <v>13</v>
      </c>
      <c r="O2008" s="1">
        <v>28</v>
      </c>
    </row>
    <row r="2009" spans="4:15" x14ac:dyDescent="0.3">
      <c r="D2009" s="1">
        <v>2023</v>
      </c>
      <c r="E2009" s="2">
        <v>43590</v>
      </c>
      <c r="F2009" s="1" t="s">
        <v>7</v>
      </c>
      <c r="G2009" s="1">
        <v>4</v>
      </c>
      <c r="H2009" t="str">
        <f t="shared" si="159"/>
        <v>Mini</v>
      </c>
      <c r="I2009" t="str">
        <f t="shared" si="155"/>
        <v>Mini</v>
      </c>
      <c r="J2009" s="1">
        <v>315.52999999999997</v>
      </c>
      <c r="K2009">
        <f t="shared" si="156"/>
        <v>0</v>
      </c>
      <c r="L2009">
        <f t="shared" si="157"/>
        <v>315.52999999999997</v>
      </c>
      <c r="M2009" s="1">
        <f t="shared" si="158"/>
        <v>315.52999999999997</v>
      </c>
      <c r="N2009" s="1" t="s">
        <v>10</v>
      </c>
      <c r="O2009" s="1">
        <v>13</v>
      </c>
    </row>
    <row r="2010" spans="4:15" x14ac:dyDescent="0.3">
      <c r="D2010" s="1">
        <v>19044</v>
      </c>
      <c r="E2010" s="2">
        <v>43566</v>
      </c>
      <c r="F2010" s="1" t="s">
        <v>7</v>
      </c>
      <c r="G2010" s="1">
        <v>29</v>
      </c>
      <c r="H2010" t="str">
        <f t="shared" si="159"/>
        <v>Medium-Large</v>
      </c>
      <c r="I2010" t="str">
        <f t="shared" si="155"/>
        <v>Medium-Large</v>
      </c>
      <c r="J2010" s="1">
        <v>290.32</v>
      </c>
      <c r="K2010">
        <f t="shared" si="156"/>
        <v>0</v>
      </c>
      <c r="L2010">
        <f t="shared" si="157"/>
        <v>290.32</v>
      </c>
      <c r="M2010" s="1">
        <f t="shared" si="158"/>
        <v>290.32</v>
      </c>
      <c r="N2010" s="1" t="s">
        <v>10</v>
      </c>
      <c r="O2010" s="1">
        <v>10.1</v>
      </c>
    </row>
    <row r="2011" spans="4:15" x14ac:dyDescent="0.3">
      <c r="D2011" s="1">
        <v>1573</v>
      </c>
      <c r="E2011" s="2">
        <v>43826</v>
      </c>
      <c r="F2011" s="1" t="s">
        <v>9</v>
      </c>
      <c r="G2011" s="1">
        <v>13</v>
      </c>
      <c r="H2011" t="str">
        <f t="shared" si="159"/>
        <v>Small</v>
      </c>
      <c r="I2011" t="str">
        <f t="shared" si="155"/>
        <v>Small</v>
      </c>
      <c r="J2011" s="1">
        <v>813.14</v>
      </c>
      <c r="K2011">
        <f t="shared" si="156"/>
        <v>0</v>
      </c>
      <c r="L2011">
        <f t="shared" si="157"/>
        <v>813.14</v>
      </c>
      <c r="M2011" s="1">
        <f t="shared" si="158"/>
        <v>813.14</v>
      </c>
      <c r="N2011" s="1" t="s">
        <v>13</v>
      </c>
      <c r="O2011" s="1">
        <v>34.700000000000003</v>
      </c>
    </row>
    <row r="2012" spans="4:15" x14ac:dyDescent="0.3">
      <c r="D2012" s="1">
        <v>48643</v>
      </c>
      <c r="E2012" s="2">
        <v>43756</v>
      </c>
      <c r="F2012" s="1" t="s">
        <v>14</v>
      </c>
      <c r="G2012" s="1">
        <v>14</v>
      </c>
      <c r="H2012" t="str">
        <f t="shared" si="159"/>
        <v>Small</v>
      </c>
      <c r="I2012" t="str">
        <f t="shared" si="155"/>
        <v>Small</v>
      </c>
      <c r="J2012" s="1">
        <v>9813.73</v>
      </c>
      <c r="K2012">
        <f t="shared" si="156"/>
        <v>0</v>
      </c>
      <c r="L2012">
        <f t="shared" si="157"/>
        <v>9813.73</v>
      </c>
      <c r="M2012" s="1">
        <f t="shared" si="158"/>
        <v>9813.73</v>
      </c>
      <c r="N2012" s="1" t="s">
        <v>13</v>
      </c>
      <c r="O2012" s="1">
        <v>59.2</v>
      </c>
    </row>
    <row r="2013" spans="4:15" x14ac:dyDescent="0.3">
      <c r="D2013" s="1">
        <v>45571</v>
      </c>
      <c r="E2013" s="2">
        <v>43731</v>
      </c>
      <c r="F2013" s="1" t="s">
        <v>14</v>
      </c>
      <c r="G2013" s="1">
        <v>44</v>
      </c>
      <c r="H2013" t="str">
        <f t="shared" si="159"/>
        <v>XX Large</v>
      </c>
      <c r="I2013" t="str">
        <f t="shared" si="155"/>
        <v>XX Large</v>
      </c>
      <c r="J2013" s="1">
        <v>770.96</v>
      </c>
      <c r="K2013">
        <f t="shared" si="156"/>
        <v>0.01</v>
      </c>
      <c r="L2013">
        <f t="shared" si="157"/>
        <v>763.25040000000001</v>
      </c>
      <c r="M2013" s="1">
        <f t="shared" si="158"/>
        <v>761.86</v>
      </c>
      <c r="N2013" s="1" t="s">
        <v>10</v>
      </c>
      <c r="O2013" s="1">
        <v>9.1</v>
      </c>
    </row>
    <row r="2014" spans="4:15" x14ac:dyDescent="0.3">
      <c r="D2014" s="1">
        <v>14241</v>
      </c>
      <c r="E2014" s="2">
        <v>43630</v>
      </c>
      <c r="F2014" s="1" t="s">
        <v>12</v>
      </c>
      <c r="G2014" s="1">
        <v>22</v>
      </c>
      <c r="H2014" t="str">
        <f t="shared" si="159"/>
        <v>Medium</v>
      </c>
      <c r="I2014" t="str">
        <f t="shared" si="155"/>
        <v>Medium</v>
      </c>
      <c r="J2014" s="1">
        <v>282.08</v>
      </c>
      <c r="K2014">
        <f t="shared" si="156"/>
        <v>0</v>
      </c>
      <c r="L2014">
        <f t="shared" si="157"/>
        <v>282.08</v>
      </c>
      <c r="M2014" s="1">
        <f t="shared" si="158"/>
        <v>282.08</v>
      </c>
      <c r="N2014" s="1" t="s">
        <v>10</v>
      </c>
      <c r="O2014" s="1">
        <v>2.5</v>
      </c>
    </row>
    <row r="2015" spans="4:15" x14ac:dyDescent="0.3">
      <c r="D2015" s="1">
        <v>44261</v>
      </c>
      <c r="E2015" s="2">
        <v>43547</v>
      </c>
      <c r="F2015" s="1" t="s">
        <v>9</v>
      </c>
      <c r="G2015" s="1">
        <v>34</v>
      </c>
      <c r="H2015" t="str">
        <f t="shared" si="159"/>
        <v>Large</v>
      </c>
      <c r="I2015" t="str">
        <f t="shared" si="155"/>
        <v>Large</v>
      </c>
      <c r="J2015" s="1">
        <v>5105.92</v>
      </c>
      <c r="K2015">
        <f t="shared" si="156"/>
        <v>0</v>
      </c>
      <c r="L2015">
        <f t="shared" si="157"/>
        <v>5105.92</v>
      </c>
      <c r="M2015" s="1">
        <f t="shared" si="158"/>
        <v>5105.92</v>
      </c>
      <c r="N2015" s="1" t="s">
        <v>13</v>
      </c>
      <c r="O2015" s="1">
        <v>38.6</v>
      </c>
    </row>
    <row r="2016" spans="4:15" x14ac:dyDescent="0.3">
      <c r="D2016" s="1">
        <v>2275</v>
      </c>
      <c r="E2016" s="2">
        <v>43759</v>
      </c>
      <c r="F2016" s="1" t="s">
        <v>11</v>
      </c>
      <c r="G2016" s="1">
        <v>49</v>
      </c>
      <c r="H2016" t="str">
        <f t="shared" si="159"/>
        <v>XXX Large</v>
      </c>
      <c r="I2016" t="str">
        <f t="shared" si="155"/>
        <v>XXX Large</v>
      </c>
      <c r="J2016" s="1">
        <v>297.45999999999998</v>
      </c>
      <c r="K2016">
        <f t="shared" si="156"/>
        <v>0.01</v>
      </c>
      <c r="L2016">
        <f t="shared" si="157"/>
        <v>294.48539999999997</v>
      </c>
      <c r="M2016" s="1">
        <f t="shared" si="158"/>
        <v>296.15999999999997</v>
      </c>
      <c r="N2016" s="1" t="s">
        <v>10</v>
      </c>
      <c r="O2016" s="1">
        <v>1.3</v>
      </c>
    </row>
    <row r="2017" spans="4:15" x14ac:dyDescent="0.3">
      <c r="D2017" s="1">
        <v>14435</v>
      </c>
      <c r="E2017" s="2">
        <v>43800</v>
      </c>
      <c r="F2017" s="1" t="s">
        <v>11</v>
      </c>
      <c r="G2017" s="1">
        <v>44</v>
      </c>
      <c r="H2017" t="str">
        <f t="shared" si="159"/>
        <v>XX Large</v>
      </c>
      <c r="I2017" t="str">
        <f t="shared" si="155"/>
        <v>XX Large</v>
      </c>
      <c r="J2017" s="1">
        <v>1390.9</v>
      </c>
      <c r="K2017">
        <f t="shared" si="156"/>
        <v>0.01</v>
      </c>
      <c r="L2017">
        <f t="shared" si="157"/>
        <v>1376.991</v>
      </c>
      <c r="M2017" s="1">
        <f t="shared" si="158"/>
        <v>1384.7</v>
      </c>
      <c r="N2017" s="1" t="s">
        <v>10</v>
      </c>
      <c r="O2017" s="1">
        <v>6.2</v>
      </c>
    </row>
    <row r="2018" spans="4:15" x14ac:dyDescent="0.3">
      <c r="D2018" s="1">
        <v>27750</v>
      </c>
      <c r="E2018" s="2">
        <v>43757</v>
      </c>
      <c r="F2018" s="1" t="s">
        <v>7</v>
      </c>
      <c r="G2018" s="1">
        <v>18</v>
      </c>
      <c r="H2018" t="str">
        <f t="shared" si="159"/>
        <v>Small-Medium</v>
      </c>
      <c r="I2018" t="str">
        <f t="shared" si="155"/>
        <v>Small-Medium</v>
      </c>
      <c r="J2018" s="1">
        <v>7886.8</v>
      </c>
      <c r="K2018">
        <f t="shared" si="156"/>
        <v>0</v>
      </c>
      <c r="L2018">
        <f t="shared" si="157"/>
        <v>7886.8</v>
      </c>
      <c r="M2018" s="1">
        <f t="shared" si="158"/>
        <v>7886.8</v>
      </c>
      <c r="N2018" s="1" t="s">
        <v>13</v>
      </c>
      <c r="O2018" s="1">
        <v>52.4</v>
      </c>
    </row>
    <row r="2019" spans="4:15" x14ac:dyDescent="0.3">
      <c r="D2019" s="1">
        <v>48774</v>
      </c>
      <c r="E2019" s="2">
        <v>43686</v>
      </c>
      <c r="F2019" s="1" t="s">
        <v>9</v>
      </c>
      <c r="G2019" s="1">
        <v>31</v>
      </c>
      <c r="H2019" t="str">
        <f t="shared" si="159"/>
        <v>Large</v>
      </c>
      <c r="I2019" t="str">
        <f t="shared" si="155"/>
        <v>Large</v>
      </c>
      <c r="J2019" s="1">
        <v>7836.44</v>
      </c>
      <c r="K2019">
        <f t="shared" si="156"/>
        <v>0</v>
      </c>
      <c r="L2019">
        <f t="shared" si="157"/>
        <v>7836.44</v>
      </c>
      <c r="M2019" s="1">
        <f t="shared" si="158"/>
        <v>7836.44</v>
      </c>
      <c r="N2019" s="1" t="s">
        <v>13</v>
      </c>
      <c r="O2019" s="1">
        <v>67.3</v>
      </c>
    </row>
    <row r="2020" spans="4:15" x14ac:dyDescent="0.3">
      <c r="D2020" s="1">
        <v>35045</v>
      </c>
      <c r="E2020" s="2">
        <v>43557</v>
      </c>
      <c r="F2020" s="1" t="s">
        <v>14</v>
      </c>
      <c r="G2020" s="1">
        <v>44</v>
      </c>
      <c r="H2020" t="str">
        <f t="shared" si="159"/>
        <v>XX Large</v>
      </c>
      <c r="I2020" t="str">
        <f t="shared" si="155"/>
        <v>XX Large</v>
      </c>
      <c r="J2020" s="1">
        <v>604.55999999999995</v>
      </c>
      <c r="K2020">
        <f t="shared" si="156"/>
        <v>0.01</v>
      </c>
      <c r="L2020">
        <f t="shared" si="157"/>
        <v>598.51439999999991</v>
      </c>
      <c r="M2020" s="1">
        <f t="shared" si="158"/>
        <v>599.76</v>
      </c>
      <c r="N2020" s="1" t="s">
        <v>10</v>
      </c>
      <c r="O2020" s="1">
        <v>4.8</v>
      </c>
    </row>
    <row r="2021" spans="4:15" x14ac:dyDescent="0.3">
      <c r="D2021" s="1">
        <v>46912</v>
      </c>
      <c r="E2021" s="2">
        <v>43646</v>
      </c>
      <c r="F2021" s="1" t="s">
        <v>7</v>
      </c>
      <c r="G2021" s="1">
        <v>5</v>
      </c>
      <c r="H2021" t="str">
        <f t="shared" si="159"/>
        <v>Mini</v>
      </c>
      <c r="I2021" t="str">
        <f t="shared" si="155"/>
        <v>Mini</v>
      </c>
      <c r="J2021" s="1">
        <v>314.58</v>
      </c>
      <c r="K2021">
        <f t="shared" si="156"/>
        <v>0</v>
      </c>
      <c r="L2021">
        <f t="shared" si="157"/>
        <v>314.58</v>
      </c>
      <c r="M2021" s="1">
        <f t="shared" si="158"/>
        <v>314.58</v>
      </c>
      <c r="N2021" s="1" t="s">
        <v>10</v>
      </c>
      <c r="O2021" s="1">
        <v>15.9</v>
      </c>
    </row>
    <row r="2022" spans="4:15" x14ac:dyDescent="0.3">
      <c r="D2022" s="1">
        <v>8130</v>
      </c>
      <c r="E2022" s="2">
        <v>43598</v>
      </c>
      <c r="F2022" s="1" t="s">
        <v>12</v>
      </c>
      <c r="G2022" s="1">
        <v>15</v>
      </c>
      <c r="H2022" t="str">
        <f t="shared" si="159"/>
        <v>Small</v>
      </c>
      <c r="I2022" t="str">
        <f t="shared" si="155"/>
        <v>Small</v>
      </c>
      <c r="J2022" s="1">
        <v>70.97</v>
      </c>
      <c r="K2022">
        <f t="shared" si="156"/>
        <v>0</v>
      </c>
      <c r="L2022">
        <f t="shared" si="157"/>
        <v>70.97</v>
      </c>
      <c r="M2022" s="1">
        <f t="shared" si="158"/>
        <v>70.97</v>
      </c>
      <c r="N2022" s="1" t="s">
        <v>10</v>
      </c>
      <c r="O2022" s="1">
        <v>5.4</v>
      </c>
    </row>
    <row r="2023" spans="4:15" x14ac:dyDescent="0.3">
      <c r="D2023" s="1">
        <v>967</v>
      </c>
      <c r="E2023" s="2">
        <v>43636</v>
      </c>
      <c r="F2023" s="1" t="s">
        <v>14</v>
      </c>
      <c r="G2023" s="1">
        <v>6</v>
      </c>
      <c r="H2023" t="str">
        <f t="shared" si="159"/>
        <v>Extra Small</v>
      </c>
      <c r="I2023" t="str">
        <f t="shared" si="155"/>
        <v>Extra Small</v>
      </c>
      <c r="J2023" s="1">
        <v>96.9</v>
      </c>
      <c r="K2023">
        <f t="shared" si="156"/>
        <v>0</v>
      </c>
      <c r="L2023">
        <f t="shared" si="157"/>
        <v>96.9</v>
      </c>
      <c r="M2023" s="1">
        <f t="shared" si="158"/>
        <v>96.9</v>
      </c>
      <c r="N2023" s="1" t="s">
        <v>10</v>
      </c>
      <c r="O2023" s="1">
        <v>8</v>
      </c>
    </row>
    <row r="2024" spans="4:15" x14ac:dyDescent="0.3">
      <c r="D2024" s="1">
        <v>24067</v>
      </c>
      <c r="E2024" s="2">
        <v>43699</v>
      </c>
      <c r="F2024" s="1" t="s">
        <v>9</v>
      </c>
      <c r="G2024" s="1">
        <v>46</v>
      </c>
      <c r="H2024" t="str">
        <f t="shared" si="159"/>
        <v>XXX Large</v>
      </c>
      <c r="I2024" t="str">
        <f t="shared" si="155"/>
        <v>XXX Large</v>
      </c>
      <c r="J2024" s="1">
        <v>2825.53</v>
      </c>
      <c r="K2024">
        <f t="shared" si="156"/>
        <v>0.01</v>
      </c>
      <c r="L2024">
        <f t="shared" si="157"/>
        <v>2797.2747000000004</v>
      </c>
      <c r="M2024" s="1">
        <f t="shared" si="158"/>
        <v>2819.23</v>
      </c>
      <c r="N2024" s="1" t="s">
        <v>8</v>
      </c>
      <c r="O2024" s="1">
        <v>6.3</v>
      </c>
    </row>
    <row r="2025" spans="4:15" x14ac:dyDescent="0.3">
      <c r="D2025" s="1">
        <v>31266</v>
      </c>
      <c r="E2025" s="2">
        <v>43741</v>
      </c>
      <c r="F2025" s="1" t="s">
        <v>9</v>
      </c>
      <c r="G2025" s="1">
        <v>16</v>
      </c>
      <c r="H2025" t="str">
        <f t="shared" si="159"/>
        <v>Small-Medium</v>
      </c>
      <c r="I2025" t="str">
        <f t="shared" si="155"/>
        <v>Small-Medium</v>
      </c>
      <c r="J2025" s="1">
        <v>7033.91</v>
      </c>
      <c r="K2025">
        <f t="shared" si="156"/>
        <v>0</v>
      </c>
      <c r="L2025">
        <f t="shared" si="157"/>
        <v>7033.91</v>
      </c>
      <c r="M2025" s="1">
        <f t="shared" si="158"/>
        <v>7033.91</v>
      </c>
      <c r="N2025" s="1" t="s">
        <v>13</v>
      </c>
      <c r="O2025" s="1">
        <v>12.9</v>
      </c>
    </row>
    <row r="2026" spans="4:15" x14ac:dyDescent="0.3">
      <c r="D2026" s="1">
        <v>20066</v>
      </c>
      <c r="E2026" s="2">
        <v>43710</v>
      </c>
      <c r="F2026" s="1" t="s">
        <v>12</v>
      </c>
      <c r="G2026" s="1">
        <v>16</v>
      </c>
      <c r="H2026" t="str">
        <f t="shared" si="159"/>
        <v>Small-Medium</v>
      </c>
      <c r="I2026" t="str">
        <f t="shared" si="155"/>
        <v>Small-Medium</v>
      </c>
      <c r="J2026" s="1">
        <v>560.95000000000005</v>
      </c>
      <c r="K2026">
        <f t="shared" si="156"/>
        <v>0</v>
      </c>
      <c r="L2026">
        <f t="shared" si="157"/>
        <v>560.95000000000005</v>
      </c>
      <c r="M2026" s="1">
        <f t="shared" si="158"/>
        <v>560.95000000000005</v>
      </c>
      <c r="N2026" s="1" t="s">
        <v>10</v>
      </c>
      <c r="O2026" s="1">
        <v>9.4</v>
      </c>
    </row>
    <row r="2027" spans="4:15" x14ac:dyDescent="0.3">
      <c r="D2027" s="1">
        <v>35104</v>
      </c>
      <c r="E2027" s="2">
        <v>43577</v>
      </c>
      <c r="F2027" s="1" t="s">
        <v>9</v>
      </c>
      <c r="G2027" s="1">
        <v>18</v>
      </c>
      <c r="H2027" t="str">
        <f t="shared" si="159"/>
        <v>Small-Medium</v>
      </c>
      <c r="I2027" t="str">
        <f t="shared" si="155"/>
        <v>Small-Medium</v>
      </c>
      <c r="J2027" s="1">
        <v>415.32049999999998</v>
      </c>
      <c r="K2027">
        <f t="shared" si="156"/>
        <v>0</v>
      </c>
      <c r="L2027">
        <f t="shared" si="157"/>
        <v>415.32049999999998</v>
      </c>
      <c r="M2027" s="1">
        <f t="shared" si="158"/>
        <v>415.32049999999998</v>
      </c>
      <c r="N2027" s="1" t="s">
        <v>10</v>
      </c>
      <c r="O2027" s="1">
        <v>15.9</v>
      </c>
    </row>
    <row r="2028" spans="4:15" x14ac:dyDescent="0.3">
      <c r="D2028" s="1">
        <v>33029</v>
      </c>
      <c r="E2028" s="2">
        <v>43616</v>
      </c>
      <c r="F2028" s="1" t="s">
        <v>9</v>
      </c>
      <c r="G2028" s="1">
        <v>8</v>
      </c>
      <c r="H2028" t="str">
        <f t="shared" si="159"/>
        <v>Extra Small</v>
      </c>
      <c r="I2028" t="str">
        <f t="shared" si="155"/>
        <v>Extra Small</v>
      </c>
      <c r="J2028" s="1">
        <v>789.93</v>
      </c>
      <c r="K2028">
        <f t="shared" si="156"/>
        <v>0</v>
      </c>
      <c r="L2028">
        <f t="shared" si="157"/>
        <v>789.93</v>
      </c>
      <c r="M2028" s="1">
        <f t="shared" si="158"/>
        <v>789.93</v>
      </c>
      <c r="N2028" s="1" t="s">
        <v>10</v>
      </c>
      <c r="O2028" s="1">
        <v>2.7</v>
      </c>
    </row>
    <row r="2029" spans="4:15" x14ac:dyDescent="0.3">
      <c r="D2029" s="1">
        <v>30784</v>
      </c>
      <c r="E2029" s="2">
        <v>43592</v>
      </c>
      <c r="F2029" s="1" t="s">
        <v>14</v>
      </c>
      <c r="G2029" s="1">
        <v>48</v>
      </c>
      <c r="H2029" t="str">
        <f t="shared" si="159"/>
        <v>XXX Large</v>
      </c>
      <c r="I2029" t="str">
        <f t="shared" si="155"/>
        <v>XXX Large</v>
      </c>
      <c r="J2029" s="1">
        <v>359.13</v>
      </c>
      <c r="K2029">
        <f t="shared" si="156"/>
        <v>0.01</v>
      </c>
      <c r="L2029">
        <f t="shared" si="157"/>
        <v>355.53870000000001</v>
      </c>
      <c r="M2029" s="1">
        <f t="shared" si="158"/>
        <v>357.43</v>
      </c>
      <c r="N2029" s="1" t="s">
        <v>10</v>
      </c>
      <c r="O2029" s="1">
        <v>1.7</v>
      </c>
    </row>
    <row r="2030" spans="4:15" x14ac:dyDescent="0.3">
      <c r="D2030" s="1">
        <v>44036</v>
      </c>
      <c r="E2030" s="2">
        <v>43475</v>
      </c>
      <c r="F2030" s="1" t="s">
        <v>9</v>
      </c>
      <c r="G2030" s="1">
        <v>40</v>
      </c>
      <c r="H2030" t="str">
        <f t="shared" si="159"/>
        <v>Extra Large</v>
      </c>
      <c r="I2030" t="str">
        <f t="shared" si="155"/>
        <v>Extra Large</v>
      </c>
      <c r="J2030" s="1">
        <v>267.64</v>
      </c>
      <c r="K2030">
        <f t="shared" si="156"/>
        <v>0.01</v>
      </c>
      <c r="L2030">
        <f t="shared" si="157"/>
        <v>264.96359999999999</v>
      </c>
      <c r="M2030" s="1">
        <f t="shared" si="158"/>
        <v>266.33999999999997</v>
      </c>
      <c r="N2030" s="1" t="s">
        <v>8</v>
      </c>
      <c r="O2030" s="1">
        <v>1.3</v>
      </c>
    </row>
    <row r="2031" spans="4:15" x14ac:dyDescent="0.3">
      <c r="D2031" s="1">
        <v>33637</v>
      </c>
      <c r="E2031" s="2">
        <v>43793</v>
      </c>
      <c r="F2031" s="1" t="s">
        <v>7</v>
      </c>
      <c r="G2031" s="1">
        <v>35</v>
      </c>
      <c r="H2031" t="str">
        <f t="shared" si="159"/>
        <v>Large</v>
      </c>
      <c r="I2031" t="str">
        <f t="shared" si="155"/>
        <v>Large</v>
      </c>
      <c r="J2031" s="1">
        <v>205.66</v>
      </c>
      <c r="K2031">
        <f t="shared" si="156"/>
        <v>0</v>
      </c>
      <c r="L2031">
        <f t="shared" si="157"/>
        <v>205.66</v>
      </c>
      <c r="M2031" s="1">
        <f t="shared" si="158"/>
        <v>205.66</v>
      </c>
      <c r="N2031" s="1" t="s">
        <v>10</v>
      </c>
      <c r="O2031" s="1">
        <v>5.6</v>
      </c>
    </row>
    <row r="2032" spans="4:15" x14ac:dyDescent="0.3">
      <c r="D2032" s="1">
        <v>45984</v>
      </c>
      <c r="E2032" s="2">
        <v>43491</v>
      </c>
      <c r="F2032" s="1" t="s">
        <v>14</v>
      </c>
      <c r="G2032" s="1">
        <v>27</v>
      </c>
      <c r="H2032" t="str">
        <f t="shared" si="159"/>
        <v>Medium-Large</v>
      </c>
      <c r="I2032" t="str">
        <f t="shared" si="155"/>
        <v>Medium-Large</v>
      </c>
      <c r="J2032" s="1">
        <v>85.95</v>
      </c>
      <c r="K2032">
        <f t="shared" si="156"/>
        <v>0</v>
      </c>
      <c r="L2032">
        <f t="shared" si="157"/>
        <v>85.95</v>
      </c>
      <c r="M2032" s="1">
        <f t="shared" si="158"/>
        <v>85.95</v>
      </c>
      <c r="N2032" s="1" t="s">
        <v>10</v>
      </c>
      <c r="O2032" s="1">
        <v>1</v>
      </c>
    </row>
    <row r="2033" spans="4:15" x14ac:dyDescent="0.3">
      <c r="D2033" s="1">
        <v>30784</v>
      </c>
      <c r="E2033" s="2">
        <v>43592</v>
      </c>
      <c r="F2033" s="1" t="s">
        <v>14</v>
      </c>
      <c r="G2033" s="1">
        <v>10</v>
      </c>
      <c r="H2033" t="str">
        <f t="shared" si="159"/>
        <v>Extra Small</v>
      </c>
      <c r="I2033" t="str">
        <f t="shared" si="155"/>
        <v>Extra Small</v>
      </c>
      <c r="J2033" s="1">
        <v>756.81</v>
      </c>
      <c r="K2033">
        <f t="shared" si="156"/>
        <v>0</v>
      </c>
      <c r="L2033">
        <f t="shared" si="157"/>
        <v>756.81</v>
      </c>
      <c r="M2033" s="1">
        <f t="shared" si="158"/>
        <v>756.81</v>
      </c>
      <c r="N2033" s="1" t="s">
        <v>13</v>
      </c>
      <c r="O2033" s="1">
        <v>28.6</v>
      </c>
    </row>
    <row r="2034" spans="4:15" x14ac:dyDescent="0.3">
      <c r="D2034" s="1">
        <v>26306</v>
      </c>
      <c r="E2034" s="2">
        <v>43768</v>
      </c>
      <c r="F2034" s="1" t="s">
        <v>7</v>
      </c>
      <c r="G2034" s="1">
        <v>39</v>
      </c>
      <c r="H2034" t="str">
        <f t="shared" si="159"/>
        <v>Extra Large</v>
      </c>
      <c r="I2034" t="str">
        <f t="shared" si="155"/>
        <v>Extra Large</v>
      </c>
      <c r="J2034" s="1">
        <v>8266.4599999999991</v>
      </c>
      <c r="K2034">
        <f t="shared" si="156"/>
        <v>0.01</v>
      </c>
      <c r="L2034">
        <f t="shared" si="157"/>
        <v>8183.7953999999991</v>
      </c>
      <c r="M2034" s="1">
        <f t="shared" si="158"/>
        <v>8206.56</v>
      </c>
      <c r="N2034" s="1" t="s">
        <v>13</v>
      </c>
      <c r="O2034" s="1">
        <v>59.9</v>
      </c>
    </row>
    <row r="2035" spans="4:15" x14ac:dyDescent="0.3">
      <c r="D2035" s="1">
        <v>57699</v>
      </c>
      <c r="E2035" s="2">
        <v>43779</v>
      </c>
      <c r="F2035" s="1" t="s">
        <v>7</v>
      </c>
      <c r="G2035" s="1">
        <v>47</v>
      </c>
      <c r="H2035" t="str">
        <f t="shared" si="159"/>
        <v>XXX Large</v>
      </c>
      <c r="I2035" t="str">
        <f t="shared" si="155"/>
        <v>XXX Large</v>
      </c>
      <c r="J2035" s="1">
        <v>1987.93</v>
      </c>
      <c r="K2035">
        <f t="shared" si="156"/>
        <v>0.01</v>
      </c>
      <c r="L2035">
        <f t="shared" si="157"/>
        <v>1968.0507</v>
      </c>
      <c r="M2035" s="1">
        <f t="shared" si="158"/>
        <v>1985.8300000000002</v>
      </c>
      <c r="N2035" s="1" t="s">
        <v>10</v>
      </c>
      <c r="O2035" s="1">
        <v>2.1</v>
      </c>
    </row>
    <row r="2036" spans="4:15" x14ac:dyDescent="0.3">
      <c r="D2036" s="1">
        <v>43815</v>
      </c>
      <c r="E2036" s="2">
        <v>43629</v>
      </c>
      <c r="F2036" s="1" t="s">
        <v>11</v>
      </c>
      <c r="G2036" s="1">
        <v>40</v>
      </c>
      <c r="H2036" t="str">
        <f t="shared" si="159"/>
        <v>Extra Large</v>
      </c>
      <c r="I2036" t="str">
        <f t="shared" si="155"/>
        <v>Extra Large</v>
      </c>
      <c r="J2036" s="1">
        <v>680.08130000000006</v>
      </c>
      <c r="K2036">
        <f t="shared" si="156"/>
        <v>0.01</v>
      </c>
      <c r="L2036">
        <f t="shared" si="157"/>
        <v>673.28048699999999</v>
      </c>
      <c r="M2036" s="1">
        <f t="shared" si="158"/>
        <v>676.88130000000001</v>
      </c>
      <c r="N2036" s="1" t="s">
        <v>10</v>
      </c>
      <c r="O2036" s="1">
        <v>3.2</v>
      </c>
    </row>
    <row r="2037" spans="4:15" x14ac:dyDescent="0.3">
      <c r="D2037" s="1">
        <v>25861</v>
      </c>
      <c r="E2037" s="2">
        <v>43684</v>
      </c>
      <c r="F2037" s="1" t="s">
        <v>9</v>
      </c>
      <c r="G2037" s="1">
        <v>44</v>
      </c>
      <c r="H2037" t="str">
        <f t="shared" si="159"/>
        <v>XX Large</v>
      </c>
      <c r="I2037" t="str">
        <f t="shared" si="155"/>
        <v>XX Large</v>
      </c>
      <c r="J2037" s="1">
        <v>25439.85</v>
      </c>
      <c r="K2037">
        <f t="shared" si="156"/>
        <v>0.01</v>
      </c>
      <c r="L2037">
        <f t="shared" si="157"/>
        <v>25185.451499999999</v>
      </c>
      <c r="M2037" s="1">
        <f t="shared" si="158"/>
        <v>25424.149999999998</v>
      </c>
      <c r="N2037" s="1" t="s">
        <v>13</v>
      </c>
      <c r="O2037" s="1">
        <v>15.7</v>
      </c>
    </row>
    <row r="2038" spans="4:15" x14ac:dyDescent="0.3">
      <c r="D2038" s="1">
        <v>52164</v>
      </c>
      <c r="E2038" s="2">
        <v>43568</v>
      </c>
      <c r="F2038" s="1" t="s">
        <v>11</v>
      </c>
      <c r="G2038" s="1">
        <v>30</v>
      </c>
      <c r="H2038" t="str">
        <f t="shared" si="159"/>
        <v>Medium-Large</v>
      </c>
      <c r="I2038" t="str">
        <f t="shared" si="155"/>
        <v>Medium-Large</v>
      </c>
      <c r="J2038" s="1">
        <v>1952.59</v>
      </c>
      <c r="K2038">
        <f t="shared" si="156"/>
        <v>0</v>
      </c>
      <c r="L2038">
        <f t="shared" si="157"/>
        <v>1952.59</v>
      </c>
      <c r="M2038" s="1">
        <f t="shared" si="158"/>
        <v>1952.59</v>
      </c>
      <c r="N2038" s="1" t="s">
        <v>10</v>
      </c>
      <c r="O2038" s="1">
        <v>9.4</v>
      </c>
    </row>
    <row r="2039" spans="4:15" x14ac:dyDescent="0.3">
      <c r="D2039" s="1">
        <v>644</v>
      </c>
      <c r="E2039" s="2">
        <v>43585</v>
      </c>
      <c r="F2039" s="1" t="s">
        <v>12</v>
      </c>
      <c r="G2039" s="1">
        <v>5</v>
      </c>
      <c r="H2039" t="str">
        <f t="shared" si="159"/>
        <v>Mini</v>
      </c>
      <c r="I2039" t="str">
        <f t="shared" si="155"/>
        <v>Mini</v>
      </c>
      <c r="J2039" s="1">
        <v>1797.15</v>
      </c>
      <c r="K2039">
        <f t="shared" si="156"/>
        <v>0</v>
      </c>
      <c r="L2039">
        <f t="shared" si="157"/>
        <v>1797.15</v>
      </c>
      <c r="M2039" s="1">
        <f t="shared" si="158"/>
        <v>1797.15</v>
      </c>
      <c r="N2039" s="1" t="s">
        <v>13</v>
      </c>
      <c r="O2039" s="1">
        <v>63.1</v>
      </c>
    </row>
    <row r="2040" spans="4:15" x14ac:dyDescent="0.3">
      <c r="D2040" s="1">
        <v>40065</v>
      </c>
      <c r="E2040" s="2">
        <v>43512</v>
      </c>
      <c r="F2040" s="1" t="s">
        <v>9</v>
      </c>
      <c r="G2040" s="1">
        <v>4</v>
      </c>
      <c r="H2040" t="str">
        <f t="shared" si="159"/>
        <v>Mini</v>
      </c>
      <c r="I2040" t="str">
        <f t="shared" si="155"/>
        <v>Mini</v>
      </c>
      <c r="J2040" s="1">
        <v>82.25</v>
      </c>
      <c r="K2040">
        <f t="shared" si="156"/>
        <v>0</v>
      </c>
      <c r="L2040">
        <f t="shared" si="157"/>
        <v>82.25</v>
      </c>
      <c r="M2040" s="1">
        <f t="shared" si="158"/>
        <v>82.25</v>
      </c>
      <c r="N2040" s="1" t="s">
        <v>8</v>
      </c>
      <c r="O2040" s="1">
        <v>1.1000000000000001</v>
      </c>
    </row>
    <row r="2041" spans="4:15" x14ac:dyDescent="0.3">
      <c r="D2041" s="1">
        <v>45571</v>
      </c>
      <c r="E2041" s="2">
        <v>43731</v>
      </c>
      <c r="F2041" s="1" t="s">
        <v>14</v>
      </c>
      <c r="G2041" s="1">
        <v>43</v>
      </c>
      <c r="H2041" t="str">
        <f t="shared" si="159"/>
        <v>XX Large</v>
      </c>
      <c r="I2041" t="str">
        <f t="shared" si="155"/>
        <v>XX Large</v>
      </c>
      <c r="J2041" s="1">
        <v>565.53</v>
      </c>
      <c r="K2041">
        <f t="shared" si="156"/>
        <v>0.01</v>
      </c>
      <c r="L2041">
        <f t="shared" si="157"/>
        <v>559.87469999999996</v>
      </c>
      <c r="M2041" s="1">
        <f t="shared" si="158"/>
        <v>560.42999999999995</v>
      </c>
      <c r="N2041" s="1" t="s">
        <v>10</v>
      </c>
      <c r="O2041" s="1">
        <v>5.0999999999999996</v>
      </c>
    </row>
    <row r="2042" spans="4:15" x14ac:dyDescent="0.3">
      <c r="D2042" s="1">
        <v>33222</v>
      </c>
      <c r="E2042" s="2">
        <v>43635</v>
      </c>
      <c r="F2042" s="1" t="s">
        <v>14</v>
      </c>
      <c r="G2042" s="1">
        <v>30</v>
      </c>
      <c r="H2042" t="str">
        <f t="shared" si="159"/>
        <v>Medium-Large</v>
      </c>
      <c r="I2042" t="str">
        <f t="shared" si="155"/>
        <v>Medium-Large</v>
      </c>
      <c r="J2042" s="1">
        <v>1793.81</v>
      </c>
      <c r="K2042">
        <f t="shared" si="156"/>
        <v>0</v>
      </c>
      <c r="L2042">
        <f t="shared" si="157"/>
        <v>1793.81</v>
      </c>
      <c r="M2042" s="1">
        <f t="shared" si="158"/>
        <v>1793.81</v>
      </c>
      <c r="N2042" s="1" t="s">
        <v>13</v>
      </c>
      <c r="O2042" s="1">
        <v>32.1</v>
      </c>
    </row>
    <row r="2043" spans="4:15" x14ac:dyDescent="0.3">
      <c r="D2043" s="1">
        <v>4099</v>
      </c>
      <c r="E2043" s="2">
        <v>43697</v>
      </c>
      <c r="F2043" s="1" t="s">
        <v>12</v>
      </c>
      <c r="G2043" s="1">
        <v>39</v>
      </c>
      <c r="H2043" t="str">
        <f t="shared" si="159"/>
        <v>Extra Large</v>
      </c>
      <c r="I2043" t="str">
        <f t="shared" si="155"/>
        <v>Extra Large</v>
      </c>
      <c r="J2043" s="1">
        <v>3860.4</v>
      </c>
      <c r="K2043">
        <f t="shared" si="156"/>
        <v>0.01</v>
      </c>
      <c r="L2043">
        <f t="shared" si="157"/>
        <v>3821.7960000000003</v>
      </c>
      <c r="M2043" s="1">
        <f t="shared" si="158"/>
        <v>3850.8</v>
      </c>
      <c r="N2043" s="1" t="s">
        <v>10</v>
      </c>
      <c r="O2043" s="1">
        <v>9.6</v>
      </c>
    </row>
    <row r="2044" spans="4:15" x14ac:dyDescent="0.3">
      <c r="D2044" s="1">
        <v>33605</v>
      </c>
      <c r="E2044" s="2">
        <v>43558</v>
      </c>
      <c r="F2044" s="1" t="s">
        <v>12</v>
      </c>
      <c r="G2044" s="1">
        <v>42</v>
      </c>
      <c r="H2044" t="str">
        <f t="shared" si="159"/>
        <v>XX Large</v>
      </c>
      <c r="I2044" t="str">
        <f t="shared" si="155"/>
        <v>XX Large</v>
      </c>
      <c r="J2044" s="1">
        <v>163.72</v>
      </c>
      <c r="K2044">
        <f t="shared" si="156"/>
        <v>0.01</v>
      </c>
      <c r="L2044">
        <f t="shared" si="157"/>
        <v>162.08279999999999</v>
      </c>
      <c r="M2044" s="1">
        <f t="shared" si="158"/>
        <v>156.41999999999999</v>
      </c>
      <c r="N2044" s="1" t="s">
        <v>10</v>
      </c>
      <c r="O2044" s="1">
        <v>7.3</v>
      </c>
    </row>
    <row r="2045" spans="4:15" x14ac:dyDescent="0.3">
      <c r="D2045" s="1">
        <v>21856</v>
      </c>
      <c r="E2045" s="2">
        <v>43560</v>
      </c>
      <c r="F2045" s="1" t="s">
        <v>11</v>
      </c>
      <c r="G2045" s="1">
        <v>26</v>
      </c>
      <c r="H2045" t="str">
        <f t="shared" si="159"/>
        <v>Medium-Large</v>
      </c>
      <c r="I2045" t="str">
        <f t="shared" si="155"/>
        <v>Medium-Large</v>
      </c>
      <c r="J2045" s="1">
        <v>82.42</v>
      </c>
      <c r="K2045">
        <f t="shared" si="156"/>
        <v>0</v>
      </c>
      <c r="L2045">
        <f t="shared" si="157"/>
        <v>82.42</v>
      </c>
      <c r="M2045" s="1">
        <f t="shared" si="158"/>
        <v>82.42</v>
      </c>
      <c r="N2045" s="1" t="s">
        <v>10</v>
      </c>
      <c r="O2045" s="1">
        <v>2.1</v>
      </c>
    </row>
    <row r="2046" spans="4:15" x14ac:dyDescent="0.3">
      <c r="D2046" s="1">
        <v>48673</v>
      </c>
      <c r="E2046" s="2">
        <v>43581</v>
      </c>
      <c r="F2046" s="1" t="s">
        <v>11</v>
      </c>
      <c r="G2046" s="1">
        <v>36</v>
      </c>
      <c r="H2046" t="str">
        <f t="shared" si="159"/>
        <v>Extra Large</v>
      </c>
      <c r="I2046" t="str">
        <f t="shared" si="155"/>
        <v>Extra Large</v>
      </c>
      <c r="J2046" s="1">
        <v>610.0498</v>
      </c>
      <c r="K2046">
        <f t="shared" si="156"/>
        <v>0.01</v>
      </c>
      <c r="L2046">
        <f t="shared" si="157"/>
        <v>603.94930199999999</v>
      </c>
      <c r="M2046" s="1">
        <f t="shared" si="158"/>
        <v>600.64980000000003</v>
      </c>
      <c r="N2046" s="1" t="s">
        <v>10</v>
      </c>
      <c r="O2046" s="1">
        <v>9.4</v>
      </c>
    </row>
    <row r="2047" spans="4:15" x14ac:dyDescent="0.3">
      <c r="D2047" s="1">
        <v>19905</v>
      </c>
      <c r="E2047" s="2">
        <v>43689</v>
      </c>
      <c r="F2047" s="1" t="s">
        <v>12</v>
      </c>
      <c r="G2047" s="1">
        <v>20</v>
      </c>
      <c r="H2047" t="str">
        <f t="shared" si="159"/>
        <v>Small-Medium</v>
      </c>
      <c r="I2047" t="str">
        <f t="shared" si="155"/>
        <v>Small-Medium</v>
      </c>
      <c r="J2047" s="1">
        <v>88.78</v>
      </c>
      <c r="K2047">
        <f t="shared" si="156"/>
        <v>0</v>
      </c>
      <c r="L2047">
        <f t="shared" si="157"/>
        <v>88.78</v>
      </c>
      <c r="M2047" s="1">
        <f t="shared" si="158"/>
        <v>88.78</v>
      </c>
      <c r="N2047" s="1" t="s">
        <v>10</v>
      </c>
      <c r="O2047" s="1">
        <v>0.5</v>
      </c>
    </row>
    <row r="2048" spans="4:15" x14ac:dyDescent="0.3">
      <c r="D2048" s="1">
        <v>967</v>
      </c>
      <c r="E2048" s="2">
        <v>43636</v>
      </c>
      <c r="F2048" s="1" t="s">
        <v>14</v>
      </c>
      <c r="G2048" s="1">
        <v>42</v>
      </c>
      <c r="H2048" t="str">
        <f t="shared" si="159"/>
        <v>XX Large</v>
      </c>
      <c r="I2048" t="str">
        <f t="shared" si="155"/>
        <v>XX Large</v>
      </c>
      <c r="J2048" s="1">
        <v>1749.34</v>
      </c>
      <c r="K2048">
        <f t="shared" si="156"/>
        <v>0.01</v>
      </c>
      <c r="L2048">
        <f t="shared" si="157"/>
        <v>1731.8465999999999</v>
      </c>
      <c r="M2048" s="1">
        <f t="shared" si="158"/>
        <v>1746.24</v>
      </c>
      <c r="N2048" s="1" t="s">
        <v>10</v>
      </c>
      <c r="O2048" s="1">
        <v>3.1</v>
      </c>
    </row>
    <row r="2049" spans="4:15" x14ac:dyDescent="0.3">
      <c r="D2049" s="1">
        <v>54053</v>
      </c>
      <c r="E2049" s="2">
        <v>43509</v>
      </c>
      <c r="F2049" s="1" t="s">
        <v>9</v>
      </c>
      <c r="G2049" s="1">
        <v>18</v>
      </c>
      <c r="H2049" t="str">
        <f t="shared" si="159"/>
        <v>Small-Medium</v>
      </c>
      <c r="I2049" t="str">
        <f t="shared" si="155"/>
        <v>Small-Medium</v>
      </c>
      <c r="J2049" s="1">
        <v>879.31</v>
      </c>
      <c r="K2049">
        <f t="shared" si="156"/>
        <v>0</v>
      </c>
      <c r="L2049">
        <f t="shared" si="157"/>
        <v>879.31</v>
      </c>
      <c r="M2049" s="1">
        <f t="shared" si="158"/>
        <v>879.31</v>
      </c>
      <c r="N2049" s="1" t="s">
        <v>8</v>
      </c>
      <c r="O2049" s="1">
        <v>5.4</v>
      </c>
    </row>
    <row r="2050" spans="4:15" x14ac:dyDescent="0.3">
      <c r="D2050" s="1">
        <v>2146</v>
      </c>
      <c r="E2050" s="2">
        <v>43721</v>
      </c>
      <c r="F2050" s="1" t="s">
        <v>11</v>
      </c>
      <c r="G2050" s="1">
        <v>41</v>
      </c>
      <c r="H2050" t="str">
        <f t="shared" si="159"/>
        <v>XX Large</v>
      </c>
      <c r="I2050" t="str">
        <f t="shared" si="155"/>
        <v>XX Large</v>
      </c>
      <c r="J2050" s="1">
        <v>6538.95</v>
      </c>
      <c r="K2050">
        <f t="shared" si="156"/>
        <v>0.01</v>
      </c>
      <c r="L2050">
        <f t="shared" si="157"/>
        <v>6473.5604999999996</v>
      </c>
      <c r="M2050" s="1">
        <f t="shared" si="158"/>
        <v>6533.65</v>
      </c>
      <c r="N2050" s="1" t="s">
        <v>10</v>
      </c>
      <c r="O2050" s="1">
        <v>5.3</v>
      </c>
    </row>
    <row r="2051" spans="4:15" x14ac:dyDescent="0.3">
      <c r="D2051" s="1">
        <v>59491</v>
      </c>
      <c r="E2051" s="2">
        <v>43548</v>
      </c>
      <c r="F2051" s="1" t="s">
        <v>9</v>
      </c>
      <c r="G2051" s="1">
        <v>31</v>
      </c>
      <c r="H2051" t="str">
        <f t="shared" si="159"/>
        <v>Large</v>
      </c>
      <c r="I2051" t="str">
        <f t="shared" ref="I2051:I2101" si="160">VLOOKUP(G2051, $A$3:$B$12, 2, TRUE)</f>
        <v>Large</v>
      </c>
      <c r="J2051" s="1">
        <v>13343.23</v>
      </c>
      <c r="K2051">
        <f t="shared" ref="K2051:K2101" si="161">IF(OR(I2051="Extra Large", I2051="XX Large", I2051="XXX Large"), 0.01, 0)</f>
        <v>0</v>
      </c>
      <c r="L2051">
        <f t="shared" ref="L2051:L2101" si="162">J2051 * (1 - K2051)</f>
        <v>13343.23</v>
      </c>
      <c r="M2051" s="1">
        <f t="shared" ref="M2051:M2100" si="163">IF(OR(I2051="Extra Large",I2051="XX Large",I2051="XXX Large"),J2051-O2051,J2051)</f>
        <v>13343.23</v>
      </c>
      <c r="N2051" s="1" t="s">
        <v>10</v>
      </c>
      <c r="O2051" s="1">
        <v>21.4</v>
      </c>
    </row>
    <row r="2052" spans="4:15" x14ac:dyDescent="0.3">
      <c r="D2052" s="1">
        <v>33731</v>
      </c>
      <c r="E2052" s="2">
        <v>43746</v>
      </c>
      <c r="F2052" s="1" t="s">
        <v>9</v>
      </c>
      <c r="G2052" s="1">
        <v>27</v>
      </c>
      <c r="H2052" t="str">
        <f t="shared" si="159"/>
        <v>Medium-Large</v>
      </c>
      <c r="I2052" t="str">
        <f t="shared" si="160"/>
        <v>Medium-Large</v>
      </c>
      <c r="J2052" s="1">
        <v>8788.3058999999994</v>
      </c>
      <c r="K2052">
        <f t="shared" si="161"/>
        <v>0</v>
      </c>
      <c r="L2052">
        <f t="shared" si="162"/>
        <v>8788.3058999999994</v>
      </c>
      <c r="M2052" s="1">
        <f t="shared" si="163"/>
        <v>8788.3058999999994</v>
      </c>
      <c r="N2052" s="1" t="s">
        <v>13</v>
      </c>
      <c r="O2052" s="1">
        <v>74.400000000000006</v>
      </c>
    </row>
    <row r="2053" spans="4:15" x14ac:dyDescent="0.3">
      <c r="D2053" s="1">
        <v>46053</v>
      </c>
      <c r="E2053" s="2">
        <v>43721</v>
      </c>
      <c r="F2053" s="1" t="s">
        <v>9</v>
      </c>
      <c r="G2053" s="1">
        <v>31</v>
      </c>
      <c r="H2053" t="str">
        <f t="shared" ref="H2053:H2101" si="164">VLOOKUP(G2053, $A$3:$B$12, 2, TRUE)</f>
        <v>Large</v>
      </c>
      <c r="I2053" t="str">
        <f t="shared" si="160"/>
        <v>Large</v>
      </c>
      <c r="J2053" s="1">
        <v>2618.41</v>
      </c>
      <c r="K2053">
        <f t="shared" si="161"/>
        <v>0</v>
      </c>
      <c r="L2053">
        <f t="shared" si="162"/>
        <v>2618.41</v>
      </c>
      <c r="M2053" s="1">
        <f t="shared" si="163"/>
        <v>2618.41</v>
      </c>
      <c r="N2053" s="1" t="s">
        <v>10</v>
      </c>
      <c r="O2053" s="1">
        <v>1.1000000000000001</v>
      </c>
    </row>
    <row r="2054" spans="4:15" x14ac:dyDescent="0.3">
      <c r="D2054" s="1">
        <v>50017</v>
      </c>
      <c r="E2054" s="2">
        <v>43789</v>
      </c>
      <c r="F2054" s="1" t="s">
        <v>7</v>
      </c>
      <c r="G2054" s="1">
        <v>43</v>
      </c>
      <c r="H2054" t="str">
        <f t="shared" si="164"/>
        <v>XX Large</v>
      </c>
      <c r="I2054" t="str">
        <f t="shared" si="160"/>
        <v>XX Large</v>
      </c>
      <c r="J2054" s="1">
        <v>1607.64</v>
      </c>
      <c r="K2054">
        <f t="shared" si="161"/>
        <v>0.01</v>
      </c>
      <c r="L2054">
        <f t="shared" si="162"/>
        <v>1591.5636000000002</v>
      </c>
      <c r="M2054" s="1">
        <f t="shared" si="163"/>
        <v>1598.0400000000002</v>
      </c>
      <c r="N2054" s="1" t="s">
        <v>10</v>
      </c>
      <c r="O2054" s="1">
        <v>9.6</v>
      </c>
    </row>
    <row r="2055" spans="4:15" x14ac:dyDescent="0.3">
      <c r="D2055" s="1">
        <v>51489</v>
      </c>
      <c r="E2055" s="2">
        <v>43527</v>
      </c>
      <c r="F2055" s="1" t="s">
        <v>12</v>
      </c>
      <c r="G2055" s="1">
        <v>42</v>
      </c>
      <c r="H2055" t="str">
        <f t="shared" si="164"/>
        <v>XX Large</v>
      </c>
      <c r="I2055" t="str">
        <f t="shared" si="160"/>
        <v>XX Large</v>
      </c>
      <c r="J2055" s="1">
        <v>5185.95</v>
      </c>
      <c r="K2055">
        <f t="shared" si="161"/>
        <v>0.01</v>
      </c>
      <c r="L2055">
        <f t="shared" si="162"/>
        <v>5134.0904999999993</v>
      </c>
      <c r="M2055" s="1">
        <f t="shared" si="163"/>
        <v>5170.95</v>
      </c>
      <c r="N2055" s="1" t="s">
        <v>10</v>
      </c>
      <c r="O2055" s="1">
        <v>15</v>
      </c>
    </row>
    <row r="2056" spans="4:15" x14ac:dyDescent="0.3">
      <c r="D2056" s="1">
        <v>1856</v>
      </c>
      <c r="E2056" s="2">
        <v>43543</v>
      </c>
      <c r="F2056" s="1" t="s">
        <v>11</v>
      </c>
      <c r="G2056" s="1">
        <v>24</v>
      </c>
      <c r="H2056" t="str">
        <f t="shared" si="164"/>
        <v>Medium</v>
      </c>
      <c r="I2056" t="str">
        <f t="shared" si="160"/>
        <v>Medium</v>
      </c>
      <c r="J2056" s="1">
        <v>1550.75</v>
      </c>
      <c r="K2056">
        <f t="shared" si="161"/>
        <v>0</v>
      </c>
      <c r="L2056">
        <f t="shared" si="162"/>
        <v>1550.75</v>
      </c>
      <c r="M2056" s="1">
        <f t="shared" si="163"/>
        <v>1550.75</v>
      </c>
      <c r="N2056" s="1" t="s">
        <v>10</v>
      </c>
      <c r="O2056" s="1">
        <v>52.4</v>
      </c>
    </row>
    <row r="2057" spans="4:15" x14ac:dyDescent="0.3">
      <c r="D2057" s="1">
        <v>59202</v>
      </c>
      <c r="E2057" s="2">
        <v>43716</v>
      </c>
      <c r="F2057" s="1" t="s">
        <v>14</v>
      </c>
      <c r="G2057" s="1">
        <v>36</v>
      </c>
      <c r="H2057" t="str">
        <f t="shared" si="164"/>
        <v>Extra Large</v>
      </c>
      <c r="I2057" t="str">
        <f t="shared" si="160"/>
        <v>Extra Large</v>
      </c>
      <c r="J2057" s="1">
        <v>234.13</v>
      </c>
      <c r="K2057">
        <f t="shared" si="161"/>
        <v>0.01</v>
      </c>
      <c r="L2057">
        <f t="shared" si="162"/>
        <v>231.78870000000001</v>
      </c>
      <c r="M2057" s="1">
        <f t="shared" si="163"/>
        <v>231.73</v>
      </c>
      <c r="N2057" s="1" t="s">
        <v>10</v>
      </c>
      <c r="O2057" s="1">
        <v>2.4</v>
      </c>
    </row>
    <row r="2058" spans="4:15" x14ac:dyDescent="0.3">
      <c r="D2058" s="1">
        <v>29831</v>
      </c>
      <c r="E2058" s="2">
        <v>43553</v>
      </c>
      <c r="F2058" s="1" t="s">
        <v>12</v>
      </c>
      <c r="G2058" s="1">
        <v>29</v>
      </c>
      <c r="H2058" t="str">
        <f t="shared" si="164"/>
        <v>Medium-Large</v>
      </c>
      <c r="I2058" t="str">
        <f t="shared" si="160"/>
        <v>Medium-Large</v>
      </c>
      <c r="J2058" s="1">
        <v>2327.4899999999998</v>
      </c>
      <c r="K2058">
        <f t="shared" si="161"/>
        <v>0</v>
      </c>
      <c r="L2058">
        <f t="shared" si="162"/>
        <v>2327.4899999999998</v>
      </c>
      <c r="M2058" s="1">
        <f t="shared" si="163"/>
        <v>2327.4899999999998</v>
      </c>
      <c r="N2058" s="1" t="s">
        <v>13</v>
      </c>
      <c r="O2058" s="1">
        <v>64.2</v>
      </c>
    </row>
    <row r="2059" spans="4:15" x14ac:dyDescent="0.3">
      <c r="D2059" s="1">
        <v>58084</v>
      </c>
      <c r="E2059" s="2">
        <v>43696</v>
      </c>
      <c r="F2059" s="1" t="s">
        <v>14</v>
      </c>
      <c r="G2059" s="1">
        <v>36</v>
      </c>
      <c r="H2059" t="str">
        <f t="shared" si="164"/>
        <v>Extra Large</v>
      </c>
      <c r="I2059" t="str">
        <f t="shared" si="160"/>
        <v>Extra Large</v>
      </c>
      <c r="J2059" s="1">
        <v>284.79000000000002</v>
      </c>
      <c r="K2059">
        <f t="shared" si="161"/>
        <v>0.01</v>
      </c>
      <c r="L2059">
        <f t="shared" si="162"/>
        <v>281.94210000000004</v>
      </c>
      <c r="M2059" s="1">
        <f t="shared" si="163"/>
        <v>282.89000000000004</v>
      </c>
      <c r="N2059" s="1" t="s">
        <v>10</v>
      </c>
      <c r="O2059" s="1">
        <v>1.9</v>
      </c>
    </row>
    <row r="2060" spans="4:15" x14ac:dyDescent="0.3">
      <c r="D2060" s="1">
        <v>7174</v>
      </c>
      <c r="E2060" s="2">
        <v>43534</v>
      </c>
      <c r="F2060" s="1" t="s">
        <v>11</v>
      </c>
      <c r="G2060" s="1">
        <v>10</v>
      </c>
      <c r="H2060" t="str">
        <f t="shared" si="164"/>
        <v>Extra Small</v>
      </c>
      <c r="I2060" t="str">
        <f t="shared" si="160"/>
        <v>Extra Small</v>
      </c>
      <c r="J2060" s="1">
        <v>151.85</v>
      </c>
      <c r="K2060">
        <f t="shared" si="161"/>
        <v>0</v>
      </c>
      <c r="L2060">
        <f t="shared" si="162"/>
        <v>151.85</v>
      </c>
      <c r="M2060" s="1">
        <f t="shared" si="163"/>
        <v>151.85</v>
      </c>
      <c r="N2060" s="1" t="s">
        <v>10</v>
      </c>
      <c r="O2060" s="1">
        <v>9.6</v>
      </c>
    </row>
    <row r="2061" spans="4:15" x14ac:dyDescent="0.3">
      <c r="D2061" s="1">
        <v>26657</v>
      </c>
      <c r="E2061" s="2">
        <v>43737</v>
      </c>
      <c r="F2061" s="1" t="s">
        <v>14</v>
      </c>
      <c r="G2061" s="1">
        <v>28</v>
      </c>
      <c r="H2061" t="str">
        <f t="shared" si="164"/>
        <v>Medium-Large</v>
      </c>
      <c r="I2061" t="str">
        <f t="shared" si="160"/>
        <v>Medium-Large</v>
      </c>
      <c r="J2061" s="1">
        <v>1185.1748</v>
      </c>
      <c r="K2061">
        <f t="shared" si="161"/>
        <v>0</v>
      </c>
      <c r="L2061">
        <f t="shared" si="162"/>
        <v>1185.1748</v>
      </c>
      <c r="M2061" s="1">
        <f t="shared" si="163"/>
        <v>1185.1748</v>
      </c>
      <c r="N2061" s="1" t="s">
        <v>10</v>
      </c>
      <c r="O2061" s="1">
        <v>8</v>
      </c>
    </row>
    <row r="2062" spans="4:15" x14ac:dyDescent="0.3">
      <c r="D2062" s="1">
        <v>9504</v>
      </c>
      <c r="E2062" s="2">
        <v>43794</v>
      </c>
      <c r="F2062" s="1" t="s">
        <v>14</v>
      </c>
      <c r="G2062" s="1">
        <v>17</v>
      </c>
      <c r="H2062" t="str">
        <f t="shared" si="164"/>
        <v>Small-Medium</v>
      </c>
      <c r="I2062" t="str">
        <f t="shared" si="160"/>
        <v>Small-Medium</v>
      </c>
      <c r="J2062" s="1">
        <v>2091.63</v>
      </c>
      <c r="K2062">
        <f t="shared" si="161"/>
        <v>0</v>
      </c>
      <c r="L2062">
        <f t="shared" si="162"/>
        <v>2091.63</v>
      </c>
      <c r="M2062" s="1">
        <f t="shared" si="163"/>
        <v>2091.63</v>
      </c>
      <c r="N2062" s="1" t="s">
        <v>10</v>
      </c>
      <c r="O2062" s="1">
        <v>4.5</v>
      </c>
    </row>
    <row r="2063" spans="4:15" x14ac:dyDescent="0.3">
      <c r="D2063" s="1">
        <v>40673</v>
      </c>
      <c r="E2063" s="2">
        <v>43512</v>
      </c>
      <c r="F2063" s="1" t="s">
        <v>7</v>
      </c>
      <c r="G2063" s="1">
        <v>14</v>
      </c>
      <c r="H2063" t="str">
        <f t="shared" si="164"/>
        <v>Small</v>
      </c>
      <c r="I2063" t="str">
        <f t="shared" si="160"/>
        <v>Small</v>
      </c>
      <c r="J2063" s="1">
        <v>168.51</v>
      </c>
      <c r="K2063">
        <f t="shared" si="161"/>
        <v>0</v>
      </c>
      <c r="L2063">
        <f t="shared" si="162"/>
        <v>168.51</v>
      </c>
      <c r="M2063" s="1">
        <f t="shared" si="163"/>
        <v>168.51</v>
      </c>
      <c r="N2063" s="1" t="s">
        <v>10</v>
      </c>
      <c r="O2063" s="1">
        <v>1.5</v>
      </c>
    </row>
    <row r="2064" spans="4:15" x14ac:dyDescent="0.3">
      <c r="D2064" s="1">
        <v>40098</v>
      </c>
      <c r="E2064" s="2">
        <v>43500</v>
      </c>
      <c r="F2064" s="1" t="s">
        <v>7</v>
      </c>
      <c r="G2064" s="1">
        <v>50</v>
      </c>
      <c r="H2064" t="str">
        <f t="shared" si="164"/>
        <v>XXX Large</v>
      </c>
      <c r="I2064" t="str">
        <f t="shared" si="160"/>
        <v>XXX Large</v>
      </c>
      <c r="J2064" s="1">
        <v>525.23</v>
      </c>
      <c r="K2064">
        <f t="shared" si="161"/>
        <v>0.01</v>
      </c>
      <c r="L2064">
        <f t="shared" si="162"/>
        <v>519.97770000000003</v>
      </c>
      <c r="M2064" s="1">
        <f t="shared" si="163"/>
        <v>523.03</v>
      </c>
      <c r="N2064" s="1" t="s">
        <v>10</v>
      </c>
      <c r="O2064" s="1">
        <v>2.2000000000000002</v>
      </c>
    </row>
    <row r="2065" spans="4:15" x14ac:dyDescent="0.3">
      <c r="D2065" s="1">
        <v>549</v>
      </c>
      <c r="E2065" s="2">
        <v>43658</v>
      </c>
      <c r="F2065" s="1" t="s">
        <v>12</v>
      </c>
      <c r="G2065" s="1">
        <v>13</v>
      </c>
      <c r="H2065" t="str">
        <f t="shared" si="164"/>
        <v>Small</v>
      </c>
      <c r="I2065" t="str">
        <f t="shared" si="160"/>
        <v>Small</v>
      </c>
      <c r="J2065" s="1">
        <v>75.16</v>
      </c>
      <c r="K2065">
        <f t="shared" si="161"/>
        <v>0</v>
      </c>
      <c r="L2065">
        <f t="shared" si="162"/>
        <v>75.16</v>
      </c>
      <c r="M2065" s="1">
        <f t="shared" si="163"/>
        <v>75.16</v>
      </c>
      <c r="N2065" s="1" t="s">
        <v>10</v>
      </c>
      <c r="O2065" s="1">
        <v>8</v>
      </c>
    </row>
    <row r="2066" spans="4:15" x14ac:dyDescent="0.3">
      <c r="D2066" s="1">
        <v>58949</v>
      </c>
      <c r="E2066" s="2">
        <v>43815</v>
      </c>
      <c r="F2066" s="1" t="s">
        <v>12</v>
      </c>
      <c r="G2066" s="1">
        <v>50</v>
      </c>
      <c r="H2066" t="str">
        <f t="shared" si="164"/>
        <v>XXX Large</v>
      </c>
      <c r="I2066" t="str">
        <f t="shared" si="160"/>
        <v>XXX Large</v>
      </c>
      <c r="J2066" s="1">
        <v>1668.0685000000001</v>
      </c>
      <c r="K2066">
        <f t="shared" si="161"/>
        <v>0.01</v>
      </c>
      <c r="L2066">
        <f t="shared" si="162"/>
        <v>1651.387815</v>
      </c>
      <c r="M2066" s="1">
        <f t="shared" si="163"/>
        <v>1666.8685</v>
      </c>
      <c r="N2066" s="1" t="s">
        <v>10</v>
      </c>
      <c r="O2066" s="1">
        <v>1.2</v>
      </c>
    </row>
    <row r="2067" spans="4:15" x14ac:dyDescent="0.3">
      <c r="D2067" s="1">
        <v>23911</v>
      </c>
      <c r="E2067" s="2">
        <v>43617</v>
      </c>
      <c r="F2067" s="1" t="s">
        <v>12</v>
      </c>
      <c r="G2067" s="1">
        <v>3</v>
      </c>
      <c r="H2067" t="str">
        <f t="shared" si="164"/>
        <v>Mini</v>
      </c>
      <c r="I2067" t="str">
        <f t="shared" si="160"/>
        <v>Mini</v>
      </c>
      <c r="J2067" s="1">
        <v>129.75</v>
      </c>
      <c r="K2067">
        <f t="shared" si="161"/>
        <v>0</v>
      </c>
      <c r="L2067">
        <f t="shared" si="162"/>
        <v>129.75</v>
      </c>
      <c r="M2067" s="1">
        <f t="shared" si="163"/>
        <v>129.75</v>
      </c>
      <c r="N2067" s="1" t="s">
        <v>10</v>
      </c>
      <c r="O2067" s="1">
        <v>8</v>
      </c>
    </row>
    <row r="2068" spans="4:15" x14ac:dyDescent="0.3">
      <c r="D2068" s="1">
        <v>14435</v>
      </c>
      <c r="E2068" s="2">
        <v>43800</v>
      </c>
      <c r="F2068" s="1" t="s">
        <v>11</v>
      </c>
      <c r="G2068" s="1">
        <v>41</v>
      </c>
      <c r="H2068" t="str">
        <f t="shared" si="164"/>
        <v>XX Large</v>
      </c>
      <c r="I2068" t="str">
        <f t="shared" si="160"/>
        <v>XX Large</v>
      </c>
      <c r="J2068" s="1">
        <v>3992.8</v>
      </c>
      <c r="K2068">
        <f t="shared" si="161"/>
        <v>0.01</v>
      </c>
      <c r="L2068">
        <f t="shared" si="162"/>
        <v>3952.8720000000003</v>
      </c>
      <c r="M2068" s="1">
        <f t="shared" si="163"/>
        <v>3947.9</v>
      </c>
      <c r="N2068" s="1" t="s">
        <v>13</v>
      </c>
      <c r="O2068" s="1">
        <v>44.9</v>
      </c>
    </row>
    <row r="2069" spans="4:15" x14ac:dyDescent="0.3">
      <c r="D2069" s="1">
        <v>13383</v>
      </c>
      <c r="E2069" s="2">
        <v>43631</v>
      </c>
      <c r="F2069" s="1" t="s">
        <v>11</v>
      </c>
      <c r="G2069" s="1">
        <v>35</v>
      </c>
      <c r="H2069" t="str">
        <f t="shared" si="164"/>
        <v>Large</v>
      </c>
      <c r="I2069" t="str">
        <f t="shared" si="160"/>
        <v>Large</v>
      </c>
      <c r="J2069" s="1">
        <v>802.53</v>
      </c>
      <c r="K2069">
        <f t="shared" si="161"/>
        <v>0</v>
      </c>
      <c r="L2069">
        <f t="shared" si="162"/>
        <v>802.53</v>
      </c>
      <c r="M2069" s="1">
        <f t="shared" si="163"/>
        <v>802.53</v>
      </c>
      <c r="N2069" s="1" t="s">
        <v>10</v>
      </c>
      <c r="O2069" s="1">
        <v>37.5</v>
      </c>
    </row>
    <row r="2070" spans="4:15" x14ac:dyDescent="0.3">
      <c r="D2070" s="1">
        <v>28582</v>
      </c>
      <c r="E2070" s="2">
        <v>43486</v>
      </c>
      <c r="F2070" s="1" t="s">
        <v>11</v>
      </c>
      <c r="G2070" s="1">
        <v>45</v>
      </c>
      <c r="H2070" t="str">
        <f t="shared" si="164"/>
        <v>XX Large</v>
      </c>
      <c r="I2070" t="str">
        <f t="shared" si="160"/>
        <v>XX Large</v>
      </c>
      <c r="J2070" s="1">
        <v>403.72</v>
      </c>
      <c r="K2070">
        <f t="shared" si="161"/>
        <v>0.01</v>
      </c>
      <c r="L2070">
        <f t="shared" si="162"/>
        <v>399.68280000000004</v>
      </c>
      <c r="M2070" s="1">
        <f t="shared" si="163"/>
        <v>400.62</v>
      </c>
      <c r="N2070" s="1" t="s">
        <v>10</v>
      </c>
      <c r="O2070" s="1">
        <v>3.1</v>
      </c>
    </row>
    <row r="2071" spans="4:15" x14ac:dyDescent="0.3">
      <c r="D2071" s="1">
        <v>20002</v>
      </c>
      <c r="E2071" s="2">
        <v>43689</v>
      </c>
      <c r="F2071" s="1" t="s">
        <v>14</v>
      </c>
      <c r="G2071" s="1">
        <v>9</v>
      </c>
      <c r="H2071" t="str">
        <f t="shared" si="164"/>
        <v>Extra Small</v>
      </c>
      <c r="I2071" t="str">
        <f t="shared" si="160"/>
        <v>Extra Small</v>
      </c>
      <c r="J2071" s="1">
        <v>43.9</v>
      </c>
      <c r="K2071">
        <f t="shared" si="161"/>
        <v>0</v>
      </c>
      <c r="L2071">
        <f t="shared" si="162"/>
        <v>43.9</v>
      </c>
      <c r="M2071" s="1">
        <f t="shared" si="163"/>
        <v>43.9</v>
      </c>
      <c r="N2071" s="1" t="s">
        <v>10</v>
      </c>
      <c r="O2071" s="1">
        <v>2.6</v>
      </c>
    </row>
    <row r="2072" spans="4:15" x14ac:dyDescent="0.3">
      <c r="D2072" s="1">
        <v>44000</v>
      </c>
      <c r="E2072" s="2">
        <v>43742</v>
      </c>
      <c r="F2072" s="1" t="s">
        <v>11</v>
      </c>
      <c r="G2072" s="1">
        <v>17</v>
      </c>
      <c r="H2072" t="str">
        <f t="shared" si="164"/>
        <v>Small-Medium</v>
      </c>
      <c r="I2072" t="str">
        <f t="shared" si="160"/>
        <v>Small-Medium</v>
      </c>
      <c r="J2072" s="1">
        <v>127.88</v>
      </c>
      <c r="K2072">
        <f t="shared" si="161"/>
        <v>0</v>
      </c>
      <c r="L2072">
        <f t="shared" si="162"/>
        <v>127.88</v>
      </c>
      <c r="M2072" s="1">
        <f t="shared" si="163"/>
        <v>127.88</v>
      </c>
      <c r="N2072" s="1" t="s">
        <v>10</v>
      </c>
      <c r="O2072" s="1">
        <v>6.5</v>
      </c>
    </row>
    <row r="2073" spans="4:15" x14ac:dyDescent="0.3">
      <c r="D2073" s="1">
        <v>24576</v>
      </c>
      <c r="E2073" s="2">
        <v>43810</v>
      </c>
      <c r="F2073" s="1" t="s">
        <v>11</v>
      </c>
      <c r="G2073" s="1">
        <v>10</v>
      </c>
      <c r="H2073" t="str">
        <f t="shared" si="164"/>
        <v>Extra Small</v>
      </c>
      <c r="I2073" t="str">
        <f t="shared" si="160"/>
        <v>Extra Small</v>
      </c>
      <c r="J2073" s="1">
        <v>163.54</v>
      </c>
      <c r="K2073">
        <f t="shared" si="161"/>
        <v>0</v>
      </c>
      <c r="L2073">
        <f t="shared" si="162"/>
        <v>163.54</v>
      </c>
      <c r="M2073" s="1">
        <f t="shared" si="163"/>
        <v>163.54</v>
      </c>
      <c r="N2073" s="1" t="s">
        <v>10</v>
      </c>
      <c r="O2073" s="1">
        <v>7.9</v>
      </c>
    </row>
    <row r="2074" spans="4:15" x14ac:dyDescent="0.3">
      <c r="D2074" s="1">
        <v>8167</v>
      </c>
      <c r="E2074" s="2">
        <v>43681</v>
      </c>
      <c r="F2074" s="1" t="s">
        <v>12</v>
      </c>
      <c r="G2074" s="1">
        <v>4</v>
      </c>
      <c r="H2074" t="str">
        <f t="shared" si="164"/>
        <v>Mini</v>
      </c>
      <c r="I2074" t="str">
        <f t="shared" si="160"/>
        <v>Mini</v>
      </c>
      <c r="J2074" s="1">
        <v>33.119999999999997</v>
      </c>
      <c r="K2074">
        <f t="shared" si="161"/>
        <v>0</v>
      </c>
      <c r="L2074">
        <f t="shared" si="162"/>
        <v>33.119999999999997</v>
      </c>
      <c r="M2074" s="1">
        <f t="shared" si="163"/>
        <v>33.119999999999997</v>
      </c>
      <c r="N2074" s="1" t="s">
        <v>10</v>
      </c>
      <c r="O2074" s="1">
        <v>6.7</v>
      </c>
    </row>
    <row r="2075" spans="4:15" x14ac:dyDescent="0.3">
      <c r="D2075" s="1">
        <v>45125</v>
      </c>
      <c r="E2075" s="2">
        <v>43613</v>
      </c>
      <c r="F2075" s="1" t="s">
        <v>12</v>
      </c>
      <c r="G2075" s="1">
        <v>32</v>
      </c>
      <c r="H2075" t="str">
        <f t="shared" si="164"/>
        <v>Large</v>
      </c>
      <c r="I2075" t="str">
        <f t="shared" si="160"/>
        <v>Large</v>
      </c>
      <c r="J2075" s="1">
        <v>5173.24</v>
      </c>
      <c r="K2075">
        <f t="shared" si="161"/>
        <v>0</v>
      </c>
      <c r="L2075">
        <f t="shared" si="162"/>
        <v>5173.24</v>
      </c>
      <c r="M2075" s="1">
        <f t="shared" si="163"/>
        <v>5173.24</v>
      </c>
      <c r="N2075" s="1" t="s">
        <v>10</v>
      </c>
      <c r="O2075" s="1">
        <v>5.3</v>
      </c>
    </row>
    <row r="2076" spans="4:15" x14ac:dyDescent="0.3">
      <c r="D2076" s="1">
        <v>26053</v>
      </c>
      <c r="E2076" s="2">
        <v>43488</v>
      </c>
      <c r="F2076" s="1" t="s">
        <v>7</v>
      </c>
      <c r="G2076" s="1">
        <v>48</v>
      </c>
      <c r="H2076" t="str">
        <f t="shared" si="164"/>
        <v>XXX Large</v>
      </c>
      <c r="I2076" t="str">
        <f t="shared" si="160"/>
        <v>XXX Large</v>
      </c>
      <c r="J2076" s="1">
        <v>940.26250000000005</v>
      </c>
      <c r="K2076">
        <f t="shared" si="161"/>
        <v>0.01</v>
      </c>
      <c r="L2076">
        <f t="shared" si="162"/>
        <v>930.85987499999999</v>
      </c>
      <c r="M2076" s="1">
        <f t="shared" si="163"/>
        <v>930.5625</v>
      </c>
      <c r="N2076" s="1" t="s">
        <v>8</v>
      </c>
      <c r="O2076" s="1">
        <v>9.6999999999999993</v>
      </c>
    </row>
    <row r="2077" spans="4:15" x14ac:dyDescent="0.3">
      <c r="D2077" s="1">
        <v>36357</v>
      </c>
      <c r="E2077" s="2">
        <v>43478</v>
      </c>
      <c r="F2077" s="1" t="s">
        <v>11</v>
      </c>
      <c r="G2077" s="1">
        <v>38</v>
      </c>
      <c r="H2077" t="str">
        <f t="shared" si="164"/>
        <v>Extra Large</v>
      </c>
      <c r="I2077" t="str">
        <f t="shared" si="160"/>
        <v>Extra Large</v>
      </c>
      <c r="J2077" s="1">
        <v>18838.169999999998</v>
      </c>
      <c r="K2077">
        <f t="shared" si="161"/>
        <v>0.01</v>
      </c>
      <c r="L2077">
        <f t="shared" si="162"/>
        <v>18649.788299999997</v>
      </c>
      <c r="M2077" s="1">
        <f t="shared" si="163"/>
        <v>18785.769999999997</v>
      </c>
      <c r="N2077" s="1" t="s">
        <v>13</v>
      </c>
      <c r="O2077" s="1">
        <v>52.4</v>
      </c>
    </row>
    <row r="2078" spans="4:15" x14ac:dyDescent="0.3">
      <c r="D2078" s="1">
        <v>39143</v>
      </c>
      <c r="E2078" s="2">
        <v>43561</v>
      </c>
      <c r="F2078" s="1" t="s">
        <v>11</v>
      </c>
      <c r="G2078" s="1">
        <v>46</v>
      </c>
      <c r="H2078" t="str">
        <f t="shared" si="164"/>
        <v>XXX Large</v>
      </c>
      <c r="I2078" t="str">
        <f t="shared" si="160"/>
        <v>XXX Large</v>
      </c>
      <c r="J2078" s="1">
        <v>7201.17</v>
      </c>
      <c r="K2078">
        <f t="shared" si="161"/>
        <v>0.01</v>
      </c>
      <c r="L2078">
        <f t="shared" si="162"/>
        <v>7129.1583000000001</v>
      </c>
      <c r="M2078" s="1">
        <f t="shared" si="163"/>
        <v>7130.27</v>
      </c>
      <c r="N2078" s="1" t="s">
        <v>13</v>
      </c>
      <c r="O2078" s="1">
        <v>70.900000000000006</v>
      </c>
    </row>
    <row r="2079" spans="4:15" x14ac:dyDescent="0.3">
      <c r="D2079" s="1">
        <v>56645</v>
      </c>
      <c r="E2079" s="2">
        <v>43470</v>
      </c>
      <c r="F2079" s="1" t="s">
        <v>7</v>
      </c>
      <c r="G2079" s="1">
        <v>42</v>
      </c>
      <c r="H2079" t="str">
        <f t="shared" si="164"/>
        <v>XX Large</v>
      </c>
      <c r="I2079" t="str">
        <f t="shared" si="160"/>
        <v>XX Large</v>
      </c>
      <c r="J2079" s="1">
        <v>15760.42</v>
      </c>
      <c r="K2079">
        <f t="shared" si="161"/>
        <v>0.01</v>
      </c>
      <c r="L2079">
        <f t="shared" si="162"/>
        <v>15602.8158</v>
      </c>
      <c r="M2079" s="1">
        <f t="shared" si="163"/>
        <v>15717.42</v>
      </c>
      <c r="N2079" s="1" t="s">
        <v>13</v>
      </c>
      <c r="O2079" s="1">
        <v>43</v>
      </c>
    </row>
    <row r="2080" spans="4:15" x14ac:dyDescent="0.3">
      <c r="D2080" s="1">
        <v>1504</v>
      </c>
      <c r="E2080" s="2">
        <v>43704</v>
      </c>
      <c r="F2080" s="1" t="s">
        <v>14</v>
      </c>
      <c r="G2080" s="1">
        <v>31</v>
      </c>
      <c r="H2080" t="str">
        <f t="shared" si="164"/>
        <v>Large</v>
      </c>
      <c r="I2080" t="str">
        <f t="shared" si="160"/>
        <v>Large</v>
      </c>
      <c r="J2080" s="1">
        <v>313.7</v>
      </c>
      <c r="K2080">
        <f t="shared" si="161"/>
        <v>0</v>
      </c>
      <c r="L2080">
        <f t="shared" si="162"/>
        <v>313.7</v>
      </c>
      <c r="M2080" s="1">
        <f t="shared" si="163"/>
        <v>313.7</v>
      </c>
      <c r="N2080" s="1" t="s">
        <v>10</v>
      </c>
      <c r="O2080" s="1">
        <v>2.1</v>
      </c>
    </row>
    <row r="2081" spans="4:15" x14ac:dyDescent="0.3">
      <c r="D2081" s="1">
        <v>39655</v>
      </c>
      <c r="E2081" s="2">
        <v>43547</v>
      </c>
      <c r="F2081" s="1" t="s">
        <v>9</v>
      </c>
      <c r="G2081" s="1">
        <v>35</v>
      </c>
      <c r="H2081" t="str">
        <f t="shared" si="164"/>
        <v>Large</v>
      </c>
      <c r="I2081" t="str">
        <f t="shared" si="160"/>
        <v>Large</v>
      </c>
      <c r="J2081" s="1">
        <v>270.87</v>
      </c>
      <c r="K2081">
        <f t="shared" si="161"/>
        <v>0</v>
      </c>
      <c r="L2081">
        <f t="shared" si="162"/>
        <v>270.87</v>
      </c>
      <c r="M2081" s="1">
        <f t="shared" si="163"/>
        <v>270.87</v>
      </c>
      <c r="N2081" s="1" t="s">
        <v>10</v>
      </c>
      <c r="O2081" s="1">
        <v>3.8</v>
      </c>
    </row>
    <row r="2082" spans="4:15" x14ac:dyDescent="0.3">
      <c r="D2082" s="1">
        <v>36103</v>
      </c>
      <c r="E2082" s="2">
        <v>43584</v>
      </c>
      <c r="F2082" s="1" t="s">
        <v>12</v>
      </c>
      <c r="G2082" s="1">
        <v>45</v>
      </c>
      <c r="H2082" t="str">
        <f t="shared" si="164"/>
        <v>XX Large</v>
      </c>
      <c r="I2082" t="str">
        <f t="shared" si="160"/>
        <v>XX Large</v>
      </c>
      <c r="J2082" s="1">
        <v>1428.79</v>
      </c>
      <c r="K2082">
        <f t="shared" si="161"/>
        <v>0.01</v>
      </c>
      <c r="L2082">
        <f t="shared" si="162"/>
        <v>1414.5020999999999</v>
      </c>
      <c r="M2082" s="1">
        <f t="shared" si="163"/>
        <v>1427.69</v>
      </c>
      <c r="N2082" s="1" t="s">
        <v>10</v>
      </c>
      <c r="O2082" s="1">
        <v>1.1000000000000001</v>
      </c>
    </row>
    <row r="2083" spans="4:15" x14ac:dyDescent="0.3">
      <c r="D2083" s="1">
        <v>14820</v>
      </c>
      <c r="E2083" s="2">
        <v>43473</v>
      </c>
      <c r="F2083" s="1" t="s">
        <v>9</v>
      </c>
      <c r="G2083" s="1">
        <v>39</v>
      </c>
      <c r="H2083" t="str">
        <f t="shared" si="164"/>
        <v>Extra Large</v>
      </c>
      <c r="I2083" t="str">
        <f t="shared" si="160"/>
        <v>Extra Large</v>
      </c>
      <c r="J2083" s="1">
        <v>298.43</v>
      </c>
      <c r="K2083">
        <f t="shared" si="161"/>
        <v>0.01</v>
      </c>
      <c r="L2083">
        <f t="shared" si="162"/>
        <v>295.44569999999999</v>
      </c>
      <c r="M2083" s="1">
        <f t="shared" si="163"/>
        <v>293.03000000000003</v>
      </c>
      <c r="N2083" s="1" t="s">
        <v>8</v>
      </c>
      <c r="O2083" s="1">
        <v>5.4</v>
      </c>
    </row>
    <row r="2084" spans="4:15" x14ac:dyDescent="0.3">
      <c r="D2084" s="1">
        <v>11428</v>
      </c>
      <c r="E2084" s="2">
        <v>43485</v>
      </c>
      <c r="F2084" s="1" t="s">
        <v>14</v>
      </c>
      <c r="G2084" s="1">
        <v>16</v>
      </c>
      <c r="H2084" t="str">
        <f t="shared" si="164"/>
        <v>Small-Medium</v>
      </c>
      <c r="I2084" t="str">
        <f t="shared" si="160"/>
        <v>Small-Medium</v>
      </c>
      <c r="J2084" s="1">
        <v>1663.35</v>
      </c>
      <c r="K2084">
        <f t="shared" si="161"/>
        <v>0</v>
      </c>
      <c r="L2084">
        <f t="shared" si="162"/>
        <v>1663.35</v>
      </c>
      <c r="M2084" s="1">
        <f t="shared" si="163"/>
        <v>1663.35</v>
      </c>
      <c r="N2084" s="1" t="s">
        <v>10</v>
      </c>
      <c r="O2084" s="1">
        <v>21.4</v>
      </c>
    </row>
    <row r="2085" spans="4:15" x14ac:dyDescent="0.3">
      <c r="D2085" s="1">
        <v>929</v>
      </c>
      <c r="E2085" s="2">
        <v>43739</v>
      </c>
      <c r="F2085" s="1" t="s">
        <v>9</v>
      </c>
      <c r="G2085" s="1">
        <v>39</v>
      </c>
      <c r="H2085" t="str">
        <f t="shared" si="164"/>
        <v>Extra Large</v>
      </c>
      <c r="I2085" t="str">
        <f t="shared" si="160"/>
        <v>Extra Large</v>
      </c>
      <c r="J2085" s="1">
        <v>90.23</v>
      </c>
      <c r="K2085">
        <f t="shared" si="161"/>
        <v>0.01</v>
      </c>
      <c r="L2085">
        <f t="shared" si="162"/>
        <v>89.327700000000007</v>
      </c>
      <c r="M2085" s="1">
        <f t="shared" si="163"/>
        <v>87.53</v>
      </c>
      <c r="N2085" s="1" t="s">
        <v>10</v>
      </c>
      <c r="O2085" s="1">
        <v>2.7</v>
      </c>
    </row>
    <row r="2086" spans="4:15" x14ac:dyDescent="0.3">
      <c r="D2086" s="1">
        <v>5408</v>
      </c>
      <c r="E2086" s="2">
        <v>43666</v>
      </c>
      <c r="F2086" s="1" t="s">
        <v>7</v>
      </c>
      <c r="G2086" s="1">
        <v>11</v>
      </c>
      <c r="H2086" t="str">
        <f t="shared" si="164"/>
        <v>Small</v>
      </c>
      <c r="I2086" t="str">
        <f t="shared" si="160"/>
        <v>Small</v>
      </c>
      <c r="J2086" s="1">
        <v>2559.6860999999999</v>
      </c>
      <c r="K2086">
        <f t="shared" si="161"/>
        <v>0</v>
      </c>
      <c r="L2086">
        <f t="shared" si="162"/>
        <v>2559.6860999999999</v>
      </c>
      <c r="M2086" s="1">
        <f t="shared" si="163"/>
        <v>2559.6860999999999</v>
      </c>
      <c r="N2086" s="1" t="s">
        <v>10</v>
      </c>
      <c r="O2086" s="1">
        <v>22.7</v>
      </c>
    </row>
    <row r="2087" spans="4:15" x14ac:dyDescent="0.3">
      <c r="D2087" s="1">
        <v>31845</v>
      </c>
      <c r="E2087" s="2">
        <v>43760</v>
      </c>
      <c r="F2087" s="1" t="s">
        <v>7</v>
      </c>
      <c r="G2087" s="1">
        <v>36</v>
      </c>
      <c r="H2087" t="str">
        <f t="shared" si="164"/>
        <v>Extra Large</v>
      </c>
      <c r="I2087" t="str">
        <f t="shared" si="160"/>
        <v>Extra Large</v>
      </c>
      <c r="J2087" s="1">
        <v>3900.28</v>
      </c>
      <c r="K2087">
        <f t="shared" si="161"/>
        <v>0.01</v>
      </c>
      <c r="L2087">
        <f t="shared" si="162"/>
        <v>3861.2772</v>
      </c>
      <c r="M2087" s="1">
        <f t="shared" si="163"/>
        <v>3883.48</v>
      </c>
      <c r="N2087" s="1" t="s">
        <v>13</v>
      </c>
      <c r="O2087" s="1">
        <v>16.8</v>
      </c>
    </row>
    <row r="2088" spans="4:15" x14ac:dyDescent="0.3">
      <c r="D2088" s="1">
        <v>36034</v>
      </c>
      <c r="E2088" s="2">
        <v>43754</v>
      </c>
      <c r="F2088" s="1" t="s">
        <v>9</v>
      </c>
      <c r="G2088" s="1">
        <v>10</v>
      </c>
      <c r="H2088" t="str">
        <f t="shared" si="164"/>
        <v>Extra Small</v>
      </c>
      <c r="I2088" t="str">
        <f t="shared" si="160"/>
        <v>Extra Small</v>
      </c>
      <c r="J2088" s="1">
        <v>20.72</v>
      </c>
      <c r="K2088">
        <f t="shared" si="161"/>
        <v>0</v>
      </c>
      <c r="L2088">
        <f t="shared" si="162"/>
        <v>20.72</v>
      </c>
      <c r="M2088" s="1">
        <f t="shared" si="163"/>
        <v>20.72</v>
      </c>
      <c r="N2088" s="1" t="s">
        <v>10</v>
      </c>
      <c r="O2088" s="1">
        <v>0.7</v>
      </c>
    </row>
    <row r="2089" spans="4:15" x14ac:dyDescent="0.3">
      <c r="D2089" s="1">
        <v>129</v>
      </c>
      <c r="E2089" s="2">
        <v>43787</v>
      </c>
      <c r="F2089" s="1" t="s">
        <v>7</v>
      </c>
      <c r="G2089" s="1">
        <v>4</v>
      </c>
      <c r="H2089" t="str">
        <f t="shared" si="164"/>
        <v>Mini</v>
      </c>
      <c r="I2089" t="str">
        <f t="shared" si="160"/>
        <v>Mini</v>
      </c>
      <c r="J2089" s="1">
        <v>35.01</v>
      </c>
      <c r="K2089">
        <f t="shared" si="161"/>
        <v>0</v>
      </c>
      <c r="L2089">
        <f t="shared" si="162"/>
        <v>35.01</v>
      </c>
      <c r="M2089" s="1">
        <f t="shared" si="163"/>
        <v>35.01</v>
      </c>
      <c r="N2089" s="1" t="s">
        <v>10</v>
      </c>
      <c r="O2089" s="1">
        <v>8.8000000000000007</v>
      </c>
    </row>
    <row r="2090" spans="4:15" x14ac:dyDescent="0.3">
      <c r="D2090" s="1">
        <v>21382</v>
      </c>
      <c r="E2090" s="2">
        <v>43476</v>
      </c>
      <c r="F2090" s="1" t="s">
        <v>12</v>
      </c>
      <c r="G2090" s="1">
        <v>27</v>
      </c>
      <c r="H2090" t="str">
        <f t="shared" si="164"/>
        <v>Medium-Large</v>
      </c>
      <c r="I2090" t="str">
        <f t="shared" si="160"/>
        <v>Medium-Large</v>
      </c>
      <c r="J2090" s="1">
        <v>156.14510000000001</v>
      </c>
      <c r="K2090">
        <f t="shared" si="161"/>
        <v>0</v>
      </c>
      <c r="L2090">
        <f t="shared" si="162"/>
        <v>156.14510000000001</v>
      </c>
      <c r="M2090" s="1">
        <f t="shared" si="163"/>
        <v>156.14510000000001</v>
      </c>
      <c r="N2090" s="1" t="s">
        <v>10</v>
      </c>
      <c r="O2090" s="1">
        <v>8</v>
      </c>
    </row>
    <row r="2091" spans="4:15" x14ac:dyDescent="0.3">
      <c r="D2091" s="1">
        <v>22466</v>
      </c>
      <c r="E2091" s="2">
        <v>43552</v>
      </c>
      <c r="F2091" s="1" t="s">
        <v>7</v>
      </c>
      <c r="G2091" s="1">
        <v>31</v>
      </c>
      <c r="H2091" t="str">
        <f t="shared" si="164"/>
        <v>Large</v>
      </c>
      <c r="I2091" t="str">
        <f t="shared" si="160"/>
        <v>Large</v>
      </c>
      <c r="J2091" s="1">
        <v>5782.47</v>
      </c>
      <c r="K2091">
        <f t="shared" si="161"/>
        <v>0</v>
      </c>
      <c r="L2091">
        <f t="shared" si="162"/>
        <v>5782.47</v>
      </c>
      <c r="M2091" s="1">
        <f t="shared" si="163"/>
        <v>5782.47</v>
      </c>
      <c r="N2091" s="1" t="s">
        <v>13</v>
      </c>
      <c r="O2091" s="1">
        <v>32.1</v>
      </c>
    </row>
    <row r="2092" spans="4:15" x14ac:dyDescent="0.3">
      <c r="D2092" s="1">
        <v>58113</v>
      </c>
      <c r="E2092" s="2">
        <v>43496</v>
      </c>
      <c r="F2092" s="1" t="s">
        <v>9</v>
      </c>
      <c r="G2092" s="1">
        <v>12</v>
      </c>
      <c r="H2092" t="str">
        <f t="shared" si="164"/>
        <v>Small</v>
      </c>
      <c r="I2092" t="str">
        <f t="shared" si="160"/>
        <v>Small</v>
      </c>
      <c r="J2092" s="1">
        <v>2222.59</v>
      </c>
      <c r="K2092">
        <f t="shared" si="161"/>
        <v>0</v>
      </c>
      <c r="L2092">
        <f t="shared" si="162"/>
        <v>2222.59</v>
      </c>
      <c r="M2092" s="1">
        <f t="shared" si="163"/>
        <v>2222.59</v>
      </c>
      <c r="N2092" s="1" t="s">
        <v>8</v>
      </c>
      <c r="O2092" s="1">
        <v>4.5</v>
      </c>
    </row>
    <row r="2093" spans="4:15" x14ac:dyDescent="0.3">
      <c r="D2093" s="1">
        <v>55171</v>
      </c>
      <c r="E2093" s="2">
        <v>43764</v>
      </c>
      <c r="F2093" s="1" t="s">
        <v>9</v>
      </c>
      <c r="G2093" s="1">
        <v>43</v>
      </c>
      <c r="H2093" t="str">
        <f t="shared" si="164"/>
        <v>XX Large</v>
      </c>
      <c r="I2093" t="str">
        <f t="shared" si="160"/>
        <v>XX Large</v>
      </c>
      <c r="J2093" s="1">
        <v>278.83999999999997</v>
      </c>
      <c r="K2093">
        <f t="shared" si="161"/>
        <v>0.01</v>
      </c>
      <c r="L2093">
        <f t="shared" si="162"/>
        <v>276.05159999999995</v>
      </c>
      <c r="M2093" s="1">
        <f t="shared" si="163"/>
        <v>270.33999999999997</v>
      </c>
      <c r="N2093" s="1" t="s">
        <v>10</v>
      </c>
      <c r="O2093" s="1">
        <v>8.5</v>
      </c>
    </row>
    <row r="2094" spans="4:15" x14ac:dyDescent="0.3">
      <c r="D2094" s="1">
        <v>42374</v>
      </c>
      <c r="E2094" s="2">
        <v>43663</v>
      </c>
      <c r="F2094" s="1" t="s">
        <v>12</v>
      </c>
      <c r="G2094" s="1">
        <v>11</v>
      </c>
      <c r="H2094" t="str">
        <f t="shared" si="164"/>
        <v>Small</v>
      </c>
      <c r="I2094" t="str">
        <f t="shared" si="160"/>
        <v>Small</v>
      </c>
      <c r="J2094" s="1">
        <v>742.76</v>
      </c>
      <c r="K2094">
        <f t="shared" si="161"/>
        <v>0</v>
      </c>
      <c r="L2094">
        <f t="shared" si="162"/>
        <v>742.76</v>
      </c>
      <c r="M2094" s="1">
        <f t="shared" si="163"/>
        <v>742.76</v>
      </c>
      <c r="N2094" s="1" t="s">
        <v>10</v>
      </c>
      <c r="O2094" s="1">
        <v>11</v>
      </c>
    </row>
    <row r="2095" spans="4:15" x14ac:dyDescent="0.3">
      <c r="D2095" s="1">
        <v>40802</v>
      </c>
      <c r="E2095" s="2">
        <v>43711</v>
      </c>
      <c r="F2095" s="1" t="s">
        <v>9</v>
      </c>
      <c r="G2095" s="1">
        <v>28</v>
      </c>
      <c r="H2095" t="str">
        <f t="shared" si="164"/>
        <v>Medium-Large</v>
      </c>
      <c r="I2095" t="str">
        <f t="shared" si="160"/>
        <v>Medium-Large</v>
      </c>
      <c r="J2095" s="1">
        <v>3596.29</v>
      </c>
      <c r="K2095">
        <f t="shared" si="161"/>
        <v>0</v>
      </c>
      <c r="L2095">
        <f t="shared" si="162"/>
        <v>3596.29</v>
      </c>
      <c r="M2095" s="1">
        <f t="shared" si="163"/>
        <v>3596.29</v>
      </c>
      <c r="N2095" s="1" t="s">
        <v>13</v>
      </c>
      <c r="O2095" s="1">
        <v>60.1</v>
      </c>
    </row>
    <row r="2096" spans="4:15" x14ac:dyDescent="0.3">
      <c r="D2096" s="1">
        <v>36130</v>
      </c>
      <c r="E2096" s="2">
        <v>43721</v>
      </c>
      <c r="F2096" s="1" t="s">
        <v>12</v>
      </c>
      <c r="G2096" s="1">
        <v>23</v>
      </c>
      <c r="H2096" t="str">
        <f t="shared" si="164"/>
        <v>Medium</v>
      </c>
      <c r="I2096" t="str">
        <f t="shared" si="160"/>
        <v>Medium</v>
      </c>
      <c r="J2096" s="1">
        <v>422.44</v>
      </c>
      <c r="K2096">
        <f t="shared" si="161"/>
        <v>0</v>
      </c>
      <c r="L2096">
        <f t="shared" si="162"/>
        <v>422.44</v>
      </c>
      <c r="M2096" s="1">
        <f t="shared" si="163"/>
        <v>422.44</v>
      </c>
      <c r="N2096" s="1" t="s">
        <v>10</v>
      </c>
      <c r="O2096" s="1">
        <v>4.3</v>
      </c>
    </row>
    <row r="2097" spans="4:15" x14ac:dyDescent="0.3">
      <c r="D2097" s="1">
        <v>57698</v>
      </c>
      <c r="E2097" s="2">
        <v>43470</v>
      </c>
      <c r="F2097" s="1" t="s">
        <v>12</v>
      </c>
      <c r="G2097" s="1">
        <v>13</v>
      </c>
      <c r="H2097" t="str">
        <f t="shared" si="164"/>
        <v>Small</v>
      </c>
      <c r="I2097" t="str">
        <f t="shared" si="160"/>
        <v>Small</v>
      </c>
      <c r="J2097" s="1">
        <v>5141.74</v>
      </c>
      <c r="K2097">
        <f t="shared" si="161"/>
        <v>0</v>
      </c>
      <c r="L2097">
        <f t="shared" si="162"/>
        <v>5141.74</v>
      </c>
      <c r="M2097" s="1">
        <f t="shared" si="163"/>
        <v>5141.74</v>
      </c>
      <c r="N2097" s="1" t="s">
        <v>10</v>
      </c>
      <c r="O2097" s="1">
        <v>21.4</v>
      </c>
    </row>
    <row r="2098" spans="4:15" x14ac:dyDescent="0.3">
      <c r="D2098" s="1">
        <v>48803</v>
      </c>
      <c r="E2098" s="2">
        <v>43778</v>
      </c>
      <c r="F2098" s="1" t="s">
        <v>12</v>
      </c>
      <c r="G2098" s="1">
        <v>19</v>
      </c>
      <c r="H2098" t="str">
        <f t="shared" si="164"/>
        <v>Small-Medium</v>
      </c>
      <c r="I2098" t="str">
        <f t="shared" si="160"/>
        <v>Small-Medium</v>
      </c>
      <c r="J2098" s="1">
        <v>214.44</v>
      </c>
      <c r="K2098">
        <f t="shared" si="161"/>
        <v>0</v>
      </c>
      <c r="L2098">
        <f t="shared" si="162"/>
        <v>214.44</v>
      </c>
      <c r="M2098" s="1">
        <f t="shared" si="163"/>
        <v>214.44</v>
      </c>
      <c r="N2098" s="1" t="s">
        <v>10</v>
      </c>
      <c r="O2098" s="1">
        <v>5</v>
      </c>
    </row>
    <row r="2099" spans="4:15" x14ac:dyDescent="0.3">
      <c r="D2099" s="1">
        <v>25473</v>
      </c>
      <c r="E2099" s="2">
        <v>43752</v>
      </c>
      <c r="F2099" s="1" t="s">
        <v>9</v>
      </c>
      <c r="G2099" s="1">
        <v>36</v>
      </c>
      <c r="H2099" t="str">
        <f t="shared" si="164"/>
        <v>Extra Large</v>
      </c>
      <c r="I2099" t="str">
        <f t="shared" si="160"/>
        <v>Extra Large</v>
      </c>
      <c r="J2099" s="1">
        <v>18516.189999999999</v>
      </c>
      <c r="K2099">
        <f t="shared" si="161"/>
        <v>0.01</v>
      </c>
      <c r="L2099">
        <f t="shared" si="162"/>
        <v>18331.0281</v>
      </c>
      <c r="M2099" s="1">
        <f t="shared" si="163"/>
        <v>18486.09</v>
      </c>
      <c r="N2099" s="1" t="s">
        <v>13</v>
      </c>
      <c r="O2099" s="1">
        <v>30.1</v>
      </c>
    </row>
    <row r="2100" spans="4:15" x14ac:dyDescent="0.3">
      <c r="D2100" s="1">
        <v>16193</v>
      </c>
      <c r="E2100" s="2">
        <v>43564</v>
      </c>
      <c r="F2100" s="1" t="s">
        <v>11</v>
      </c>
      <c r="G2100" s="1">
        <v>29</v>
      </c>
      <c r="H2100" t="str">
        <f t="shared" si="164"/>
        <v>Medium-Large</v>
      </c>
      <c r="I2100" t="str">
        <f t="shared" si="160"/>
        <v>Medium-Large</v>
      </c>
      <c r="J2100" s="1">
        <v>1460.34</v>
      </c>
      <c r="K2100">
        <f t="shared" si="161"/>
        <v>0</v>
      </c>
      <c r="L2100">
        <f t="shared" si="162"/>
        <v>1460.34</v>
      </c>
      <c r="M2100" s="1">
        <f t="shared" si="163"/>
        <v>1460.34</v>
      </c>
      <c r="N2100" s="1" t="s">
        <v>10</v>
      </c>
      <c r="O2100" s="1">
        <v>5.4</v>
      </c>
    </row>
    <row r="2101" spans="4:15" x14ac:dyDescent="0.3">
      <c r="D2101" s="1">
        <v>25313</v>
      </c>
      <c r="E2101" s="2">
        <v>43698</v>
      </c>
      <c r="F2101" s="1" t="s">
        <v>12</v>
      </c>
      <c r="G2101" s="1">
        <v>19</v>
      </c>
      <c r="H2101" t="str">
        <f t="shared" si="164"/>
        <v>Small-Medium</v>
      </c>
      <c r="I2101" t="str">
        <f t="shared" si="160"/>
        <v>Small-Medium</v>
      </c>
      <c r="J2101" s="1">
        <v>448.01</v>
      </c>
      <c r="K2101">
        <f t="shared" si="161"/>
        <v>0</v>
      </c>
      <c r="L2101">
        <f t="shared" si="162"/>
        <v>448.01</v>
      </c>
      <c r="M2101" s="1">
        <f>IF(OR(I2101="Extra Large",I2101="XX Large",I2101="XXX Large"),J2101-O2101,J2101)</f>
        <v>448.01</v>
      </c>
      <c r="N2101" s="1" t="s">
        <v>10</v>
      </c>
      <c r="O2101" s="1">
        <v>5.9</v>
      </c>
    </row>
    <row r="2102" spans="4:15" s="3" customFormat="1" x14ac:dyDescent="0.3"/>
  </sheetData>
  <mergeCells count="1">
    <mergeCell ref="A1:B1"/>
  </mergeCell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5DC4-CFF6-4655-BCA7-5AC708DBE29C}">
  <sheetPr>
    <tabColor theme="0" tint="-0.249977111117893"/>
  </sheetPr>
  <dimension ref="A1:O2102"/>
  <sheetViews>
    <sheetView workbookViewId="0">
      <selection activeCell="A2" sqref="A2"/>
    </sheetView>
  </sheetViews>
  <sheetFormatPr defaultRowHeight="14.4" x14ac:dyDescent="0.3"/>
  <cols>
    <col min="1" max="1" width="13.6640625" bestFit="1" customWidth="1"/>
    <col min="2" max="2" width="12.77734375" bestFit="1" customWidth="1"/>
    <col min="4" max="4" width="7.88671875" bestFit="1" customWidth="1"/>
    <col min="5" max="5" width="10.33203125" bestFit="1" customWidth="1"/>
    <col min="6" max="6" width="12" bestFit="1" customWidth="1"/>
    <col min="7" max="7" width="13.21875" bestFit="1" customWidth="1"/>
    <col min="8" max="8" width="10" bestFit="1" customWidth="1"/>
    <col min="9" max="9" width="18.5546875" bestFit="1" customWidth="1"/>
    <col min="10" max="10" width="11" bestFit="1" customWidth="1"/>
    <col min="11" max="11" width="8.109375" bestFit="1" customWidth="1"/>
    <col min="12" max="12" width="16.77734375" bestFit="1" customWidth="1"/>
    <col min="13" max="13" width="20.44140625" bestFit="1" customWidth="1"/>
    <col min="14" max="14" width="12.44140625" bestFit="1" customWidth="1"/>
    <col min="15" max="15" width="11.77734375" bestFit="1" customWidth="1"/>
  </cols>
  <sheetData>
    <row r="1" spans="1:15" x14ac:dyDescent="0.3">
      <c r="A1" s="32" t="s">
        <v>76</v>
      </c>
      <c r="B1" s="32"/>
      <c r="D1" s="1" t="s">
        <v>0</v>
      </c>
      <c r="E1" s="1" t="s">
        <v>1</v>
      </c>
      <c r="F1" s="1" t="s">
        <v>2</v>
      </c>
      <c r="G1" s="1" t="s">
        <v>3</v>
      </c>
      <c r="H1" s="1" t="s">
        <v>25</v>
      </c>
      <c r="I1" s="1" t="s">
        <v>26</v>
      </c>
      <c r="J1" s="1" t="s">
        <v>4</v>
      </c>
      <c r="K1" s="1" t="s">
        <v>27</v>
      </c>
      <c r="L1" s="1" t="s">
        <v>28</v>
      </c>
      <c r="M1" s="1" t="s">
        <v>29</v>
      </c>
      <c r="N1" s="1" t="s">
        <v>5</v>
      </c>
      <c r="O1" s="1" t="s">
        <v>6</v>
      </c>
    </row>
    <row r="2" spans="1:15" x14ac:dyDescent="0.3">
      <c r="A2" s="6" t="s">
        <v>3</v>
      </c>
      <c r="B2" s="6" t="s">
        <v>15</v>
      </c>
      <c r="D2" s="1">
        <v>53635</v>
      </c>
      <c r="E2" s="2">
        <v>43664</v>
      </c>
      <c r="F2" s="1" t="s">
        <v>11</v>
      </c>
      <c r="G2" s="1">
        <v>33</v>
      </c>
      <c r="H2" s="9" t="s">
        <v>21</v>
      </c>
      <c r="J2" s="1">
        <v>111.1944</v>
      </c>
      <c r="N2" s="1" t="s">
        <v>10</v>
      </c>
      <c r="O2" s="1">
        <v>2.1</v>
      </c>
    </row>
    <row r="3" spans="1:15" x14ac:dyDescent="0.3">
      <c r="A3" s="4">
        <v>1</v>
      </c>
      <c r="B3" s="4" t="s">
        <v>16</v>
      </c>
      <c r="D3" s="1">
        <v>12804</v>
      </c>
      <c r="E3" s="2">
        <v>43610</v>
      </c>
      <c r="F3" s="1" t="s">
        <v>14</v>
      </c>
      <c r="G3" s="1">
        <v>34</v>
      </c>
      <c r="H3" s="9"/>
      <c r="J3" s="1">
        <v>634.41999999999996</v>
      </c>
      <c r="N3" s="1" t="s">
        <v>8</v>
      </c>
      <c r="O3" s="1">
        <v>8.9</v>
      </c>
    </row>
    <row r="4" spans="1:15" x14ac:dyDescent="0.3">
      <c r="A4" s="4">
        <v>6</v>
      </c>
      <c r="B4" s="4" t="s">
        <v>17</v>
      </c>
      <c r="D4" s="1">
        <v>1856</v>
      </c>
      <c r="E4" s="2">
        <v>43543</v>
      </c>
      <c r="F4" s="1" t="s">
        <v>11</v>
      </c>
      <c r="G4" s="1">
        <v>44</v>
      </c>
      <c r="H4" s="9"/>
      <c r="J4" s="1">
        <v>4583.0600000000004</v>
      </c>
      <c r="N4" s="1" t="s">
        <v>10</v>
      </c>
      <c r="O4" s="1">
        <v>9.4</v>
      </c>
    </row>
    <row r="5" spans="1:15" x14ac:dyDescent="0.3">
      <c r="A5" s="5">
        <v>11</v>
      </c>
      <c r="B5" s="4" t="s">
        <v>18</v>
      </c>
      <c r="D5" s="1">
        <v>33670</v>
      </c>
      <c r="E5" s="2">
        <v>43582</v>
      </c>
      <c r="F5" s="1" t="s">
        <v>9</v>
      </c>
      <c r="G5" s="1">
        <v>50</v>
      </c>
      <c r="H5" s="9"/>
      <c r="J5" s="1">
        <v>222.06780000000001</v>
      </c>
      <c r="N5" s="1" t="s">
        <v>10</v>
      </c>
      <c r="O5" s="1">
        <v>1.3</v>
      </c>
    </row>
    <row r="6" spans="1:15" x14ac:dyDescent="0.3">
      <c r="A6" s="4">
        <v>16</v>
      </c>
      <c r="B6" s="4" t="s">
        <v>19</v>
      </c>
      <c r="D6" s="1">
        <v>24801</v>
      </c>
      <c r="E6" s="2">
        <v>43784</v>
      </c>
      <c r="F6" s="1" t="s">
        <v>9</v>
      </c>
      <c r="G6" s="1">
        <v>3</v>
      </c>
      <c r="H6" s="9"/>
      <c r="J6" s="1">
        <v>20.23</v>
      </c>
      <c r="N6" s="1" t="s">
        <v>10</v>
      </c>
      <c r="O6" s="1">
        <v>7.5</v>
      </c>
    </row>
    <row r="7" spans="1:15" x14ac:dyDescent="0.3">
      <c r="A7" s="4">
        <v>21</v>
      </c>
      <c r="B7" s="4" t="s">
        <v>14</v>
      </c>
      <c r="D7" s="1">
        <v>18374</v>
      </c>
      <c r="E7" s="2">
        <v>43738</v>
      </c>
      <c r="F7" s="1" t="s">
        <v>7</v>
      </c>
      <c r="G7" s="1">
        <v>21</v>
      </c>
      <c r="H7" s="9"/>
      <c r="J7" s="1">
        <v>160.66999999999999</v>
      </c>
      <c r="N7" s="1" t="s">
        <v>10</v>
      </c>
      <c r="O7" s="1">
        <v>5.9</v>
      </c>
    </row>
    <row r="8" spans="1:15" x14ac:dyDescent="0.3">
      <c r="A8" s="4">
        <v>26</v>
      </c>
      <c r="B8" s="4" t="s">
        <v>20</v>
      </c>
      <c r="D8" s="1">
        <v>43493</v>
      </c>
      <c r="E8" s="2">
        <v>43595</v>
      </c>
      <c r="F8" s="1" t="s">
        <v>9</v>
      </c>
      <c r="G8" s="1">
        <v>22</v>
      </c>
      <c r="H8" s="9"/>
      <c r="J8" s="1">
        <v>163.19999999999999</v>
      </c>
      <c r="N8" s="1" t="s">
        <v>10</v>
      </c>
      <c r="O8" s="1">
        <v>6.4</v>
      </c>
    </row>
    <row r="9" spans="1:15" x14ac:dyDescent="0.3">
      <c r="A9" s="4">
        <v>31</v>
      </c>
      <c r="B9" s="4" t="s">
        <v>21</v>
      </c>
      <c r="D9" s="1">
        <v>10948</v>
      </c>
      <c r="E9" s="2">
        <v>43690</v>
      </c>
      <c r="F9" s="1" t="s">
        <v>14</v>
      </c>
      <c r="G9" s="1">
        <v>50</v>
      </c>
      <c r="H9" s="9"/>
      <c r="J9" s="1">
        <v>206.63</v>
      </c>
      <c r="N9" s="1" t="s">
        <v>10</v>
      </c>
      <c r="O9" s="1">
        <v>7.5</v>
      </c>
    </row>
    <row r="10" spans="1:15" x14ac:dyDescent="0.3">
      <c r="A10" s="4">
        <v>36</v>
      </c>
      <c r="B10" s="4" t="s">
        <v>22</v>
      </c>
      <c r="D10" s="1">
        <v>49153</v>
      </c>
      <c r="E10" s="2">
        <v>43674</v>
      </c>
      <c r="F10" s="1" t="s">
        <v>14</v>
      </c>
      <c r="G10" s="1">
        <v>31</v>
      </c>
      <c r="H10" s="9"/>
      <c r="J10" s="1">
        <v>2402.98</v>
      </c>
      <c r="N10" s="1" t="s">
        <v>13</v>
      </c>
      <c r="O10" s="1">
        <v>32.1</v>
      </c>
    </row>
    <row r="11" spans="1:15" x14ac:dyDescent="0.3">
      <c r="A11" s="4">
        <v>41</v>
      </c>
      <c r="B11" s="4" t="s">
        <v>23</v>
      </c>
      <c r="D11" s="1">
        <v>56161</v>
      </c>
      <c r="E11" s="2">
        <v>43569</v>
      </c>
      <c r="F11" s="1" t="s">
        <v>9</v>
      </c>
      <c r="G11" s="1">
        <v>38</v>
      </c>
      <c r="H11" s="9"/>
      <c r="J11" s="1">
        <v>1609.52</v>
      </c>
      <c r="N11" s="1" t="s">
        <v>8</v>
      </c>
      <c r="O11" s="1">
        <v>11</v>
      </c>
    </row>
    <row r="12" spans="1:15" x14ac:dyDescent="0.3">
      <c r="A12" s="4">
        <v>46</v>
      </c>
      <c r="B12" s="4" t="s">
        <v>24</v>
      </c>
      <c r="D12" s="1">
        <v>31106</v>
      </c>
      <c r="E12" s="2">
        <v>43511</v>
      </c>
      <c r="F12" s="1" t="s">
        <v>7</v>
      </c>
      <c r="G12" s="1">
        <v>45</v>
      </c>
      <c r="H12" s="9"/>
      <c r="J12" s="1">
        <v>277.31</v>
      </c>
      <c r="N12" s="1" t="s">
        <v>10</v>
      </c>
      <c r="O12" s="1">
        <v>3.9</v>
      </c>
    </row>
    <row r="13" spans="1:15" x14ac:dyDescent="0.3">
      <c r="D13" s="1">
        <v>8390</v>
      </c>
      <c r="E13" s="2">
        <v>43576</v>
      </c>
      <c r="F13" s="1" t="s">
        <v>14</v>
      </c>
      <c r="G13" s="1">
        <v>24</v>
      </c>
      <c r="H13" s="9"/>
      <c r="J13" s="1">
        <v>765.48</v>
      </c>
      <c r="N13" s="1" t="s">
        <v>10</v>
      </c>
      <c r="O13" s="1">
        <v>4.3</v>
      </c>
    </row>
    <row r="14" spans="1:15" x14ac:dyDescent="0.3">
      <c r="D14" s="1">
        <v>31042</v>
      </c>
      <c r="E14" s="2">
        <v>43788</v>
      </c>
      <c r="F14" s="1" t="s">
        <v>14</v>
      </c>
      <c r="G14" s="1">
        <v>26</v>
      </c>
      <c r="H14" s="9"/>
      <c r="J14" s="1">
        <v>3453.3</v>
      </c>
      <c r="N14" s="1" t="s">
        <v>13</v>
      </c>
      <c r="O14" s="1">
        <v>32.1</v>
      </c>
    </row>
    <row r="15" spans="1:15" x14ac:dyDescent="0.3">
      <c r="D15" s="1">
        <v>55623</v>
      </c>
      <c r="E15" s="2">
        <v>43743</v>
      </c>
      <c r="F15" s="1" t="s">
        <v>12</v>
      </c>
      <c r="G15" s="1">
        <v>47</v>
      </c>
      <c r="H15" s="9"/>
      <c r="J15" s="1">
        <v>11073.14</v>
      </c>
      <c r="N15" s="1" t="s">
        <v>13</v>
      </c>
      <c r="O15" s="1">
        <v>34.799999999999997</v>
      </c>
    </row>
    <row r="16" spans="1:15" x14ac:dyDescent="0.3">
      <c r="D16" s="1">
        <v>23172</v>
      </c>
      <c r="E16" s="2">
        <v>43579</v>
      </c>
      <c r="F16" s="1" t="s">
        <v>7</v>
      </c>
      <c r="G16" s="1">
        <v>13</v>
      </c>
      <c r="H16" s="9"/>
      <c r="J16" s="1">
        <v>1275.1500000000001</v>
      </c>
      <c r="N16" s="1" t="s">
        <v>10</v>
      </c>
      <c r="O16" s="1">
        <v>15</v>
      </c>
    </row>
    <row r="17" spans="4:15" x14ac:dyDescent="0.3">
      <c r="D17" s="1">
        <v>43045</v>
      </c>
      <c r="E17" s="2">
        <v>43630</v>
      </c>
      <c r="F17" s="1" t="s">
        <v>14</v>
      </c>
      <c r="G17" s="1">
        <v>47</v>
      </c>
      <c r="H17" s="9"/>
      <c r="J17" s="1">
        <v>5672.28</v>
      </c>
      <c r="N17" s="1" t="s">
        <v>10</v>
      </c>
      <c r="O17" s="1">
        <v>10.8</v>
      </c>
    </row>
    <row r="18" spans="4:15" x14ac:dyDescent="0.3">
      <c r="D18" s="1">
        <v>17701</v>
      </c>
      <c r="E18" s="2">
        <v>43606</v>
      </c>
      <c r="F18" s="1" t="s">
        <v>12</v>
      </c>
      <c r="G18" s="1">
        <v>21</v>
      </c>
      <c r="H18" s="9"/>
      <c r="J18" s="1">
        <v>86.08</v>
      </c>
      <c r="N18" s="1" t="s">
        <v>10</v>
      </c>
      <c r="O18" s="1">
        <v>5</v>
      </c>
    </row>
    <row r="19" spans="4:15" x14ac:dyDescent="0.3">
      <c r="D19" s="1">
        <v>44199</v>
      </c>
      <c r="E19" s="2">
        <v>43528</v>
      </c>
      <c r="F19" s="1" t="s">
        <v>7</v>
      </c>
      <c r="G19" s="1">
        <v>12</v>
      </c>
      <c r="H19" s="9"/>
      <c r="J19" s="1">
        <v>54.24</v>
      </c>
      <c r="N19" s="1" t="s">
        <v>10</v>
      </c>
      <c r="O19" s="1">
        <v>2.1</v>
      </c>
    </row>
    <row r="20" spans="4:15" x14ac:dyDescent="0.3">
      <c r="D20" s="1">
        <v>43907</v>
      </c>
      <c r="E20" s="2">
        <v>43664</v>
      </c>
      <c r="F20" s="1" t="s">
        <v>12</v>
      </c>
      <c r="G20" s="1">
        <v>42</v>
      </c>
      <c r="H20" s="9"/>
      <c r="J20" s="1">
        <v>1490.26</v>
      </c>
      <c r="N20" s="1" t="s">
        <v>13</v>
      </c>
      <c r="O20" s="1">
        <v>48.7</v>
      </c>
    </row>
    <row r="21" spans="4:15" x14ac:dyDescent="0.3">
      <c r="D21" s="1">
        <v>36390</v>
      </c>
      <c r="E21" s="2">
        <v>43750</v>
      </c>
      <c r="F21" s="1" t="s">
        <v>9</v>
      </c>
      <c r="G21" s="1">
        <v>3</v>
      </c>
      <c r="H21" s="9"/>
      <c r="J21" s="1">
        <v>352.7</v>
      </c>
      <c r="N21" s="1" t="s">
        <v>10</v>
      </c>
      <c r="O21" s="1">
        <v>9.6</v>
      </c>
    </row>
    <row r="22" spans="4:15" x14ac:dyDescent="0.3">
      <c r="D22" s="1">
        <v>20096</v>
      </c>
      <c r="E22" s="2">
        <v>43696</v>
      </c>
      <c r="F22" s="1" t="s">
        <v>7</v>
      </c>
      <c r="G22" s="1">
        <v>35</v>
      </c>
      <c r="H22" s="9"/>
      <c r="J22" s="1">
        <v>6544.24</v>
      </c>
      <c r="N22" s="1" t="s">
        <v>13</v>
      </c>
      <c r="O22" s="1">
        <v>31.3</v>
      </c>
    </row>
    <row r="23" spans="4:15" x14ac:dyDescent="0.3">
      <c r="D23" s="1">
        <v>46337</v>
      </c>
      <c r="E23" s="2">
        <v>43582</v>
      </c>
      <c r="F23" s="1" t="s">
        <v>7</v>
      </c>
      <c r="G23" s="1">
        <v>34</v>
      </c>
      <c r="H23" s="9"/>
      <c r="J23" s="1">
        <v>65.75</v>
      </c>
      <c r="N23" s="1" t="s">
        <v>10</v>
      </c>
      <c r="O23" s="1">
        <v>0.7</v>
      </c>
    </row>
    <row r="24" spans="4:15" x14ac:dyDescent="0.3">
      <c r="D24" s="1">
        <v>24643</v>
      </c>
      <c r="E24" s="2">
        <v>43584</v>
      </c>
      <c r="F24" s="1" t="s">
        <v>14</v>
      </c>
      <c r="G24" s="1">
        <v>30</v>
      </c>
      <c r="H24" s="9"/>
      <c r="J24" s="1">
        <v>2533.94</v>
      </c>
      <c r="N24" s="1" t="s">
        <v>10</v>
      </c>
      <c r="O24" s="1">
        <v>1.3</v>
      </c>
    </row>
    <row r="25" spans="4:15" x14ac:dyDescent="0.3">
      <c r="D25" s="1">
        <v>2240</v>
      </c>
      <c r="E25" s="2">
        <v>43529</v>
      </c>
      <c r="F25" s="1" t="s">
        <v>11</v>
      </c>
      <c r="G25" s="1">
        <v>5</v>
      </c>
      <c r="H25" s="9"/>
      <c r="J25" s="1">
        <v>152.41</v>
      </c>
      <c r="N25" s="1" t="s">
        <v>10</v>
      </c>
      <c r="O25" s="1">
        <v>6.6</v>
      </c>
    </row>
    <row r="26" spans="4:15" x14ac:dyDescent="0.3">
      <c r="D26" s="1">
        <v>26274</v>
      </c>
      <c r="E26" s="2">
        <v>43628</v>
      </c>
      <c r="F26" s="1" t="s">
        <v>11</v>
      </c>
      <c r="G26" s="1">
        <v>41</v>
      </c>
      <c r="H26" s="9"/>
      <c r="J26" s="1">
        <v>404.28</v>
      </c>
      <c r="N26" s="1" t="s">
        <v>10</v>
      </c>
      <c r="O26" s="1">
        <v>2.2999999999999998</v>
      </c>
    </row>
    <row r="27" spans="4:15" x14ac:dyDescent="0.3">
      <c r="D27" s="1">
        <v>44869</v>
      </c>
      <c r="E27" s="2">
        <v>43699</v>
      </c>
      <c r="F27" s="1" t="s">
        <v>14</v>
      </c>
      <c r="G27" s="1">
        <v>43</v>
      </c>
      <c r="H27" s="9"/>
      <c r="J27" s="1">
        <v>303</v>
      </c>
      <c r="N27" s="1" t="s">
        <v>10</v>
      </c>
      <c r="O27" s="1">
        <v>8</v>
      </c>
    </row>
    <row r="28" spans="4:15" x14ac:dyDescent="0.3">
      <c r="D28" s="1">
        <v>49029</v>
      </c>
      <c r="E28" s="2">
        <v>43605</v>
      </c>
      <c r="F28" s="1" t="s">
        <v>9</v>
      </c>
      <c r="G28" s="1">
        <v>49</v>
      </c>
      <c r="H28" s="9"/>
      <c r="J28" s="1">
        <v>8798.68</v>
      </c>
      <c r="N28" s="1" t="s">
        <v>8</v>
      </c>
      <c r="O28" s="1">
        <v>4.3</v>
      </c>
    </row>
    <row r="29" spans="4:15" x14ac:dyDescent="0.3">
      <c r="D29" s="1">
        <v>38656</v>
      </c>
      <c r="E29" s="2">
        <v>43687</v>
      </c>
      <c r="F29" s="1" t="s">
        <v>7</v>
      </c>
      <c r="G29" s="1">
        <v>13</v>
      </c>
      <c r="H29" s="9"/>
      <c r="J29" s="1">
        <v>68.97</v>
      </c>
      <c r="N29" s="1" t="s">
        <v>10</v>
      </c>
      <c r="O29" s="1">
        <v>0.5</v>
      </c>
    </row>
    <row r="30" spans="4:15" x14ac:dyDescent="0.3">
      <c r="D30" s="1">
        <v>45571</v>
      </c>
      <c r="E30" s="2">
        <v>43731</v>
      </c>
      <c r="F30" s="1" t="s">
        <v>14</v>
      </c>
      <c r="G30" s="1">
        <v>47</v>
      </c>
      <c r="H30" s="9"/>
      <c r="J30" s="1">
        <v>6393.3</v>
      </c>
      <c r="N30" s="1" t="s">
        <v>10</v>
      </c>
      <c r="O30" s="1">
        <v>9.6</v>
      </c>
    </row>
    <row r="31" spans="4:15" x14ac:dyDescent="0.3">
      <c r="D31" s="1">
        <v>44422</v>
      </c>
      <c r="E31" s="2">
        <v>43568</v>
      </c>
      <c r="F31" s="1" t="s">
        <v>14</v>
      </c>
      <c r="G31" s="1">
        <v>11</v>
      </c>
      <c r="H31" s="9"/>
      <c r="J31" s="1">
        <v>215.71</v>
      </c>
      <c r="N31" s="1" t="s">
        <v>10</v>
      </c>
      <c r="O31" s="1">
        <v>1.1000000000000001</v>
      </c>
    </row>
    <row r="32" spans="4:15" x14ac:dyDescent="0.3">
      <c r="D32" s="1">
        <v>33186</v>
      </c>
      <c r="E32" s="2">
        <v>43705</v>
      </c>
      <c r="F32" s="1" t="s">
        <v>7</v>
      </c>
      <c r="G32" s="1">
        <v>24</v>
      </c>
      <c r="H32" s="9"/>
      <c r="J32" s="1">
        <v>1445.07</v>
      </c>
      <c r="N32" s="1" t="s">
        <v>10</v>
      </c>
      <c r="O32" s="1">
        <v>5.6</v>
      </c>
    </row>
    <row r="33" spans="4:15" x14ac:dyDescent="0.3">
      <c r="D33" s="1">
        <v>10439</v>
      </c>
      <c r="E33" s="2">
        <v>43552</v>
      </c>
      <c r="F33" s="1" t="s">
        <v>11</v>
      </c>
      <c r="G33" s="1">
        <v>30</v>
      </c>
      <c r="H33" s="9"/>
      <c r="J33" s="1">
        <v>609.48270000000002</v>
      </c>
      <c r="N33" s="1" t="s">
        <v>10</v>
      </c>
      <c r="O33" s="1">
        <v>4.3</v>
      </c>
    </row>
    <row r="34" spans="4:15" x14ac:dyDescent="0.3">
      <c r="D34" s="1">
        <v>30913</v>
      </c>
      <c r="E34" s="2">
        <v>43730</v>
      </c>
      <c r="F34" s="1" t="s">
        <v>14</v>
      </c>
      <c r="G34" s="1">
        <v>24</v>
      </c>
      <c r="H34" s="9"/>
      <c r="J34" s="1">
        <v>531.38</v>
      </c>
      <c r="N34" s="1" t="s">
        <v>8</v>
      </c>
      <c r="O34" s="1">
        <v>11.2</v>
      </c>
    </row>
    <row r="35" spans="4:15" x14ac:dyDescent="0.3">
      <c r="D35" s="1">
        <v>7427</v>
      </c>
      <c r="E35" s="2">
        <v>43814</v>
      </c>
      <c r="F35" s="1" t="s">
        <v>11</v>
      </c>
      <c r="G35" s="1">
        <v>47</v>
      </c>
      <c r="H35" s="9"/>
      <c r="J35" s="1">
        <v>17122.45</v>
      </c>
      <c r="N35" s="1" t="s">
        <v>10</v>
      </c>
      <c r="O35" s="1">
        <v>21.4</v>
      </c>
    </row>
    <row r="36" spans="4:15" x14ac:dyDescent="0.3">
      <c r="D36" s="1">
        <v>53795</v>
      </c>
      <c r="E36" s="2">
        <v>43494</v>
      </c>
      <c r="F36" s="1" t="s">
        <v>9</v>
      </c>
      <c r="G36" s="1">
        <v>21</v>
      </c>
      <c r="H36" s="9"/>
      <c r="J36" s="1">
        <v>3591.7064999999998</v>
      </c>
      <c r="N36" s="1" t="s">
        <v>10</v>
      </c>
      <c r="O36" s="1">
        <v>4.5</v>
      </c>
    </row>
    <row r="37" spans="4:15" x14ac:dyDescent="0.3">
      <c r="D37" s="1">
        <v>42886</v>
      </c>
      <c r="E37" s="2">
        <v>43472</v>
      </c>
      <c r="F37" s="1" t="s">
        <v>14</v>
      </c>
      <c r="G37" s="1">
        <v>42</v>
      </c>
      <c r="H37" s="9"/>
      <c r="J37" s="1">
        <v>173.94990000000001</v>
      </c>
      <c r="N37" s="1" t="s">
        <v>10</v>
      </c>
      <c r="O37" s="1">
        <v>0.5</v>
      </c>
    </row>
    <row r="38" spans="4:15" x14ac:dyDescent="0.3">
      <c r="D38" s="1">
        <v>48706</v>
      </c>
      <c r="E38" s="2">
        <v>43768</v>
      </c>
      <c r="F38" s="1" t="s">
        <v>7</v>
      </c>
      <c r="G38" s="1">
        <v>28</v>
      </c>
      <c r="H38" s="9"/>
      <c r="J38" s="1">
        <v>33.380000000000003</v>
      </c>
      <c r="N38" s="1" t="s">
        <v>10</v>
      </c>
      <c r="O38" s="1">
        <v>0.7</v>
      </c>
    </row>
    <row r="39" spans="4:15" x14ac:dyDescent="0.3">
      <c r="D39" s="1">
        <v>20292</v>
      </c>
      <c r="E39" s="2">
        <v>43777</v>
      </c>
      <c r="F39" s="1" t="s">
        <v>14</v>
      </c>
      <c r="G39" s="1">
        <v>26</v>
      </c>
      <c r="H39" s="9"/>
      <c r="J39" s="1">
        <v>484.06</v>
      </c>
      <c r="N39" s="1" t="s">
        <v>10</v>
      </c>
      <c r="O39" s="1">
        <v>8.6999999999999993</v>
      </c>
    </row>
    <row r="40" spans="4:15" x14ac:dyDescent="0.3">
      <c r="D40" s="1">
        <v>59909</v>
      </c>
      <c r="E40" s="2">
        <v>43682</v>
      </c>
      <c r="F40" s="1" t="s">
        <v>7</v>
      </c>
      <c r="G40" s="1">
        <v>11</v>
      </c>
      <c r="H40" s="9"/>
      <c r="J40" s="1">
        <v>1343.36</v>
      </c>
      <c r="N40" s="1" t="s">
        <v>13</v>
      </c>
      <c r="O40" s="1">
        <v>60.1</v>
      </c>
    </row>
    <row r="41" spans="4:15" x14ac:dyDescent="0.3">
      <c r="D41" s="1">
        <v>11875</v>
      </c>
      <c r="E41" s="2">
        <v>43697</v>
      </c>
      <c r="F41" s="1" t="s">
        <v>14</v>
      </c>
      <c r="G41" s="1">
        <v>19</v>
      </c>
      <c r="H41" s="9"/>
      <c r="J41" s="1">
        <v>259.61</v>
      </c>
      <c r="N41" s="1" t="s">
        <v>10</v>
      </c>
      <c r="O41" s="1">
        <v>6.7</v>
      </c>
    </row>
    <row r="42" spans="4:15" x14ac:dyDescent="0.3">
      <c r="D42" s="1">
        <v>25442</v>
      </c>
      <c r="E42" s="2">
        <v>43469</v>
      </c>
      <c r="F42" s="1" t="s">
        <v>9</v>
      </c>
      <c r="G42" s="1">
        <v>32</v>
      </c>
      <c r="H42" s="9"/>
      <c r="J42" s="1">
        <v>1782.62</v>
      </c>
      <c r="N42" s="1" t="s">
        <v>10</v>
      </c>
      <c r="O42" s="1">
        <v>5.2</v>
      </c>
    </row>
    <row r="43" spans="4:15" x14ac:dyDescent="0.3">
      <c r="D43" s="1">
        <v>48322</v>
      </c>
      <c r="E43" s="2">
        <v>43528</v>
      </c>
      <c r="F43" s="1" t="s">
        <v>14</v>
      </c>
      <c r="G43" s="1">
        <v>14</v>
      </c>
      <c r="H43" s="9"/>
      <c r="J43" s="1">
        <v>44.27</v>
      </c>
      <c r="N43" s="1" t="s">
        <v>10</v>
      </c>
      <c r="O43" s="1">
        <v>0.7</v>
      </c>
    </row>
    <row r="44" spans="4:15" x14ac:dyDescent="0.3">
      <c r="D44" s="1">
        <v>7107</v>
      </c>
      <c r="E44" s="2">
        <v>43468</v>
      </c>
      <c r="F44" s="1" t="s">
        <v>11</v>
      </c>
      <c r="G44" s="1">
        <v>3</v>
      </c>
      <c r="H44" s="9"/>
      <c r="J44" s="1">
        <v>184.08</v>
      </c>
      <c r="N44" s="1" t="s">
        <v>10</v>
      </c>
      <c r="O44" s="1">
        <v>11.9</v>
      </c>
    </row>
    <row r="45" spans="4:15" x14ac:dyDescent="0.3">
      <c r="D45" s="1">
        <v>28929</v>
      </c>
      <c r="E45" s="2">
        <v>43747</v>
      </c>
      <c r="F45" s="1" t="s">
        <v>14</v>
      </c>
      <c r="G45" s="1">
        <v>46</v>
      </c>
      <c r="H45" s="9"/>
      <c r="J45" s="1">
        <v>773.79</v>
      </c>
      <c r="N45" s="1" t="s">
        <v>10</v>
      </c>
      <c r="O45" s="1">
        <v>13.3</v>
      </c>
    </row>
    <row r="46" spans="4:15" x14ac:dyDescent="0.3">
      <c r="D46" s="1">
        <v>55073</v>
      </c>
      <c r="E46" s="2">
        <v>43544</v>
      </c>
      <c r="F46" s="1" t="s">
        <v>7</v>
      </c>
      <c r="G46" s="1">
        <v>40</v>
      </c>
      <c r="H46" s="9"/>
      <c r="J46" s="1">
        <v>2543.0801999999999</v>
      </c>
      <c r="N46" s="1" t="s">
        <v>10</v>
      </c>
      <c r="O46" s="1">
        <v>4.3</v>
      </c>
    </row>
    <row r="47" spans="4:15" x14ac:dyDescent="0.3">
      <c r="D47" s="1">
        <v>40193</v>
      </c>
      <c r="E47" s="2">
        <v>43710</v>
      </c>
      <c r="F47" s="1" t="s">
        <v>9</v>
      </c>
      <c r="G47" s="1">
        <v>34</v>
      </c>
      <c r="H47" s="9"/>
      <c r="J47" s="1">
        <v>3349.32</v>
      </c>
      <c r="N47" s="1" t="s">
        <v>8</v>
      </c>
      <c r="O47" s="1">
        <v>2.7</v>
      </c>
    </row>
    <row r="48" spans="4:15" x14ac:dyDescent="0.3">
      <c r="D48" s="1">
        <v>56384</v>
      </c>
      <c r="E48" s="2">
        <v>43677</v>
      </c>
      <c r="F48" s="1" t="s">
        <v>12</v>
      </c>
      <c r="G48" s="1">
        <v>47</v>
      </c>
      <c r="H48" s="9"/>
      <c r="J48" s="1">
        <v>275.2</v>
      </c>
      <c r="N48" s="1" t="s">
        <v>10</v>
      </c>
      <c r="O48" s="1">
        <v>52.4</v>
      </c>
    </row>
    <row r="49" spans="4:15" x14ac:dyDescent="0.3">
      <c r="D49" s="1">
        <v>16005</v>
      </c>
      <c r="E49" s="2">
        <v>43823</v>
      </c>
      <c r="F49" s="1" t="s">
        <v>11</v>
      </c>
      <c r="G49" s="1">
        <v>7</v>
      </c>
      <c r="H49" s="9"/>
      <c r="J49" s="1">
        <v>54.6</v>
      </c>
      <c r="N49" s="1" t="s">
        <v>10</v>
      </c>
      <c r="O49" s="1">
        <v>5.9</v>
      </c>
    </row>
    <row r="50" spans="4:15" x14ac:dyDescent="0.3">
      <c r="D50" s="1">
        <v>53600</v>
      </c>
      <c r="E50" s="2">
        <v>43656</v>
      </c>
      <c r="F50" s="1" t="s">
        <v>14</v>
      </c>
      <c r="G50" s="1">
        <v>8</v>
      </c>
      <c r="H50" s="9"/>
      <c r="J50" s="1">
        <v>59.48</v>
      </c>
      <c r="N50" s="1" t="s">
        <v>8</v>
      </c>
      <c r="O50" s="1">
        <v>6.1</v>
      </c>
    </row>
    <row r="51" spans="4:15" x14ac:dyDescent="0.3">
      <c r="D51" s="1">
        <v>50370</v>
      </c>
      <c r="E51" s="2">
        <v>43775</v>
      </c>
      <c r="F51" s="1" t="s">
        <v>12</v>
      </c>
      <c r="G51" s="1">
        <v>25</v>
      </c>
      <c r="H51" s="9"/>
      <c r="J51" s="1">
        <v>130.59</v>
      </c>
      <c r="N51" s="1" t="s">
        <v>8</v>
      </c>
      <c r="O51" s="1">
        <v>5.8</v>
      </c>
    </row>
    <row r="52" spans="4:15" x14ac:dyDescent="0.3">
      <c r="D52" s="1">
        <v>46979</v>
      </c>
      <c r="E52" s="2">
        <v>43662</v>
      </c>
      <c r="F52" s="1" t="s">
        <v>7</v>
      </c>
      <c r="G52" s="1">
        <v>26</v>
      </c>
      <c r="H52" s="9"/>
      <c r="J52" s="1">
        <v>145.38999999999999</v>
      </c>
      <c r="N52" s="1" t="s">
        <v>10</v>
      </c>
      <c r="O52" s="1">
        <v>5.9</v>
      </c>
    </row>
    <row r="53" spans="4:15" x14ac:dyDescent="0.3">
      <c r="D53" s="1">
        <v>29376</v>
      </c>
      <c r="E53" s="2">
        <v>43688</v>
      </c>
      <c r="F53" s="1" t="s">
        <v>12</v>
      </c>
      <c r="G53" s="1">
        <v>20</v>
      </c>
      <c r="H53" s="9"/>
      <c r="J53" s="1">
        <v>3049.83</v>
      </c>
      <c r="N53" s="1" t="s">
        <v>10</v>
      </c>
      <c r="O53" s="1">
        <v>7.6</v>
      </c>
    </row>
    <row r="54" spans="4:15" x14ac:dyDescent="0.3">
      <c r="D54" s="1">
        <v>56930</v>
      </c>
      <c r="E54" s="2">
        <v>43694</v>
      </c>
      <c r="F54" s="1" t="s">
        <v>7</v>
      </c>
      <c r="G54" s="1">
        <v>47</v>
      </c>
      <c r="H54" s="9"/>
      <c r="J54" s="1">
        <v>244.29</v>
      </c>
      <c r="N54" s="1" t="s">
        <v>10</v>
      </c>
      <c r="O54" s="1">
        <v>0.7</v>
      </c>
    </row>
    <row r="55" spans="4:15" x14ac:dyDescent="0.3">
      <c r="D55" s="1">
        <v>50532</v>
      </c>
      <c r="E55" s="2">
        <v>43691</v>
      </c>
      <c r="F55" s="1" t="s">
        <v>14</v>
      </c>
      <c r="G55" s="1">
        <v>22</v>
      </c>
      <c r="H55" s="9"/>
      <c r="J55" s="1">
        <v>88.79</v>
      </c>
      <c r="N55" s="1" t="s">
        <v>10</v>
      </c>
      <c r="O55" s="1">
        <v>1.4</v>
      </c>
    </row>
    <row r="56" spans="4:15" x14ac:dyDescent="0.3">
      <c r="D56" s="1">
        <v>9505</v>
      </c>
      <c r="E56" s="2">
        <v>43623</v>
      </c>
      <c r="F56" s="1" t="s">
        <v>9</v>
      </c>
      <c r="G56" s="1">
        <v>2</v>
      </c>
      <c r="H56" s="9"/>
      <c r="J56" s="1">
        <v>338.68</v>
      </c>
      <c r="N56" s="1" t="s">
        <v>10</v>
      </c>
      <c r="O56" s="1">
        <v>4.3</v>
      </c>
    </row>
    <row r="57" spans="4:15" x14ac:dyDescent="0.3">
      <c r="D57" s="1">
        <v>35492</v>
      </c>
      <c r="E57" s="2">
        <v>43505</v>
      </c>
      <c r="F57" s="1" t="s">
        <v>14</v>
      </c>
      <c r="G57" s="1">
        <v>36</v>
      </c>
      <c r="H57" s="9"/>
      <c r="J57" s="1">
        <v>487.85</v>
      </c>
      <c r="N57" s="1" t="s">
        <v>8</v>
      </c>
      <c r="O57" s="1">
        <v>5.3</v>
      </c>
    </row>
    <row r="58" spans="4:15" x14ac:dyDescent="0.3">
      <c r="D58" s="1">
        <v>7267</v>
      </c>
      <c r="E58" s="2">
        <v>43705</v>
      </c>
      <c r="F58" s="1" t="s">
        <v>9</v>
      </c>
      <c r="G58" s="1">
        <v>19</v>
      </c>
      <c r="H58" s="9"/>
      <c r="J58" s="1">
        <v>280.68</v>
      </c>
      <c r="N58" s="1" t="s">
        <v>10</v>
      </c>
      <c r="O58" s="1">
        <v>6.9</v>
      </c>
    </row>
    <row r="59" spans="4:15" x14ac:dyDescent="0.3">
      <c r="D59" s="1">
        <v>11362</v>
      </c>
      <c r="E59" s="2">
        <v>43718</v>
      </c>
      <c r="F59" s="1" t="s">
        <v>7</v>
      </c>
      <c r="G59" s="1">
        <v>9</v>
      </c>
      <c r="H59" s="9"/>
      <c r="J59" s="1">
        <v>6870.3308999999999</v>
      </c>
      <c r="N59" s="1" t="s">
        <v>10</v>
      </c>
      <c r="O59" s="1">
        <v>26.2</v>
      </c>
    </row>
    <row r="60" spans="4:15" x14ac:dyDescent="0.3">
      <c r="D60" s="1">
        <v>47041</v>
      </c>
      <c r="E60" s="2">
        <v>43556</v>
      </c>
      <c r="F60" s="1" t="s">
        <v>11</v>
      </c>
      <c r="G60" s="1">
        <v>35</v>
      </c>
      <c r="H60" s="9"/>
      <c r="J60" s="1">
        <v>164.78</v>
      </c>
      <c r="N60" s="1" t="s">
        <v>10</v>
      </c>
      <c r="O60" s="1">
        <v>2.1</v>
      </c>
    </row>
    <row r="61" spans="4:15" x14ac:dyDescent="0.3">
      <c r="D61" s="1">
        <v>1154</v>
      </c>
      <c r="E61" s="2">
        <v>43509</v>
      </c>
      <c r="F61" s="1" t="s">
        <v>12</v>
      </c>
      <c r="G61" s="1">
        <v>11</v>
      </c>
      <c r="H61" s="9"/>
      <c r="J61" s="1">
        <v>710.25</v>
      </c>
      <c r="N61" s="1" t="s">
        <v>10</v>
      </c>
      <c r="O61" s="1">
        <v>73.8</v>
      </c>
    </row>
    <row r="62" spans="4:15" x14ac:dyDescent="0.3">
      <c r="D62" s="1">
        <v>29985</v>
      </c>
      <c r="E62" s="2">
        <v>43657</v>
      </c>
      <c r="F62" s="1" t="s">
        <v>12</v>
      </c>
      <c r="G62" s="1">
        <v>2</v>
      </c>
      <c r="H62" s="9"/>
      <c r="J62" s="1">
        <v>26.23</v>
      </c>
      <c r="N62" s="1" t="s">
        <v>10</v>
      </c>
      <c r="O62" s="1">
        <v>9.6</v>
      </c>
    </row>
    <row r="63" spans="4:15" x14ac:dyDescent="0.3">
      <c r="D63" s="1">
        <v>24263</v>
      </c>
      <c r="E63" s="2">
        <v>43723</v>
      </c>
      <c r="F63" s="1" t="s">
        <v>7</v>
      </c>
      <c r="G63" s="1">
        <v>16</v>
      </c>
      <c r="H63" s="9"/>
      <c r="J63" s="1">
        <v>548.71</v>
      </c>
      <c r="N63" s="1" t="s">
        <v>13</v>
      </c>
      <c r="O63" s="1">
        <v>20.5</v>
      </c>
    </row>
    <row r="64" spans="4:15" x14ac:dyDescent="0.3">
      <c r="D64" s="1">
        <v>23428</v>
      </c>
      <c r="E64" s="2">
        <v>43766</v>
      </c>
      <c r="F64" s="1" t="s">
        <v>9</v>
      </c>
      <c r="G64" s="1">
        <v>41</v>
      </c>
      <c r="H64" s="9"/>
      <c r="J64" s="1">
        <v>1049.6199999999999</v>
      </c>
      <c r="N64" s="1" t="s">
        <v>10</v>
      </c>
      <c r="O64" s="1">
        <v>8.8000000000000007</v>
      </c>
    </row>
    <row r="65" spans="4:15" x14ac:dyDescent="0.3">
      <c r="D65" s="1">
        <v>22272</v>
      </c>
      <c r="E65" s="2">
        <v>43591</v>
      </c>
      <c r="F65" s="1" t="s">
        <v>9</v>
      </c>
      <c r="G65" s="1">
        <v>30</v>
      </c>
      <c r="H65" s="9"/>
      <c r="J65" s="1">
        <v>1108.47</v>
      </c>
      <c r="N65" s="1" t="s">
        <v>10</v>
      </c>
      <c r="O65" s="1">
        <v>2.1</v>
      </c>
    </row>
    <row r="66" spans="4:15" x14ac:dyDescent="0.3">
      <c r="D66" s="1">
        <v>18464</v>
      </c>
      <c r="E66" s="2">
        <v>43552</v>
      </c>
      <c r="F66" s="1" t="s">
        <v>9</v>
      </c>
      <c r="G66" s="1">
        <v>37</v>
      </c>
      <c r="H66" s="9"/>
      <c r="J66" s="1">
        <v>6461.84</v>
      </c>
      <c r="N66" s="1" t="s">
        <v>13</v>
      </c>
      <c r="O66" s="1">
        <v>70.900000000000006</v>
      </c>
    </row>
    <row r="67" spans="4:15" x14ac:dyDescent="0.3">
      <c r="D67" s="1">
        <v>55938</v>
      </c>
      <c r="E67" s="2">
        <v>43648</v>
      </c>
      <c r="F67" s="1" t="s">
        <v>11</v>
      </c>
      <c r="G67" s="1">
        <v>18</v>
      </c>
      <c r="H67" s="9"/>
      <c r="J67" s="1">
        <v>1893.79</v>
      </c>
      <c r="N67" s="1" t="s">
        <v>8</v>
      </c>
      <c r="O67" s="1">
        <v>37.5</v>
      </c>
    </row>
    <row r="68" spans="4:15" x14ac:dyDescent="0.3">
      <c r="D68" s="1">
        <v>28485</v>
      </c>
      <c r="E68" s="2">
        <v>43476</v>
      </c>
      <c r="F68" s="1" t="s">
        <v>9</v>
      </c>
      <c r="G68" s="1">
        <v>12</v>
      </c>
      <c r="H68" s="9"/>
      <c r="J68" s="1">
        <v>52.622599999999998</v>
      </c>
      <c r="N68" s="1" t="s">
        <v>10</v>
      </c>
      <c r="O68" s="1">
        <v>1</v>
      </c>
    </row>
    <row r="69" spans="4:15" x14ac:dyDescent="0.3">
      <c r="D69" s="1">
        <v>17187</v>
      </c>
      <c r="E69" s="2">
        <v>43731</v>
      </c>
      <c r="F69" s="1" t="s">
        <v>9</v>
      </c>
      <c r="G69" s="1">
        <v>4</v>
      </c>
      <c r="H69" s="9"/>
      <c r="J69" s="1">
        <v>3158.61</v>
      </c>
      <c r="N69" s="1" t="s">
        <v>13</v>
      </c>
      <c r="O69" s="1">
        <v>17.2</v>
      </c>
    </row>
    <row r="70" spans="4:15" x14ac:dyDescent="0.3">
      <c r="D70" s="1">
        <v>13923</v>
      </c>
      <c r="E70" s="2">
        <v>43654</v>
      </c>
      <c r="F70" s="1" t="s">
        <v>9</v>
      </c>
      <c r="G70" s="1">
        <v>27</v>
      </c>
      <c r="H70" s="9"/>
      <c r="J70" s="1">
        <v>6583.5</v>
      </c>
      <c r="N70" s="1" t="s">
        <v>13</v>
      </c>
      <c r="O70" s="1">
        <v>30.7</v>
      </c>
    </row>
    <row r="71" spans="4:15" x14ac:dyDescent="0.3">
      <c r="D71" s="1">
        <v>16359</v>
      </c>
      <c r="E71" s="2">
        <v>43599</v>
      </c>
      <c r="F71" s="1" t="s">
        <v>12</v>
      </c>
      <c r="G71" s="1">
        <v>39</v>
      </c>
      <c r="H71" s="9"/>
      <c r="J71" s="1">
        <v>1437.65</v>
      </c>
      <c r="N71" s="1" t="s">
        <v>10</v>
      </c>
      <c r="O71" s="1">
        <v>15.8</v>
      </c>
    </row>
    <row r="72" spans="4:15" x14ac:dyDescent="0.3">
      <c r="D72" s="1">
        <v>43906</v>
      </c>
      <c r="E72" s="2">
        <v>43503</v>
      </c>
      <c r="F72" s="1" t="s">
        <v>9</v>
      </c>
      <c r="G72" s="1">
        <v>50</v>
      </c>
      <c r="H72" s="9"/>
      <c r="J72" s="1">
        <v>3853.1448999999998</v>
      </c>
      <c r="N72" s="1" t="s">
        <v>10</v>
      </c>
      <c r="O72" s="1">
        <v>15.5</v>
      </c>
    </row>
    <row r="73" spans="4:15" x14ac:dyDescent="0.3">
      <c r="D73" s="1">
        <v>1345</v>
      </c>
      <c r="E73" s="2">
        <v>43765</v>
      </c>
      <c r="F73" s="1" t="s">
        <v>7</v>
      </c>
      <c r="G73" s="1">
        <v>24</v>
      </c>
      <c r="H73" s="9"/>
      <c r="J73" s="1">
        <v>2614.92</v>
      </c>
      <c r="N73" s="1" t="s">
        <v>13</v>
      </c>
      <c r="O73" s="1">
        <v>38.299999999999997</v>
      </c>
    </row>
    <row r="74" spans="4:15" x14ac:dyDescent="0.3">
      <c r="D74" s="1">
        <v>11776</v>
      </c>
      <c r="E74" s="2">
        <v>43519</v>
      </c>
      <c r="F74" s="1" t="s">
        <v>7</v>
      </c>
      <c r="G74" s="1">
        <v>40</v>
      </c>
      <c r="H74" s="9"/>
      <c r="J74" s="1">
        <v>61.25</v>
      </c>
      <c r="N74" s="1" t="s">
        <v>8</v>
      </c>
      <c r="O74" s="1">
        <v>0.7</v>
      </c>
    </row>
    <row r="75" spans="4:15" x14ac:dyDescent="0.3">
      <c r="D75" s="1">
        <v>17953</v>
      </c>
      <c r="E75" s="2">
        <v>43697</v>
      </c>
      <c r="F75" s="1" t="s">
        <v>9</v>
      </c>
      <c r="G75" s="1">
        <v>30</v>
      </c>
      <c r="H75" s="9"/>
      <c r="J75" s="1">
        <v>1043.3800000000001</v>
      </c>
      <c r="N75" s="1" t="s">
        <v>10</v>
      </c>
      <c r="O75" s="1">
        <v>20.9</v>
      </c>
    </row>
    <row r="76" spans="4:15" x14ac:dyDescent="0.3">
      <c r="D76" s="1">
        <v>59204</v>
      </c>
      <c r="E76" s="2">
        <v>43524</v>
      </c>
      <c r="F76" s="1" t="s">
        <v>14</v>
      </c>
      <c r="G76" s="1">
        <v>7</v>
      </c>
      <c r="H76" s="9"/>
      <c r="J76" s="1">
        <v>269.2</v>
      </c>
      <c r="N76" s="1" t="s">
        <v>10</v>
      </c>
      <c r="O76" s="1">
        <v>5.4</v>
      </c>
    </row>
    <row r="77" spans="4:15" x14ac:dyDescent="0.3">
      <c r="D77" s="1">
        <v>58658</v>
      </c>
      <c r="E77" s="2">
        <v>43627</v>
      </c>
      <c r="F77" s="1" t="s">
        <v>14</v>
      </c>
      <c r="G77" s="1">
        <v>41</v>
      </c>
      <c r="H77" s="9"/>
      <c r="J77" s="1">
        <v>981.46</v>
      </c>
      <c r="N77" s="1" t="s">
        <v>10</v>
      </c>
      <c r="O77" s="1">
        <v>7</v>
      </c>
    </row>
    <row r="78" spans="4:15" x14ac:dyDescent="0.3">
      <c r="D78" s="1">
        <v>26084</v>
      </c>
      <c r="E78" s="2">
        <v>43754</v>
      </c>
      <c r="F78" s="1" t="s">
        <v>7</v>
      </c>
      <c r="G78" s="1">
        <v>33</v>
      </c>
      <c r="H78" s="9"/>
      <c r="J78" s="1">
        <v>244.84</v>
      </c>
      <c r="N78" s="1" t="s">
        <v>8</v>
      </c>
      <c r="O78" s="1">
        <v>7.8</v>
      </c>
    </row>
    <row r="79" spans="4:15" x14ac:dyDescent="0.3">
      <c r="D79" s="1">
        <v>57157</v>
      </c>
      <c r="E79" s="2">
        <v>43521</v>
      </c>
      <c r="F79" s="1" t="s">
        <v>12</v>
      </c>
      <c r="G79" s="1">
        <v>18</v>
      </c>
      <c r="H79" s="9"/>
      <c r="J79" s="1">
        <v>217.82</v>
      </c>
      <c r="N79" s="1" t="s">
        <v>10</v>
      </c>
      <c r="O79" s="1">
        <v>4.3</v>
      </c>
    </row>
    <row r="80" spans="4:15" x14ac:dyDescent="0.3">
      <c r="D80" s="1">
        <v>51747</v>
      </c>
      <c r="E80" s="2">
        <v>43651</v>
      </c>
      <c r="F80" s="1" t="s">
        <v>14</v>
      </c>
      <c r="G80" s="1">
        <v>3</v>
      </c>
      <c r="H80" s="9"/>
      <c r="J80" s="1">
        <v>12.96</v>
      </c>
      <c r="N80" s="1" t="s">
        <v>10</v>
      </c>
      <c r="O80" s="1">
        <v>0.5</v>
      </c>
    </row>
    <row r="81" spans="4:15" x14ac:dyDescent="0.3">
      <c r="D81" s="1">
        <v>56644</v>
      </c>
      <c r="E81" s="2">
        <v>43797</v>
      </c>
      <c r="F81" s="1" t="s">
        <v>11</v>
      </c>
      <c r="G81" s="1">
        <v>36</v>
      </c>
      <c r="H81" s="9"/>
      <c r="J81" s="1">
        <v>87.84</v>
      </c>
      <c r="N81" s="1" t="s">
        <v>10</v>
      </c>
      <c r="O81" s="1">
        <v>1.1000000000000001</v>
      </c>
    </row>
    <row r="82" spans="4:15" x14ac:dyDescent="0.3">
      <c r="D82" s="1">
        <v>10982</v>
      </c>
      <c r="E82" s="2">
        <v>43809</v>
      </c>
      <c r="F82" s="1" t="s">
        <v>11</v>
      </c>
      <c r="G82" s="1">
        <v>14</v>
      </c>
      <c r="H82" s="9"/>
      <c r="J82" s="1">
        <v>22.416499999999999</v>
      </c>
      <c r="N82" s="1" t="s">
        <v>8</v>
      </c>
      <c r="O82" s="1">
        <v>0.7</v>
      </c>
    </row>
    <row r="83" spans="4:15" x14ac:dyDescent="0.3">
      <c r="D83" s="1">
        <v>42887</v>
      </c>
      <c r="E83" s="2">
        <v>43626</v>
      </c>
      <c r="F83" s="1" t="s">
        <v>14</v>
      </c>
      <c r="G83" s="1">
        <v>11</v>
      </c>
      <c r="H83" s="9"/>
      <c r="J83" s="1">
        <v>251.19</v>
      </c>
      <c r="N83" s="1" t="s">
        <v>10</v>
      </c>
      <c r="O83" s="1">
        <v>9.6</v>
      </c>
    </row>
    <row r="84" spans="4:15" x14ac:dyDescent="0.3">
      <c r="D84" s="1">
        <v>51175</v>
      </c>
      <c r="E84" s="2">
        <v>43691</v>
      </c>
      <c r="F84" s="1" t="s">
        <v>9</v>
      </c>
      <c r="G84" s="1">
        <v>28</v>
      </c>
      <c r="H84" s="9"/>
      <c r="J84" s="1">
        <v>1214.71</v>
      </c>
      <c r="N84" s="1" t="s">
        <v>10</v>
      </c>
      <c r="O84" s="1">
        <v>4.8</v>
      </c>
    </row>
    <row r="85" spans="4:15" x14ac:dyDescent="0.3">
      <c r="D85" s="1">
        <v>9024</v>
      </c>
      <c r="E85" s="2">
        <v>43618</v>
      </c>
      <c r="F85" s="1" t="s">
        <v>14</v>
      </c>
      <c r="G85" s="1">
        <v>30</v>
      </c>
      <c r="H85" s="9"/>
      <c r="J85" s="1">
        <v>1215.9908</v>
      </c>
      <c r="N85" s="1" t="s">
        <v>10</v>
      </c>
      <c r="O85" s="1">
        <v>7</v>
      </c>
    </row>
    <row r="86" spans="4:15" x14ac:dyDescent="0.3">
      <c r="D86" s="1">
        <v>26756</v>
      </c>
      <c r="E86" s="2">
        <v>43595</v>
      </c>
      <c r="F86" s="1" t="s">
        <v>14</v>
      </c>
      <c r="G86" s="1">
        <v>40</v>
      </c>
      <c r="H86" s="9"/>
      <c r="J86" s="1">
        <v>271.66000000000003</v>
      </c>
      <c r="N86" s="1" t="s">
        <v>10</v>
      </c>
      <c r="O86" s="1">
        <v>6.7</v>
      </c>
    </row>
    <row r="87" spans="4:15" x14ac:dyDescent="0.3">
      <c r="D87" s="1">
        <v>25478</v>
      </c>
      <c r="E87" s="2">
        <v>43579</v>
      </c>
      <c r="F87" s="1" t="s">
        <v>12</v>
      </c>
      <c r="G87" s="1">
        <v>47</v>
      </c>
      <c r="H87" s="9"/>
      <c r="J87" s="1">
        <v>5055.8500000000004</v>
      </c>
      <c r="N87" s="1" t="s">
        <v>10</v>
      </c>
      <c r="O87" s="1">
        <v>2.7</v>
      </c>
    </row>
    <row r="88" spans="4:15" x14ac:dyDescent="0.3">
      <c r="D88" s="1">
        <v>26310</v>
      </c>
      <c r="E88" s="2">
        <v>43675</v>
      </c>
      <c r="F88" s="1" t="s">
        <v>11</v>
      </c>
      <c r="G88" s="1">
        <v>5</v>
      </c>
      <c r="H88" s="9"/>
      <c r="J88" s="1">
        <v>82.83</v>
      </c>
      <c r="N88" s="1" t="s">
        <v>10</v>
      </c>
      <c r="O88" s="1">
        <v>1.5</v>
      </c>
    </row>
    <row r="89" spans="4:15" x14ac:dyDescent="0.3">
      <c r="D89" s="1">
        <v>20933</v>
      </c>
      <c r="E89" s="2">
        <v>43703</v>
      </c>
      <c r="F89" s="1" t="s">
        <v>9</v>
      </c>
      <c r="G89" s="1">
        <v>45</v>
      </c>
      <c r="H89" s="9"/>
      <c r="J89" s="1">
        <v>2225.04</v>
      </c>
      <c r="N89" s="1" t="s">
        <v>10</v>
      </c>
      <c r="O89" s="1">
        <v>5.4</v>
      </c>
    </row>
    <row r="90" spans="4:15" x14ac:dyDescent="0.3">
      <c r="D90" s="1">
        <v>29761</v>
      </c>
      <c r="E90" s="2">
        <v>43649</v>
      </c>
      <c r="F90" s="1" t="s">
        <v>14</v>
      </c>
      <c r="G90" s="1">
        <v>42</v>
      </c>
      <c r="H90" s="9"/>
      <c r="J90" s="1">
        <v>1161.3800000000001</v>
      </c>
      <c r="N90" s="1" t="s">
        <v>10</v>
      </c>
      <c r="O90" s="1">
        <v>5.7</v>
      </c>
    </row>
    <row r="91" spans="4:15" x14ac:dyDescent="0.3">
      <c r="D91" s="1">
        <v>33570</v>
      </c>
      <c r="E91" s="2">
        <v>43815</v>
      </c>
      <c r="F91" s="1" t="s">
        <v>11</v>
      </c>
      <c r="G91" s="1">
        <v>46</v>
      </c>
      <c r="H91" s="9"/>
      <c r="J91" s="1">
        <v>284.49</v>
      </c>
      <c r="N91" s="1" t="s">
        <v>10</v>
      </c>
      <c r="O91" s="1">
        <v>5.4</v>
      </c>
    </row>
    <row r="92" spans="4:15" x14ac:dyDescent="0.3">
      <c r="D92" s="1">
        <v>34822</v>
      </c>
      <c r="E92" s="2">
        <v>43656</v>
      </c>
      <c r="F92" s="1" t="s">
        <v>11</v>
      </c>
      <c r="G92" s="1">
        <v>23</v>
      </c>
      <c r="H92" s="9"/>
      <c r="J92" s="1">
        <v>1059.8399999999999</v>
      </c>
      <c r="N92" s="1" t="s">
        <v>10</v>
      </c>
      <c r="O92" s="1">
        <v>2.1</v>
      </c>
    </row>
    <row r="93" spans="4:15" x14ac:dyDescent="0.3">
      <c r="D93" s="1">
        <v>9505</v>
      </c>
      <c r="E93" s="2">
        <v>43623</v>
      </c>
      <c r="F93" s="1" t="s">
        <v>9</v>
      </c>
      <c r="G93" s="1">
        <v>5</v>
      </c>
      <c r="H93" s="9"/>
      <c r="J93" s="1">
        <v>166.27</v>
      </c>
      <c r="N93" s="1" t="s">
        <v>10</v>
      </c>
      <c r="O93" s="1">
        <v>5.9</v>
      </c>
    </row>
    <row r="94" spans="4:15" x14ac:dyDescent="0.3">
      <c r="D94" s="1">
        <v>54339</v>
      </c>
      <c r="E94" s="2">
        <v>43587</v>
      </c>
      <c r="F94" s="1" t="s">
        <v>7</v>
      </c>
      <c r="G94" s="1">
        <v>41</v>
      </c>
      <c r="H94" s="9"/>
      <c r="J94" s="1">
        <v>2364.1815999999999</v>
      </c>
      <c r="N94" s="1" t="s">
        <v>10</v>
      </c>
      <c r="O94" s="1">
        <v>5.7</v>
      </c>
    </row>
    <row r="95" spans="4:15" x14ac:dyDescent="0.3">
      <c r="D95" s="1">
        <v>50433</v>
      </c>
      <c r="E95" s="2">
        <v>43483</v>
      </c>
      <c r="F95" s="1" t="s">
        <v>12</v>
      </c>
      <c r="G95" s="1">
        <v>50</v>
      </c>
      <c r="H95" s="9"/>
      <c r="J95" s="1">
        <v>7092.55</v>
      </c>
      <c r="N95" s="1" t="s">
        <v>13</v>
      </c>
      <c r="O95" s="1">
        <v>19.100000000000001</v>
      </c>
    </row>
    <row r="96" spans="4:15" x14ac:dyDescent="0.3">
      <c r="D96" s="1">
        <v>48902</v>
      </c>
      <c r="E96" s="2">
        <v>43761</v>
      </c>
      <c r="F96" s="1" t="s">
        <v>14</v>
      </c>
      <c r="G96" s="1">
        <v>7</v>
      </c>
      <c r="H96" s="9"/>
      <c r="J96" s="1">
        <v>57.02</v>
      </c>
      <c r="N96" s="1" t="s">
        <v>10</v>
      </c>
      <c r="O96" s="1">
        <v>8</v>
      </c>
    </row>
    <row r="97" spans="4:15" x14ac:dyDescent="0.3">
      <c r="D97" s="1">
        <v>13284</v>
      </c>
      <c r="E97" s="2">
        <v>43689</v>
      </c>
      <c r="F97" s="1" t="s">
        <v>9</v>
      </c>
      <c r="G97" s="1">
        <v>49</v>
      </c>
      <c r="H97" s="9"/>
      <c r="J97" s="1">
        <v>1778.95</v>
      </c>
      <c r="N97" s="1" t="s">
        <v>10</v>
      </c>
      <c r="O97" s="1">
        <v>3.2</v>
      </c>
    </row>
    <row r="98" spans="4:15" x14ac:dyDescent="0.3">
      <c r="D98" s="1">
        <v>42243</v>
      </c>
      <c r="E98" s="2">
        <v>43535</v>
      </c>
      <c r="F98" s="1" t="s">
        <v>14</v>
      </c>
      <c r="G98" s="1">
        <v>42</v>
      </c>
      <c r="H98" s="9"/>
      <c r="J98" s="1">
        <v>2007.42</v>
      </c>
      <c r="N98" s="1" t="s">
        <v>10</v>
      </c>
      <c r="O98" s="1">
        <v>3.2</v>
      </c>
    </row>
    <row r="99" spans="4:15" x14ac:dyDescent="0.3">
      <c r="D99" s="1">
        <v>44839</v>
      </c>
      <c r="E99" s="2">
        <v>43627</v>
      </c>
      <c r="F99" s="1" t="s">
        <v>12</v>
      </c>
      <c r="G99" s="1">
        <v>27</v>
      </c>
      <c r="H99" s="9"/>
      <c r="J99" s="1">
        <v>962.97</v>
      </c>
      <c r="N99" s="1" t="s">
        <v>8</v>
      </c>
      <c r="O99" s="1">
        <v>21.4</v>
      </c>
    </row>
    <row r="100" spans="4:15" x14ac:dyDescent="0.3">
      <c r="D100" s="1">
        <v>59586</v>
      </c>
      <c r="E100" s="2">
        <v>43531</v>
      </c>
      <c r="F100" s="1" t="s">
        <v>7</v>
      </c>
      <c r="G100" s="1">
        <v>25</v>
      </c>
      <c r="H100" s="9"/>
      <c r="J100" s="1">
        <v>178.94</v>
      </c>
      <c r="N100" s="1" t="s">
        <v>10</v>
      </c>
      <c r="O100" s="1">
        <v>5.8</v>
      </c>
    </row>
    <row r="101" spans="4:15" x14ac:dyDescent="0.3">
      <c r="D101" s="1">
        <v>30720</v>
      </c>
      <c r="E101" s="2">
        <v>43735</v>
      </c>
      <c r="F101" s="1" t="s">
        <v>7</v>
      </c>
      <c r="G101" s="1">
        <v>37</v>
      </c>
      <c r="H101" s="9"/>
      <c r="J101" s="1">
        <v>1820.64</v>
      </c>
      <c r="N101" s="1" t="s">
        <v>8</v>
      </c>
      <c r="O101" s="1">
        <v>2.1</v>
      </c>
    </row>
    <row r="102" spans="4:15" x14ac:dyDescent="0.3">
      <c r="D102" s="1">
        <v>32804</v>
      </c>
      <c r="E102" s="2">
        <v>43717</v>
      </c>
      <c r="F102" s="1" t="s">
        <v>14</v>
      </c>
      <c r="G102" s="1">
        <v>20</v>
      </c>
      <c r="H102" s="9"/>
      <c r="J102" s="1">
        <v>95.78</v>
      </c>
      <c r="N102" s="1" t="s">
        <v>10</v>
      </c>
      <c r="O102" s="1">
        <v>5.6</v>
      </c>
    </row>
    <row r="103" spans="4:15" x14ac:dyDescent="0.3">
      <c r="D103" s="1">
        <v>53216</v>
      </c>
      <c r="E103" s="2">
        <v>43803</v>
      </c>
      <c r="F103" s="1" t="s">
        <v>9</v>
      </c>
      <c r="G103" s="1">
        <v>36</v>
      </c>
      <c r="H103" s="9"/>
      <c r="J103" s="1">
        <v>243.97069999999999</v>
      </c>
      <c r="N103" s="1" t="s">
        <v>10</v>
      </c>
      <c r="O103" s="1">
        <v>9.3000000000000007</v>
      </c>
    </row>
    <row r="104" spans="4:15" x14ac:dyDescent="0.3">
      <c r="D104" s="1">
        <v>55777</v>
      </c>
      <c r="E104" s="2">
        <v>43779</v>
      </c>
      <c r="F104" s="1" t="s">
        <v>11</v>
      </c>
      <c r="G104" s="1">
        <v>1</v>
      </c>
      <c r="H104" s="9"/>
      <c r="J104" s="1">
        <v>70.349999999999994</v>
      </c>
      <c r="N104" s="1" t="s">
        <v>8</v>
      </c>
      <c r="O104" s="1">
        <v>4.3</v>
      </c>
    </row>
    <row r="105" spans="4:15" x14ac:dyDescent="0.3">
      <c r="D105" s="1">
        <v>35011</v>
      </c>
      <c r="E105" s="2">
        <v>43809</v>
      </c>
      <c r="F105" s="1" t="s">
        <v>11</v>
      </c>
      <c r="G105" s="1">
        <v>14</v>
      </c>
      <c r="H105" s="9"/>
      <c r="J105" s="1">
        <v>165.26</v>
      </c>
      <c r="N105" s="1" t="s">
        <v>10</v>
      </c>
      <c r="O105" s="1">
        <v>3.6</v>
      </c>
    </row>
    <row r="106" spans="4:15" x14ac:dyDescent="0.3">
      <c r="D106" s="1">
        <v>16706</v>
      </c>
      <c r="E106" s="2">
        <v>43643</v>
      </c>
      <c r="F106" s="1" t="s">
        <v>9</v>
      </c>
      <c r="G106" s="1">
        <v>6</v>
      </c>
      <c r="H106" s="9"/>
      <c r="J106" s="1">
        <v>19.655899999999999</v>
      </c>
      <c r="N106" s="1" t="s">
        <v>10</v>
      </c>
      <c r="O106" s="1">
        <v>1.3</v>
      </c>
    </row>
    <row r="107" spans="4:15" x14ac:dyDescent="0.3">
      <c r="D107" s="1">
        <v>4069</v>
      </c>
      <c r="E107" s="2">
        <v>43597</v>
      </c>
      <c r="F107" s="1" t="s">
        <v>14</v>
      </c>
      <c r="G107" s="1">
        <v>47</v>
      </c>
      <c r="H107" s="9"/>
      <c r="J107" s="1">
        <v>133.69</v>
      </c>
      <c r="N107" s="1" t="s">
        <v>8</v>
      </c>
      <c r="O107" s="1">
        <v>1.4</v>
      </c>
    </row>
    <row r="108" spans="4:15" x14ac:dyDescent="0.3">
      <c r="D108" s="1">
        <v>22272</v>
      </c>
      <c r="E108" s="2">
        <v>43591</v>
      </c>
      <c r="F108" s="1" t="s">
        <v>9</v>
      </c>
      <c r="G108" s="1">
        <v>37</v>
      </c>
      <c r="H108" s="9"/>
      <c r="J108" s="1">
        <v>5759</v>
      </c>
      <c r="N108" s="1" t="s">
        <v>10</v>
      </c>
      <c r="O108" s="1">
        <v>4.3</v>
      </c>
    </row>
    <row r="109" spans="4:15" x14ac:dyDescent="0.3">
      <c r="D109" s="1">
        <v>27300</v>
      </c>
      <c r="E109" s="2">
        <v>43738</v>
      </c>
      <c r="F109" s="1" t="s">
        <v>11</v>
      </c>
      <c r="G109" s="1">
        <v>27</v>
      </c>
      <c r="H109" s="9"/>
      <c r="J109" s="1">
        <v>59.58</v>
      </c>
      <c r="N109" s="1" t="s">
        <v>10</v>
      </c>
      <c r="O109" s="1">
        <v>0.7</v>
      </c>
    </row>
    <row r="110" spans="4:15" x14ac:dyDescent="0.3">
      <c r="D110" s="1">
        <v>46787</v>
      </c>
      <c r="E110" s="2">
        <v>43553</v>
      </c>
      <c r="F110" s="1" t="s">
        <v>14</v>
      </c>
      <c r="G110" s="1">
        <v>28</v>
      </c>
      <c r="H110" s="9"/>
      <c r="J110" s="1">
        <v>186.29</v>
      </c>
      <c r="N110" s="1" t="s">
        <v>10</v>
      </c>
      <c r="O110" s="1">
        <v>9.8000000000000007</v>
      </c>
    </row>
    <row r="111" spans="4:15" x14ac:dyDescent="0.3">
      <c r="D111" s="1">
        <v>26912</v>
      </c>
      <c r="E111" s="2">
        <v>43582</v>
      </c>
      <c r="F111" s="1" t="s">
        <v>7</v>
      </c>
      <c r="G111" s="1">
        <v>21</v>
      </c>
      <c r="H111" s="9"/>
      <c r="J111" s="1">
        <v>1166.42</v>
      </c>
      <c r="N111" s="1" t="s">
        <v>10</v>
      </c>
      <c r="O111" s="1">
        <v>5.9</v>
      </c>
    </row>
    <row r="112" spans="4:15" x14ac:dyDescent="0.3">
      <c r="D112" s="1">
        <v>50055</v>
      </c>
      <c r="E112" s="2">
        <v>43756</v>
      </c>
      <c r="F112" s="1" t="s">
        <v>14</v>
      </c>
      <c r="G112" s="1">
        <v>1</v>
      </c>
      <c r="H112" s="9"/>
      <c r="J112" s="1">
        <v>14.39</v>
      </c>
      <c r="N112" s="1" t="s">
        <v>10</v>
      </c>
      <c r="O112" s="1">
        <v>8.3000000000000007</v>
      </c>
    </row>
    <row r="113" spans="4:15" x14ac:dyDescent="0.3">
      <c r="D113" s="1">
        <v>59329</v>
      </c>
      <c r="E113" s="2">
        <v>43803</v>
      </c>
      <c r="F113" s="1" t="s">
        <v>12</v>
      </c>
      <c r="G113" s="1">
        <v>25</v>
      </c>
      <c r="H113" s="9"/>
      <c r="J113" s="1">
        <v>177.21</v>
      </c>
      <c r="N113" s="1" t="s">
        <v>10</v>
      </c>
      <c r="O113" s="1">
        <v>5.6</v>
      </c>
    </row>
    <row r="114" spans="4:15" x14ac:dyDescent="0.3">
      <c r="D114" s="1">
        <v>23681</v>
      </c>
      <c r="E114" s="2">
        <v>43604</v>
      </c>
      <c r="F114" s="1" t="s">
        <v>9</v>
      </c>
      <c r="G114" s="1">
        <v>42</v>
      </c>
      <c r="H114" s="9"/>
      <c r="J114" s="1">
        <v>4475.3</v>
      </c>
      <c r="N114" s="1" t="s">
        <v>8</v>
      </c>
      <c r="O114" s="1">
        <v>37.5</v>
      </c>
    </row>
    <row r="115" spans="4:15" x14ac:dyDescent="0.3">
      <c r="D115" s="1">
        <v>54181</v>
      </c>
      <c r="E115" s="2">
        <v>43603</v>
      </c>
      <c r="F115" s="1" t="s">
        <v>9</v>
      </c>
      <c r="G115" s="1">
        <v>12</v>
      </c>
      <c r="H115" s="9"/>
      <c r="J115" s="1">
        <v>2791.41</v>
      </c>
      <c r="N115" s="1" t="s">
        <v>13</v>
      </c>
      <c r="O115" s="1">
        <v>15.7</v>
      </c>
    </row>
    <row r="116" spans="4:15" x14ac:dyDescent="0.3">
      <c r="D116" s="1">
        <v>13988</v>
      </c>
      <c r="E116" s="2">
        <v>43678</v>
      </c>
      <c r="F116" s="1" t="s">
        <v>11</v>
      </c>
      <c r="G116" s="1">
        <v>34</v>
      </c>
      <c r="H116" s="9"/>
      <c r="J116" s="1">
        <v>192.89</v>
      </c>
      <c r="N116" s="1" t="s">
        <v>10</v>
      </c>
      <c r="O116" s="1">
        <v>5.7</v>
      </c>
    </row>
    <row r="117" spans="4:15" x14ac:dyDescent="0.3">
      <c r="D117" s="1">
        <v>27265</v>
      </c>
      <c r="E117" s="2">
        <v>43591</v>
      </c>
      <c r="F117" s="1" t="s">
        <v>12</v>
      </c>
      <c r="G117" s="1">
        <v>49</v>
      </c>
      <c r="H117" s="9"/>
      <c r="J117" s="1">
        <v>429.49</v>
      </c>
      <c r="N117" s="1" t="s">
        <v>8</v>
      </c>
      <c r="O117" s="1">
        <v>1</v>
      </c>
    </row>
    <row r="118" spans="4:15" x14ac:dyDescent="0.3">
      <c r="D118" s="1">
        <v>56672</v>
      </c>
      <c r="E118" s="2">
        <v>43597</v>
      </c>
      <c r="F118" s="1" t="s">
        <v>9</v>
      </c>
      <c r="G118" s="1">
        <v>45</v>
      </c>
      <c r="H118" s="9"/>
      <c r="J118" s="1">
        <v>2609.06</v>
      </c>
      <c r="N118" s="1" t="s">
        <v>10</v>
      </c>
      <c r="O118" s="1">
        <v>9.6</v>
      </c>
    </row>
    <row r="119" spans="4:15" x14ac:dyDescent="0.3">
      <c r="D119" s="1">
        <v>4896</v>
      </c>
      <c r="E119" s="2">
        <v>43698</v>
      </c>
      <c r="F119" s="1" t="s">
        <v>12</v>
      </c>
      <c r="G119" s="1">
        <v>25</v>
      </c>
      <c r="H119" s="9"/>
      <c r="J119" s="1">
        <v>889.72640000000001</v>
      </c>
      <c r="N119" s="1" t="s">
        <v>10</v>
      </c>
      <c r="O119" s="1">
        <v>2.1</v>
      </c>
    </row>
    <row r="120" spans="4:15" x14ac:dyDescent="0.3">
      <c r="D120" s="1">
        <v>21763</v>
      </c>
      <c r="E120" s="2">
        <v>43613</v>
      </c>
      <c r="F120" s="1" t="s">
        <v>7</v>
      </c>
      <c r="G120" s="1">
        <v>22</v>
      </c>
      <c r="H120" s="9"/>
      <c r="J120" s="1">
        <v>1326.21</v>
      </c>
      <c r="N120" s="1" t="s">
        <v>10</v>
      </c>
      <c r="O120" s="1">
        <v>4.3</v>
      </c>
    </row>
    <row r="121" spans="4:15" x14ac:dyDescent="0.3">
      <c r="D121" s="1">
        <v>32102</v>
      </c>
      <c r="E121" s="2">
        <v>43813</v>
      </c>
      <c r="F121" s="1" t="s">
        <v>14</v>
      </c>
      <c r="G121" s="1">
        <v>2</v>
      </c>
      <c r="H121" s="9"/>
      <c r="J121" s="1">
        <v>21.2</v>
      </c>
      <c r="N121" s="1" t="s">
        <v>10</v>
      </c>
      <c r="O121" s="1">
        <v>6.7</v>
      </c>
    </row>
    <row r="122" spans="4:15" x14ac:dyDescent="0.3">
      <c r="D122" s="1">
        <v>15937</v>
      </c>
      <c r="E122" s="2">
        <v>43775</v>
      </c>
      <c r="F122" s="1" t="s">
        <v>7</v>
      </c>
      <c r="G122" s="1">
        <v>17</v>
      </c>
      <c r="H122" s="9"/>
      <c r="J122" s="1">
        <v>230.75</v>
      </c>
      <c r="N122" s="1" t="s">
        <v>8</v>
      </c>
      <c r="O122" s="1">
        <v>3</v>
      </c>
    </row>
    <row r="123" spans="4:15" x14ac:dyDescent="0.3">
      <c r="D123" s="1">
        <v>32000</v>
      </c>
      <c r="E123" s="2">
        <v>43721</v>
      </c>
      <c r="F123" s="1" t="s">
        <v>7</v>
      </c>
      <c r="G123" s="1">
        <v>49</v>
      </c>
      <c r="H123" s="9"/>
      <c r="J123" s="1">
        <v>173.51</v>
      </c>
      <c r="N123" s="1" t="s">
        <v>10</v>
      </c>
      <c r="O123" s="1">
        <v>1.4</v>
      </c>
    </row>
    <row r="124" spans="4:15" x14ac:dyDescent="0.3">
      <c r="D124" s="1">
        <v>43296</v>
      </c>
      <c r="E124" s="2">
        <v>43527</v>
      </c>
      <c r="F124" s="1" t="s">
        <v>14</v>
      </c>
      <c r="G124" s="1">
        <v>41</v>
      </c>
      <c r="H124" s="9"/>
      <c r="J124" s="1">
        <v>1782.4167</v>
      </c>
      <c r="N124" s="1" t="s">
        <v>10</v>
      </c>
      <c r="O124" s="1">
        <v>8</v>
      </c>
    </row>
    <row r="125" spans="4:15" x14ac:dyDescent="0.3">
      <c r="D125" s="1">
        <v>27750</v>
      </c>
      <c r="E125" s="2">
        <v>43757</v>
      </c>
      <c r="F125" s="1" t="s">
        <v>7</v>
      </c>
      <c r="G125" s="1">
        <v>12</v>
      </c>
      <c r="H125" s="9"/>
      <c r="J125" s="1">
        <v>823.01</v>
      </c>
      <c r="N125" s="1" t="s">
        <v>13</v>
      </c>
      <c r="O125" s="1">
        <v>39.200000000000003</v>
      </c>
    </row>
    <row r="126" spans="4:15" x14ac:dyDescent="0.3">
      <c r="D126" s="1">
        <v>51333</v>
      </c>
      <c r="E126" s="2">
        <v>43742</v>
      </c>
      <c r="F126" s="1" t="s">
        <v>11</v>
      </c>
      <c r="G126" s="1">
        <v>30</v>
      </c>
      <c r="H126" s="9"/>
      <c r="J126" s="1">
        <v>2375.1799999999998</v>
      </c>
      <c r="N126" s="1" t="s">
        <v>13</v>
      </c>
      <c r="O126" s="1">
        <v>36</v>
      </c>
    </row>
    <row r="127" spans="4:15" x14ac:dyDescent="0.3">
      <c r="D127" s="1">
        <v>16193</v>
      </c>
      <c r="E127" s="2">
        <v>43564</v>
      </c>
      <c r="F127" s="1" t="s">
        <v>11</v>
      </c>
      <c r="G127" s="1">
        <v>8</v>
      </c>
      <c r="H127" s="9"/>
      <c r="J127" s="1">
        <v>321.20999999999998</v>
      </c>
      <c r="N127" s="1" t="s">
        <v>10</v>
      </c>
      <c r="O127" s="1">
        <v>8.8000000000000007</v>
      </c>
    </row>
    <row r="128" spans="4:15" x14ac:dyDescent="0.3">
      <c r="D128" s="1">
        <v>46977</v>
      </c>
      <c r="E128" s="2">
        <v>43592</v>
      </c>
      <c r="F128" s="1" t="s">
        <v>14</v>
      </c>
      <c r="G128" s="1">
        <v>10</v>
      </c>
      <c r="H128" s="9"/>
      <c r="J128" s="1">
        <v>53.95</v>
      </c>
      <c r="N128" s="1" t="s">
        <v>10</v>
      </c>
      <c r="O128" s="1">
        <v>1.6</v>
      </c>
    </row>
    <row r="129" spans="4:15" x14ac:dyDescent="0.3">
      <c r="D129" s="1">
        <v>57861</v>
      </c>
      <c r="E129" s="2">
        <v>43763</v>
      </c>
      <c r="F129" s="1" t="s">
        <v>14</v>
      </c>
      <c r="G129" s="1">
        <v>40</v>
      </c>
      <c r="H129" s="9"/>
      <c r="J129" s="1">
        <v>128.56</v>
      </c>
      <c r="N129" s="1" t="s">
        <v>10</v>
      </c>
      <c r="O129" s="1">
        <v>1.6</v>
      </c>
    </row>
    <row r="130" spans="4:15" x14ac:dyDescent="0.3">
      <c r="D130" s="1">
        <v>11202</v>
      </c>
      <c r="E130" s="2">
        <v>43541</v>
      </c>
      <c r="F130" s="1" t="s">
        <v>14</v>
      </c>
      <c r="G130" s="1">
        <v>8</v>
      </c>
      <c r="H130" s="9"/>
      <c r="J130" s="1">
        <v>363.6</v>
      </c>
      <c r="N130" s="1" t="s">
        <v>10</v>
      </c>
      <c r="O130" s="1">
        <v>3.2</v>
      </c>
    </row>
    <row r="131" spans="4:15" x14ac:dyDescent="0.3">
      <c r="D131" s="1">
        <v>34279</v>
      </c>
      <c r="E131" s="2">
        <v>43552</v>
      </c>
      <c r="F131" s="1" t="s">
        <v>11</v>
      </c>
      <c r="G131" s="1">
        <v>3</v>
      </c>
      <c r="H131" s="9"/>
      <c r="J131" s="1">
        <v>899.39</v>
      </c>
      <c r="N131" s="1" t="s">
        <v>13</v>
      </c>
      <c r="O131" s="1">
        <v>64.2</v>
      </c>
    </row>
    <row r="132" spans="4:15" x14ac:dyDescent="0.3">
      <c r="D132" s="1">
        <v>19207</v>
      </c>
      <c r="E132" s="2">
        <v>43539</v>
      </c>
      <c r="F132" s="1" t="s">
        <v>11</v>
      </c>
      <c r="G132" s="1">
        <v>11</v>
      </c>
      <c r="H132" s="9"/>
      <c r="J132" s="1">
        <v>16.62</v>
      </c>
      <c r="N132" s="1" t="s">
        <v>10</v>
      </c>
      <c r="O132" s="1">
        <v>0.7</v>
      </c>
    </row>
    <row r="133" spans="4:15" x14ac:dyDescent="0.3">
      <c r="D133" s="1">
        <v>52419</v>
      </c>
      <c r="E133" s="2">
        <v>43726</v>
      </c>
      <c r="F133" s="1" t="s">
        <v>9</v>
      </c>
      <c r="G133" s="1">
        <v>32</v>
      </c>
      <c r="H133" s="9"/>
      <c r="J133" s="1">
        <v>3745.5243</v>
      </c>
      <c r="N133" s="1" t="s">
        <v>10</v>
      </c>
      <c r="O133" s="1">
        <v>9.1999999999999993</v>
      </c>
    </row>
    <row r="134" spans="4:15" x14ac:dyDescent="0.3">
      <c r="D134" s="1">
        <v>31684</v>
      </c>
      <c r="E134" s="2">
        <v>43724</v>
      </c>
      <c r="F134" s="1" t="s">
        <v>12</v>
      </c>
      <c r="G134" s="1">
        <v>15</v>
      </c>
      <c r="H134" s="9"/>
      <c r="J134" s="1">
        <v>96.27</v>
      </c>
      <c r="N134" s="1" t="s">
        <v>10</v>
      </c>
      <c r="O134" s="1">
        <v>1.6</v>
      </c>
    </row>
    <row r="135" spans="4:15" x14ac:dyDescent="0.3">
      <c r="D135" s="1">
        <v>35299</v>
      </c>
      <c r="E135" s="2">
        <v>43687</v>
      </c>
      <c r="F135" s="1" t="s">
        <v>11</v>
      </c>
      <c r="G135" s="1">
        <v>41</v>
      </c>
      <c r="H135" s="9"/>
      <c r="J135" s="1">
        <v>4664.13</v>
      </c>
      <c r="N135" s="1" t="s">
        <v>10</v>
      </c>
      <c r="O135" s="1">
        <v>21.4</v>
      </c>
    </row>
    <row r="136" spans="4:15" x14ac:dyDescent="0.3">
      <c r="D136" s="1">
        <v>9761</v>
      </c>
      <c r="E136" s="2">
        <v>43486</v>
      </c>
      <c r="F136" s="1" t="s">
        <v>11</v>
      </c>
      <c r="G136" s="1">
        <v>23</v>
      </c>
      <c r="H136" s="9"/>
      <c r="J136" s="1">
        <v>143.05000000000001</v>
      </c>
      <c r="N136" s="1" t="s">
        <v>10</v>
      </c>
      <c r="O136" s="1">
        <v>7.7</v>
      </c>
    </row>
    <row r="137" spans="4:15" x14ac:dyDescent="0.3">
      <c r="D137" s="1">
        <v>9509</v>
      </c>
      <c r="E137" s="2">
        <v>43745</v>
      </c>
      <c r="F137" s="1" t="s">
        <v>11</v>
      </c>
      <c r="G137" s="1">
        <v>32</v>
      </c>
      <c r="H137" s="9"/>
      <c r="J137" s="1">
        <v>1696.63</v>
      </c>
      <c r="N137" s="1" t="s">
        <v>10</v>
      </c>
      <c r="O137" s="1">
        <v>6.2</v>
      </c>
    </row>
    <row r="138" spans="4:15" x14ac:dyDescent="0.3">
      <c r="D138" s="1">
        <v>1540</v>
      </c>
      <c r="E138" s="2">
        <v>43681</v>
      </c>
      <c r="F138" s="1" t="s">
        <v>9</v>
      </c>
      <c r="G138" s="1">
        <v>30</v>
      </c>
      <c r="H138" s="9"/>
      <c r="J138" s="1">
        <v>86.563000000000002</v>
      </c>
      <c r="N138" s="1" t="s">
        <v>10</v>
      </c>
      <c r="O138" s="1">
        <v>0.7</v>
      </c>
    </row>
    <row r="139" spans="4:15" x14ac:dyDescent="0.3">
      <c r="D139" s="1">
        <v>14980</v>
      </c>
      <c r="E139" s="2">
        <v>43660</v>
      </c>
      <c r="F139" s="1" t="s">
        <v>12</v>
      </c>
      <c r="G139" s="1">
        <v>27</v>
      </c>
      <c r="H139" s="9"/>
      <c r="J139" s="1">
        <v>961.82</v>
      </c>
      <c r="N139" s="1" t="s">
        <v>10</v>
      </c>
      <c r="O139" s="1">
        <v>2.1</v>
      </c>
    </row>
    <row r="140" spans="4:15" x14ac:dyDescent="0.3">
      <c r="D140" s="1">
        <v>18531</v>
      </c>
      <c r="E140" s="2">
        <v>43767</v>
      </c>
      <c r="F140" s="1" t="s">
        <v>12</v>
      </c>
      <c r="G140" s="1">
        <v>50</v>
      </c>
      <c r="H140" s="9"/>
      <c r="J140" s="1">
        <v>1389.73</v>
      </c>
      <c r="N140" s="1" t="s">
        <v>13</v>
      </c>
      <c r="O140" s="1">
        <v>15.4</v>
      </c>
    </row>
    <row r="141" spans="4:15" x14ac:dyDescent="0.3">
      <c r="D141" s="1">
        <v>13570</v>
      </c>
      <c r="E141" s="2">
        <v>43801</v>
      </c>
      <c r="F141" s="1" t="s">
        <v>11</v>
      </c>
      <c r="G141" s="1">
        <v>2</v>
      </c>
      <c r="H141" s="9"/>
      <c r="J141" s="1">
        <v>18.16</v>
      </c>
      <c r="N141" s="1" t="s">
        <v>10</v>
      </c>
      <c r="O141" s="1">
        <v>1</v>
      </c>
    </row>
    <row r="142" spans="4:15" x14ac:dyDescent="0.3">
      <c r="D142" s="1">
        <v>51365</v>
      </c>
      <c r="E142" s="2">
        <v>43684</v>
      </c>
      <c r="F142" s="1" t="s">
        <v>9</v>
      </c>
      <c r="G142" s="1">
        <v>35</v>
      </c>
      <c r="H142" s="9"/>
      <c r="J142" s="1">
        <v>4335.43</v>
      </c>
      <c r="N142" s="1" t="s">
        <v>13</v>
      </c>
      <c r="O142" s="1">
        <v>55.6</v>
      </c>
    </row>
    <row r="143" spans="4:15" x14ac:dyDescent="0.3">
      <c r="D143" s="1">
        <v>32640</v>
      </c>
      <c r="E143" s="2">
        <v>43723</v>
      </c>
      <c r="F143" s="1" t="s">
        <v>9</v>
      </c>
      <c r="G143" s="1">
        <v>18</v>
      </c>
      <c r="H143" s="9"/>
      <c r="J143" s="1">
        <v>135.56</v>
      </c>
      <c r="N143" s="1" t="s">
        <v>10</v>
      </c>
      <c r="O143" s="1">
        <v>5.9</v>
      </c>
    </row>
    <row r="144" spans="4:15" x14ac:dyDescent="0.3">
      <c r="D144" s="1">
        <v>29191</v>
      </c>
      <c r="E144" s="2">
        <v>43644</v>
      </c>
      <c r="F144" s="1" t="s">
        <v>14</v>
      </c>
      <c r="G144" s="1">
        <v>26</v>
      </c>
      <c r="H144" s="9"/>
      <c r="J144" s="1">
        <v>7706.02</v>
      </c>
      <c r="N144" s="1" t="s">
        <v>13</v>
      </c>
      <c r="O144" s="1">
        <v>57.9</v>
      </c>
    </row>
    <row r="145" spans="4:15" x14ac:dyDescent="0.3">
      <c r="D145" s="1">
        <v>29220</v>
      </c>
      <c r="E145" s="2">
        <v>43828</v>
      </c>
      <c r="F145" s="1" t="s">
        <v>14</v>
      </c>
      <c r="G145" s="1">
        <v>36</v>
      </c>
      <c r="H145" s="9"/>
      <c r="J145" s="1">
        <v>13578.65</v>
      </c>
      <c r="N145" s="1" t="s">
        <v>8</v>
      </c>
      <c r="O145" s="1">
        <v>21.4</v>
      </c>
    </row>
    <row r="146" spans="4:15" x14ac:dyDescent="0.3">
      <c r="D146" s="1">
        <v>57056</v>
      </c>
      <c r="E146" s="2">
        <v>43777</v>
      </c>
      <c r="F146" s="1" t="s">
        <v>7</v>
      </c>
      <c r="G146" s="1">
        <v>29</v>
      </c>
      <c r="H146" s="9"/>
      <c r="J146" s="1">
        <v>2338.6</v>
      </c>
      <c r="N146" s="1" t="s">
        <v>13</v>
      </c>
      <c r="O146" s="1">
        <v>95.6</v>
      </c>
    </row>
    <row r="147" spans="4:15" x14ac:dyDescent="0.3">
      <c r="D147" s="1">
        <v>37124</v>
      </c>
      <c r="E147" s="2">
        <v>43554</v>
      </c>
      <c r="F147" s="1" t="s">
        <v>7</v>
      </c>
      <c r="G147" s="1">
        <v>33</v>
      </c>
      <c r="H147" s="9"/>
      <c r="J147" s="1">
        <v>22689.884999999998</v>
      </c>
      <c r="N147" s="1" t="s">
        <v>10</v>
      </c>
      <c r="O147" s="1">
        <v>26.2</v>
      </c>
    </row>
    <row r="148" spans="4:15" x14ac:dyDescent="0.3">
      <c r="D148" s="1">
        <v>40608</v>
      </c>
      <c r="E148" s="2">
        <v>43696</v>
      </c>
      <c r="F148" s="1" t="s">
        <v>11</v>
      </c>
      <c r="G148" s="1">
        <v>29</v>
      </c>
      <c r="H148" s="9"/>
      <c r="J148" s="1">
        <v>614.15</v>
      </c>
      <c r="N148" s="1" t="s">
        <v>10</v>
      </c>
      <c r="O148" s="1">
        <v>10.199999999999999</v>
      </c>
    </row>
    <row r="149" spans="4:15" x14ac:dyDescent="0.3">
      <c r="D149" s="1">
        <v>45734</v>
      </c>
      <c r="E149" s="2">
        <v>43663</v>
      </c>
      <c r="F149" s="1" t="s">
        <v>12</v>
      </c>
      <c r="G149" s="1">
        <v>47</v>
      </c>
      <c r="H149" s="9"/>
      <c r="J149" s="1">
        <v>596.54999999999995</v>
      </c>
      <c r="N149" s="1" t="s">
        <v>8</v>
      </c>
      <c r="O149" s="1">
        <v>8.5</v>
      </c>
    </row>
    <row r="150" spans="4:15" x14ac:dyDescent="0.3">
      <c r="D150" s="1">
        <v>36743</v>
      </c>
      <c r="E150" s="2">
        <v>43716</v>
      </c>
      <c r="F150" s="1" t="s">
        <v>12</v>
      </c>
      <c r="G150" s="1">
        <v>3</v>
      </c>
      <c r="H150" s="9"/>
      <c r="J150" s="1">
        <v>27.96</v>
      </c>
      <c r="N150" s="1" t="s">
        <v>10</v>
      </c>
      <c r="O150" s="1">
        <v>4.3</v>
      </c>
    </row>
    <row r="151" spans="4:15" x14ac:dyDescent="0.3">
      <c r="D151" s="1">
        <v>32513</v>
      </c>
      <c r="E151" s="2">
        <v>43497</v>
      </c>
      <c r="F151" s="1" t="s">
        <v>7</v>
      </c>
      <c r="G151" s="1">
        <v>40</v>
      </c>
      <c r="H151" s="9"/>
      <c r="J151" s="1">
        <v>71.209999999999994</v>
      </c>
      <c r="N151" s="1" t="s">
        <v>10</v>
      </c>
      <c r="O151" s="1">
        <v>1.4</v>
      </c>
    </row>
    <row r="152" spans="4:15" x14ac:dyDescent="0.3">
      <c r="D152" s="1">
        <v>23847</v>
      </c>
      <c r="E152" s="2">
        <v>43778</v>
      </c>
      <c r="F152" s="1" t="s">
        <v>11</v>
      </c>
      <c r="G152" s="1">
        <v>7</v>
      </c>
      <c r="H152" s="9"/>
      <c r="J152" s="1">
        <v>1368.15</v>
      </c>
      <c r="N152" s="1" t="s">
        <v>10</v>
      </c>
      <c r="O152" s="1">
        <v>4.5</v>
      </c>
    </row>
    <row r="153" spans="4:15" x14ac:dyDescent="0.3">
      <c r="D153" s="1">
        <v>25152</v>
      </c>
      <c r="E153" s="2">
        <v>43753</v>
      </c>
      <c r="F153" s="1" t="s">
        <v>12</v>
      </c>
      <c r="G153" s="1">
        <v>29</v>
      </c>
      <c r="H153" s="9"/>
      <c r="J153" s="1">
        <v>208.87</v>
      </c>
      <c r="N153" s="1" t="s">
        <v>10</v>
      </c>
      <c r="O153" s="1">
        <v>2.5</v>
      </c>
    </row>
    <row r="154" spans="4:15" x14ac:dyDescent="0.3">
      <c r="D154" s="1">
        <v>14497</v>
      </c>
      <c r="E154" s="2">
        <v>43605</v>
      </c>
      <c r="F154" s="1" t="s">
        <v>14</v>
      </c>
      <c r="G154" s="1">
        <v>34</v>
      </c>
      <c r="H154" s="9"/>
      <c r="J154" s="1">
        <v>229.01</v>
      </c>
      <c r="N154" s="1" t="s">
        <v>10</v>
      </c>
      <c r="O154" s="1">
        <v>8.5</v>
      </c>
    </row>
    <row r="155" spans="4:15" x14ac:dyDescent="0.3">
      <c r="D155" s="1">
        <v>38498</v>
      </c>
      <c r="E155" s="2">
        <v>43582</v>
      </c>
      <c r="F155" s="1" t="s">
        <v>12</v>
      </c>
      <c r="G155" s="1">
        <v>1</v>
      </c>
      <c r="H155" s="9"/>
      <c r="J155" s="1">
        <v>46.972999999999999</v>
      </c>
      <c r="N155" s="1" t="s">
        <v>10</v>
      </c>
      <c r="O155" s="1">
        <v>4.5999999999999996</v>
      </c>
    </row>
    <row r="156" spans="4:15" x14ac:dyDescent="0.3">
      <c r="D156" s="1">
        <v>37287</v>
      </c>
      <c r="E156" s="2">
        <v>43770</v>
      </c>
      <c r="F156" s="1" t="s">
        <v>7</v>
      </c>
      <c r="G156" s="1">
        <v>22</v>
      </c>
      <c r="H156" s="9"/>
      <c r="J156" s="1">
        <v>2195.92</v>
      </c>
      <c r="N156" s="1" t="s">
        <v>10</v>
      </c>
      <c r="O156" s="1">
        <v>2.7</v>
      </c>
    </row>
    <row r="157" spans="4:15" x14ac:dyDescent="0.3">
      <c r="D157" s="1">
        <v>49350</v>
      </c>
      <c r="E157" s="2">
        <v>43699</v>
      </c>
      <c r="F157" s="1" t="s">
        <v>9</v>
      </c>
      <c r="G157" s="1">
        <v>50</v>
      </c>
      <c r="H157" s="9"/>
      <c r="J157" s="1">
        <v>401.37</v>
      </c>
      <c r="N157" s="1" t="s">
        <v>10</v>
      </c>
      <c r="O157" s="1">
        <v>11.9</v>
      </c>
    </row>
    <row r="158" spans="4:15" x14ac:dyDescent="0.3">
      <c r="D158" s="1">
        <v>23713</v>
      </c>
      <c r="E158" s="2">
        <v>43797</v>
      </c>
      <c r="F158" s="1" t="s">
        <v>11</v>
      </c>
      <c r="G158" s="1">
        <v>38</v>
      </c>
      <c r="H158" s="9"/>
      <c r="J158" s="1">
        <v>3960.63</v>
      </c>
      <c r="N158" s="1" t="s">
        <v>10</v>
      </c>
      <c r="O158" s="1">
        <v>6.3</v>
      </c>
    </row>
    <row r="159" spans="4:15" x14ac:dyDescent="0.3">
      <c r="D159" s="1">
        <v>4294</v>
      </c>
      <c r="E159" s="2">
        <v>43691</v>
      </c>
      <c r="F159" s="1" t="s">
        <v>14</v>
      </c>
      <c r="G159" s="1">
        <v>8</v>
      </c>
      <c r="H159" s="9"/>
      <c r="J159" s="1">
        <v>18.96</v>
      </c>
      <c r="N159" s="1" t="s">
        <v>10</v>
      </c>
      <c r="O159" s="1">
        <v>4.4000000000000004</v>
      </c>
    </row>
    <row r="160" spans="4:15" x14ac:dyDescent="0.3">
      <c r="D160" s="1">
        <v>24386</v>
      </c>
      <c r="E160" s="2">
        <v>43642</v>
      </c>
      <c r="F160" s="1" t="s">
        <v>9</v>
      </c>
      <c r="G160" s="1">
        <v>12</v>
      </c>
      <c r="H160" s="9"/>
      <c r="J160" s="1">
        <v>538.29999999999995</v>
      </c>
      <c r="N160" s="1" t="s">
        <v>10</v>
      </c>
      <c r="O160" s="1">
        <v>7</v>
      </c>
    </row>
    <row r="161" spans="4:15" x14ac:dyDescent="0.3">
      <c r="D161" s="1">
        <v>34595</v>
      </c>
      <c r="E161" s="2">
        <v>43665</v>
      </c>
      <c r="F161" s="1" t="s">
        <v>14</v>
      </c>
      <c r="G161" s="1">
        <v>12</v>
      </c>
      <c r="H161" s="9"/>
      <c r="J161" s="1">
        <v>522.86</v>
      </c>
      <c r="N161" s="1" t="s">
        <v>10</v>
      </c>
      <c r="O161" s="1">
        <v>18.7</v>
      </c>
    </row>
    <row r="162" spans="4:15" x14ac:dyDescent="0.3">
      <c r="D162" s="1">
        <v>43010</v>
      </c>
      <c r="E162" s="2">
        <v>43747</v>
      </c>
      <c r="F162" s="1" t="s">
        <v>12</v>
      </c>
      <c r="G162" s="1">
        <v>40</v>
      </c>
      <c r="H162" s="9"/>
      <c r="J162" s="1">
        <v>249.524</v>
      </c>
      <c r="N162" s="1" t="s">
        <v>10</v>
      </c>
      <c r="O162" s="1">
        <v>1.6</v>
      </c>
    </row>
    <row r="163" spans="4:15" x14ac:dyDescent="0.3">
      <c r="D163" s="1">
        <v>2912</v>
      </c>
      <c r="E163" s="2">
        <v>43535</v>
      </c>
      <c r="F163" s="1" t="s">
        <v>7</v>
      </c>
      <c r="G163" s="1">
        <v>9</v>
      </c>
      <c r="H163" s="9"/>
      <c r="J163" s="1">
        <v>543.54</v>
      </c>
      <c r="N163" s="1" t="s">
        <v>8</v>
      </c>
      <c r="O163" s="1">
        <v>5.2</v>
      </c>
    </row>
    <row r="164" spans="4:15" x14ac:dyDescent="0.3">
      <c r="D164" s="1">
        <v>38853</v>
      </c>
      <c r="E164" s="2">
        <v>43547</v>
      </c>
      <c r="F164" s="1" t="s">
        <v>7</v>
      </c>
      <c r="G164" s="1">
        <v>13</v>
      </c>
      <c r="H164" s="9"/>
      <c r="J164" s="1">
        <v>778.99</v>
      </c>
      <c r="N164" s="1" t="s">
        <v>10</v>
      </c>
      <c r="O164" s="1">
        <v>2.7</v>
      </c>
    </row>
    <row r="165" spans="4:15" x14ac:dyDescent="0.3">
      <c r="D165" s="1">
        <v>1187</v>
      </c>
      <c r="E165" s="2">
        <v>43788</v>
      </c>
      <c r="F165" s="1" t="s">
        <v>14</v>
      </c>
      <c r="G165" s="1">
        <v>14</v>
      </c>
      <c r="H165" s="9"/>
      <c r="J165" s="1">
        <v>238.51</v>
      </c>
      <c r="N165" s="1" t="s">
        <v>10</v>
      </c>
      <c r="O165" s="1">
        <v>4.3</v>
      </c>
    </row>
    <row r="166" spans="4:15" x14ac:dyDescent="0.3">
      <c r="D166" s="1">
        <v>54656</v>
      </c>
      <c r="E166" s="2">
        <v>43788</v>
      </c>
      <c r="F166" s="1" t="s">
        <v>9</v>
      </c>
      <c r="G166" s="1">
        <v>22</v>
      </c>
      <c r="H166" s="9"/>
      <c r="J166" s="1">
        <v>117.19</v>
      </c>
      <c r="N166" s="1" t="s">
        <v>8</v>
      </c>
      <c r="O166" s="1">
        <v>6.2</v>
      </c>
    </row>
    <row r="167" spans="4:15" x14ac:dyDescent="0.3">
      <c r="D167" s="1">
        <v>25767</v>
      </c>
      <c r="E167" s="2">
        <v>43527</v>
      </c>
      <c r="F167" s="1" t="s">
        <v>9</v>
      </c>
      <c r="G167" s="1">
        <v>7</v>
      </c>
      <c r="H167" s="9"/>
      <c r="J167" s="1">
        <v>280.21159999999998</v>
      </c>
      <c r="N167" s="1" t="s">
        <v>10</v>
      </c>
      <c r="O167" s="1">
        <v>2.1</v>
      </c>
    </row>
    <row r="168" spans="4:15" x14ac:dyDescent="0.3">
      <c r="D168" s="1">
        <v>5635</v>
      </c>
      <c r="E168" s="2">
        <v>43692</v>
      </c>
      <c r="F168" s="1" t="s">
        <v>14</v>
      </c>
      <c r="G168" s="1">
        <v>50</v>
      </c>
      <c r="H168" s="9"/>
      <c r="J168" s="1">
        <v>301.29000000000002</v>
      </c>
      <c r="N168" s="1" t="s">
        <v>10</v>
      </c>
      <c r="O168" s="1">
        <v>6.3</v>
      </c>
    </row>
    <row r="169" spans="4:15" x14ac:dyDescent="0.3">
      <c r="D169" s="1">
        <v>33031</v>
      </c>
      <c r="E169" s="2">
        <v>43701</v>
      </c>
      <c r="F169" s="1" t="s">
        <v>9</v>
      </c>
      <c r="G169" s="1">
        <v>18</v>
      </c>
      <c r="H169" s="9"/>
      <c r="J169" s="1">
        <v>129.43</v>
      </c>
      <c r="N169" s="1" t="s">
        <v>10</v>
      </c>
      <c r="O169" s="1">
        <v>7.1</v>
      </c>
    </row>
    <row r="170" spans="4:15" x14ac:dyDescent="0.3">
      <c r="D170" s="1">
        <v>21604</v>
      </c>
      <c r="E170" s="2">
        <v>43556</v>
      </c>
      <c r="F170" s="1" t="s">
        <v>14</v>
      </c>
      <c r="G170" s="1">
        <v>6</v>
      </c>
      <c r="H170" s="9"/>
      <c r="J170" s="1">
        <v>2652.4</v>
      </c>
      <c r="N170" s="1" t="s">
        <v>8</v>
      </c>
      <c r="O170" s="1">
        <v>21.4</v>
      </c>
    </row>
    <row r="171" spans="4:15" x14ac:dyDescent="0.3">
      <c r="D171" s="1">
        <v>11301</v>
      </c>
      <c r="E171" s="2">
        <v>43546</v>
      </c>
      <c r="F171" s="1" t="s">
        <v>14</v>
      </c>
      <c r="G171" s="1">
        <v>29</v>
      </c>
      <c r="H171" s="9"/>
      <c r="J171" s="1">
        <v>1278.6099999999999</v>
      </c>
      <c r="N171" s="1" t="s">
        <v>10</v>
      </c>
      <c r="O171" s="1">
        <v>4.3</v>
      </c>
    </row>
    <row r="172" spans="4:15" x14ac:dyDescent="0.3">
      <c r="D172" s="1">
        <v>18466</v>
      </c>
      <c r="E172" s="2">
        <v>43606</v>
      </c>
      <c r="F172" s="1" t="s">
        <v>7</v>
      </c>
      <c r="G172" s="1">
        <v>24</v>
      </c>
      <c r="H172" s="9"/>
      <c r="J172" s="1">
        <v>2882.59</v>
      </c>
      <c r="N172" s="1" t="s">
        <v>8</v>
      </c>
      <c r="O172" s="1">
        <v>7.6</v>
      </c>
    </row>
    <row r="173" spans="4:15" x14ac:dyDescent="0.3">
      <c r="D173" s="1">
        <v>18368</v>
      </c>
      <c r="E173" s="2">
        <v>43799</v>
      </c>
      <c r="F173" s="1" t="s">
        <v>11</v>
      </c>
      <c r="G173" s="1">
        <v>3</v>
      </c>
      <c r="H173" s="9"/>
      <c r="J173" s="1">
        <v>227.81</v>
      </c>
      <c r="N173" s="1" t="s">
        <v>10</v>
      </c>
      <c r="O173" s="1">
        <v>3.7</v>
      </c>
    </row>
    <row r="174" spans="4:15" x14ac:dyDescent="0.3">
      <c r="D174" s="1">
        <v>55268</v>
      </c>
      <c r="E174" s="2">
        <v>43541</v>
      </c>
      <c r="F174" s="1" t="s">
        <v>9</v>
      </c>
      <c r="G174" s="1">
        <v>11</v>
      </c>
      <c r="H174" s="9"/>
      <c r="J174" s="1">
        <v>65.760000000000005</v>
      </c>
      <c r="N174" s="1" t="s">
        <v>8</v>
      </c>
      <c r="O174" s="1">
        <v>5.3</v>
      </c>
    </row>
    <row r="175" spans="4:15" x14ac:dyDescent="0.3">
      <c r="D175" s="1">
        <v>26726</v>
      </c>
      <c r="E175" s="2">
        <v>43826</v>
      </c>
      <c r="F175" s="1" t="s">
        <v>9</v>
      </c>
      <c r="G175" s="1">
        <v>41</v>
      </c>
      <c r="H175" s="9"/>
      <c r="J175" s="1">
        <v>891.86</v>
      </c>
      <c r="N175" s="1" t="s">
        <v>10</v>
      </c>
      <c r="O175" s="1">
        <v>1.6</v>
      </c>
    </row>
    <row r="176" spans="4:15" x14ac:dyDescent="0.3">
      <c r="D176" s="1">
        <v>34470</v>
      </c>
      <c r="E176" s="2">
        <v>43496</v>
      </c>
      <c r="F176" s="1" t="s">
        <v>12</v>
      </c>
      <c r="G176" s="1">
        <v>31</v>
      </c>
      <c r="H176" s="9"/>
      <c r="J176" s="1">
        <v>3173.7591000000002</v>
      </c>
      <c r="N176" s="1" t="s">
        <v>13</v>
      </c>
      <c r="O176" s="1">
        <v>61.4</v>
      </c>
    </row>
    <row r="177" spans="4:15" x14ac:dyDescent="0.3">
      <c r="D177" s="1">
        <v>29537</v>
      </c>
      <c r="E177" s="2">
        <v>43727</v>
      </c>
      <c r="F177" s="1" t="s">
        <v>7</v>
      </c>
      <c r="G177" s="1">
        <v>30</v>
      </c>
      <c r="H177" s="9"/>
      <c r="J177" s="1">
        <v>340.85919999999999</v>
      </c>
      <c r="N177" s="1" t="s">
        <v>8</v>
      </c>
      <c r="O177" s="1">
        <v>4.8</v>
      </c>
    </row>
    <row r="178" spans="4:15" x14ac:dyDescent="0.3">
      <c r="D178" s="1">
        <v>42436</v>
      </c>
      <c r="E178" s="2">
        <v>43686</v>
      </c>
      <c r="F178" s="1" t="s">
        <v>12</v>
      </c>
      <c r="G178" s="1">
        <v>30</v>
      </c>
      <c r="H178" s="9"/>
      <c r="J178" s="1">
        <v>11764.37</v>
      </c>
      <c r="N178" s="1" t="s">
        <v>13</v>
      </c>
      <c r="O178" s="1">
        <v>51.6</v>
      </c>
    </row>
    <row r="179" spans="4:15" x14ac:dyDescent="0.3">
      <c r="D179" s="1">
        <v>14212</v>
      </c>
      <c r="E179" s="2">
        <v>43511</v>
      </c>
      <c r="F179" s="1" t="s">
        <v>12</v>
      </c>
      <c r="G179" s="1">
        <v>8</v>
      </c>
      <c r="H179" s="9"/>
      <c r="J179" s="1">
        <v>23.53</v>
      </c>
      <c r="N179" s="1" t="s">
        <v>10</v>
      </c>
      <c r="O179" s="1">
        <v>0.5</v>
      </c>
    </row>
    <row r="180" spans="4:15" x14ac:dyDescent="0.3">
      <c r="D180" s="1">
        <v>8454</v>
      </c>
      <c r="E180" s="2">
        <v>43692</v>
      </c>
      <c r="F180" s="1" t="s">
        <v>14</v>
      </c>
      <c r="G180" s="1">
        <v>38</v>
      </c>
      <c r="H180" s="9"/>
      <c r="J180" s="1">
        <v>234.08</v>
      </c>
      <c r="N180" s="1" t="s">
        <v>10</v>
      </c>
      <c r="O180" s="1">
        <v>8.3000000000000007</v>
      </c>
    </row>
    <row r="181" spans="4:15" x14ac:dyDescent="0.3">
      <c r="D181" s="1">
        <v>56672</v>
      </c>
      <c r="E181" s="2">
        <v>43597</v>
      </c>
      <c r="F181" s="1" t="s">
        <v>9</v>
      </c>
      <c r="G181" s="1">
        <v>34</v>
      </c>
      <c r="H181" s="9"/>
      <c r="J181" s="1">
        <v>1211.58</v>
      </c>
      <c r="N181" s="1" t="s">
        <v>10</v>
      </c>
      <c r="O181" s="1">
        <v>14.9</v>
      </c>
    </row>
    <row r="182" spans="4:15" x14ac:dyDescent="0.3">
      <c r="D182" s="1">
        <v>43588</v>
      </c>
      <c r="E182" s="2">
        <v>43709</v>
      </c>
      <c r="F182" s="1" t="s">
        <v>14</v>
      </c>
      <c r="G182" s="1">
        <v>16</v>
      </c>
      <c r="H182" s="9"/>
      <c r="J182" s="1">
        <v>3291.05</v>
      </c>
      <c r="N182" s="1" t="s">
        <v>13</v>
      </c>
      <c r="O182" s="1">
        <v>63.4</v>
      </c>
    </row>
    <row r="183" spans="4:15" x14ac:dyDescent="0.3">
      <c r="D183" s="1">
        <v>50565</v>
      </c>
      <c r="E183" s="2">
        <v>43707</v>
      </c>
      <c r="F183" s="1" t="s">
        <v>9</v>
      </c>
      <c r="G183" s="1">
        <v>43</v>
      </c>
      <c r="H183" s="9"/>
      <c r="J183" s="1">
        <v>731.30219999999997</v>
      </c>
      <c r="N183" s="1" t="s">
        <v>10</v>
      </c>
      <c r="O183" s="1">
        <v>13.3</v>
      </c>
    </row>
    <row r="184" spans="4:15" x14ac:dyDescent="0.3">
      <c r="D184" s="1">
        <v>39783</v>
      </c>
      <c r="E184" s="2">
        <v>43728</v>
      </c>
      <c r="F184" s="1" t="s">
        <v>11</v>
      </c>
      <c r="G184" s="1">
        <v>29</v>
      </c>
      <c r="H184" s="9"/>
      <c r="J184" s="1">
        <v>101.12</v>
      </c>
      <c r="N184" s="1" t="s">
        <v>10</v>
      </c>
      <c r="O184" s="1">
        <v>0.5</v>
      </c>
    </row>
    <row r="185" spans="4:15" x14ac:dyDescent="0.3">
      <c r="D185" s="1">
        <v>37350</v>
      </c>
      <c r="E185" s="2">
        <v>43605</v>
      </c>
      <c r="F185" s="1" t="s">
        <v>12</v>
      </c>
      <c r="G185" s="1">
        <v>7</v>
      </c>
      <c r="H185" s="9"/>
      <c r="J185" s="1">
        <v>174.56</v>
      </c>
      <c r="N185" s="1" t="s">
        <v>10</v>
      </c>
      <c r="O185" s="1">
        <v>9.6</v>
      </c>
    </row>
    <row r="186" spans="4:15" x14ac:dyDescent="0.3">
      <c r="D186" s="1">
        <v>53667</v>
      </c>
      <c r="E186" s="2">
        <v>43602</v>
      </c>
      <c r="F186" s="1" t="s">
        <v>14</v>
      </c>
      <c r="G186" s="1">
        <v>16</v>
      </c>
      <c r="H186" s="9"/>
      <c r="J186" s="1">
        <v>514.72239999999999</v>
      </c>
      <c r="N186" s="1" t="s">
        <v>10</v>
      </c>
      <c r="O186" s="1">
        <v>1.2</v>
      </c>
    </row>
    <row r="187" spans="4:15" x14ac:dyDescent="0.3">
      <c r="D187" s="1">
        <v>26818</v>
      </c>
      <c r="E187" s="2">
        <v>43472</v>
      </c>
      <c r="F187" s="1" t="s">
        <v>11</v>
      </c>
      <c r="G187" s="1">
        <v>23</v>
      </c>
      <c r="H187" s="9"/>
      <c r="J187" s="1">
        <v>217.04</v>
      </c>
      <c r="N187" s="1" t="s">
        <v>10</v>
      </c>
      <c r="O187" s="1">
        <v>6</v>
      </c>
    </row>
    <row r="188" spans="4:15" x14ac:dyDescent="0.3">
      <c r="D188" s="1">
        <v>42400</v>
      </c>
      <c r="E188" s="2">
        <v>43686</v>
      </c>
      <c r="F188" s="1" t="s">
        <v>7</v>
      </c>
      <c r="G188" s="1">
        <v>44</v>
      </c>
      <c r="H188" s="9"/>
      <c r="J188" s="1">
        <v>925.84</v>
      </c>
      <c r="N188" s="1" t="s">
        <v>10</v>
      </c>
      <c r="O188" s="1">
        <v>4.3</v>
      </c>
    </row>
    <row r="189" spans="4:15" x14ac:dyDescent="0.3">
      <c r="D189" s="1">
        <v>9925</v>
      </c>
      <c r="E189" s="2">
        <v>43494</v>
      </c>
      <c r="F189" s="1" t="s">
        <v>12</v>
      </c>
      <c r="G189" s="1">
        <v>43</v>
      </c>
      <c r="H189" s="9"/>
      <c r="J189" s="1">
        <v>1874.3</v>
      </c>
      <c r="N189" s="1" t="s">
        <v>8</v>
      </c>
      <c r="O189" s="1">
        <v>3.2</v>
      </c>
    </row>
    <row r="190" spans="4:15" x14ac:dyDescent="0.3">
      <c r="D190" s="1">
        <v>32292</v>
      </c>
      <c r="E190" s="2">
        <v>43510</v>
      </c>
      <c r="F190" s="1" t="s">
        <v>7</v>
      </c>
      <c r="G190" s="1">
        <v>1</v>
      </c>
      <c r="H190" s="9"/>
      <c r="J190" s="1">
        <v>14.48</v>
      </c>
      <c r="N190" s="1" t="s">
        <v>10</v>
      </c>
      <c r="O190" s="1">
        <v>2.5</v>
      </c>
    </row>
    <row r="191" spans="4:15" x14ac:dyDescent="0.3">
      <c r="D191" s="1">
        <v>56645</v>
      </c>
      <c r="E191" s="2">
        <v>43470</v>
      </c>
      <c r="F191" s="1" t="s">
        <v>7</v>
      </c>
      <c r="G191" s="1">
        <v>46</v>
      </c>
      <c r="H191" s="9"/>
      <c r="J191" s="1">
        <v>1587.33</v>
      </c>
      <c r="N191" s="1" t="s">
        <v>10</v>
      </c>
      <c r="O191" s="1">
        <v>18.3</v>
      </c>
    </row>
    <row r="192" spans="4:15" x14ac:dyDescent="0.3">
      <c r="D192" s="1">
        <v>34532</v>
      </c>
      <c r="E192" s="2">
        <v>43810</v>
      </c>
      <c r="F192" s="1" t="s">
        <v>7</v>
      </c>
      <c r="G192" s="1">
        <v>41</v>
      </c>
      <c r="H192" s="9"/>
      <c r="J192" s="1">
        <v>1320.77</v>
      </c>
      <c r="N192" s="1" t="s">
        <v>8</v>
      </c>
      <c r="O192" s="1">
        <v>20.9</v>
      </c>
    </row>
    <row r="193" spans="4:15" x14ac:dyDescent="0.3">
      <c r="D193" s="1">
        <v>36998</v>
      </c>
      <c r="E193" s="2">
        <v>43737</v>
      </c>
      <c r="F193" s="1" t="s">
        <v>7</v>
      </c>
      <c r="G193" s="1">
        <v>50</v>
      </c>
      <c r="H193" s="9"/>
      <c r="J193" s="1">
        <v>514.91999999999996</v>
      </c>
      <c r="N193" s="1" t="s">
        <v>10</v>
      </c>
      <c r="O193" s="1">
        <v>13.4</v>
      </c>
    </row>
    <row r="194" spans="4:15" x14ac:dyDescent="0.3">
      <c r="D194" s="1">
        <v>42887</v>
      </c>
      <c r="E194" s="2">
        <v>43626</v>
      </c>
      <c r="F194" s="1" t="s">
        <v>14</v>
      </c>
      <c r="G194" s="1">
        <v>3</v>
      </c>
      <c r="H194" s="9"/>
      <c r="J194" s="1">
        <v>533.38</v>
      </c>
      <c r="N194" s="1" t="s">
        <v>13</v>
      </c>
      <c r="O194" s="1">
        <v>55.6</v>
      </c>
    </row>
    <row r="195" spans="4:15" x14ac:dyDescent="0.3">
      <c r="D195" s="1">
        <v>1027</v>
      </c>
      <c r="E195" s="2">
        <v>43618</v>
      </c>
      <c r="F195" s="1" t="s">
        <v>14</v>
      </c>
      <c r="G195" s="1">
        <v>19</v>
      </c>
      <c r="H195" s="9"/>
      <c r="J195" s="1">
        <v>1504.58</v>
      </c>
      <c r="N195" s="1" t="s">
        <v>13</v>
      </c>
      <c r="O195" s="1">
        <v>50</v>
      </c>
    </row>
    <row r="196" spans="4:15" x14ac:dyDescent="0.3">
      <c r="D196" s="1">
        <v>53730</v>
      </c>
      <c r="E196" s="2">
        <v>43828</v>
      </c>
      <c r="F196" s="1" t="s">
        <v>9</v>
      </c>
      <c r="G196" s="1">
        <v>40</v>
      </c>
      <c r="H196" s="9"/>
      <c r="J196" s="1">
        <v>194.53</v>
      </c>
      <c r="N196" s="1" t="s">
        <v>10</v>
      </c>
      <c r="O196" s="1">
        <v>6.2</v>
      </c>
    </row>
    <row r="197" spans="4:15" x14ac:dyDescent="0.3">
      <c r="D197" s="1">
        <v>55683</v>
      </c>
      <c r="E197" s="2">
        <v>43661</v>
      </c>
      <c r="F197" s="1" t="s">
        <v>9</v>
      </c>
      <c r="G197" s="1">
        <v>50</v>
      </c>
      <c r="H197" s="9"/>
      <c r="J197" s="1">
        <v>184.29</v>
      </c>
      <c r="N197" s="1" t="s">
        <v>10</v>
      </c>
      <c r="O197" s="1">
        <v>1.4</v>
      </c>
    </row>
    <row r="198" spans="4:15" x14ac:dyDescent="0.3">
      <c r="D198" s="1">
        <v>54786</v>
      </c>
      <c r="E198" s="2">
        <v>43475</v>
      </c>
      <c r="F198" s="1" t="s">
        <v>11</v>
      </c>
      <c r="G198" s="1">
        <v>30</v>
      </c>
      <c r="H198" s="9"/>
      <c r="J198" s="1">
        <v>406.9</v>
      </c>
      <c r="N198" s="1" t="s">
        <v>10</v>
      </c>
      <c r="O198" s="1">
        <v>4.8</v>
      </c>
    </row>
    <row r="199" spans="4:15" x14ac:dyDescent="0.3">
      <c r="D199" s="1">
        <v>29764</v>
      </c>
      <c r="E199" s="2">
        <v>43668</v>
      </c>
      <c r="F199" s="1" t="s">
        <v>12</v>
      </c>
      <c r="G199" s="1">
        <v>10</v>
      </c>
      <c r="H199" s="9"/>
      <c r="J199" s="1">
        <v>176.65</v>
      </c>
      <c r="N199" s="1" t="s">
        <v>8</v>
      </c>
      <c r="O199" s="1">
        <v>9</v>
      </c>
    </row>
    <row r="200" spans="4:15" x14ac:dyDescent="0.3">
      <c r="D200" s="1">
        <v>38884</v>
      </c>
      <c r="E200" s="2">
        <v>43694</v>
      </c>
      <c r="F200" s="1" t="s">
        <v>9</v>
      </c>
      <c r="G200" s="1">
        <v>20</v>
      </c>
      <c r="H200" s="9"/>
      <c r="J200" s="1">
        <v>6492.5</v>
      </c>
      <c r="N200" s="1" t="s">
        <v>13</v>
      </c>
      <c r="O200" s="1">
        <v>57.9</v>
      </c>
    </row>
    <row r="201" spans="4:15" x14ac:dyDescent="0.3">
      <c r="D201" s="1">
        <v>23911</v>
      </c>
      <c r="E201" s="2">
        <v>43617</v>
      </c>
      <c r="F201" s="1" t="s">
        <v>12</v>
      </c>
      <c r="G201" s="1">
        <v>21</v>
      </c>
      <c r="H201" s="9"/>
      <c r="J201" s="1">
        <v>2761.32</v>
      </c>
      <c r="N201" s="1" t="s">
        <v>13</v>
      </c>
      <c r="O201" s="1">
        <v>75.099999999999994</v>
      </c>
    </row>
    <row r="202" spans="4:15" x14ac:dyDescent="0.3">
      <c r="D202" s="1">
        <v>54183</v>
      </c>
      <c r="E202" s="2">
        <v>43570</v>
      </c>
      <c r="F202" s="1" t="s">
        <v>12</v>
      </c>
      <c r="G202" s="1">
        <v>9</v>
      </c>
      <c r="H202" s="9"/>
      <c r="J202" s="1">
        <v>121.86</v>
      </c>
      <c r="N202" s="1" t="s">
        <v>10</v>
      </c>
      <c r="O202" s="1">
        <v>9.6</v>
      </c>
    </row>
    <row r="203" spans="4:15" x14ac:dyDescent="0.3">
      <c r="D203" s="1">
        <v>28228</v>
      </c>
      <c r="E203" s="2">
        <v>43657</v>
      </c>
      <c r="F203" s="1" t="s">
        <v>11</v>
      </c>
      <c r="G203" s="1">
        <v>5</v>
      </c>
      <c r="H203" s="9"/>
      <c r="J203" s="1">
        <v>370.47</v>
      </c>
      <c r="N203" s="1" t="s">
        <v>10</v>
      </c>
      <c r="O203" s="1">
        <v>21.4</v>
      </c>
    </row>
    <row r="204" spans="4:15" x14ac:dyDescent="0.3">
      <c r="D204" s="1">
        <v>16352</v>
      </c>
      <c r="E204" s="2">
        <v>43676</v>
      </c>
      <c r="F204" s="1" t="s">
        <v>14</v>
      </c>
      <c r="G204" s="1">
        <v>16</v>
      </c>
      <c r="H204" s="9"/>
      <c r="J204" s="1">
        <v>121.17749999999999</v>
      </c>
      <c r="N204" s="1" t="s">
        <v>10</v>
      </c>
      <c r="O204" s="1">
        <v>7.1</v>
      </c>
    </row>
    <row r="205" spans="4:15" x14ac:dyDescent="0.3">
      <c r="D205" s="1">
        <v>11011</v>
      </c>
      <c r="E205" s="2">
        <v>43598</v>
      </c>
      <c r="F205" s="1" t="s">
        <v>9</v>
      </c>
      <c r="G205" s="1">
        <v>33</v>
      </c>
      <c r="H205" s="9"/>
      <c r="J205" s="1">
        <v>8886.5499999999993</v>
      </c>
      <c r="N205" s="1" t="s">
        <v>13</v>
      </c>
      <c r="O205" s="1">
        <v>64.400000000000006</v>
      </c>
    </row>
    <row r="206" spans="4:15" x14ac:dyDescent="0.3">
      <c r="D206" s="1">
        <v>10439</v>
      </c>
      <c r="E206" s="2">
        <v>43552</v>
      </c>
      <c r="F206" s="1" t="s">
        <v>11</v>
      </c>
      <c r="G206" s="1">
        <v>27</v>
      </c>
      <c r="H206" s="9"/>
      <c r="J206" s="1">
        <v>80.31</v>
      </c>
      <c r="N206" s="1" t="s">
        <v>10</v>
      </c>
      <c r="O206" s="1">
        <v>0.5</v>
      </c>
    </row>
    <row r="207" spans="4:15" x14ac:dyDescent="0.3">
      <c r="D207" s="1">
        <v>868</v>
      </c>
      <c r="E207" s="2">
        <v>43624</v>
      </c>
      <c r="F207" s="1" t="s">
        <v>11</v>
      </c>
      <c r="G207" s="1">
        <v>32</v>
      </c>
      <c r="H207" s="9"/>
      <c r="J207" s="1">
        <v>767.02</v>
      </c>
      <c r="N207" s="1" t="s">
        <v>10</v>
      </c>
      <c r="O207" s="1">
        <v>6.4</v>
      </c>
    </row>
    <row r="208" spans="4:15" x14ac:dyDescent="0.3">
      <c r="D208" s="1">
        <v>44033</v>
      </c>
      <c r="E208" s="2">
        <v>43474</v>
      </c>
      <c r="F208" s="1" t="s">
        <v>12</v>
      </c>
      <c r="G208" s="1">
        <v>45</v>
      </c>
      <c r="H208" s="9"/>
      <c r="J208" s="1">
        <v>6218.81</v>
      </c>
      <c r="N208" s="1" t="s">
        <v>13</v>
      </c>
      <c r="O208" s="1">
        <v>55.6</v>
      </c>
    </row>
    <row r="209" spans="4:15" x14ac:dyDescent="0.3">
      <c r="D209" s="1">
        <v>26336</v>
      </c>
      <c r="E209" s="2">
        <v>43611</v>
      </c>
      <c r="F209" s="1" t="s">
        <v>9</v>
      </c>
      <c r="G209" s="1">
        <v>39</v>
      </c>
      <c r="H209" s="9"/>
      <c r="J209" s="1">
        <v>1623</v>
      </c>
      <c r="N209" s="1" t="s">
        <v>10</v>
      </c>
      <c r="O209" s="1">
        <v>7</v>
      </c>
    </row>
    <row r="210" spans="4:15" x14ac:dyDescent="0.3">
      <c r="D210" s="1">
        <v>11011</v>
      </c>
      <c r="E210" s="2">
        <v>43598</v>
      </c>
      <c r="F210" s="1" t="s">
        <v>9</v>
      </c>
      <c r="G210" s="1">
        <v>36</v>
      </c>
      <c r="H210" s="9"/>
      <c r="J210" s="1">
        <v>268.62</v>
      </c>
      <c r="N210" s="1" t="s">
        <v>10</v>
      </c>
      <c r="O210" s="1">
        <v>0.5</v>
      </c>
    </row>
    <row r="211" spans="4:15" x14ac:dyDescent="0.3">
      <c r="D211" s="1">
        <v>36803</v>
      </c>
      <c r="E211" s="2">
        <v>43681</v>
      </c>
      <c r="F211" s="1" t="s">
        <v>11</v>
      </c>
      <c r="G211" s="1">
        <v>42</v>
      </c>
      <c r="H211" s="9"/>
      <c r="J211" s="1">
        <v>130.16999999999999</v>
      </c>
      <c r="N211" s="1" t="s">
        <v>10</v>
      </c>
      <c r="O211" s="1">
        <v>1.1000000000000001</v>
      </c>
    </row>
    <row r="212" spans="4:15" x14ac:dyDescent="0.3">
      <c r="D212" s="1">
        <v>23911</v>
      </c>
      <c r="E212" s="2">
        <v>43617</v>
      </c>
      <c r="F212" s="1" t="s">
        <v>12</v>
      </c>
      <c r="G212" s="1">
        <v>19</v>
      </c>
      <c r="H212" s="9"/>
      <c r="J212" s="1">
        <v>1022.34</v>
      </c>
      <c r="N212" s="1" t="s">
        <v>10</v>
      </c>
      <c r="O212" s="1">
        <v>7</v>
      </c>
    </row>
    <row r="213" spans="4:15" x14ac:dyDescent="0.3">
      <c r="D213" s="1">
        <v>21382</v>
      </c>
      <c r="E213" s="2">
        <v>43476</v>
      </c>
      <c r="F213" s="1" t="s">
        <v>12</v>
      </c>
      <c r="G213" s="1">
        <v>21</v>
      </c>
      <c r="H213" s="9"/>
      <c r="J213" s="1">
        <v>6886.38</v>
      </c>
      <c r="N213" s="1" t="s">
        <v>13</v>
      </c>
      <c r="O213" s="1">
        <v>69.3</v>
      </c>
    </row>
    <row r="214" spans="4:15" x14ac:dyDescent="0.3">
      <c r="D214" s="1">
        <v>55651</v>
      </c>
      <c r="E214" s="2">
        <v>43531</v>
      </c>
      <c r="F214" s="1" t="s">
        <v>14</v>
      </c>
      <c r="G214" s="1">
        <v>11</v>
      </c>
      <c r="H214" s="9"/>
      <c r="J214" s="1">
        <v>1065.42</v>
      </c>
      <c r="N214" s="1" t="s">
        <v>10</v>
      </c>
      <c r="O214" s="1">
        <v>2.7</v>
      </c>
    </row>
    <row r="215" spans="4:15" x14ac:dyDescent="0.3">
      <c r="D215" s="1">
        <v>2209</v>
      </c>
      <c r="E215" s="2">
        <v>43655</v>
      </c>
      <c r="F215" s="1" t="s">
        <v>9</v>
      </c>
      <c r="G215" s="1">
        <v>1</v>
      </c>
      <c r="H215" s="9"/>
      <c r="J215" s="1">
        <v>6.08</v>
      </c>
      <c r="N215" s="1" t="s">
        <v>10</v>
      </c>
      <c r="O215" s="1">
        <v>0.9</v>
      </c>
    </row>
    <row r="216" spans="4:15" x14ac:dyDescent="0.3">
      <c r="D216" s="1">
        <v>53571</v>
      </c>
      <c r="E216" s="2">
        <v>43539</v>
      </c>
      <c r="F216" s="1" t="s">
        <v>11</v>
      </c>
      <c r="G216" s="1">
        <v>21</v>
      </c>
      <c r="H216" s="9"/>
      <c r="J216" s="1">
        <v>254.72</v>
      </c>
      <c r="N216" s="1" t="s">
        <v>10</v>
      </c>
      <c r="O216" s="1">
        <v>3.2</v>
      </c>
    </row>
    <row r="217" spans="4:15" x14ac:dyDescent="0.3">
      <c r="D217" s="1">
        <v>25476</v>
      </c>
      <c r="E217" s="2">
        <v>43740</v>
      </c>
      <c r="F217" s="1" t="s">
        <v>11</v>
      </c>
      <c r="G217" s="1">
        <v>21</v>
      </c>
      <c r="H217" s="9"/>
      <c r="J217" s="1">
        <v>724.06</v>
      </c>
      <c r="N217" s="1" t="s">
        <v>10</v>
      </c>
      <c r="O217" s="1">
        <v>2.1</v>
      </c>
    </row>
    <row r="218" spans="4:15" x14ac:dyDescent="0.3">
      <c r="D218" s="1">
        <v>38437</v>
      </c>
      <c r="E218" s="2">
        <v>43593</v>
      </c>
      <c r="F218" s="1" t="s">
        <v>12</v>
      </c>
      <c r="G218" s="1">
        <v>19</v>
      </c>
      <c r="H218" s="9"/>
      <c r="J218" s="1">
        <v>4495.57</v>
      </c>
      <c r="N218" s="1" t="s">
        <v>13</v>
      </c>
      <c r="O218" s="1">
        <v>55.9</v>
      </c>
    </row>
    <row r="219" spans="4:15" x14ac:dyDescent="0.3">
      <c r="D219" s="1">
        <v>29761</v>
      </c>
      <c r="E219" s="2">
        <v>43649</v>
      </c>
      <c r="F219" s="1" t="s">
        <v>14</v>
      </c>
      <c r="G219" s="1">
        <v>19</v>
      </c>
      <c r="H219" s="9"/>
      <c r="J219" s="1">
        <v>132.33000000000001</v>
      </c>
      <c r="N219" s="1" t="s">
        <v>10</v>
      </c>
      <c r="O219" s="1">
        <v>5.6</v>
      </c>
    </row>
    <row r="220" spans="4:15" x14ac:dyDescent="0.3">
      <c r="D220" s="1">
        <v>33477</v>
      </c>
      <c r="E220" s="2">
        <v>43757</v>
      </c>
      <c r="F220" s="1" t="s">
        <v>9</v>
      </c>
      <c r="G220" s="1">
        <v>28</v>
      </c>
      <c r="H220" s="9"/>
      <c r="J220" s="1">
        <v>288.13</v>
      </c>
      <c r="N220" s="1" t="s">
        <v>10</v>
      </c>
      <c r="O220" s="1">
        <v>1.1000000000000001</v>
      </c>
    </row>
    <row r="221" spans="4:15" x14ac:dyDescent="0.3">
      <c r="D221" s="1">
        <v>29347</v>
      </c>
      <c r="E221" s="2">
        <v>43689</v>
      </c>
      <c r="F221" s="1" t="s">
        <v>14</v>
      </c>
      <c r="G221" s="1">
        <v>50</v>
      </c>
      <c r="H221" s="9"/>
      <c r="J221" s="1">
        <v>2183.2199999999998</v>
      </c>
      <c r="N221" s="1" t="s">
        <v>10</v>
      </c>
      <c r="O221" s="1">
        <v>21.4</v>
      </c>
    </row>
    <row r="222" spans="4:15" x14ac:dyDescent="0.3">
      <c r="D222" s="1">
        <v>38851</v>
      </c>
      <c r="E222" s="2">
        <v>43626</v>
      </c>
      <c r="F222" s="1" t="s">
        <v>12</v>
      </c>
      <c r="G222" s="1">
        <v>1</v>
      </c>
      <c r="H222" s="9"/>
      <c r="J222" s="1">
        <v>9.08</v>
      </c>
      <c r="N222" s="1" t="s">
        <v>10</v>
      </c>
      <c r="O222" s="1">
        <v>5</v>
      </c>
    </row>
    <row r="223" spans="4:15" x14ac:dyDescent="0.3">
      <c r="D223" s="1">
        <v>3205</v>
      </c>
      <c r="E223" s="2">
        <v>43565</v>
      </c>
      <c r="F223" s="1" t="s">
        <v>7</v>
      </c>
      <c r="G223" s="1">
        <v>42</v>
      </c>
      <c r="H223" s="9"/>
      <c r="J223" s="1">
        <v>3111.1641</v>
      </c>
      <c r="N223" s="1" t="s">
        <v>8</v>
      </c>
      <c r="O223" s="1">
        <v>73.8</v>
      </c>
    </row>
    <row r="224" spans="4:15" x14ac:dyDescent="0.3">
      <c r="D224" s="1">
        <v>26726</v>
      </c>
      <c r="E224" s="2">
        <v>43826</v>
      </c>
      <c r="F224" s="1" t="s">
        <v>9</v>
      </c>
      <c r="G224" s="1">
        <v>11</v>
      </c>
      <c r="H224" s="9"/>
      <c r="J224" s="1">
        <v>92.75</v>
      </c>
      <c r="N224" s="1" t="s">
        <v>10</v>
      </c>
      <c r="O224" s="1">
        <v>52.4</v>
      </c>
    </row>
    <row r="225" spans="4:15" x14ac:dyDescent="0.3">
      <c r="D225" s="1">
        <v>3680</v>
      </c>
      <c r="E225" s="2">
        <v>43808</v>
      </c>
      <c r="F225" s="1" t="s">
        <v>11</v>
      </c>
      <c r="G225" s="1">
        <v>24</v>
      </c>
      <c r="H225" s="9"/>
      <c r="J225" s="1">
        <v>106.5</v>
      </c>
      <c r="N225" s="1" t="s">
        <v>8</v>
      </c>
      <c r="O225" s="1">
        <v>1.6</v>
      </c>
    </row>
    <row r="226" spans="4:15" x14ac:dyDescent="0.3">
      <c r="D226" s="1">
        <v>14784</v>
      </c>
      <c r="E226" s="2">
        <v>43538</v>
      </c>
      <c r="F226" s="1" t="s">
        <v>14</v>
      </c>
      <c r="G226" s="1">
        <v>43</v>
      </c>
      <c r="H226" s="9"/>
      <c r="J226" s="1">
        <v>2149.6799999999998</v>
      </c>
      <c r="N226" s="1" t="s">
        <v>13</v>
      </c>
      <c r="O226" s="1">
        <v>49.9</v>
      </c>
    </row>
    <row r="227" spans="4:15" x14ac:dyDescent="0.3">
      <c r="D227" s="1">
        <v>17799</v>
      </c>
      <c r="E227" s="2">
        <v>43728</v>
      </c>
      <c r="F227" s="1" t="s">
        <v>14</v>
      </c>
      <c r="G227" s="1">
        <v>8</v>
      </c>
      <c r="H227" s="9"/>
      <c r="J227" s="1">
        <v>159.97999999999999</v>
      </c>
      <c r="N227" s="1" t="s">
        <v>10</v>
      </c>
      <c r="O227" s="1">
        <v>13.3</v>
      </c>
    </row>
    <row r="228" spans="4:15" x14ac:dyDescent="0.3">
      <c r="D228" s="1">
        <v>16709</v>
      </c>
      <c r="E228" s="2">
        <v>43744</v>
      </c>
      <c r="F228" s="1" t="s">
        <v>9</v>
      </c>
      <c r="G228" s="1">
        <v>3</v>
      </c>
      <c r="H228" s="9"/>
      <c r="J228" s="1">
        <v>26.07</v>
      </c>
      <c r="N228" s="1" t="s">
        <v>10</v>
      </c>
      <c r="O228" s="1">
        <v>6.1</v>
      </c>
    </row>
    <row r="229" spans="4:15" x14ac:dyDescent="0.3">
      <c r="D229" s="1">
        <v>46691</v>
      </c>
      <c r="E229" s="2">
        <v>43640</v>
      </c>
      <c r="F229" s="1" t="s">
        <v>12</v>
      </c>
      <c r="G229" s="1">
        <v>47</v>
      </c>
      <c r="H229" s="9"/>
      <c r="J229" s="1">
        <v>1793.59</v>
      </c>
      <c r="N229" s="1" t="s">
        <v>10</v>
      </c>
      <c r="O229" s="1">
        <v>24.2</v>
      </c>
    </row>
    <row r="230" spans="4:15" x14ac:dyDescent="0.3">
      <c r="D230" s="1">
        <v>51044</v>
      </c>
      <c r="E230" s="2">
        <v>43482</v>
      </c>
      <c r="F230" s="1" t="s">
        <v>7</v>
      </c>
      <c r="G230" s="1">
        <v>26</v>
      </c>
      <c r="H230" s="9"/>
      <c r="J230" s="1">
        <v>1426.5</v>
      </c>
      <c r="N230" s="1" t="s">
        <v>13</v>
      </c>
      <c r="O230" s="1">
        <v>15.2</v>
      </c>
    </row>
    <row r="231" spans="4:15" x14ac:dyDescent="0.3">
      <c r="D231" s="1">
        <v>22183</v>
      </c>
      <c r="E231" s="2">
        <v>43578</v>
      </c>
      <c r="F231" s="1" t="s">
        <v>14</v>
      </c>
      <c r="G231" s="1">
        <v>30</v>
      </c>
      <c r="H231" s="9"/>
      <c r="J231" s="1">
        <v>189.63</v>
      </c>
      <c r="N231" s="1" t="s">
        <v>10</v>
      </c>
      <c r="O231" s="1">
        <v>1.1000000000000001</v>
      </c>
    </row>
    <row r="232" spans="4:15" x14ac:dyDescent="0.3">
      <c r="D232" s="1">
        <v>13892</v>
      </c>
      <c r="E232" s="2">
        <v>43582</v>
      </c>
      <c r="F232" s="1" t="s">
        <v>9</v>
      </c>
      <c r="G232" s="1">
        <v>47</v>
      </c>
      <c r="H232" s="9"/>
      <c r="J232" s="1">
        <v>1548.26</v>
      </c>
      <c r="N232" s="1" t="s">
        <v>10</v>
      </c>
      <c r="O232" s="1">
        <v>2.1</v>
      </c>
    </row>
    <row r="233" spans="4:15" x14ac:dyDescent="0.3">
      <c r="D233" s="1">
        <v>13988</v>
      </c>
      <c r="E233" s="2">
        <v>43678</v>
      </c>
      <c r="F233" s="1" t="s">
        <v>11</v>
      </c>
      <c r="G233" s="1">
        <v>39</v>
      </c>
      <c r="H233" s="9"/>
      <c r="J233" s="1">
        <v>670.85</v>
      </c>
      <c r="N233" s="1" t="s">
        <v>10</v>
      </c>
      <c r="O233" s="1">
        <v>8.1999999999999993</v>
      </c>
    </row>
    <row r="234" spans="4:15" x14ac:dyDescent="0.3">
      <c r="D234" s="1">
        <v>53024</v>
      </c>
      <c r="E234" s="2">
        <v>43597</v>
      </c>
      <c r="F234" s="1" t="s">
        <v>11</v>
      </c>
      <c r="G234" s="1">
        <v>46</v>
      </c>
      <c r="H234" s="9"/>
      <c r="J234" s="1">
        <v>2413.06</v>
      </c>
      <c r="N234" s="1" t="s">
        <v>10</v>
      </c>
      <c r="O234" s="1">
        <v>5.4</v>
      </c>
    </row>
    <row r="235" spans="4:15" x14ac:dyDescent="0.3">
      <c r="D235" s="1">
        <v>39938</v>
      </c>
      <c r="E235" s="2">
        <v>43626</v>
      </c>
      <c r="F235" s="1" t="s">
        <v>9</v>
      </c>
      <c r="G235" s="1">
        <v>5</v>
      </c>
      <c r="H235" s="9"/>
      <c r="J235" s="1">
        <v>181.12</v>
      </c>
      <c r="N235" s="1" t="s">
        <v>10</v>
      </c>
      <c r="O235" s="1">
        <v>9.6</v>
      </c>
    </row>
    <row r="236" spans="4:15" x14ac:dyDescent="0.3">
      <c r="D236" s="1">
        <v>6373</v>
      </c>
      <c r="E236" s="2">
        <v>43487</v>
      </c>
      <c r="F236" s="1" t="s">
        <v>11</v>
      </c>
      <c r="G236" s="1">
        <v>1</v>
      </c>
      <c r="H236" s="9"/>
      <c r="J236" s="1">
        <v>67.16</v>
      </c>
      <c r="N236" s="1" t="s">
        <v>10</v>
      </c>
      <c r="O236" s="1">
        <v>4.8</v>
      </c>
    </row>
    <row r="237" spans="4:15" x14ac:dyDescent="0.3">
      <c r="D237" s="1">
        <v>6182</v>
      </c>
      <c r="E237" s="2">
        <v>43667</v>
      </c>
      <c r="F237" s="1" t="s">
        <v>7</v>
      </c>
      <c r="G237" s="1">
        <v>40</v>
      </c>
      <c r="H237" s="9"/>
      <c r="J237" s="1">
        <v>273.36</v>
      </c>
      <c r="N237" s="1" t="s">
        <v>10</v>
      </c>
      <c r="O237" s="1">
        <v>7.1</v>
      </c>
    </row>
    <row r="238" spans="4:15" x14ac:dyDescent="0.3">
      <c r="D238" s="1">
        <v>17953</v>
      </c>
      <c r="E238" s="2">
        <v>43697</v>
      </c>
      <c r="F238" s="1" t="s">
        <v>9</v>
      </c>
      <c r="G238" s="1">
        <v>21</v>
      </c>
      <c r="H238" s="9"/>
      <c r="J238" s="1">
        <v>1594.9</v>
      </c>
      <c r="N238" s="1" t="s">
        <v>13</v>
      </c>
      <c r="O238" s="1">
        <v>64.2</v>
      </c>
    </row>
    <row r="239" spans="4:15" x14ac:dyDescent="0.3">
      <c r="D239" s="1">
        <v>23584</v>
      </c>
      <c r="E239" s="2">
        <v>43536</v>
      </c>
      <c r="F239" s="1" t="s">
        <v>12</v>
      </c>
      <c r="G239" s="1">
        <v>14</v>
      </c>
      <c r="H239" s="9"/>
      <c r="J239" s="1">
        <v>2858.19</v>
      </c>
      <c r="N239" s="1" t="s">
        <v>13</v>
      </c>
      <c r="O239" s="1">
        <v>16.7</v>
      </c>
    </row>
    <row r="240" spans="4:15" x14ac:dyDescent="0.3">
      <c r="D240" s="1">
        <v>31393</v>
      </c>
      <c r="E240" s="2">
        <v>43596</v>
      </c>
      <c r="F240" s="1" t="s">
        <v>12</v>
      </c>
      <c r="G240" s="1">
        <v>31</v>
      </c>
      <c r="H240" s="9"/>
      <c r="J240" s="1">
        <v>118.04</v>
      </c>
      <c r="N240" s="1" t="s">
        <v>10</v>
      </c>
      <c r="O240" s="1">
        <v>1.4</v>
      </c>
    </row>
    <row r="241" spans="4:15" x14ac:dyDescent="0.3">
      <c r="D241" s="1">
        <v>42054</v>
      </c>
      <c r="E241" s="2">
        <v>43722</v>
      </c>
      <c r="F241" s="1" t="s">
        <v>14</v>
      </c>
      <c r="G241" s="1">
        <v>32</v>
      </c>
      <c r="H241" s="9"/>
      <c r="J241" s="1">
        <v>101.17</v>
      </c>
      <c r="N241" s="1" t="s">
        <v>10</v>
      </c>
      <c r="O241" s="1">
        <v>1.6</v>
      </c>
    </row>
    <row r="242" spans="4:15" x14ac:dyDescent="0.3">
      <c r="D242" s="1">
        <v>26912</v>
      </c>
      <c r="E242" s="2">
        <v>43582</v>
      </c>
      <c r="F242" s="1" t="s">
        <v>7</v>
      </c>
      <c r="G242" s="1">
        <v>18</v>
      </c>
      <c r="H242" s="9"/>
      <c r="J242" s="1">
        <v>3355.74</v>
      </c>
      <c r="N242" s="1" t="s">
        <v>10</v>
      </c>
      <c r="O242" s="1">
        <v>5.6</v>
      </c>
    </row>
    <row r="243" spans="4:15" x14ac:dyDescent="0.3">
      <c r="D243" s="1">
        <v>9925</v>
      </c>
      <c r="E243" s="2">
        <v>43494</v>
      </c>
      <c r="F243" s="1" t="s">
        <v>12</v>
      </c>
      <c r="G243" s="1">
        <v>31</v>
      </c>
      <c r="H243" s="9"/>
      <c r="J243" s="1">
        <v>732.42</v>
      </c>
      <c r="N243" s="1" t="s">
        <v>10</v>
      </c>
      <c r="O243" s="1">
        <v>9.6</v>
      </c>
    </row>
    <row r="244" spans="4:15" x14ac:dyDescent="0.3">
      <c r="D244" s="1">
        <v>48448</v>
      </c>
      <c r="E244" s="2">
        <v>43785</v>
      </c>
      <c r="F244" s="1" t="s">
        <v>7</v>
      </c>
      <c r="G244" s="1">
        <v>20</v>
      </c>
      <c r="H244" s="9"/>
      <c r="J244" s="1">
        <v>364.82</v>
      </c>
      <c r="N244" s="1" t="s">
        <v>10</v>
      </c>
      <c r="O244" s="1">
        <v>1.1000000000000001</v>
      </c>
    </row>
    <row r="245" spans="4:15" x14ac:dyDescent="0.3">
      <c r="D245" s="1">
        <v>32386</v>
      </c>
      <c r="E245" s="2">
        <v>43573</v>
      </c>
      <c r="F245" s="1" t="s">
        <v>12</v>
      </c>
      <c r="G245" s="1">
        <v>1</v>
      </c>
      <c r="H245" s="9"/>
      <c r="J245" s="1">
        <v>2135.89</v>
      </c>
      <c r="N245" s="1" t="s">
        <v>10</v>
      </c>
      <c r="O245" s="1">
        <v>15</v>
      </c>
    </row>
    <row r="246" spans="4:15" x14ac:dyDescent="0.3">
      <c r="D246" s="1">
        <v>7427</v>
      </c>
      <c r="E246" s="2">
        <v>43814</v>
      </c>
      <c r="F246" s="1" t="s">
        <v>11</v>
      </c>
      <c r="G246" s="1">
        <v>9</v>
      </c>
      <c r="H246" s="9"/>
      <c r="J246" s="1">
        <v>195.02</v>
      </c>
      <c r="N246" s="1" t="s">
        <v>10</v>
      </c>
      <c r="O246" s="1">
        <v>1.6</v>
      </c>
    </row>
    <row r="247" spans="4:15" x14ac:dyDescent="0.3">
      <c r="D247" s="1">
        <v>27302</v>
      </c>
      <c r="E247" s="2">
        <v>43720</v>
      </c>
      <c r="F247" s="1" t="s">
        <v>7</v>
      </c>
      <c r="G247" s="1">
        <v>16</v>
      </c>
      <c r="H247" s="9"/>
      <c r="J247" s="1">
        <v>254.17</v>
      </c>
      <c r="N247" s="1" t="s">
        <v>10</v>
      </c>
      <c r="O247" s="1">
        <v>9.4</v>
      </c>
    </row>
    <row r="248" spans="4:15" x14ac:dyDescent="0.3">
      <c r="D248" s="1">
        <v>52837</v>
      </c>
      <c r="E248" s="2">
        <v>43482</v>
      </c>
      <c r="F248" s="1" t="s">
        <v>12</v>
      </c>
      <c r="G248" s="1">
        <v>32</v>
      </c>
      <c r="H248" s="9"/>
      <c r="J248" s="1">
        <v>6349.8</v>
      </c>
      <c r="N248" s="1" t="s">
        <v>10</v>
      </c>
      <c r="O248" s="1">
        <v>21.4</v>
      </c>
    </row>
    <row r="249" spans="4:15" x14ac:dyDescent="0.3">
      <c r="D249" s="1">
        <v>40388</v>
      </c>
      <c r="E249" s="2">
        <v>43670</v>
      </c>
      <c r="F249" s="1" t="s">
        <v>12</v>
      </c>
      <c r="G249" s="1">
        <v>17</v>
      </c>
      <c r="H249" s="9"/>
      <c r="J249" s="1">
        <v>72.47</v>
      </c>
      <c r="N249" s="1" t="s">
        <v>10</v>
      </c>
      <c r="O249" s="1">
        <v>1</v>
      </c>
    </row>
    <row r="250" spans="4:15" x14ac:dyDescent="0.3">
      <c r="D250" s="1">
        <v>1991</v>
      </c>
      <c r="E250" s="2">
        <v>43714</v>
      </c>
      <c r="F250" s="1" t="s">
        <v>11</v>
      </c>
      <c r="G250" s="1">
        <v>27</v>
      </c>
      <c r="H250" s="9"/>
      <c r="J250" s="1">
        <v>3735.43</v>
      </c>
      <c r="N250" s="1" t="s">
        <v>10</v>
      </c>
      <c r="O250" s="1">
        <v>26.2</v>
      </c>
    </row>
    <row r="251" spans="4:15" x14ac:dyDescent="0.3">
      <c r="D251" s="1">
        <v>33445</v>
      </c>
      <c r="E251" s="2">
        <v>43679</v>
      </c>
      <c r="F251" s="1" t="s">
        <v>7</v>
      </c>
      <c r="G251" s="1">
        <v>49</v>
      </c>
      <c r="H251" s="9"/>
      <c r="J251" s="1">
        <v>3897.09</v>
      </c>
      <c r="N251" s="1" t="s">
        <v>13</v>
      </c>
      <c r="O251" s="1">
        <v>28.6</v>
      </c>
    </row>
    <row r="252" spans="4:15" x14ac:dyDescent="0.3">
      <c r="D252" s="1">
        <v>28294</v>
      </c>
      <c r="E252" s="2">
        <v>43607</v>
      </c>
      <c r="F252" s="1" t="s">
        <v>9</v>
      </c>
      <c r="G252" s="1">
        <v>47</v>
      </c>
      <c r="H252" s="9"/>
      <c r="J252" s="1">
        <v>67.91</v>
      </c>
      <c r="N252" s="1" t="s">
        <v>10</v>
      </c>
      <c r="O252" s="1">
        <v>0.7</v>
      </c>
    </row>
    <row r="253" spans="4:15" x14ac:dyDescent="0.3">
      <c r="D253" s="1">
        <v>33184</v>
      </c>
      <c r="E253" s="2">
        <v>43508</v>
      </c>
      <c r="F253" s="1" t="s">
        <v>11</v>
      </c>
      <c r="G253" s="1">
        <v>32</v>
      </c>
      <c r="H253" s="9"/>
      <c r="J253" s="1">
        <v>430.66</v>
      </c>
      <c r="N253" s="1" t="s">
        <v>10</v>
      </c>
      <c r="O253" s="1">
        <v>6</v>
      </c>
    </row>
    <row r="254" spans="4:15" x14ac:dyDescent="0.3">
      <c r="D254" s="1">
        <v>59878</v>
      </c>
      <c r="E254" s="2">
        <v>43613</v>
      </c>
      <c r="F254" s="1" t="s">
        <v>9</v>
      </c>
      <c r="G254" s="1">
        <v>23</v>
      </c>
      <c r="H254" s="9"/>
      <c r="J254" s="1">
        <v>267.11</v>
      </c>
      <c r="N254" s="1" t="s">
        <v>10</v>
      </c>
      <c r="O254" s="1">
        <v>8</v>
      </c>
    </row>
    <row r="255" spans="4:15" x14ac:dyDescent="0.3">
      <c r="D255" s="1">
        <v>31555</v>
      </c>
      <c r="E255" s="2">
        <v>43468</v>
      </c>
      <c r="F255" s="1" t="s">
        <v>12</v>
      </c>
      <c r="G255" s="1">
        <v>38</v>
      </c>
      <c r="H255" s="9"/>
      <c r="J255" s="1">
        <v>3778.97</v>
      </c>
      <c r="N255" s="1" t="s">
        <v>10</v>
      </c>
      <c r="O255" s="1">
        <v>22.2</v>
      </c>
    </row>
    <row r="256" spans="4:15" x14ac:dyDescent="0.3">
      <c r="D256" s="1">
        <v>25986</v>
      </c>
      <c r="E256" s="2">
        <v>43638</v>
      </c>
      <c r="F256" s="1" t="s">
        <v>14</v>
      </c>
      <c r="G256" s="1">
        <v>48</v>
      </c>
      <c r="H256" s="9"/>
      <c r="J256" s="1">
        <v>297.52999999999997</v>
      </c>
      <c r="N256" s="1" t="s">
        <v>10</v>
      </c>
      <c r="O256" s="1">
        <v>5.3</v>
      </c>
    </row>
    <row r="257" spans="4:15" x14ac:dyDescent="0.3">
      <c r="D257" s="1">
        <v>40672</v>
      </c>
      <c r="E257" s="2">
        <v>43767</v>
      </c>
      <c r="F257" s="1" t="s">
        <v>7</v>
      </c>
      <c r="G257" s="1">
        <v>16</v>
      </c>
      <c r="H257" s="9"/>
      <c r="J257" s="1">
        <v>1731.16</v>
      </c>
      <c r="N257" s="1" t="s">
        <v>13</v>
      </c>
      <c r="O257" s="1">
        <v>38.299999999999997</v>
      </c>
    </row>
    <row r="258" spans="4:15" x14ac:dyDescent="0.3">
      <c r="D258" s="1">
        <v>2562</v>
      </c>
      <c r="E258" s="2">
        <v>43677</v>
      </c>
      <c r="F258" s="1" t="s">
        <v>12</v>
      </c>
      <c r="G258" s="1">
        <v>17</v>
      </c>
      <c r="H258" s="9"/>
      <c r="J258" s="1">
        <v>878.66</v>
      </c>
      <c r="N258" s="1" t="s">
        <v>8</v>
      </c>
      <c r="O258" s="1">
        <v>6.2</v>
      </c>
    </row>
    <row r="259" spans="4:15" x14ac:dyDescent="0.3">
      <c r="D259" s="1">
        <v>16706</v>
      </c>
      <c r="E259" s="2">
        <v>43643</v>
      </c>
      <c r="F259" s="1" t="s">
        <v>9</v>
      </c>
      <c r="G259" s="1">
        <v>47</v>
      </c>
      <c r="H259" s="9"/>
      <c r="J259" s="1">
        <v>2079.7800000000002</v>
      </c>
      <c r="N259" s="1" t="s">
        <v>10</v>
      </c>
      <c r="O259" s="1">
        <v>36.6</v>
      </c>
    </row>
    <row r="260" spans="4:15" x14ac:dyDescent="0.3">
      <c r="D260" s="1">
        <v>53285</v>
      </c>
      <c r="E260" s="2">
        <v>43609</v>
      </c>
      <c r="F260" s="1" t="s">
        <v>12</v>
      </c>
      <c r="G260" s="1">
        <v>6</v>
      </c>
      <c r="H260" s="9"/>
      <c r="J260" s="1">
        <v>1115.97</v>
      </c>
      <c r="N260" s="1" t="s">
        <v>10</v>
      </c>
      <c r="O260" s="1">
        <v>21.4</v>
      </c>
    </row>
    <row r="261" spans="4:15" x14ac:dyDescent="0.3">
      <c r="D261" s="1">
        <v>19044</v>
      </c>
      <c r="E261" s="2">
        <v>43566</v>
      </c>
      <c r="F261" s="1" t="s">
        <v>7</v>
      </c>
      <c r="G261" s="1">
        <v>32</v>
      </c>
      <c r="H261" s="9"/>
      <c r="J261" s="1">
        <v>5136.47</v>
      </c>
      <c r="N261" s="1" t="s">
        <v>10</v>
      </c>
      <c r="O261" s="1">
        <v>15</v>
      </c>
    </row>
    <row r="262" spans="4:15" x14ac:dyDescent="0.3">
      <c r="D262" s="1">
        <v>6117</v>
      </c>
      <c r="E262" s="2">
        <v>43820</v>
      </c>
      <c r="F262" s="1" t="s">
        <v>12</v>
      </c>
      <c r="G262" s="1">
        <v>7</v>
      </c>
      <c r="H262" s="9"/>
      <c r="J262" s="1">
        <v>168.02</v>
      </c>
      <c r="N262" s="1" t="s">
        <v>10</v>
      </c>
      <c r="O262" s="1">
        <v>5.4</v>
      </c>
    </row>
    <row r="263" spans="4:15" x14ac:dyDescent="0.3">
      <c r="D263" s="1">
        <v>49255</v>
      </c>
      <c r="E263" s="2">
        <v>43638</v>
      </c>
      <c r="F263" s="1" t="s">
        <v>9</v>
      </c>
      <c r="G263" s="1">
        <v>20</v>
      </c>
      <c r="H263" s="9"/>
      <c r="J263" s="1">
        <v>1452.46</v>
      </c>
      <c r="N263" s="1" t="s">
        <v>13</v>
      </c>
      <c r="O263" s="1">
        <v>28.7</v>
      </c>
    </row>
    <row r="264" spans="4:15" x14ac:dyDescent="0.3">
      <c r="D264" s="1">
        <v>48706</v>
      </c>
      <c r="E264" s="2">
        <v>43768</v>
      </c>
      <c r="F264" s="1" t="s">
        <v>7</v>
      </c>
      <c r="G264" s="1">
        <v>18</v>
      </c>
      <c r="H264" s="9"/>
      <c r="J264" s="1">
        <v>142.07</v>
      </c>
      <c r="N264" s="1" t="s">
        <v>10</v>
      </c>
      <c r="O264" s="1">
        <v>11.9</v>
      </c>
    </row>
    <row r="265" spans="4:15" x14ac:dyDescent="0.3">
      <c r="D265" s="1">
        <v>25666</v>
      </c>
      <c r="E265" s="2">
        <v>43710</v>
      </c>
      <c r="F265" s="1" t="s">
        <v>12</v>
      </c>
      <c r="G265" s="1">
        <v>36</v>
      </c>
      <c r="H265" s="9"/>
      <c r="J265" s="1">
        <v>5427.4</v>
      </c>
      <c r="N265" s="1" t="s">
        <v>10</v>
      </c>
      <c r="O265" s="1">
        <v>21.4</v>
      </c>
    </row>
    <row r="266" spans="4:15" x14ac:dyDescent="0.3">
      <c r="D266" s="1">
        <v>22182</v>
      </c>
      <c r="E266" s="2">
        <v>43713</v>
      </c>
      <c r="F266" s="1" t="s">
        <v>14</v>
      </c>
      <c r="G266" s="1">
        <v>4</v>
      </c>
      <c r="H266" s="9"/>
      <c r="J266" s="1">
        <v>59.89</v>
      </c>
      <c r="N266" s="1" t="s">
        <v>10</v>
      </c>
      <c r="O266" s="1">
        <v>7.7</v>
      </c>
    </row>
    <row r="267" spans="4:15" x14ac:dyDescent="0.3">
      <c r="D267" s="1">
        <v>38052</v>
      </c>
      <c r="E267" s="2">
        <v>43510</v>
      </c>
      <c r="F267" s="1" t="s">
        <v>7</v>
      </c>
      <c r="G267" s="1">
        <v>13</v>
      </c>
      <c r="H267" s="9"/>
      <c r="J267" s="1">
        <v>580.58000000000004</v>
      </c>
      <c r="N267" s="1" t="s">
        <v>10</v>
      </c>
      <c r="O267" s="1">
        <v>2.1</v>
      </c>
    </row>
    <row r="268" spans="4:15" x14ac:dyDescent="0.3">
      <c r="D268" s="1">
        <v>53477</v>
      </c>
      <c r="E268" s="2">
        <v>43590</v>
      </c>
      <c r="F268" s="1" t="s">
        <v>9</v>
      </c>
      <c r="G268" s="1">
        <v>36</v>
      </c>
      <c r="H268" s="9"/>
      <c r="J268" s="1">
        <v>1406.68</v>
      </c>
      <c r="N268" s="1" t="s">
        <v>10</v>
      </c>
      <c r="O268" s="1">
        <v>5.4</v>
      </c>
    </row>
    <row r="269" spans="4:15" x14ac:dyDescent="0.3">
      <c r="D269" s="1">
        <v>31270</v>
      </c>
      <c r="E269" s="2">
        <v>43792</v>
      </c>
      <c r="F269" s="1" t="s">
        <v>14</v>
      </c>
      <c r="G269" s="1">
        <v>3</v>
      </c>
      <c r="H269" s="9"/>
      <c r="J269" s="1">
        <v>954.02</v>
      </c>
      <c r="N269" s="1" t="s">
        <v>13</v>
      </c>
      <c r="O269" s="1">
        <v>52.2</v>
      </c>
    </row>
    <row r="270" spans="4:15" x14ac:dyDescent="0.3">
      <c r="D270" s="1">
        <v>51202</v>
      </c>
      <c r="E270" s="2">
        <v>43568</v>
      </c>
      <c r="F270" s="1" t="s">
        <v>9</v>
      </c>
      <c r="G270" s="1">
        <v>34</v>
      </c>
      <c r="H270" s="9"/>
      <c r="J270" s="1">
        <v>182.39</v>
      </c>
      <c r="N270" s="1" t="s">
        <v>10</v>
      </c>
      <c r="O270" s="1">
        <v>6.1</v>
      </c>
    </row>
    <row r="271" spans="4:15" x14ac:dyDescent="0.3">
      <c r="D271" s="1">
        <v>16036</v>
      </c>
      <c r="E271" s="2">
        <v>43469</v>
      </c>
      <c r="F271" s="1" t="s">
        <v>14</v>
      </c>
      <c r="G271" s="1">
        <v>10</v>
      </c>
      <c r="H271" s="9"/>
      <c r="J271" s="1">
        <v>1411.78</v>
      </c>
      <c r="N271" s="1" t="s">
        <v>10</v>
      </c>
      <c r="O271" s="1">
        <v>8.6</v>
      </c>
    </row>
    <row r="272" spans="4:15" x14ac:dyDescent="0.3">
      <c r="D272" s="1">
        <v>17510</v>
      </c>
      <c r="E272" s="2">
        <v>43768</v>
      </c>
      <c r="F272" s="1" t="s">
        <v>12</v>
      </c>
      <c r="G272" s="1">
        <v>28</v>
      </c>
      <c r="H272" s="9"/>
      <c r="J272" s="1">
        <v>494.47</v>
      </c>
      <c r="N272" s="1" t="s">
        <v>10</v>
      </c>
      <c r="O272" s="1">
        <v>1.5</v>
      </c>
    </row>
    <row r="273" spans="4:15" x14ac:dyDescent="0.3">
      <c r="D273" s="1">
        <v>10439</v>
      </c>
      <c r="E273" s="2">
        <v>43552</v>
      </c>
      <c r="F273" s="1" t="s">
        <v>11</v>
      </c>
      <c r="G273" s="1">
        <v>41</v>
      </c>
      <c r="H273" s="9"/>
      <c r="J273" s="1">
        <v>880.7491</v>
      </c>
      <c r="N273" s="1" t="s">
        <v>10</v>
      </c>
      <c r="O273" s="1">
        <v>1.6</v>
      </c>
    </row>
    <row r="274" spans="4:15" x14ac:dyDescent="0.3">
      <c r="D274" s="1">
        <v>15399</v>
      </c>
      <c r="E274" s="2">
        <v>43598</v>
      </c>
      <c r="F274" s="1" t="s">
        <v>12</v>
      </c>
      <c r="G274" s="1">
        <v>38</v>
      </c>
      <c r="H274" s="9"/>
      <c r="J274" s="1">
        <v>4267.26</v>
      </c>
      <c r="N274" s="1" t="s">
        <v>10</v>
      </c>
      <c r="O274" s="1">
        <v>4.5</v>
      </c>
    </row>
    <row r="275" spans="4:15" x14ac:dyDescent="0.3">
      <c r="D275" s="1">
        <v>48293</v>
      </c>
      <c r="E275" s="2">
        <v>43564</v>
      </c>
      <c r="F275" s="1" t="s">
        <v>12</v>
      </c>
      <c r="G275" s="1">
        <v>47</v>
      </c>
      <c r="H275" s="9"/>
      <c r="J275" s="1">
        <v>396.54</v>
      </c>
      <c r="N275" s="1" t="s">
        <v>10</v>
      </c>
      <c r="O275" s="1">
        <v>1.5</v>
      </c>
    </row>
    <row r="276" spans="4:15" x14ac:dyDescent="0.3">
      <c r="D276" s="1">
        <v>15296</v>
      </c>
      <c r="E276" s="2">
        <v>43684</v>
      </c>
      <c r="F276" s="1" t="s">
        <v>11</v>
      </c>
      <c r="G276" s="1">
        <v>38</v>
      </c>
      <c r="H276" s="9"/>
      <c r="J276" s="1">
        <v>6651.76</v>
      </c>
      <c r="N276" s="1" t="s">
        <v>10</v>
      </c>
      <c r="O276" s="1">
        <v>21.4</v>
      </c>
    </row>
    <row r="277" spans="4:15" x14ac:dyDescent="0.3">
      <c r="D277" s="1">
        <v>50818</v>
      </c>
      <c r="E277" s="2">
        <v>43744</v>
      </c>
      <c r="F277" s="1" t="s">
        <v>14</v>
      </c>
      <c r="G277" s="1">
        <v>34</v>
      </c>
      <c r="H277" s="9"/>
      <c r="J277" s="1">
        <v>5904.83</v>
      </c>
      <c r="N277" s="1" t="s">
        <v>10</v>
      </c>
      <c r="O277" s="1">
        <v>9.6</v>
      </c>
    </row>
    <row r="278" spans="4:15" x14ac:dyDescent="0.3">
      <c r="D278" s="1">
        <v>41766</v>
      </c>
      <c r="E278" s="2">
        <v>43719</v>
      </c>
      <c r="F278" s="1" t="s">
        <v>12</v>
      </c>
      <c r="G278" s="1">
        <v>10</v>
      </c>
      <c r="H278" s="9"/>
      <c r="J278" s="1">
        <v>5519.16</v>
      </c>
      <c r="N278" s="1" t="s">
        <v>13</v>
      </c>
      <c r="O278" s="1">
        <v>30.1</v>
      </c>
    </row>
    <row r="279" spans="4:15" x14ac:dyDescent="0.3">
      <c r="D279" s="1">
        <v>22980</v>
      </c>
      <c r="E279" s="2">
        <v>43739</v>
      </c>
      <c r="F279" s="1" t="s">
        <v>11</v>
      </c>
      <c r="G279" s="1">
        <v>10</v>
      </c>
      <c r="H279" s="9"/>
      <c r="J279" s="1">
        <v>59.97</v>
      </c>
      <c r="N279" s="1" t="s">
        <v>10</v>
      </c>
      <c r="O279" s="1">
        <v>5.9</v>
      </c>
    </row>
    <row r="280" spans="4:15" x14ac:dyDescent="0.3">
      <c r="D280" s="1">
        <v>30976</v>
      </c>
      <c r="E280" s="2">
        <v>43762</v>
      </c>
      <c r="F280" s="1" t="s">
        <v>9</v>
      </c>
      <c r="G280" s="1">
        <v>10</v>
      </c>
      <c r="H280" s="9"/>
      <c r="J280" s="1">
        <v>432.15159999999997</v>
      </c>
      <c r="N280" s="1" t="s">
        <v>10</v>
      </c>
      <c r="O280" s="1">
        <v>2.1</v>
      </c>
    </row>
    <row r="281" spans="4:15" x14ac:dyDescent="0.3">
      <c r="D281" s="1">
        <v>32449</v>
      </c>
      <c r="E281" s="2">
        <v>43808</v>
      </c>
      <c r="F281" s="1" t="s">
        <v>12</v>
      </c>
      <c r="G281" s="1">
        <v>12</v>
      </c>
      <c r="H281" s="9"/>
      <c r="J281" s="1">
        <v>5229.24</v>
      </c>
      <c r="N281" s="1" t="s">
        <v>13</v>
      </c>
      <c r="O281" s="1">
        <v>117.9</v>
      </c>
    </row>
    <row r="282" spans="4:15" x14ac:dyDescent="0.3">
      <c r="D282" s="1">
        <v>48614</v>
      </c>
      <c r="E282" s="2">
        <v>43616</v>
      </c>
      <c r="F282" s="1" t="s">
        <v>12</v>
      </c>
      <c r="G282" s="1">
        <v>46</v>
      </c>
      <c r="H282" s="9"/>
      <c r="J282" s="1">
        <v>8523.52</v>
      </c>
      <c r="N282" s="1" t="s">
        <v>10</v>
      </c>
      <c r="O282" s="1">
        <v>9.6</v>
      </c>
    </row>
    <row r="283" spans="4:15" x14ac:dyDescent="0.3">
      <c r="D283" s="1">
        <v>43653</v>
      </c>
      <c r="E283" s="2">
        <v>43768</v>
      </c>
      <c r="F283" s="1" t="s">
        <v>9</v>
      </c>
      <c r="G283" s="1">
        <v>10</v>
      </c>
      <c r="H283" s="9"/>
      <c r="J283" s="1">
        <v>375.89</v>
      </c>
      <c r="N283" s="1" t="s">
        <v>10</v>
      </c>
      <c r="O283" s="1">
        <v>8.8000000000000007</v>
      </c>
    </row>
    <row r="284" spans="4:15" x14ac:dyDescent="0.3">
      <c r="D284" s="1">
        <v>32449</v>
      </c>
      <c r="E284" s="2">
        <v>43808</v>
      </c>
      <c r="F284" s="1" t="s">
        <v>12</v>
      </c>
      <c r="G284" s="1">
        <v>44</v>
      </c>
      <c r="H284" s="9"/>
      <c r="J284" s="1">
        <v>7698.93</v>
      </c>
      <c r="N284" s="1" t="s">
        <v>8</v>
      </c>
      <c r="O284" s="1">
        <v>8.6</v>
      </c>
    </row>
    <row r="285" spans="4:15" x14ac:dyDescent="0.3">
      <c r="D285" s="1">
        <v>28198</v>
      </c>
      <c r="E285" s="2">
        <v>43503</v>
      </c>
      <c r="F285" s="1" t="s">
        <v>14</v>
      </c>
      <c r="G285" s="1">
        <v>50</v>
      </c>
      <c r="H285" s="9"/>
      <c r="J285" s="1">
        <v>8243.24</v>
      </c>
      <c r="N285" s="1" t="s">
        <v>10</v>
      </c>
      <c r="O285" s="1">
        <v>9.6</v>
      </c>
    </row>
    <row r="286" spans="4:15" x14ac:dyDescent="0.3">
      <c r="D286" s="1">
        <v>20676</v>
      </c>
      <c r="E286" s="2">
        <v>43791</v>
      </c>
      <c r="F286" s="1" t="s">
        <v>7</v>
      </c>
      <c r="G286" s="1">
        <v>22</v>
      </c>
      <c r="H286" s="9"/>
      <c r="J286" s="1">
        <v>47.05</v>
      </c>
      <c r="N286" s="1" t="s">
        <v>10</v>
      </c>
      <c r="O286" s="1">
        <v>1.6</v>
      </c>
    </row>
    <row r="287" spans="4:15" x14ac:dyDescent="0.3">
      <c r="D287" s="1">
        <v>51111</v>
      </c>
      <c r="E287" s="2">
        <v>43504</v>
      </c>
      <c r="F287" s="1" t="s">
        <v>11</v>
      </c>
      <c r="G287" s="1">
        <v>1</v>
      </c>
      <c r="H287" s="9"/>
      <c r="J287" s="1">
        <v>65.37</v>
      </c>
      <c r="N287" s="1" t="s">
        <v>10</v>
      </c>
      <c r="O287" s="1">
        <v>6.3</v>
      </c>
    </row>
    <row r="288" spans="4:15" x14ac:dyDescent="0.3">
      <c r="D288" s="1">
        <v>53477</v>
      </c>
      <c r="E288" s="2">
        <v>43590</v>
      </c>
      <c r="F288" s="1" t="s">
        <v>9</v>
      </c>
      <c r="G288" s="1">
        <v>32</v>
      </c>
      <c r="H288" s="9"/>
      <c r="J288" s="1">
        <v>3332.03</v>
      </c>
      <c r="N288" s="1" t="s">
        <v>13</v>
      </c>
      <c r="O288" s="1">
        <v>79.599999999999994</v>
      </c>
    </row>
    <row r="289" spans="4:15" x14ac:dyDescent="0.3">
      <c r="D289" s="1">
        <v>6885</v>
      </c>
      <c r="E289" s="2">
        <v>43635</v>
      </c>
      <c r="F289" s="1" t="s">
        <v>7</v>
      </c>
      <c r="G289" s="1">
        <v>4</v>
      </c>
      <c r="H289" s="9"/>
      <c r="J289" s="1">
        <v>514.96</v>
      </c>
      <c r="N289" s="1" t="s">
        <v>13</v>
      </c>
      <c r="O289" s="1">
        <v>32.1</v>
      </c>
    </row>
    <row r="290" spans="4:15" x14ac:dyDescent="0.3">
      <c r="D290" s="1">
        <v>1537</v>
      </c>
      <c r="E290" s="2">
        <v>43509</v>
      </c>
      <c r="F290" s="1" t="s">
        <v>11</v>
      </c>
      <c r="G290" s="1">
        <v>5</v>
      </c>
      <c r="H290" s="9"/>
      <c r="J290" s="1">
        <v>17.760000000000002</v>
      </c>
      <c r="N290" s="1" t="s">
        <v>10</v>
      </c>
      <c r="O290" s="1">
        <v>6.5</v>
      </c>
    </row>
    <row r="291" spans="4:15" x14ac:dyDescent="0.3">
      <c r="D291" s="1">
        <v>11362</v>
      </c>
      <c r="E291" s="2">
        <v>43718</v>
      </c>
      <c r="F291" s="1" t="s">
        <v>7</v>
      </c>
      <c r="G291" s="1">
        <v>32</v>
      </c>
      <c r="H291" s="9"/>
      <c r="J291" s="1">
        <v>3472.93</v>
      </c>
      <c r="N291" s="1" t="s">
        <v>10</v>
      </c>
      <c r="O291" s="1">
        <v>15</v>
      </c>
    </row>
    <row r="292" spans="4:15" x14ac:dyDescent="0.3">
      <c r="D292" s="1">
        <v>54791</v>
      </c>
      <c r="E292" s="2">
        <v>43819</v>
      </c>
      <c r="F292" s="1" t="s">
        <v>9</v>
      </c>
      <c r="G292" s="1">
        <v>27</v>
      </c>
      <c r="H292" s="9"/>
      <c r="J292" s="1">
        <v>1163.71</v>
      </c>
      <c r="N292" s="1" t="s">
        <v>10</v>
      </c>
      <c r="O292" s="1">
        <v>3.3</v>
      </c>
    </row>
    <row r="293" spans="4:15" x14ac:dyDescent="0.3">
      <c r="D293" s="1">
        <v>36512</v>
      </c>
      <c r="E293" s="2">
        <v>43552</v>
      </c>
      <c r="F293" s="1" t="s">
        <v>11</v>
      </c>
      <c r="G293" s="1">
        <v>3</v>
      </c>
      <c r="H293" s="9"/>
      <c r="J293" s="1">
        <v>76.489999999999995</v>
      </c>
      <c r="N293" s="1" t="s">
        <v>10</v>
      </c>
      <c r="O293" s="1">
        <v>12</v>
      </c>
    </row>
    <row r="294" spans="4:15" x14ac:dyDescent="0.3">
      <c r="D294" s="1">
        <v>22914</v>
      </c>
      <c r="E294" s="2">
        <v>43477</v>
      </c>
      <c r="F294" s="1" t="s">
        <v>12</v>
      </c>
      <c r="G294" s="1">
        <v>30</v>
      </c>
      <c r="H294" s="9"/>
      <c r="J294" s="1">
        <v>360.21550000000002</v>
      </c>
      <c r="N294" s="1" t="s">
        <v>10</v>
      </c>
      <c r="O294" s="1">
        <v>7.4</v>
      </c>
    </row>
    <row r="295" spans="4:15" x14ac:dyDescent="0.3">
      <c r="D295" s="1">
        <v>56224</v>
      </c>
      <c r="E295" s="2">
        <v>43763</v>
      </c>
      <c r="F295" s="1" t="s">
        <v>14</v>
      </c>
      <c r="G295" s="1">
        <v>35</v>
      </c>
      <c r="H295" s="9"/>
      <c r="J295" s="1">
        <v>154.13999999999999</v>
      </c>
      <c r="N295" s="1" t="s">
        <v>10</v>
      </c>
      <c r="O295" s="1">
        <v>5.8</v>
      </c>
    </row>
    <row r="296" spans="4:15" x14ac:dyDescent="0.3">
      <c r="D296" s="1">
        <v>15872</v>
      </c>
      <c r="E296" s="2">
        <v>43768</v>
      </c>
      <c r="F296" s="1" t="s">
        <v>11</v>
      </c>
      <c r="G296" s="1">
        <v>19</v>
      </c>
      <c r="H296" s="9"/>
      <c r="J296" s="1">
        <v>768.7</v>
      </c>
      <c r="N296" s="1" t="s">
        <v>10</v>
      </c>
      <c r="O296" s="1">
        <v>18.7</v>
      </c>
    </row>
    <row r="297" spans="4:15" x14ac:dyDescent="0.3">
      <c r="D297" s="1">
        <v>57537</v>
      </c>
      <c r="E297" s="2">
        <v>43726</v>
      </c>
      <c r="F297" s="1" t="s">
        <v>14</v>
      </c>
      <c r="G297" s="1">
        <v>13</v>
      </c>
      <c r="H297" s="9"/>
      <c r="J297" s="1">
        <v>81.73</v>
      </c>
      <c r="N297" s="1" t="s">
        <v>8</v>
      </c>
      <c r="O297" s="1">
        <v>5.6</v>
      </c>
    </row>
    <row r="298" spans="4:15" x14ac:dyDescent="0.3">
      <c r="D298" s="1">
        <v>130</v>
      </c>
      <c r="E298" s="2">
        <v>43592</v>
      </c>
      <c r="F298" s="1" t="s">
        <v>9</v>
      </c>
      <c r="G298" s="1">
        <v>29</v>
      </c>
      <c r="H298" s="9"/>
      <c r="J298" s="1">
        <v>615.37</v>
      </c>
      <c r="N298" s="1" t="s">
        <v>10</v>
      </c>
      <c r="O298" s="1">
        <v>9.6999999999999993</v>
      </c>
    </row>
    <row r="299" spans="4:15" x14ac:dyDescent="0.3">
      <c r="D299" s="1">
        <v>56708</v>
      </c>
      <c r="E299" s="2">
        <v>43801</v>
      </c>
      <c r="F299" s="1" t="s">
        <v>11</v>
      </c>
      <c r="G299" s="1">
        <v>36</v>
      </c>
      <c r="H299" s="9"/>
      <c r="J299" s="1">
        <v>435.67</v>
      </c>
      <c r="N299" s="1" t="s">
        <v>10</v>
      </c>
      <c r="O299" s="1">
        <v>7.5</v>
      </c>
    </row>
    <row r="300" spans="4:15" x14ac:dyDescent="0.3">
      <c r="D300" s="1">
        <v>3810</v>
      </c>
      <c r="E300" s="2">
        <v>43724</v>
      </c>
      <c r="F300" s="1" t="s">
        <v>12</v>
      </c>
      <c r="G300" s="1">
        <v>25</v>
      </c>
      <c r="H300" s="9"/>
      <c r="J300" s="1">
        <v>83.74</v>
      </c>
      <c r="N300" s="1" t="s">
        <v>8</v>
      </c>
      <c r="O300" s="1">
        <v>0.5</v>
      </c>
    </row>
    <row r="301" spans="4:15" x14ac:dyDescent="0.3">
      <c r="D301" s="1">
        <v>1154</v>
      </c>
      <c r="E301" s="2">
        <v>43509</v>
      </c>
      <c r="F301" s="1" t="s">
        <v>12</v>
      </c>
      <c r="G301" s="1">
        <v>44</v>
      </c>
      <c r="H301" s="9"/>
      <c r="J301" s="1">
        <v>4774.59</v>
      </c>
      <c r="N301" s="1" t="s">
        <v>13</v>
      </c>
      <c r="O301" s="1">
        <v>28.1</v>
      </c>
    </row>
    <row r="302" spans="4:15" x14ac:dyDescent="0.3">
      <c r="D302" s="1">
        <v>52932</v>
      </c>
      <c r="E302" s="2">
        <v>43597</v>
      </c>
      <c r="F302" s="1" t="s">
        <v>7</v>
      </c>
      <c r="G302" s="1">
        <v>3</v>
      </c>
      <c r="H302" s="9"/>
      <c r="J302" s="1">
        <v>28.07</v>
      </c>
      <c r="N302" s="1" t="s">
        <v>10</v>
      </c>
      <c r="O302" s="1">
        <v>7.1</v>
      </c>
    </row>
    <row r="303" spans="4:15" x14ac:dyDescent="0.3">
      <c r="D303" s="1">
        <v>10466</v>
      </c>
      <c r="E303" s="2">
        <v>43824</v>
      </c>
      <c r="F303" s="1" t="s">
        <v>9</v>
      </c>
      <c r="G303" s="1">
        <v>27</v>
      </c>
      <c r="H303" s="9"/>
      <c r="J303" s="1">
        <v>122.9</v>
      </c>
      <c r="N303" s="1" t="s">
        <v>10</v>
      </c>
      <c r="O303" s="1">
        <v>1</v>
      </c>
    </row>
    <row r="304" spans="4:15" x14ac:dyDescent="0.3">
      <c r="D304" s="1">
        <v>27138</v>
      </c>
      <c r="E304" s="2">
        <v>43615</v>
      </c>
      <c r="F304" s="1" t="s">
        <v>9</v>
      </c>
      <c r="G304" s="1">
        <v>31</v>
      </c>
      <c r="H304" s="9"/>
      <c r="J304" s="1">
        <v>3184.54</v>
      </c>
      <c r="N304" s="1" t="s">
        <v>13</v>
      </c>
      <c r="O304" s="1">
        <v>38.299999999999997</v>
      </c>
    </row>
    <row r="305" spans="4:15" x14ac:dyDescent="0.3">
      <c r="D305" s="1">
        <v>22819</v>
      </c>
      <c r="E305" s="2">
        <v>43779</v>
      </c>
      <c r="F305" s="1" t="s">
        <v>9</v>
      </c>
      <c r="G305" s="1">
        <v>1</v>
      </c>
      <c r="H305" s="9"/>
      <c r="J305" s="1">
        <v>7.24</v>
      </c>
      <c r="N305" s="1" t="s">
        <v>10</v>
      </c>
      <c r="O305" s="1">
        <v>4.5999999999999996</v>
      </c>
    </row>
    <row r="306" spans="4:15" x14ac:dyDescent="0.3">
      <c r="D306" s="1">
        <v>10982</v>
      </c>
      <c r="E306" s="2">
        <v>43809</v>
      </c>
      <c r="F306" s="1" t="s">
        <v>11</v>
      </c>
      <c r="G306" s="1">
        <v>30</v>
      </c>
      <c r="H306" s="9"/>
      <c r="J306" s="1">
        <v>3921.99</v>
      </c>
      <c r="N306" s="1" t="s">
        <v>10</v>
      </c>
      <c r="O306" s="1">
        <v>21.4</v>
      </c>
    </row>
    <row r="307" spans="4:15" x14ac:dyDescent="0.3">
      <c r="D307" s="1">
        <v>59585</v>
      </c>
      <c r="E307" s="2">
        <v>43730</v>
      </c>
      <c r="F307" s="1" t="s">
        <v>9</v>
      </c>
      <c r="G307" s="1">
        <v>45</v>
      </c>
      <c r="H307" s="9"/>
      <c r="J307" s="1">
        <v>761.88</v>
      </c>
      <c r="N307" s="1" t="s">
        <v>10</v>
      </c>
      <c r="O307" s="1">
        <v>10.1</v>
      </c>
    </row>
    <row r="308" spans="4:15" x14ac:dyDescent="0.3">
      <c r="D308" s="1">
        <v>45440</v>
      </c>
      <c r="E308" s="2">
        <v>43686</v>
      </c>
      <c r="F308" s="1" t="s">
        <v>12</v>
      </c>
      <c r="G308" s="1">
        <v>5</v>
      </c>
      <c r="H308" s="9"/>
      <c r="J308" s="1">
        <v>800.67</v>
      </c>
      <c r="N308" s="1" t="s">
        <v>13</v>
      </c>
      <c r="O308" s="1">
        <v>30.6</v>
      </c>
    </row>
    <row r="309" spans="4:15" x14ac:dyDescent="0.3">
      <c r="D309" s="1">
        <v>51872</v>
      </c>
      <c r="E309" s="2">
        <v>43578</v>
      </c>
      <c r="F309" s="1" t="s">
        <v>14</v>
      </c>
      <c r="G309" s="1">
        <v>10</v>
      </c>
      <c r="H309" s="9"/>
      <c r="J309" s="1">
        <v>2347.5100000000002</v>
      </c>
      <c r="N309" s="1" t="s">
        <v>10</v>
      </c>
      <c r="O309" s="1">
        <v>26.2</v>
      </c>
    </row>
    <row r="310" spans="4:15" x14ac:dyDescent="0.3">
      <c r="D310" s="1">
        <v>8224</v>
      </c>
      <c r="E310" s="2">
        <v>43502</v>
      </c>
      <c r="F310" s="1" t="s">
        <v>11</v>
      </c>
      <c r="G310" s="1">
        <v>41</v>
      </c>
      <c r="H310" s="9"/>
      <c r="J310" s="1">
        <v>96.05</v>
      </c>
      <c r="N310" s="1" t="s">
        <v>10</v>
      </c>
      <c r="O310" s="1">
        <v>1.1000000000000001</v>
      </c>
    </row>
    <row r="311" spans="4:15" x14ac:dyDescent="0.3">
      <c r="D311" s="1">
        <v>42848</v>
      </c>
      <c r="E311" s="2">
        <v>43744</v>
      </c>
      <c r="F311" s="1" t="s">
        <v>11</v>
      </c>
      <c r="G311" s="1">
        <v>50</v>
      </c>
      <c r="H311" s="9"/>
      <c r="J311" s="1">
        <v>414.94</v>
      </c>
      <c r="N311" s="1" t="s">
        <v>10</v>
      </c>
      <c r="O311" s="1">
        <v>6.2</v>
      </c>
    </row>
    <row r="312" spans="4:15" x14ac:dyDescent="0.3">
      <c r="D312" s="1">
        <v>43010</v>
      </c>
      <c r="E312" s="2">
        <v>43747</v>
      </c>
      <c r="F312" s="1" t="s">
        <v>12</v>
      </c>
      <c r="G312" s="1">
        <v>24</v>
      </c>
      <c r="H312" s="9"/>
      <c r="J312" s="1">
        <v>262.72000000000003</v>
      </c>
      <c r="N312" s="1" t="s">
        <v>10</v>
      </c>
      <c r="O312" s="1">
        <v>2.4</v>
      </c>
    </row>
    <row r="313" spans="4:15" x14ac:dyDescent="0.3">
      <c r="D313" s="1">
        <v>2562</v>
      </c>
      <c r="E313" s="2">
        <v>43677</v>
      </c>
      <c r="F313" s="1" t="s">
        <v>12</v>
      </c>
      <c r="G313" s="1">
        <v>28</v>
      </c>
      <c r="H313" s="9"/>
      <c r="J313" s="1">
        <v>69.36</v>
      </c>
      <c r="N313" s="1" t="s">
        <v>10</v>
      </c>
      <c r="O313" s="1">
        <v>2.1</v>
      </c>
    </row>
    <row r="314" spans="4:15" x14ac:dyDescent="0.3">
      <c r="D314" s="1">
        <v>57671</v>
      </c>
      <c r="E314" s="2">
        <v>43776</v>
      </c>
      <c r="F314" s="1" t="s">
        <v>11</v>
      </c>
      <c r="G314" s="1">
        <v>6</v>
      </c>
      <c r="H314" s="9"/>
      <c r="J314" s="1">
        <v>24.37</v>
      </c>
      <c r="N314" s="1" t="s">
        <v>10</v>
      </c>
      <c r="O314" s="1">
        <v>0.5</v>
      </c>
    </row>
    <row r="315" spans="4:15" x14ac:dyDescent="0.3">
      <c r="D315" s="1">
        <v>33924</v>
      </c>
      <c r="E315" s="2">
        <v>43756</v>
      </c>
      <c r="F315" s="1" t="s">
        <v>11</v>
      </c>
      <c r="G315" s="1">
        <v>12</v>
      </c>
      <c r="H315" s="9"/>
      <c r="J315" s="1">
        <v>6599.83</v>
      </c>
      <c r="N315" s="1" t="s">
        <v>13</v>
      </c>
      <c r="O315" s="1">
        <v>30.1</v>
      </c>
    </row>
    <row r="316" spans="4:15" x14ac:dyDescent="0.3">
      <c r="D316" s="1">
        <v>24066</v>
      </c>
      <c r="E316" s="2">
        <v>43568</v>
      </c>
      <c r="F316" s="1" t="s">
        <v>9</v>
      </c>
      <c r="G316" s="1">
        <v>30</v>
      </c>
      <c r="H316" s="9"/>
      <c r="J316" s="1">
        <v>4578.1126999999997</v>
      </c>
      <c r="N316" s="1" t="s">
        <v>13</v>
      </c>
      <c r="O316" s="1">
        <v>70.900000000000006</v>
      </c>
    </row>
    <row r="317" spans="4:15" x14ac:dyDescent="0.3">
      <c r="D317" s="1">
        <v>53024</v>
      </c>
      <c r="E317" s="2">
        <v>43597</v>
      </c>
      <c r="F317" s="1" t="s">
        <v>11</v>
      </c>
      <c r="G317" s="1">
        <v>9</v>
      </c>
      <c r="H317" s="9"/>
      <c r="J317" s="1">
        <v>200.23</v>
      </c>
      <c r="N317" s="1" t="s">
        <v>10</v>
      </c>
      <c r="O317" s="1">
        <v>15.4</v>
      </c>
    </row>
    <row r="318" spans="4:15" x14ac:dyDescent="0.3">
      <c r="D318" s="1">
        <v>53378</v>
      </c>
      <c r="E318" s="2">
        <v>43659</v>
      </c>
      <c r="F318" s="1" t="s">
        <v>14</v>
      </c>
      <c r="G318" s="1">
        <v>49</v>
      </c>
      <c r="H318" s="9"/>
      <c r="J318" s="1">
        <v>2543.69</v>
      </c>
      <c r="N318" s="1" t="s">
        <v>10</v>
      </c>
      <c r="O318" s="1">
        <v>5.4</v>
      </c>
    </row>
    <row r="319" spans="4:15" x14ac:dyDescent="0.3">
      <c r="D319" s="1">
        <v>21505</v>
      </c>
      <c r="E319" s="2">
        <v>43802</v>
      </c>
      <c r="F319" s="1" t="s">
        <v>7</v>
      </c>
      <c r="G319" s="1">
        <v>3</v>
      </c>
      <c r="H319" s="9"/>
      <c r="J319" s="1">
        <v>976.21</v>
      </c>
      <c r="N319" s="1" t="s">
        <v>13</v>
      </c>
      <c r="O319" s="1">
        <v>74.400000000000006</v>
      </c>
    </row>
    <row r="320" spans="4:15" x14ac:dyDescent="0.3">
      <c r="D320" s="1">
        <v>42306</v>
      </c>
      <c r="E320" s="2">
        <v>43722</v>
      </c>
      <c r="F320" s="1" t="s">
        <v>9</v>
      </c>
      <c r="G320" s="1">
        <v>4</v>
      </c>
      <c r="H320" s="9"/>
      <c r="J320" s="1">
        <v>39.01</v>
      </c>
      <c r="N320" s="1" t="s">
        <v>10</v>
      </c>
      <c r="O320" s="1">
        <v>3.2</v>
      </c>
    </row>
    <row r="321" spans="4:15" x14ac:dyDescent="0.3">
      <c r="D321" s="1">
        <v>8833</v>
      </c>
      <c r="E321" s="2">
        <v>43589</v>
      </c>
      <c r="F321" s="1" t="s">
        <v>7</v>
      </c>
      <c r="G321" s="1">
        <v>40</v>
      </c>
      <c r="H321" s="9"/>
      <c r="J321" s="1">
        <v>3572.7085999999999</v>
      </c>
      <c r="N321" s="1" t="s">
        <v>10</v>
      </c>
      <c r="O321" s="1">
        <v>37.5</v>
      </c>
    </row>
    <row r="322" spans="4:15" x14ac:dyDescent="0.3">
      <c r="D322" s="1">
        <v>56224</v>
      </c>
      <c r="E322" s="2">
        <v>43763</v>
      </c>
      <c r="F322" s="1" t="s">
        <v>14</v>
      </c>
      <c r="G322" s="1">
        <v>32</v>
      </c>
      <c r="H322" s="9"/>
      <c r="J322" s="1">
        <v>3429.61</v>
      </c>
      <c r="N322" s="1" t="s">
        <v>13</v>
      </c>
      <c r="O322" s="1">
        <v>79.599999999999994</v>
      </c>
    </row>
    <row r="323" spans="4:15" x14ac:dyDescent="0.3">
      <c r="D323" s="1">
        <v>8678</v>
      </c>
      <c r="E323" s="2">
        <v>43738</v>
      </c>
      <c r="F323" s="1" t="s">
        <v>7</v>
      </c>
      <c r="G323" s="1">
        <v>31</v>
      </c>
      <c r="H323" s="9"/>
      <c r="J323" s="1">
        <v>1003.45</v>
      </c>
      <c r="N323" s="1" t="s">
        <v>10</v>
      </c>
      <c r="O323" s="1">
        <v>7.1</v>
      </c>
    </row>
    <row r="324" spans="4:15" x14ac:dyDescent="0.3">
      <c r="D324" s="1">
        <v>37763</v>
      </c>
      <c r="E324" s="2">
        <v>43503</v>
      </c>
      <c r="F324" s="1" t="s">
        <v>11</v>
      </c>
      <c r="G324" s="1">
        <v>29</v>
      </c>
      <c r="H324" s="9"/>
      <c r="J324" s="1">
        <v>181.48269999999999</v>
      </c>
      <c r="N324" s="1" t="s">
        <v>10</v>
      </c>
      <c r="O324" s="1">
        <v>10.6</v>
      </c>
    </row>
    <row r="325" spans="4:15" x14ac:dyDescent="0.3">
      <c r="D325" s="1">
        <v>12129</v>
      </c>
      <c r="E325" s="2">
        <v>43824</v>
      </c>
      <c r="F325" s="1" t="s">
        <v>14</v>
      </c>
      <c r="G325" s="1">
        <v>36</v>
      </c>
      <c r="H325" s="9"/>
      <c r="J325" s="1">
        <v>5191.6899999999996</v>
      </c>
      <c r="N325" s="1" t="s">
        <v>13</v>
      </c>
      <c r="O325" s="1">
        <v>75.099999999999994</v>
      </c>
    </row>
    <row r="326" spans="4:15" x14ac:dyDescent="0.3">
      <c r="D326" s="1">
        <v>36832</v>
      </c>
      <c r="E326" s="2">
        <v>43617</v>
      </c>
      <c r="F326" s="1" t="s">
        <v>7</v>
      </c>
      <c r="G326" s="1">
        <v>24</v>
      </c>
      <c r="H326" s="9"/>
      <c r="J326" s="1">
        <v>64.938299999999998</v>
      </c>
      <c r="N326" s="1" t="s">
        <v>8</v>
      </c>
      <c r="O326" s="1">
        <v>2.1</v>
      </c>
    </row>
    <row r="327" spans="4:15" x14ac:dyDescent="0.3">
      <c r="D327" s="1">
        <v>13923</v>
      </c>
      <c r="E327" s="2">
        <v>43654</v>
      </c>
      <c r="F327" s="1" t="s">
        <v>9</v>
      </c>
      <c r="G327" s="1">
        <v>49</v>
      </c>
      <c r="H327" s="9"/>
      <c r="J327" s="1">
        <v>1305.6500000000001</v>
      </c>
      <c r="N327" s="1" t="s">
        <v>10</v>
      </c>
      <c r="O327" s="1">
        <v>12.3</v>
      </c>
    </row>
    <row r="328" spans="4:15" x14ac:dyDescent="0.3">
      <c r="D328" s="1">
        <v>30375</v>
      </c>
      <c r="E328" s="2">
        <v>43588</v>
      </c>
      <c r="F328" s="1" t="s">
        <v>7</v>
      </c>
      <c r="G328" s="1">
        <v>20</v>
      </c>
      <c r="H328" s="9"/>
      <c r="J328" s="1">
        <v>76.45</v>
      </c>
      <c r="N328" s="1" t="s">
        <v>10</v>
      </c>
      <c r="O328" s="1">
        <v>6.7</v>
      </c>
    </row>
    <row r="329" spans="4:15" x14ac:dyDescent="0.3">
      <c r="D329" s="1">
        <v>18918</v>
      </c>
      <c r="E329" s="2">
        <v>43765</v>
      </c>
      <c r="F329" s="1" t="s">
        <v>11</v>
      </c>
      <c r="G329" s="1">
        <v>7</v>
      </c>
      <c r="H329" s="9"/>
      <c r="J329" s="1">
        <v>6808.3458000000001</v>
      </c>
      <c r="N329" s="1" t="s">
        <v>10</v>
      </c>
      <c r="O329" s="1">
        <v>15</v>
      </c>
    </row>
    <row r="330" spans="4:15" x14ac:dyDescent="0.3">
      <c r="D330" s="1">
        <v>36929</v>
      </c>
      <c r="E330" s="2">
        <v>43610</v>
      </c>
      <c r="F330" s="1" t="s">
        <v>7</v>
      </c>
      <c r="G330" s="1">
        <v>45</v>
      </c>
      <c r="H330" s="9"/>
      <c r="J330" s="1">
        <v>3892.95</v>
      </c>
      <c r="N330" s="1" t="s">
        <v>10</v>
      </c>
      <c r="O330" s="1">
        <v>4.8</v>
      </c>
    </row>
    <row r="331" spans="4:15" x14ac:dyDescent="0.3">
      <c r="D331" s="1">
        <v>3654</v>
      </c>
      <c r="E331" s="2">
        <v>43618</v>
      </c>
      <c r="F331" s="1" t="s">
        <v>7</v>
      </c>
      <c r="G331" s="1">
        <v>39</v>
      </c>
      <c r="H331" s="9"/>
      <c r="J331" s="1">
        <v>7852.51</v>
      </c>
      <c r="N331" s="1" t="s">
        <v>10</v>
      </c>
      <c r="O331" s="1">
        <v>15</v>
      </c>
    </row>
    <row r="332" spans="4:15" x14ac:dyDescent="0.3">
      <c r="D332" s="1">
        <v>39425</v>
      </c>
      <c r="E332" s="2">
        <v>43693</v>
      </c>
      <c r="F332" s="1" t="s">
        <v>12</v>
      </c>
      <c r="G332" s="1">
        <v>23</v>
      </c>
      <c r="H332" s="9"/>
      <c r="J332" s="1">
        <v>1356.18</v>
      </c>
      <c r="N332" s="1" t="s">
        <v>10</v>
      </c>
      <c r="O332" s="1">
        <v>6.4</v>
      </c>
    </row>
    <row r="333" spans="4:15" x14ac:dyDescent="0.3">
      <c r="D333" s="1">
        <v>17797</v>
      </c>
      <c r="E333" s="2">
        <v>43656</v>
      </c>
      <c r="F333" s="1" t="s">
        <v>7</v>
      </c>
      <c r="G333" s="1">
        <v>10</v>
      </c>
      <c r="H333" s="9"/>
      <c r="J333" s="1">
        <v>1152.69</v>
      </c>
      <c r="N333" s="1" t="s">
        <v>13</v>
      </c>
      <c r="O333" s="1">
        <v>61.4</v>
      </c>
    </row>
    <row r="334" spans="4:15" x14ac:dyDescent="0.3">
      <c r="D334" s="1">
        <v>55779</v>
      </c>
      <c r="E334" s="2">
        <v>43534</v>
      </c>
      <c r="F334" s="1" t="s">
        <v>12</v>
      </c>
      <c r="G334" s="1">
        <v>26</v>
      </c>
      <c r="H334" s="9"/>
      <c r="J334" s="1">
        <v>4358.29</v>
      </c>
      <c r="N334" s="1" t="s">
        <v>13</v>
      </c>
      <c r="O334" s="1">
        <v>32.1</v>
      </c>
    </row>
    <row r="335" spans="4:15" x14ac:dyDescent="0.3">
      <c r="D335" s="1">
        <v>31302</v>
      </c>
      <c r="E335" s="2">
        <v>43678</v>
      </c>
      <c r="F335" s="1" t="s">
        <v>9</v>
      </c>
      <c r="G335" s="1">
        <v>41</v>
      </c>
      <c r="H335" s="9"/>
      <c r="J335" s="1">
        <v>4974.04</v>
      </c>
      <c r="N335" s="1" t="s">
        <v>10</v>
      </c>
      <c r="O335" s="1">
        <v>2.1</v>
      </c>
    </row>
    <row r="336" spans="4:15" x14ac:dyDescent="0.3">
      <c r="D336" s="1">
        <v>10470</v>
      </c>
      <c r="E336" s="2">
        <v>43589</v>
      </c>
      <c r="F336" s="1" t="s">
        <v>7</v>
      </c>
      <c r="G336" s="1">
        <v>20</v>
      </c>
      <c r="H336" s="9"/>
      <c r="J336" s="1">
        <v>3117.0657000000001</v>
      </c>
      <c r="N336" s="1" t="s">
        <v>10</v>
      </c>
      <c r="O336" s="1">
        <v>5.3</v>
      </c>
    </row>
    <row r="337" spans="4:15" x14ac:dyDescent="0.3">
      <c r="D337" s="1">
        <v>24613</v>
      </c>
      <c r="E337" s="2">
        <v>43662</v>
      </c>
      <c r="F337" s="1" t="s">
        <v>7</v>
      </c>
      <c r="G337" s="1">
        <v>39</v>
      </c>
      <c r="H337" s="9"/>
      <c r="J337" s="1">
        <v>832.22</v>
      </c>
      <c r="N337" s="1" t="s">
        <v>10</v>
      </c>
      <c r="O337" s="1">
        <v>4.4000000000000004</v>
      </c>
    </row>
    <row r="338" spans="4:15" x14ac:dyDescent="0.3">
      <c r="D338" s="1">
        <v>8801</v>
      </c>
      <c r="E338" s="2">
        <v>43687</v>
      </c>
      <c r="F338" s="1" t="s">
        <v>7</v>
      </c>
      <c r="G338" s="1">
        <v>25</v>
      </c>
      <c r="H338" s="9"/>
      <c r="J338" s="1">
        <v>2706.4537</v>
      </c>
      <c r="N338" s="1" t="s">
        <v>8</v>
      </c>
      <c r="O338" s="1">
        <v>3.2</v>
      </c>
    </row>
    <row r="339" spans="4:15" x14ac:dyDescent="0.3">
      <c r="D339" s="1">
        <v>614</v>
      </c>
      <c r="E339" s="2">
        <v>43799</v>
      </c>
      <c r="F339" s="1" t="s">
        <v>9</v>
      </c>
      <c r="G339" s="1">
        <v>24</v>
      </c>
      <c r="H339" s="9"/>
      <c r="J339" s="1">
        <v>3601.73</v>
      </c>
      <c r="N339" s="1" t="s">
        <v>13</v>
      </c>
      <c r="O339" s="1">
        <v>56.1</v>
      </c>
    </row>
    <row r="340" spans="4:15" x14ac:dyDescent="0.3">
      <c r="D340" s="1">
        <v>32231</v>
      </c>
      <c r="E340" s="2">
        <v>43770</v>
      </c>
      <c r="F340" s="1" t="s">
        <v>7</v>
      </c>
      <c r="G340" s="1">
        <v>44</v>
      </c>
      <c r="H340" s="9"/>
      <c r="J340" s="1">
        <v>205.79</v>
      </c>
      <c r="N340" s="1" t="s">
        <v>10</v>
      </c>
      <c r="O340" s="1">
        <v>1.3</v>
      </c>
    </row>
    <row r="341" spans="4:15" x14ac:dyDescent="0.3">
      <c r="D341" s="1">
        <v>29893</v>
      </c>
      <c r="E341" s="2">
        <v>43632</v>
      </c>
      <c r="F341" s="1" t="s">
        <v>14</v>
      </c>
      <c r="G341" s="1">
        <v>24</v>
      </c>
      <c r="H341" s="9"/>
      <c r="J341" s="1">
        <v>5834.6</v>
      </c>
      <c r="N341" s="1" t="s">
        <v>13</v>
      </c>
      <c r="O341" s="1">
        <v>30.7</v>
      </c>
    </row>
    <row r="342" spans="4:15" x14ac:dyDescent="0.3">
      <c r="D342" s="1">
        <v>22497</v>
      </c>
      <c r="E342" s="2">
        <v>43583</v>
      </c>
      <c r="F342" s="1" t="s">
        <v>14</v>
      </c>
      <c r="G342" s="1">
        <v>37</v>
      </c>
      <c r="H342" s="9"/>
      <c r="J342" s="1">
        <v>3487.4</v>
      </c>
      <c r="N342" s="1" t="s">
        <v>13</v>
      </c>
      <c r="O342" s="1">
        <v>30</v>
      </c>
    </row>
    <row r="343" spans="4:15" x14ac:dyDescent="0.3">
      <c r="D343" s="1">
        <v>54371</v>
      </c>
      <c r="E343" s="2">
        <v>43510</v>
      </c>
      <c r="F343" s="1" t="s">
        <v>11</v>
      </c>
      <c r="G343" s="1">
        <v>7</v>
      </c>
      <c r="H343" s="9"/>
      <c r="J343" s="1">
        <v>126.93</v>
      </c>
      <c r="N343" s="1" t="s">
        <v>10</v>
      </c>
      <c r="O343" s="1">
        <v>5.4</v>
      </c>
    </row>
    <row r="344" spans="4:15" x14ac:dyDescent="0.3">
      <c r="D344" s="1">
        <v>39808</v>
      </c>
      <c r="E344" s="2">
        <v>43710</v>
      </c>
      <c r="F344" s="1" t="s">
        <v>7</v>
      </c>
      <c r="G344" s="1">
        <v>50</v>
      </c>
      <c r="H344" s="9"/>
      <c r="J344" s="1">
        <v>2168.27</v>
      </c>
      <c r="N344" s="1" t="s">
        <v>10</v>
      </c>
      <c r="O344" s="1">
        <v>10.5</v>
      </c>
    </row>
    <row r="345" spans="4:15" x14ac:dyDescent="0.3">
      <c r="D345" s="1">
        <v>32610</v>
      </c>
      <c r="E345" s="2">
        <v>43696</v>
      </c>
      <c r="F345" s="1" t="s">
        <v>11</v>
      </c>
      <c r="G345" s="1">
        <v>47</v>
      </c>
      <c r="H345" s="9"/>
      <c r="J345" s="1">
        <v>339.18</v>
      </c>
      <c r="N345" s="1" t="s">
        <v>10</v>
      </c>
      <c r="O345" s="1">
        <v>9</v>
      </c>
    </row>
    <row r="346" spans="4:15" x14ac:dyDescent="0.3">
      <c r="D346" s="1">
        <v>54086</v>
      </c>
      <c r="E346" s="2">
        <v>43714</v>
      </c>
      <c r="F346" s="1" t="s">
        <v>7</v>
      </c>
      <c r="G346" s="1">
        <v>23</v>
      </c>
      <c r="H346" s="9"/>
      <c r="J346" s="1">
        <v>5416.53</v>
      </c>
      <c r="N346" s="1" t="s">
        <v>13</v>
      </c>
      <c r="O346" s="1">
        <v>30</v>
      </c>
    </row>
    <row r="347" spans="4:15" x14ac:dyDescent="0.3">
      <c r="D347" s="1">
        <v>25733</v>
      </c>
      <c r="E347" s="2">
        <v>43597</v>
      </c>
      <c r="F347" s="1" t="s">
        <v>7</v>
      </c>
      <c r="G347" s="1">
        <v>24</v>
      </c>
      <c r="H347" s="9"/>
      <c r="J347" s="1">
        <v>596.24</v>
      </c>
      <c r="N347" s="1" t="s">
        <v>10</v>
      </c>
      <c r="O347" s="1">
        <v>13.9</v>
      </c>
    </row>
    <row r="348" spans="4:15" x14ac:dyDescent="0.3">
      <c r="D348" s="1">
        <v>9281</v>
      </c>
      <c r="E348" s="2">
        <v>43518</v>
      </c>
      <c r="F348" s="1" t="s">
        <v>12</v>
      </c>
      <c r="G348" s="1">
        <v>31</v>
      </c>
      <c r="H348" s="9"/>
      <c r="J348" s="1">
        <v>213.79</v>
      </c>
      <c r="N348" s="1" t="s">
        <v>8</v>
      </c>
      <c r="O348" s="1">
        <v>7.3</v>
      </c>
    </row>
    <row r="349" spans="4:15" x14ac:dyDescent="0.3">
      <c r="D349" s="1">
        <v>9602</v>
      </c>
      <c r="E349" s="2">
        <v>43779</v>
      </c>
      <c r="F349" s="1" t="s">
        <v>12</v>
      </c>
      <c r="G349" s="1">
        <v>16</v>
      </c>
      <c r="H349" s="9"/>
      <c r="J349" s="1">
        <v>38.770000000000003</v>
      </c>
      <c r="N349" s="1" t="s">
        <v>10</v>
      </c>
      <c r="O349" s="1">
        <v>2.1</v>
      </c>
    </row>
    <row r="350" spans="4:15" x14ac:dyDescent="0.3">
      <c r="D350" s="1">
        <v>1796</v>
      </c>
      <c r="E350" s="2">
        <v>43789</v>
      </c>
      <c r="F350" s="1" t="s">
        <v>9</v>
      </c>
      <c r="G350" s="1">
        <v>43</v>
      </c>
      <c r="H350" s="9"/>
      <c r="J350" s="1">
        <v>196.25</v>
      </c>
      <c r="N350" s="1" t="s">
        <v>10</v>
      </c>
      <c r="O350" s="1">
        <v>5.4</v>
      </c>
    </row>
    <row r="351" spans="4:15" x14ac:dyDescent="0.3">
      <c r="D351" s="1">
        <v>33444</v>
      </c>
      <c r="E351" s="2">
        <v>43744</v>
      </c>
      <c r="F351" s="1" t="s">
        <v>14</v>
      </c>
      <c r="G351" s="1">
        <v>11</v>
      </c>
      <c r="H351" s="9"/>
      <c r="J351" s="1">
        <v>32.65</v>
      </c>
      <c r="N351" s="1" t="s">
        <v>10</v>
      </c>
      <c r="O351" s="1">
        <v>2.6</v>
      </c>
    </row>
    <row r="352" spans="4:15" x14ac:dyDescent="0.3">
      <c r="D352" s="1">
        <v>11398</v>
      </c>
      <c r="E352" s="2">
        <v>43683</v>
      </c>
      <c r="F352" s="1" t="s">
        <v>9</v>
      </c>
      <c r="G352" s="1">
        <v>16</v>
      </c>
      <c r="H352" s="9"/>
      <c r="J352" s="1">
        <v>117.38</v>
      </c>
      <c r="N352" s="1" t="s">
        <v>10</v>
      </c>
      <c r="O352" s="1">
        <v>11.1</v>
      </c>
    </row>
    <row r="353" spans="4:15" x14ac:dyDescent="0.3">
      <c r="D353" s="1">
        <v>46626</v>
      </c>
      <c r="E353" s="2">
        <v>43643</v>
      </c>
      <c r="F353" s="1" t="s">
        <v>7</v>
      </c>
      <c r="G353" s="1">
        <v>8</v>
      </c>
      <c r="H353" s="9"/>
      <c r="J353" s="1">
        <v>883.78</v>
      </c>
      <c r="N353" s="1" t="s">
        <v>13</v>
      </c>
      <c r="O353" s="1">
        <v>62.3</v>
      </c>
    </row>
    <row r="354" spans="4:15" x14ac:dyDescent="0.3">
      <c r="D354" s="1">
        <v>41634</v>
      </c>
      <c r="E354" s="2">
        <v>43807</v>
      </c>
      <c r="F354" s="1" t="s">
        <v>11</v>
      </c>
      <c r="G354" s="1">
        <v>7</v>
      </c>
      <c r="H354" s="9"/>
      <c r="J354" s="1">
        <v>61.3645</v>
      </c>
      <c r="N354" s="1" t="s">
        <v>10</v>
      </c>
      <c r="O354" s="1">
        <v>2.1</v>
      </c>
    </row>
    <row r="355" spans="4:15" x14ac:dyDescent="0.3">
      <c r="D355" s="1">
        <v>42722</v>
      </c>
      <c r="E355" s="2">
        <v>43745</v>
      </c>
      <c r="F355" s="1" t="s">
        <v>11</v>
      </c>
      <c r="G355" s="1">
        <v>23</v>
      </c>
      <c r="H355" s="9"/>
      <c r="J355" s="1">
        <v>1232.81</v>
      </c>
      <c r="N355" s="1" t="s">
        <v>10</v>
      </c>
      <c r="O355" s="1">
        <v>4.8</v>
      </c>
    </row>
    <row r="356" spans="4:15" x14ac:dyDescent="0.3">
      <c r="D356" s="1">
        <v>33444</v>
      </c>
      <c r="E356" s="2">
        <v>43744</v>
      </c>
      <c r="F356" s="1" t="s">
        <v>14</v>
      </c>
      <c r="G356" s="1">
        <v>8</v>
      </c>
      <c r="H356" s="9"/>
      <c r="J356" s="1">
        <v>136.75</v>
      </c>
      <c r="N356" s="1" t="s">
        <v>10</v>
      </c>
      <c r="O356" s="1">
        <v>8</v>
      </c>
    </row>
    <row r="357" spans="4:15" x14ac:dyDescent="0.3">
      <c r="D357" s="1">
        <v>26818</v>
      </c>
      <c r="E357" s="2">
        <v>43472</v>
      </c>
      <c r="F357" s="1" t="s">
        <v>11</v>
      </c>
      <c r="G357" s="1">
        <v>36</v>
      </c>
      <c r="H357" s="9"/>
      <c r="J357" s="1">
        <v>268.93</v>
      </c>
      <c r="N357" s="1" t="s">
        <v>10</v>
      </c>
      <c r="O357" s="1">
        <v>8.3000000000000007</v>
      </c>
    </row>
    <row r="358" spans="4:15" x14ac:dyDescent="0.3">
      <c r="D358" s="1">
        <v>32449</v>
      </c>
      <c r="E358" s="2">
        <v>43808</v>
      </c>
      <c r="F358" s="1" t="s">
        <v>12</v>
      </c>
      <c r="G358" s="1">
        <v>39</v>
      </c>
      <c r="H358" s="9"/>
      <c r="J358" s="1">
        <v>297.01</v>
      </c>
      <c r="N358" s="1" t="s">
        <v>10</v>
      </c>
      <c r="O358" s="1">
        <v>11.9</v>
      </c>
    </row>
    <row r="359" spans="4:15" x14ac:dyDescent="0.3">
      <c r="D359" s="1">
        <v>52225</v>
      </c>
      <c r="E359" s="2">
        <v>43567</v>
      </c>
      <c r="F359" s="1" t="s">
        <v>12</v>
      </c>
      <c r="G359" s="1">
        <v>10</v>
      </c>
      <c r="H359" s="9"/>
      <c r="J359" s="1">
        <v>140.27000000000001</v>
      </c>
      <c r="N359" s="1" t="s">
        <v>10</v>
      </c>
      <c r="O359" s="1">
        <v>3</v>
      </c>
    </row>
    <row r="360" spans="4:15" x14ac:dyDescent="0.3">
      <c r="D360" s="1">
        <v>35590</v>
      </c>
      <c r="E360" s="2">
        <v>43801</v>
      </c>
      <c r="F360" s="1" t="s">
        <v>12</v>
      </c>
      <c r="G360" s="1">
        <v>4</v>
      </c>
      <c r="H360" s="9"/>
      <c r="J360" s="1">
        <v>453.63</v>
      </c>
      <c r="N360" s="1" t="s">
        <v>10</v>
      </c>
      <c r="O360" s="1">
        <v>21.4</v>
      </c>
    </row>
    <row r="361" spans="4:15" x14ac:dyDescent="0.3">
      <c r="D361" s="1">
        <v>5382</v>
      </c>
      <c r="E361" s="2">
        <v>43476</v>
      </c>
      <c r="F361" s="1" t="s">
        <v>7</v>
      </c>
      <c r="G361" s="1">
        <v>30</v>
      </c>
      <c r="H361" s="9"/>
      <c r="J361" s="1">
        <v>278.33</v>
      </c>
      <c r="N361" s="1" t="s">
        <v>10</v>
      </c>
      <c r="O361" s="1">
        <v>4.5</v>
      </c>
    </row>
    <row r="362" spans="4:15" x14ac:dyDescent="0.3">
      <c r="D362" s="1">
        <v>13543</v>
      </c>
      <c r="E362" s="2">
        <v>43685</v>
      </c>
      <c r="F362" s="1" t="s">
        <v>14</v>
      </c>
      <c r="G362" s="1">
        <v>2</v>
      </c>
      <c r="H362" s="9"/>
      <c r="J362" s="1">
        <v>29.78</v>
      </c>
      <c r="N362" s="1" t="s">
        <v>10</v>
      </c>
      <c r="O362" s="1">
        <v>10.1</v>
      </c>
    </row>
    <row r="363" spans="4:15" x14ac:dyDescent="0.3">
      <c r="D363" s="1">
        <v>7106</v>
      </c>
      <c r="E363" s="2">
        <v>43595</v>
      </c>
      <c r="F363" s="1" t="s">
        <v>7</v>
      </c>
      <c r="G363" s="1">
        <v>31</v>
      </c>
      <c r="H363" s="9"/>
      <c r="J363" s="1">
        <v>5253.8</v>
      </c>
      <c r="N363" s="1" t="s">
        <v>10</v>
      </c>
      <c r="O363" s="1">
        <v>5.9</v>
      </c>
    </row>
    <row r="364" spans="4:15" x14ac:dyDescent="0.3">
      <c r="D364" s="1">
        <v>58368</v>
      </c>
      <c r="E364" s="2">
        <v>43655</v>
      </c>
      <c r="F364" s="1" t="s">
        <v>9</v>
      </c>
      <c r="G364" s="1">
        <v>39</v>
      </c>
      <c r="H364" s="9"/>
      <c r="J364" s="1">
        <v>291.11</v>
      </c>
      <c r="N364" s="1" t="s">
        <v>10</v>
      </c>
      <c r="O364" s="1">
        <v>10.199999999999999</v>
      </c>
    </row>
    <row r="365" spans="4:15" x14ac:dyDescent="0.3">
      <c r="D365" s="1">
        <v>11874</v>
      </c>
      <c r="E365" s="2">
        <v>43717</v>
      </c>
      <c r="F365" s="1" t="s">
        <v>14</v>
      </c>
      <c r="G365" s="1">
        <v>20</v>
      </c>
      <c r="H365" s="9"/>
      <c r="J365" s="1">
        <v>830.07</v>
      </c>
      <c r="N365" s="1" t="s">
        <v>10</v>
      </c>
      <c r="O365" s="1">
        <v>10.5</v>
      </c>
    </row>
    <row r="366" spans="4:15" x14ac:dyDescent="0.3">
      <c r="D366" s="1">
        <v>17735</v>
      </c>
      <c r="E366" s="2">
        <v>43658</v>
      </c>
      <c r="F366" s="1" t="s">
        <v>7</v>
      </c>
      <c r="G366" s="1">
        <v>45</v>
      </c>
      <c r="H366" s="9"/>
      <c r="J366" s="1">
        <v>333.47</v>
      </c>
      <c r="N366" s="1" t="s">
        <v>10</v>
      </c>
      <c r="O366" s="1">
        <v>5.9</v>
      </c>
    </row>
    <row r="367" spans="4:15" x14ac:dyDescent="0.3">
      <c r="D367" s="1">
        <v>33159</v>
      </c>
      <c r="E367" s="2">
        <v>43582</v>
      </c>
      <c r="F367" s="1" t="s">
        <v>14</v>
      </c>
      <c r="G367" s="1">
        <v>3</v>
      </c>
      <c r="H367" s="9"/>
      <c r="J367" s="1">
        <v>60.66</v>
      </c>
      <c r="N367" s="1" t="s">
        <v>10</v>
      </c>
      <c r="O367" s="1">
        <v>1.1000000000000001</v>
      </c>
    </row>
    <row r="368" spans="4:15" x14ac:dyDescent="0.3">
      <c r="D368" s="1">
        <v>1346</v>
      </c>
      <c r="E368" s="2">
        <v>43633</v>
      </c>
      <c r="F368" s="1" t="s">
        <v>9</v>
      </c>
      <c r="G368" s="1">
        <v>48</v>
      </c>
      <c r="H368" s="9"/>
      <c r="J368" s="1">
        <v>5125.18</v>
      </c>
      <c r="N368" s="1" t="s">
        <v>13</v>
      </c>
      <c r="O368" s="1">
        <v>28.1</v>
      </c>
    </row>
    <row r="369" spans="4:15" x14ac:dyDescent="0.3">
      <c r="D369" s="1">
        <v>47014</v>
      </c>
      <c r="E369" s="2">
        <v>43598</v>
      </c>
      <c r="F369" s="1" t="s">
        <v>12</v>
      </c>
      <c r="G369" s="1">
        <v>33</v>
      </c>
      <c r="H369" s="9"/>
      <c r="J369" s="1">
        <v>859.33</v>
      </c>
      <c r="N369" s="1" t="s">
        <v>13</v>
      </c>
      <c r="O369" s="1">
        <v>15.4</v>
      </c>
    </row>
    <row r="370" spans="4:15" x14ac:dyDescent="0.3">
      <c r="D370" s="1">
        <v>47879</v>
      </c>
      <c r="E370" s="2">
        <v>43475</v>
      </c>
      <c r="F370" s="1" t="s">
        <v>12</v>
      </c>
      <c r="G370" s="1">
        <v>19</v>
      </c>
      <c r="H370" s="9"/>
      <c r="J370" s="1">
        <v>184.61779999999999</v>
      </c>
      <c r="N370" s="1" t="s">
        <v>10</v>
      </c>
      <c r="O370" s="1">
        <v>2.2999999999999998</v>
      </c>
    </row>
    <row r="371" spans="4:15" x14ac:dyDescent="0.3">
      <c r="D371" s="1">
        <v>6757</v>
      </c>
      <c r="E371" s="2">
        <v>43496</v>
      </c>
      <c r="F371" s="1" t="s">
        <v>14</v>
      </c>
      <c r="G371" s="1">
        <v>11</v>
      </c>
      <c r="H371" s="9"/>
      <c r="J371" s="1">
        <v>2678.22</v>
      </c>
      <c r="N371" s="1" t="s">
        <v>13</v>
      </c>
      <c r="O371" s="1">
        <v>66.099999999999994</v>
      </c>
    </row>
    <row r="372" spans="4:15" x14ac:dyDescent="0.3">
      <c r="D372" s="1">
        <v>55813</v>
      </c>
      <c r="E372" s="2">
        <v>43674</v>
      </c>
      <c r="F372" s="1" t="s">
        <v>7</v>
      </c>
      <c r="G372" s="1">
        <v>39</v>
      </c>
      <c r="H372" s="9"/>
      <c r="J372" s="1">
        <v>2836.32</v>
      </c>
      <c r="N372" s="1" t="s">
        <v>10</v>
      </c>
      <c r="O372" s="1">
        <v>40.200000000000003</v>
      </c>
    </row>
    <row r="373" spans="4:15" x14ac:dyDescent="0.3">
      <c r="D373" s="1">
        <v>11745</v>
      </c>
      <c r="E373" s="2">
        <v>43665</v>
      </c>
      <c r="F373" s="1" t="s">
        <v>9</v>
      </c>
      <c r="G373" s="1">
        <v>17</v>
      </c>
      <c r="H373" s="9"/>
      <c r="J373" s="1">
        <v>734.31</v>
      </c>
      <c r="N373" s="1" t="s">
        <v>10</v>
      </c>
      <c r="O373" s="1">
        <v>21.4</v>
      </c>
    </row>
    <row r="374" spans="4:15" x14ac:dyDescent="0.3">
      <c r="D374" s="1">
        <v>22980</v>
      </c>
      <c r="E374" s="2">
        <v>43739</v>
      </c>
      <c r="F374" s="1" t="s">
        <v>11</v>
      </c>
      <c r="G374" s="1">
        <v>17</v>
      </c>
      <c r="H374" s="9"/>
      <c r="J374" s="1">
        <v>239.78</v>
      </c>
      <c r="N374" s="1" t="s">
        <v>10</v>
      </c>
      <c r="O374" s="1">
        <v>6.7</v>
      </c>
    </row>
    <row r="375" spans="4:15" x14ac:dyDescent="0.3">
      <c r="D375" s="1">
        <v>18757</v>
      </c>
      <c r="E375" s="2">
        <v>43607</v>
      </c>
      <c r="F375" s="1" t="s">
        <v>7</v>
      </c>
      <c r="G375" s="1">
        <v>9</v>
      </c>
      <c r="H375" s="9"/>
      <c r="J375" s="1">
        <v>237.75</v>
      </c>
      <c r="N375" s="1" t="s">
        <v>10</v>
      </c>
      <c r="O375" s="1">
        <v>16.2</v>
      </c>
    </row>
    <row r="376" spans="4:15" x14ac:dyDescent="0.3">
      <c r="D376" s="1">
        <v>54183</v>
      </c>
      <c r="E376" s="2">
        <v>43570</v>
      </c>
      <c r="F376" s="1" t="s">
        <v>12</v>
      </c>
      <c r="G376" s="1">
        <v>32</v>
      </c>
      <c r="H376" s="9"/>
      <c r="J376" s="1">
        <v>2967.87</v>
      </c>
      <c r="N376" s="1" t="s">
        <v>8</v>
      </c>
      <c r="O376" s="1">
        <v>5.9</v>
      </c>
    </row>
    <row r="377" spans="4:15" x14ac:dyDescent="0.3">
      <c r="D377" s="1">
        <v>16039</v>
      </c>
      <c r="E377" s="2">
        <v>43601</v>
      </c>
      <c r="F377" s="1" t="s">
        <v>9</v>
      </c>
      <c r="G377" s="1">
        <v>3</v>
      </c>
      <c r="H377" s="9"/>
      <c r="J377" s="1">
        <v>129.6</v>
      </c>
      <c r="N377" s="1" t="s">
        <v>10</v>
      </c>
      <c r="O377" s="1">
        <v>2.1</v>
      </c>
    </row>
    <row r="378" spans="4:15" x14ac:dyDescent="0.3">
      <c r="D378" s="1">
        <v>12804</v>
      </c>
      <c r="E378" s="2">
        <v>43610</v>
      </c>
      <c r="F378" s="1" t="s">
        <v>14</v>
      </c>
      <c r="G378" s="1">
        <v>50</v>
      </c>
      <c r="H378" s="9"/>
      <c r="J378" s="1">
        <v>89.89</v>
      </c>
      <c r="N378" s="1" t="s">
        <v>10</v>
      </c>
      <c r="O378" s="1">
        <v>0.8</v>
      </c>
    </row>
    <row r="379" spans="4:15" x14ac:dyDescent="0.3">
      <c r="D379" s="1">
        <v>4771</v>
      </c>
      <c r="E379" s="2">
        <v>43812</v>
      </c>
      <c r="F379" s="1" t="s">
        <v>12</v>
      </c>
      <c r="G379" s="1">
        <v>4</v>
      </c>
      <c r="H379" s="9"/>
      <c r="J379" s="1">
        <v>145.44</v>
      </c>
      <c r="N379" s="1" t="s">
        <v>13</v>
      </c>
      <c r="O379" s="1">
        <v>48.7</v>
      </c>
    </row>
    <row r="380" spans="4:15" x14ac:dyDescent="0.3">
      <c r="D380" s="1">
        <v>44099</v>
      </c>
      <c r="E380" s="2">
        <v>43536</v>
      </c>
      <c r="F380" s="1" t="s">
        <v>14</v>
      </c>
      <c r="G380" s="1">
        <v>34</v>
      </c>
      <c r="H380" s="9"/>
      <c r="J380" s="1">
        <v>12651.17</v>
      </c>
      <c r="N380" s="1" t="s">
        <v>10</v>
      </c>
      <c r="O380" s="1">
        <v>21.4</v>
      </c>
    </row>
    <row r="381" spans="4:15" x14ac:dyDescent="0.3">
      <c r="D381" s="1">
        <v>30886</v>
      </c>
      <c r="E381" s="2">
        <v>43597</v>
      </c>
      <c r="F381" s="1" t="s">
        <v>7</v>
      </c>
      <c r="G381" s="1">
        <v>28</v>
      </c>
      <c r="H381" s="9"/>
      <c r="J381" s="1">
        <v>5693.01</v>
      </c>
      <c r="N381" s="1" t="s">
        <v>10</v>
      </c>
      <c r="O381" s="1">
        <v>21.4</v>
      </c>
    </row>
    <row r="382" spans="4:15" x14ac:dyDescent="0.3">
      <c r="D382" s="1">
        <v>42246</v>
      </c>
      <c r="E382" s="2">
        <v>43581</v>
      </c>
      <c r="F382" s="1" t="s">
        <v>11</v>
      </c>
      <c r="G382" s="1">
        <v>5</v>
      </c>
      <c r="H382" s="9"/>
      <c r="J382" s="1">
        <v>27.08</v>
      </c>
      <c r="N382" s="1" t="s">
        <v>10</v>
      </c>
      <c r="O382" s="1">
        <v>0.8</v>
      </c>
    </row>
    <row r="383" spans="4:15" x14ac:dyDescent="0.3">
      <c r="D383" s="1">
        <v>42437</v>
      </c>
      <c r="E383" s="2">
        <v>43529</v>
      </c>
      <c r="F383" s="1" t="s">
        <v>12</v>
      </c>
      <c r="G383" s="1">
        <v>43</v>
      </c>
      <c r="H383" s="9"/>
      <c r="J383" s="1">
        <v>20824.13</v>
      </c>
      <c r="N383" s="1" t="s">
        <v>13</v>
      </c>
      <c r="O383" s="1">
        <v>52.4</v>
      </c>
    </row>
    <row r="384" spans="4:15" x14ac:dyDescent="0.3">
      <c r="D384" s="1">
        <v>10593</v>
      </c>
      <c r="E384" s="2">
        <v>43507</v>
      </c>
      <c r="F384" s="1" t="s">
        <v>9</v>
      </c>
      <c r="G384" s="1">
        <v>26</v>
      </c>
      <c r="H384" s="9"/>
      <c r="J384" s="1">
        <v>774.49</v>
      </c>
      <c r="N384" s="1" t="s">
        <v>10</v>
      </c>
      <c r="O384" s="1">
        <v>20.8</v>
      </c>
    </row>
    <row r="385" spans="4:15" x14ac:dyDescent="0.3">
      <c r="D385" s="1">
        <v>34976</v>
      </c>
      <c r="E385" s="2">
        <v>43793</v>
      </c>
      <c r="F385" s="1" t="s">
        <v>14</v>
      </c>
      <c r="G385" s="1">
        <v>29</v>
      </c>
      <c r="H385" s="9"/>
      <c r="J385" s="1">
        <v>179.97</v>
      </c>
      <c r="N385" s="1" t="s">
        <v>10</v>
      </c>
      <c r="O385" s="1">
        <v>5.8</v>
      </c>
    </row>
    <row r="386" spans="4:15" x14ac:dyDescent="0.3">
      <c r="D386" s="1">
        <v>34757</v>
      </c>
      <c r="E386" s="2">
        <v>43613</v>
      </c>
      <c r="F386" s="1" t="s">
        <v>9</v>
      </c>
      <c r="G386" s="1">
        <v>40</v>
      </c>
      <c r="H386" s="9"/>
      <c r="J386" s="1">
        <v>268.14</v>
      </c>
      <c r="N386" s="1" t="s">
        <v>8</v>
      </c>
      <c r="O386" s="1">
        <v>6.7</v>
      </c>
    </row>
    <row r="387" spans="4:15" x14ac:dyDescent="0.3">
      <c r="D387" s="1">
        <v>16772</v>
      </c>
      <c r="E387" s="2">
        <v>43825</v>
      </c>
      <c r="F387" s="1" t="s">
        <v>9</v>
      </c>
      <c r="G387" s="1">
        <v>38</v>
      </c>
      <c r="H387" s="9"/>
      <c r="J387" s="1">
        <v>102.41</v>
      </c>
      <c r="N387" s="1" t="s">
        <v>10</v>
      </c>
      <c r="O387" s="1">
        <v>0.5</v>
      </c>
    </row>
    <row r="388" spans="4:15" x14ac:dyDescent="0.3">
      <c r="D388" s="1">
        <v>19905</v>
      </c>
      <c r="E388" s="2">
        <v>43689</v>
      </c>
      <c r="F388" s="1" t="s">
        <v>12</v>
      </c>
      <c r="G388" s="1">
        <v>25</v>
      </c>
      <c r="H388" s="9"/>
      <c r="J388" s="1">
        <v>14660.44</v>
      </c>
      <c r="N388" s="1" t="s">
        <v>13</v>
      </c>
      <c r="O388" s="1">
        <v>69.099999999999994</v>
      </c>
    </row>
    <row r="389" spans="4:15" x14ac:dyDescent="0.3">
      <c r="D389" s="1">
        <v>13601</v>
      </c>
      <c r="E389" s="2">
        <v>43693</v>
      </c>
      <c r="F389" s="1" t="s">
        <v>7</v>
      </c>
      <c r="G389" s="1">
        <v>17</v>
      </c>
      <c r="H389" s="9"/>
      <c r="J389" s="1">
        <v>880.51369999999997</v>
      </c>
      <c r="N389" s="1" t="s">
        <v>10</v>
      </c>
      <c r="O389" s="1">
        <v>21.4</v>
      </c>
    </row>
    <row r="390" spans="4:15" x14ac:dyDescent="0.3">
      <c r="D390" s="1">
        <v>17826</v>
      </c>
      <c r="E390" s="2">
        <v>43646</v>
      </c>
      <c r="F390" s="1" t="s">
        <v>9</v>
      </c>
      <c r="G390" s="1">
        <v>18</v>
      </c>
      <c r="H390" s="9"/>
      <c r="J390" s="1">
        <v>84.46</v>
      </c>
      <c r="N390" s="1" t="s">
        <v>10</v>
      </c>
      <c r="O390" s="1">
        <v>7.5</v>
      </c>
    </row>
    <row r="391" spans="4:15" x14ac:dyDescent="0.3">
      <c r="D391" s="1">
        <v>3556</v>
      </c>
      <c r="E391" s="2">
        <v>43730</v>
      </c>
      <c r="F391" s="1" t="s">
        <v>11</v>
      </c>
      <c r="G391" s="1">
        <v>48</v>
      </c>
      <c r="H391" s="9"/>
      <c r="J391" s="1">
        <v>288.23</v>
      </c>
      <c r="N391" s="1" t="s">
        <v>10</v>
      </c>
      <c r="O391" s="1">
        <v>5.4</v>
      </c>
    </row>
    <row r="392" spans="4:15" x14ac:dyDescent="0.3">
      <c r="D392" s="1">
        <v>46276</v>
      </c>
      <c r="E392" s="2">
        <v>43808</v>
      </c>
      <c r="F392" s="1" t="s">
        <v>12</v>
      </c>
      <c r="G392" s="1">
        <v>4</v>
      </c>
      <c r="H392" s="9"/>
      <c r="J392" s="1">
        <v>122.87</v>
      </c>
      <c r="N392" s="1" t="s">
        <v>10</v>
      </c>
      <c r="O392" s="1">
        <v>2.1</v>
      </c>
    </row>
    <row r="393" spans="4:15" x14ac:dyDescent="0.3">
      <c r="D393" s="1">
        <v>50466</v>
      </c>
      <c r="E393" s="2">
        <v>43644</v>
      </c>
      <c r="F393" s="1" t="s">
        <v>12</v>
      </c>
      <c r="G393" s="1">
        <v>32</v>
      </c>
      <c r="H393" s="9"/>
      <c r="J393" s="1">
        <v>7374.51</v>
      </c>
      <c r="N393" s="1" t="s">
        <v>8</v>
      </c>
      <c r="O393" s="1">
        <v>16.100000000000001</v>
      </c>
    </row>
    <row r="394" spans="4:15" x14ac:dyDescent="0.3">
      <c r="D394" s="1">
        <v>4199</v>
      </c>
      <c r="E394" s="2">
        <v>43507</v>
      </c>
      <c r="F394" s="1" t="s">
        <v>12</v>
      </c>
      <c r="G394" s="1">
        <v>43</v>
      </c>
      <c r="H394" s="9"/>
      <c r="J394" s="1">
        <v>684.49</v>
      </c>
      <c r="N394" s="1" t="s">
        <v>8</v>
      </c>
      <c r="O394" s="1">
        <v>5.7</v>
      </c>
    </row>
    <row r="395" spans="4:15" x14ac:dyDescent="0.3">
      <c r="D395" s="1">
        <v>3556</v>
      </c>
      <c r="E395" s="2">
        <v>43730</v>
      </c>
      <c r="F395" s="1" t="s">
        <v>11</v>
      </c>
      <c r="G395" s="1">
        <v>41</v>
      </c>
      <c r="H395" s="9"/>
      <c r="J395" s="1">
        <v>5279.37</v>
      </c>
      <c r="N395" s="1" t="s">
        <v>10</v>
      </c>
      <c r="O395" s="1">
        <v>13.5</v>
      </c>
    </row>
    <row r="396" spans="4:15" x14ac:dyDescent="0.3">
      <c r="D396" s="1">
        <v>8546</v>
      </c>
      <c r="E396" s="2">
        <v>43556</v>
      </c>
      <c r="F396" s="1" t="s">
        <v>9</v>
      </c>
      <c r="G396" s="1">
        <v>4</v>
      </c>
      <c r="H396" s="9"/>
      <c r="J396" s="1">
        <v>55.58</v>
      </c>
      <c r="N396" s="1" t="s">
        <v>8</v>
      </c>
      <c r="O396" s="1">
        <v>2.1</v>
      </c>
    </row>
    <row r="397" spans="4:15" x14ac:dyDescent="0.3">
      <c r="D397" s="1">
        <v>39943</v>
      </c>
      <c r="E397" s="2">
        <v>43623</v>
      </c>
      <c r="F397" s="1" t="s">
        <v>9</v>
      </c>
      <c r="G397" s="1">
        <v>16</v>
      </c>
      <c r="H397" s="9"/>
      <c r="J397" s="1">
        <v>30.66</v>
      </c>
      <c r="N397" s="1" t="s">
        <v>10</v>
      </c>
      <c r="O397" s="1">
        <v>2.1</v>
      </c>
    </row>
    <row r="398" spans="4:15" x14ac:dyDescent="0.3">
      <c r="D398" s="1">
        <v>54501</v>
      </c>
      <c r="E398" s="2">
        <v>43798</v>
      </c>
      <c r="F398" s="1" t="s">
        <v>12</v>
      </c>
      <c r="G398" s="1">
        <v>36</v>
      </c>
      <c r="H398" s="9"/>
      <c r="J398" s="1">
        <v>2181.8200000000002</v>
      </c>
      <c r="N398" s="1" t="s">
        <v>10</v>
      </c>
      <c r="O398" s="1">
        <v>5.3</v>
      </c>
    </row>
    <row r="399" spans="4:15" x14ac:dyDescent="0.3">
      <c r="D399" s="1">
        <v>13282</v>
      </c>
      <c r="E399" s="2">
        <v>43594</v>
      </c>
      <c r="F399" s="1" t="s">
        <v>7</v>
      </c>
      <c r="G399" s="1">
        <v>22</v>
      </c>
      <c r="H399" s="9"/>
      <c r="J399" s="1">
        <v>817.32</v>
      </c>
      <c r="N399" s="1" t="s">
        <v>10</v>
      </c>
      <c r="O399" s="1">
        <v>8.1</v>
      </c>
    </row>
    <row r="400" spans="4:15" x14ac:dyDescent="0.3">
      <c r="D400" s="1">
        <v>20451</v>
      </c>
      <c r="E400" s="2">
        <v>43610</v>
      </c>
      <c r="F400" s="1" t="s">
        <v>12</v>
      </c>
      <c r="G400" s="1">
        <v>6</v>
      </c>
      <c r="H400" s="9"/>
      <c r="J400" s="1">
        <v>57.48</v>
      </c>
      <c r="N400" s="1" t="s">
        <v>10</v>
      </c>
      <c r="O400" s="1">
        <v>2.2000000000000002</v>
      </c>
    </row>
    <row r="401" spans="4:15" x14ac:dyDescent="0.3">
      <c r="D401" s="1">
        <v>24451</v>
      </c>
      <c r="E401" s="2">
        <v>43802</v>
      </c>
      <c r="F401" s="1" t="s">
        <v>12</v>
      </c>
      <c r="G401" s="1">
        <v>24</v>
      </c>
      <c r="H401" s="9"/>
      <c r="J401" s="1">
        <v>1808.27</v>
      </c>
      <c r="N401" s="1" t="s">
        <v>13</v>
      </c>
      <c r="O401" s="1">
        <v>64.2</v>
      </c>
    </row>
    <row r="402" spans="4:15" x14ac:dyDescent="0.3">
      <c r="D402" s="1">
        <v>324</v>
      </c>
      <c r="E402" s="2">
        <v>43543</v>
      </c>
      <c r="F402" s="1" t="s">
        <v>12</v>
      </c>
      <c r="G402" s="1">
        <v>25</v>
      </c>
      <c r="H402" s="9"/>
      <c r="J402" s="1">
        <v>4143.72</v>
      </c>
      <c r="N402" s="1" t="s">
        <v>10</v>
      </c>
      <c r="O402" s="1">
        <v>15</v>
      </c>
    </row>
    <row r="403" spans="4:15" x14ac:dyDescent="0.3">
      <c r="D403" s="1">
        <v>24672</v>
      </c>
      <c r="E403" s="2">
        <v>43541</v>
      </c>
      <c r="F403" s="1" t="s">
        <v>14</v>
      </c>
      <c r="G403" s="1">
        <v>37</v>
      </c>
      <c r="H403" s="9"/>
      <c r="J403" s="1">
        <v>11270.25</v>
      </c>
      <c r="N403" s="1" t="s">
        <v>10</v>
      </c>
      <c r="O403" s="1">
        <v>37.5</v>
      </c>
    </row>
    <row r="404" spans="4:15" x14ac:dyDescent="0.3">
      <c r="D404" s="1">
        <v>56261</v>
      </c>
      <c r="E404" s="2">
        <v>43522</v>
      </c>
      <c r="F404" s="1" t="s">
        <v>12</v>
      </c>
      <c r="G404" s="1">
        <v>43</v>
      </c>
      <c r="H404" s="9"/>
      <c r="J404" s="1">
        <v>18068.830000000002</v>
      </c>
      <c r="N404" s="1" t="s">
        <v>13</v>
      </c>
      <c r="O404" s="1">
        <v>91.6</v>
      </c>
    </row>
    <row r="405" spans="4:15" x14ac:dyDescent="0.3">
      <c r="D405" s="1">
        <v>21510</v>
      </c>
      <c r="E405" s="2">
        <v>43593</v>
      </c>
      <c r="F405" s="1" t="s">
        <v>9</v>
      </c>
      <c r="G405" s="1">
        <v>16</v>
      </c>
      <c r="H405" s="9"/>
      <c r="J405" s="1">
        <v>398.14</v>
      </c>
      <c r="N405" s="1" t="s">
        <v>8</v>
      </c>
      <c r="O405" s="1">
        <v>2.1</v>
      </c>
    </row>
    <row r="406" spans="4:15" x14ac:dyDescent="0.3">
      <c r="D406" s="1">
        <v>39876</v>
      </c>
      <c r="E406" s="2">
        <v>43568</v>
      </c>
      <c r="F406" s="1" t="s">
        <v>9</v>
      </c>
      <c r="G406" s="1">
        <v>46</v>
      </c>
      <c r="H406" s="9"/>
      <c r="J406" s="1">
        <v>937.95</v>
      </c>
      <c r="N406" s="1" t="s">
        <v>10</v>
      </c>
      <c r="O406" s="1">
        <v>5.6</v>
      </c>
    </row>
    <row r="407" spans="4:15" x14ac:dyDescent="0.3">
      <c r="D407" s="1">
        <v>36929</v>
      </c>
      <c r="E407" s="2">
        <v>43610</v>
      </c>
      <c r="F407" s="1" t="s">
        <v>7</v>
      </c>
      <c r="G407" s="1">
        <v>37</v>
      </c>
      <c r="H407" s="9"/>
      <c r="J407" s="1">
        <v>1419.56</v>
      </c>
      <c r="N407" s="1" t="s">
        <v>10</v>
      </c>
      <c r="O407" s="1">
        <v>9.4</v>
      </c>
    </row>
    <row r="408" spans="4:15" x14ac:dyDescent="0.3">
      <c r="D408" s="1">
        <v>29507</v>
      </c>
      <c r="E408" s="2">
        <v>43504</v>
      </c>
      <c r="F408" s="1" t="s">
        <v>7</v>
      </c>
      <c r="G408" s="1">
        <v>14</v>
      </c>
      <c r="H408" s="9"/>
      <c r="J408" s="1">
        <v>3263.11</v>
      </c>
      <c r="N408" s="1" t="s">
        <v>13</v>
      </c>
      <c r="O408" s="1">
        <v>38.200000000000003</v>
      </c>
    </row>
    <row r="409" spans="4:15" x14ac:dyDescent="0.3">
      <c r="D409" s="1">
        <v>30727</v>
      </c>
      <c r="E409" s="2">
        <v>43671</v>
      </c>
      <c r="F409" s="1" t="s">
        <v>14</v>
      </c>
      <c r="G409" s="1">
        <v>28</v>
      </c>
      <c r="H409" s="9"/>
      <c r="J409" s="1">
        <v>1247.93</v>
      </c>
      <c r="N409" s="1" t="s">
        <v>8</v>
      </c>
      <c r="O409" s="1">
        <v>4.8</v>
      </c>
    </row>
    <row r="410" spans="4:15" x14ac:dyDescent="0.3">
      <c r="D410" s="1">
        <v>50055</v>
      </c>
      <c r="E410" s="2">
        <v>43756</v>
      </c>
      <c r="F410" s="1" t="s">
        <v>14</v>
      </c>
      <c r="G410" s="1">
        <v>11</v>
      </c>
      <c r="H410" s="9"/>
      <c r="J410" s="1">
        <v>81.099999999999994</v>
      </c>
      <c r="N410" s="1" t="s">
        <v>10</v>
      </c>
      <c r="O410" s="1">
        <v>5.3</v>
      </c>
    </row>
    <row r="411" spans="4:15" x14ac:dyDescent="0.3">
      <c r="D411" s="1">
        <v>6501</v>
      </c>
      <c r="E411" s="2">
        <v>43477</v>
      </c>
      <c r="F411" s="1" t="s">
        <v>9</v>
      </c>
      <c r="G411" s="1">
        <v>46</v>
      </c>
      <c r="H411" s="9"/>
      <c r="J411" s="1">
        <v>4940.5495000000001</v>
      </c>
      <c r="N411" s="1" t="s">
        <v>10</v>
      </c>
      <c r="O411" s="1">
        <v>8.1999999999999993</v>
      </c>
    </row>
    <row r="412" spans="4:15" x14ac:dyDescent="0.3">
      <c r="D412" s="1">
        <v>49381</v>
      </c>
      <c r="E412" s="2">
        <v>43812</v>
      </c>
      <c r="F412" s="1" t="s">
        <v>11</v>
      </c>
      <c r="G412" s="1">
        <v>21</v>
      </c>
      <c r="H412" s="9"/>
      <c r="J412" s="1">
        <v>1645.13</v>
      </c>
      <c r="N412" s="1" t="s">
        <v>10</v>
      </c>
      <c r="O412" s="1">
        <v>37.5</v>
      </c>
    </row>
    <row r="413" spans="4:15" x14ac:dyDescent="0.3">
      <c r="D413" s="1">
        <v>48003</v>
      </c>
      <c r="E413" s="2">
        <v>43490</v>
      </c>
      <c r="F413" s="1" t="s">
        <v>14</v>
      </c>
      <c r="G413" s="1">
        <v>30</v>
      </c>
      <c r="H413" s="9"/>
      <c r="J413" s="1">
        <v>196.16</v>
      </c>
      <c r="N413" s="1" t="s">
        <v>10</v>
      </c>
      <c r="O413" s="1">
        <v>4.7</v>
      </c>
    </row>
    <row r="414" spans="4:15" x14ac:dyDescent="0.3">
      <c r="D414" s="1">
        <v>28871</v>
      </c>
      <c r="E414" s="2">
        <v>43570</v>
      </c>
      <c r="F414" s="1" t="s">
        <v>9</v>
      </c>
      <c r="G414" s="1">
        <v>10</v>
      </c>
      <c r="H414" s="9"/>
      <c r="J414" s="1">
        <v>58.87</v>
      </c>
      <c r="N414" s="1" t="s">
        <v>10</v>
      </c>
      <c r="O414" s="1">
        <v>5.5</v>
      </c>
    </row>
    <row r="415" spans="4:15" x14ac:dyDescent="0.3">
      <c r="D415" s="1">
        <v>50144</v>
      </c>
      <c r="E415" s="2">
        <v>43623</v>
      </c>
      <c r="F415" s="1" t="s">
        <v>12</v>
      </c>
      <c r="G415" s="1">
        <v>36</v>
      </c>
      <c r="H415" s="9"/>
      <c r="J415" s="1">
        <v>4461.83</v>
      </c>
      <c r="N415" s="1" t="s">
        <v>8</v>
      </c>
      <c r="O415" s="1">
        <v>9.6999999999999993</v>
      </c>
    </row>
    <row r="416" spans="4:15" x14ac:dyDescent="0.3">
      <c r="D416" s="1">
        <v>39972</v>
      </c>
      <c r="E416" s="2">
        <v>43733</v>
      </c>
      <c r="F416" s="1" t="s">
        <v>11</v>
      </c>
      <c r="G416" s="1">
        <v>35</v>
      </c>
      <c r="H416" s="9"/>
      <c r="J416" s="1">
        <v>240.3</v>
      </c>
      <c r="N416" s="1" t="s">
        <v>10</v>
      </c>
      <c r="O416" s="1">
        <v>0.5</v>
      </c>
    </row>
    <row r="417" spans="4:15" x14ac:dyDescent="0.3">
      <c r="D417" s="1">
        <v>41286</v>
      </c>
      <c r="E417" s="2">
        <v>43724</v>
      </c>
      <c r="F417" s="1" t="s">
        <v>14</v>
      </c>
      <c r="G417" s="1">
        <v>40</v>
      </c>
      <c r="H417" s="9"/>
      <c r="J417" s="1">
        <v>279.23</v>
      </c>
      <c r="N417" s="1" t="s">
        <v>10</v>
      </c>
      <c r="O417" s="1">
        <v>6.7</v>
      </c>
    </row>
    <row r="418" spans="4:15" x14ac:dyDescent="0.3">
      <c r="D418" s="1">
        <v>21796</v>
      </c>
      <c r="E418" s="2">
        <v>43591</v>
      </c>
      <c r="F418" s="1" t="s">
        <v>7</v>
      </c>
      <c r="G418" s="1">
        <v>41</v>
      </c>
      <c r="H418" s="9"/>
      <c r="J418" s="1">
        <v>649.63</v>
      </c>
      <c r="N418" s="1" t="s">
        <v>10</v>
      </c>
      <c r="O418" s="1">
        <v>1.5</v>
      </c>
    </row>
    <row r="419" spans="4:15" x14ac:dyDescent="0.3">
      <c r="D419" s="1">
        <v>23174</v>
      </c>
      <c r="E419" s="2">
        <v>43672</v>
      </c>
      <c r="F419" s="1" t="s">
        <v>7</v>
      </c>
      <c r="G419" s="1">
        <v>8</v>
      </c>
      <c r="H419" s="9"/>
      <c r="J419" s="1">
        <v>147.91999999999999</v>
      </c>
      <c r="N419" s="1" t="s">
        <v>10</v>
      </c>
      <c r="O419" s="1">
        <v>7.5</v>
      </c>
    </row>
    <row r="420" spans="4:15" x14ac:dyDescent="0.3">
      <c r="D420" s="1">
        <v>13345</v>
      </c>
      <c r="E420" s="2">
        <v>43710</v>
      </c>
      <c r="F420" s="1" t="s">
        <v>11</v>
      </c>
      <c r="G420" s="1">
        <v>45</v>
      </c>
      <c r="H420" s="9"/>
      <c r="J420" s="1">
        <v>517.49</v>
      </c>
      <c r="N420" s="1" t="s">
        <v>10</v>
      </c>
      <c r="O420" s="1">
        <v>3.6</v>
      </c>
    </row>
    <row r="421" spans="4:15" x14ac:dyDescent="0.3">
      <c r="D421" s="1">
        <v>58368</v>
      </c>
      <c r="E421" s="2">
        <v>43655</v>
      </c>
      <c r="F421" s="1" t="s">
        <v>9</v>
      </c>
      <c r="G421" s="1">
        <v>5</v>
      </c>
      <c r="H421" s="9"/>
      <c r="J421" s="1">
        <v>348.21010000000001</v>
      </c>
      <c r="N421" s="1" t="s">
        <v>8</v>
      </c>
      <c r="O421" s="1">
        <v>7.4</v>
      </c>
    </row>
    <row r="422" spans="4:15" x14ac:dyDescent="0.3">
      <c r="D422" s="1">
        <v>29030</v>
      </c>
      <c r="E422" s="2">
        <v>43466</v>
      </c>
      <c r="F422" s="1" t="s">
        <v>14</v>
      </c>
      <c r="G422" s="1">
        <v>10</v>
      </c>
      <c r="H422" s="9"/>
      <c r="J422" s="1">
        <v>206.06</v>
      </c>
      <c r="N422" s="1" t="s">
        <v>10</v>
      </c>
      <c r="O422" s="1">
        <v>4.4000000000000004</v>
      </c>
    </row>
    <row r="423" spans="4:15" x14ac:dyDescent="0.3">
      <c r="D423" s="1">
        <v>19394</v>
      </c>
      <c r="E423" s="2">
        <v>43824</v>
      </c>
      <c r="F423" s="1" t="s">
        <v>14</v>
      </c>
      <c r="G423" s="1">
        <v>16</v>
      </c>
      <c r="H423" s="9"/>
      <c r="J423" s="1">
        <v>298.87990000000002</v>
      </c>
      <c r="N423" s="1" t="s">
        <v>10</v>
      </c>
      <c r="O423" s="1">
        <v>1.1000000000000001</v>
      </c>
    </row>
    <row r="424" spans="4:15" x14ac:dyDescent="0.3">
      <c r="D424" s="1">
        <v>46726</v>
      </c>
      <c r="E424" s="2">
        <v>43651</v>
      </c>
      <c r="F424" s="1" t="s">
        <v>11</v>
      </c>
      <c r="G424" s="1">
        <v>46</v>
      </c>
      <c r="H424" s="9"/>
      <c r="J424" s="1">
        <v>348.79</v>
      </c>
      <c r="N424" s="1" t="s">
        <v>10</v>
      </c>
      <c r="O424" s="1">
        <v>9</v>
      </c>
    </row>
    <row r="425" spans="4:15" x14ac:dyDescent="0.3">
      <c r="D425" s="1">
        <v>52999</v>
      </c>
      <c r="E425" s="2">
        <v>43580</v>
      </c>
      <c r="F425" s="1" t="s">
        <v>11</v>
      </c>
      <c r="G425" s="1">
        <v>7</v>
      </c>
      <c r="H425" s="9"/>
      <c r="J425" s="1">
        <v>47.75</v>
      </c>
      <c r="N425" s="1" t="s">
        <v>10</v>
      </c>
      <c r="O425" s="1">
        <v>6.1</v>
      </c>
    </row>
    <row r="426" spans="4:15" x14ac:dyDescent="0.3">
      <c r="D426" s="1">
        <v>56672</v>
      </c>
      <c r="E426" s="2">
        <v>43597</v>
      </c>
      <c r="F426" s="1" t="s">
        <v>9</v>
      </c>
      <c r="G426" s="1">
        <v>8</v>
      </c>
      <c r="H426" s="9"/>
      <c r="J426" s="1">
        <v>635.19000000000005</v>
      </c>
      <c r="N426" s="1" t="s">
        <v>13</v>
      </c>
      <c r="O426" s="1">
        <v>64.2</v>
      </c>
    </row>
    <row r="427" spans="4:15" x14ac:dyDescent="0.3">
      <c r="D427" s="1">
        <v>53188</v>
      </c>
      <c r="E427" s="2">
        <v>43774</v>
      </c>
      <c r="F427" s="1" t="s">
        <v>9</v>
      </c>
      <c r="G427" s="1">
        <v>22</v>
      </c>
      <c r="H427" s="9"/>
      <c r="J427" s="1">
        <v>664.69</v>
      </c>
      <c r="N427" s="1" t="s">
        <v>10</v>
      </c>
      <c r="O427" s="1">
        <v>7.1</v>
      </c>
    </row>
    <row r="428" spans="4:15" x14ac:dyDescent="0.3">
      <c r="D428" s="1">
        <v>52999</v>
      </c>
      <c r="E428" s="2">
        <v>43580</v>
      </c>
      <c r="F428" s="1" t="s">
        <v>11</v>
      </c>
      <c r="G428" s="1">
        <v>5</v>
      </c>
      <c r="H428" s="9"/>
      <c r="J428" s="1">
        <v>46.66</v>
      </c>
      <c r="N428" s="1" t="s">
        <v>8</v>
      </c>
      <c r="O428" s="1">
        <v>4.3</v>
      </c>
    </row>
    <row r="429" spans="4:15" x14ac:dyDescent="0.3">
      <c r="D429" s="1">
        <v>52673</v>
      </c>
      <c r="E429" s="2">
        <v>43593</v>
      </c>
      <c r="F429" s="1" t="s">
        <v>14</v>
      </c>
      <c r="G429" s="1">
        <v>14</v>
      </c>
      <c r="H429" s="9"/>
      <c r="J429" s="1">
        <v>2188.2199999999998</v>
      </c>
      <c r="N429" s="1" t="s">
        <v>10</v>
      </c>
      <c r="O429" s="1">
        <v>9.6</v>
      </c>
    </row>
    <row r="430" spans="4:15" x14ac:dyDescent="0.3">
      <c r="D430" s="1">
        <v>54886</v>
      </c>
      <c r="E430" s="2">
        <v>43681</v>
      </c>
      <c r="F430" s="1" t="s">
        <v>12</v>
      </c>
      <c r="G430" s="1">
        <v>39</v>
      </c>
      <c r="H430" s="9"/>
      <c r="J430" s="1">
        <v>449.35</v>
      </c>
      <c r="N430" s="1" t="s">
        <v>10</v>
      </c>
      <c r="O430" s="1">
        <v>5.5</v>
      </c>
    </row>
    <row r="431" spans="4:15" x14ac:dyDescent="0.3">
      <c r="D431" s="1">
        <v>40994</v>
      </c>
      <c r="E431" s="2">
        <v>43747</v>
      </c>
      <c r="F431" s="1" t="s">
        <v>9</v>
      </c>
      <c r="G431" s="1">
        <v>42</v>
      </c>
      <c r="H431" s="9"/>
      <c r="J431" s="1">
        <v>848.55</v>
      </c>
      <c r="N431" s="1" t="s">
        <v>10</v>
      </c>
      <c r="O431" s="1">
        <v>1.6</v>
      </c>
    </row>
    <row r="432" spans="4:15" x14ac:dyDescent="0.3">
      <c r="D432" s="1">
        <v>8388</v>
      </c>
      <c r="E432" s="2">
        <v>43518</v>
      </c>
      <c r="F432" s="1" t="s">
        <v>7</v>
      </c>
      <c r="G432" s="1">
        <v>39</v>
      </c>
      <c r="H432" s="9"/>
      <c r="J432" s="1">
        <v>310.62</v>
      </c>
      <c r="N432" s="1" t="s">
        <v>10</v>
      </c>
      <c r="O432" s="1">
        <v>4.3</v>
      </c>
    </row>
    <row r="433" spans="4:15" x14ac:dyDescent="0.3">
      <c r="D433" s="1">
        <v>13670</v>
      </c>
      <c r="E433" s="2">
        <v>43608</v>
      </c>
      <c r="F433" s="1" t="s">
        <v>12</v>
      </c>
      <c r="G433" s="1">
        <v>27</v>
      </c>
      <c r="H433" s="9"/>
      <c r="J433" s="1">
        <v>124.52</v>
      </c>
      <c r="N433" s="1" t="s">
        <v>8</v>
      </c>
      <c r="O433" s="1">
        <v>0.5</v>
      </c>
    </row>
    <row r="434" spans="4:15" x14ac:dyDescent="0.3">
      <c r="D434" s="1">
        <v>51237</v>
      </c>
      <c r="E434" s="2">
        <v>43534</v>
      </c>
      <c r="F434" s="1" t="s">
        <v>14</v>
      </c>
      <c r="G434" s="1">
        <v>26</v>
      </c>
      <c r="H434" s="9"/>
      <c r="J434" s="1">
        <v>5102.8999999999996</v>
      </c>
      <c r="N434" s="1" t="s">
        <v>10</v>
      </c>
      <c r="O434" s="1">
        <v>6.4</v>
      </c>
    </row>
    <row r="435" spans="4:15" x14ac:dyDescent="0.3">
      <c r="D435" s="1">
        <v>42306</v>
      </c>
      <c r="E435" s="2">
        <v>43722</v>
      </c>
      <c r="F435" s="1" t="s">
        <v>9</v>
      </c>
      <c r="G435" s="1">
        <v>19</v>
      </c>
      <c r="H435" s="9"/>
      <c r="J435" s="1">
        <v>828</v>
      </c>
      <c r="N435" s="1" t="s">
        <v>10</v>
      </c>
      <c r="O435" s="1">
        <v>5.7</v>
      </c>
    </row>
    <row r="436" spans="4:15" x14ac:dyDescent="0.3">
      <c r="D436" s="1">
        <v>15236</v>
      </c>
      <c r="E436" s="2">
        <v>43564</v>
      </c>
      <c r="F436" s="1" t="s">
        <v>11</v>
      </c>
      <c r="G436" s="1">
        <v>33</v>
      </c>
      <c r="H436" s="9"/>
      <c r="J436" s="1">
        <v>365.32</v>
      </c>
      <c r="N436" s="1" t="s">
        <v>10</v>
      </c>
      <c r="O436" s="1">
        <v>3.2</v>
      </c>
    </row>
    <row r="437" spans="4:15" x14ac:dyDescent="0.3">
      <c r="D437" s="1">
        <v>37831</v>
      </c>
      <c r="E437" s="2">
        <v>43672</v>
      </c>
      <c r="F437" s="1" t="s">
        <v>11</v>
      </c>
      <c r="G437" s="1">
        <v>30</v>
      </c>
      <c r="H437" s="9"/>
      <c r="J437" s="1">
        <v>485.64</v>
      </c>
      <c r="N437" s="1" t="s">
        <v>10</v>
      </c>
      <c r="O437" s="1">
        <v>4.3</v>
      </c>
    </row>
    <row r="438" spans="4:15" x14ac:dyDescent="0.3">
      <c r="D438" s="1">
        <v>33031</v>
      </c>
      <c r="E438" s="2">
        <v>43701</v>
      </c>
      <c r="F438" s="1" t="s">
        <v>9</v>
      </c>
      <c r="G438" s="1">
        <v>24</v>
      </c>
      <c r="H438" s="9"/>
      <c r="J438" s="1">
        <v>589.23</v>
      </c>
      <c r="N438" s="1" t="s">
        <v>13</v>
      </c>
      <c r="O438" s="1">
        <v>16.8</v>
      </c>
    </row>
    <row r="439" spans="4:15" x14ac:dyDescent="0.3">
      <c r="D439" s="1">
        <v>51044</v>
      </c>
      <c r="E439" s="2">
        <v>43482</v>
      </c>
      <c r="F439" s="1" t="s">
        <v>7</v>
      </c>
      <c r="G439" s="1">
        <v>19</v>
      </c>
      <c r="H439" s="9"/>
      <c r="J439" s="1">
        <v>125.48</v>
      </c>
      <c r="N439" s="1" t="s">
        <v>10</v>
      </c>
      <c r="O439" s="1">
        <v>0.9</v>
      </c>
    </row>
    <row r="440" spans="4:15" x14ac:dyDescent="0.3">
      <c r="D440" s="1">
        <v>32000</v>
      </c>
      <c r="E440" s="2">
        <v>43721</v>
      </c>
      <c r="F440" s="1" t="s">
        <v>7</v>
      </c>
      <c r="G440" s="1">
        <v>26</v>
      </c>
      <c r="H440" s="9"/>
      <c r="J440" s="1">
        <v>16230.6374</v>
      </c>
      <c r="N440" s="1" t="s">
        <v>13</v>
      </c>
      <c r="O440" s="1">
        <v>157.4</v>
      </c>
    </row>
    <row r="441" spans="4:15" x14ac:dyDescent="0.3">
      <c r="D441" s="1">
        <v>15872</v>
      </c>
      <c r="E441" s="2">
        <v>43768</v>
      </c>
      <c r="F441" s="1" t="s">
        <v>11</v>
      </c>
      <c r="G441" s="1">
        <v>48</v>
      </c>
      <c r="H441" s="9"/>
      <c r="J441" s="1">
        <v>5561.99</v>
      </c>
      <c r="N441" s="1" t="s">
        <v>13</v>
      </c>
      <c r="O441" s="1">
        <v>16.8</v>
      </c>
    </row>
    <row r="442" spans="4:15" x14ac:dyDescent="0.3">
      <c r="D442" s="1">
        <v>19586</v>
      </c>
      <c r="E442" s="2">
        <v>43770</v>
      </c>
      <c r="F442" s="1" t="s">
        <v>11</v>
      </c>
      <c r="G442" s="1">
        <v>36</v>
      </c>
      <c r="H442" s="9"/>
      <c r="J442" s="1">
        <v>75.574100000000001</v>
      </c>
      <c r="N442" s="1" t="s">
        <v>10</v>
      </c>
      <c r="O442" s="1">
        <v>2.7</v>
      </c>
    </row>
    <row r="443" spans="4:15" x14ac:dyDescent="0.3">
      <c r="D443" s="1">
        <v>54501</v>
      </c>
      <c r="E443" s="2">
        <v>43798</v>
      </c>
      <c r="F443" s="1" t="s">
        <v>12</v>
      </c>
      <c r="G443" s="1">
        <v>38</v>
      </c>
      <c r="H443" s="9"/>
      <c r="J443" s="1">
        <v>838.84</v>
      </c>
      <c r="N443" s="1" t="s">
        <v>10</v>
      </c>
      <c r="O443" s="1">
        <v>37.5</v>
      </c>
    </row>
    <row r="444" spans="4:15" x14ac:dyDescent="0.3">
      <c r="D444" s="1">
        <v>44422</v>
      </c>
      <c r="E444" s="2">
        <v>43568</v>
      </c>
      <c r="F444" s="1" t="s">
        <v>14</v>
      </c>
      <c r="G444" s="1">
        <v>1</v>
      </c>
      <c r="H444" s="9"/>
      <c r="J444" s="1">
        <v>16.82</v>
      </c>
      <c r="N444" s="1" t="s">
        <v>10</v>
      </c>
      <c r="O444" s="1">
        <v>4.8</v>
      </c>
    </row>
    <row r="445" spans="4:15" x14ac:dyDescent="0.3">
      <c r="D445" s="1">
        <v>12356</v>
      </c>
      <c r="E445" s="2">
        <v>43756</v>
      </c>
      <c r="F445" s="1" t="s">
        <v>12</v>
      </c>
      <c r="G445" s="1">
        <v>39</v>
      </c>
      <c r="H445" s="9"/>
      <c r="J445" s="1">
        <v>260.06</v>
      </c>
      <c r="N445" s="1" t="s">
        <v>10</v>
      </c>
      <c r="O445" s="1">
        <v>5.7</v>
      </c>
    </row>
    <row r="446" spans="4:15" x14ac:dyDescent="0.3">
      <c r="D446" s="1">
        <v>35012</v>
      </c>
      <c r="E446" s="2">
        <v>43624</v>
      </c>
      <c r="F446" s="1" t="s">
        <v>14</v>
      </c>
      <c r="G446" s="1">
        <v>10</v>
      </c>
      <c r="H446" s="9"/>
      <c r="J446" s="1">
        <v>135.66999999999999</v>
      </c>
      <c r="N446" s="1" t="s">
        <v>10</v>
      </c>
      <c r="O446" s="1">
        <v>5.3</v>
      </c>
    </row>
    <row r="447" spans="4:15" x14ac:dyDescent="0.3">
      <c r="D447" s="1">
        <v>42982</v>
      </c>
      <c r="E447" s="2">
        <v>43673</v>
      </c>
      <c r="F447" s="1" t="s">
        <v>7</v>
      </c>
      <c r="G447" s="1">
        <v>42</v>
      </c>
      <c r="H447" s="9"/>
      <c r="J447" s="1">
        <v>1698.72</v>
      </c>
      <c r="N447" s="1" t="s">
        <v>10</v>
      </c>
      <c r="O447" s="1">
        <v>3.3</v>
      </c>
    </row>
    <row r="448" spans="4:15" x14ac:dyDescent="0.3">
      <c r="D448" s="1">
        <v>51297</v>
      </c>
      <c r="E448" s="2">
        <v>43780</v>
      </c>
      <c r="F448" s="1" t="s">
        <v>7</v>
      </c>
      <c r="G448" s="1">
        <v>41</v>
      </c>
      <c r="H448" s="9"/>
      <c r="J448" s="1">
        <v>381.22</v>
      </c>
      <c r="N448" s="1" t="s">
        <v>8</v>
      </c>
      <c r="O448" s="1">
        <v>3.2</v>
      </c>
    </row>
    <row r="449" spans="4:15" x14ac:dyDescent="0.3">
      <c r="D449" s="1">
        <v>388</v>
      </c>
      <c r="E449" s="2">
        <v>43814</v>
      </c>
      <c r="F449" s="1" t="s">
        <v>11</v>
      </c>
      <c r="G449" s="1">
        <v>46</v>
      </c>
      <c r="H449" s="9"/>
      <c r="J449" s="1">
        <v>554.19000000000005</v>
      </c>
      <c r="N449" s="1" t="s">
        <v>10</v>
      </c>
      <c r="O449" s="1">
        <v>7.4</v>
      </c>
    </row>
    <row r="450" spans="4:15" x14ac:dyDescent="0.3">
      <c r="D450" s="1">
        <v>11269</v>
      </c>
      <c r="E450" s="2">
        <v>43611</v>
      </c>
      <c r="F450" s="1" t="s">
        <v>7</v>
      </c>
      <c r="G450" s="1">
        <v>39</v>
      </c>
      <c r="H450" s="9"/>
      <c r="J450" s="1">
        <v>2228.87</v>
      </c>
      <c r="N450" s="1" t="s">
        <v>8</v>
      </c>
      <c r="O450" s="1">
        <v>6.4</v>
      </c>
    </row>
    <row r="451" spans="4:15" x14ac:dyDescent="0.3">
      <c r="D451" s="1">
        <v>36484</v>
      </c>
      <c r="E451" s="2">
        <v>43492</v>
      </c>
      <c r="F451" s="1" t="s">
        <v>12</v>
      </c>
      <c r="G451" s="1">
        <v>41</v>
      </c>
      <c r="H451" s="9"/>
      <c r="J451" s="1">
        <v>2547.2094000000002</v>
      </c>
      <c r="N451" s="1" t="s">
        <v>8</v>
      </c>
      <c r="O451" s="1">
        <v>4.2</v>
      </c>
    </row>
    <row r="452" spans="4:15" x14ac:dyDescent="0.3">
      <c r="D452" s="1">
        <v>3361</v>
      </c>
      <c r="E452" s="2">
        <v>43699</v>
      </c>
      <c r="F452" s="1" t="s">
        <v>11</v>
      </c>
      <c r="G452" s="1">
        <v>23</v>
      </c>
      <c r="H452" s="9"/>
      <c r="J452" s="1">
        <v>143.02000000000001</v>
      </c>
      <c r="N452" s="1" t="s">
        <v>10</v>
      </c>
      <c r="O452" s="1">
        <v>2.4</v>
      </c>
    </row>
    <row r="453" spans="4:15" x14ac:dyDescent="0.3">
      <c r="D453" s="1">
        <v>49344</v>
      </c>
      <c r="E453" s="2">
        <v>43829</v>
      </c>
      <c r="F453" s="1" t="s">
        <v>7</v>
      </c>
      <c r="G453" s="1">
        <v>1</v>
      </c>
      <c r="H453" s="9"/>
      <c r="J453" s="1">
        <v>859.56309999999996</v>
      </c>
      <c r="N453" s="1" t="s">
        <v>10</v>
      </c>
      <c r="O453" s="1">
        <v>26.2</v>
      </c>
    </row>
    <row r="454" spans="4:15" x14ac:dyDescent="0.3">
      <c r="D454" s="1">
        <v>9473</v>
      </c>
      <c r="E454" s="2">
        <v>43749</v>
      </c>
      <c r="F454" s="1" t="s">
        <v>11</v>
      </c>
      <c r="G454" s="1">
        <v>34</v>
      </c>
      <c r="H454" s="9"/>
      <c r="J454" s="1">
        <v>603.28740000000005</v>
      </c>
      <c r="N454" s="1" t="s">
        <v>10</v>
      </c>
      <c r="O454" s="1">
        <v>3.2</v>
      </c>
    </row>
    <row r="455" spans="4:15" x14ac:dyDescent="0.3">
      <c r="D455" s="1">
        <v>21220</v>
      </c>
      <c r="E455" s="2">
        <v>43821</v>
      </c>
      <c r="F455" s="1" t="s">
        <v>11</v>
      </c>
      <c r="G455" s="1">
        <v>4</v>
      </c>
      <c r="H455" s="9"/>
      <c r="J455" s="1">
        <v>509.65</v>
      </c>
      <c r="N455" s="1" t="s">
        <v>13</v>
      </c>
      <c r="O455" s="1">
        <v>28.1</v>
      </c>
    </row>
    <row r="456" spans="4:15" x14ac:dyDescent="0.3">
      <c r="D456" s="1">
        <v>4096</v>
      </c>
      <c r="E456" s="2">
        <v>43648</v>
      </c>
      <c r="F456" s="1" t="s">
        <v>11</v>
      </c>
      <c r="G456" s="1">
        <v>21</v>
      </c>
      <c r="H456" s="9"/>
      <c r="J456" s="1">
        <v>137.26</v>
      </c>
      <c r="N456" s="1" t="s">
        <v>10</v>
      </c>
      <c r="O456" s="1">
        <v>0.5</v>
      </c>
    </row>
    <row r="457" spans="4:15" x14ac:dyDescent="0.3">
      <c r="D457" s="1">
        <v>38310</v>
      </c>
      <c r="E457" s="2">
        <v>43569</v>
      </c>
      <c r="F457" s="1" t="s">
        <v>9</v>
      </c>
      <c r="G457" s="1">
        <v>4</v>
      </c>
      <c r="H457" s="9"/>
      <c r="J457" s="1">
        <v>66.819999999999993</v>
      </c>
      <c r="N457" s="1" t="s">
        <v>10</v>
      </c>
      <c r="O457" s="1">
        <v>52.4</v>
      </c>
    </row>
    <row r="458" spans="4:15" x14ac:dyDescent="0.3">
      <c r="D458" s="1">
        <v>8832</v>
      </c>
      <c r="E458" s="2">
        <v>43497</v>
      </c>
      <c r="F458" s="1" t="s">
        <v>7</v>
      </c>
      <c r="G458" s="1">
        <v>39</v>
      </c>
      <c r="H458" s="9"/>
      <c r="J458" s="1">
        <v>693.16</v>
      </c>
      <c r="N458" s="1" t="s">
        <v>10</v>
      </c>
      <c r="O458" s="1">
        <v>9.6</v>
      </c>
    </row>
    <row r="459" spans="4:15" x14ac:dyDescent="0.3">
      <c r="D459" s="1">
        <v>40933</v>
      </c>
      <c r="E459" s="2">
        <v>43612</v>
      </c>
      <c r="F459" s="1" t="s">
        <v>9</v>
      </c>
      <c r="G459" s="1">
        <v>37</v>
      </c>
      <c r="H459" s="9"/>
      <c r="J459" s="1">
        <v>102.11</v>
      </c>
      <c r="N459" s="1" t="s">
        <v>10</v>
      </c>
      <c r="O459" s="1">
        <v>4.5999999999999996</v>
      </c>
    </row>
    <row r="460" spans="4:15" x14ac:dyDescent="0.3">
      <c r="D460" s="1">
        <v>47620</v>
      </c>
      <c r="E460" s="2">
        <v>43642</v>
      </c>
      <c r="F460" s="1" t="s">
        <v>7</v>
      </c>
      <c r="G460" s="1">
        <v>27</v>
      </c>
      <c r="H460" s="9"/>
      <c r="J460" s="1">
        <v>323.35000000000002</v>
      </c>
      <c r="N460" s="1" t="s">
        <v>10</v>
      </c>
      <c r="O460" s="1">
        <v>3.6</v>
      </c>
    </row>
    <row r="461" spans="4:15" x14ac:dyDescent="0.3">
      <c r="D461" s="1">
        <v>57600</v>
      </c>
      <c r="E461" s="2">
        <v>43780</v>
      </c>
      <c r="F461" s="1" t="s">
        <v>12</v>
      </c>
      <c r="G461" s="1">
        <v>12</v>
      </c>
      <c r="H461" s="9"/>
      <c r="J461" s="1">
        <v>435.7</v>
      </c>
      <c r="N461" s="1" t="s">
        <v>10</v>
      </c>
      <c r="O461" s="1">
        <v>18.3</v>
      </c>
    </row>
    <row r="462" spans="4:15" x14ac:dyDescent="0.3">
      <c r="D462" s="1">
        <v>32230</v>
      </c>
      <c r="E462" s="2">
        <v>43696</v>
      </c>
      <c r="F462" s="1" t="s">
        <v>9</v>
      </c>
      <c r="G462" s="1">
        <v>46</v>
      </c>
      <c r="H462" s="9"/>
      <c r="J462" s="1">
        <v>1876.51</v>
      </c>
      <c r="N462" s="1" t="s">
        <v>10</v>
      </c>
      <c r="O462" s="1">
        <v>9.8000000000000007</v>
      </c>
    </row>
    <row r="463" spans="4:15" x14ac:dyDescent="0.3">
      <c r="D463" s="1">
        <v>44386</v>
      </c>
      <c r="E463" s="2">
        <v>43564</v>
      </c>
      <c r="F463" s="1" t="s">
        <v>14</v>
      </c>
      <c r="G463" s="1">
        <v>27</v>
      </c>
      <c r="H463" s="9"/>
      <c r="J463" s="1">
        <v>138.09</v>
      </c>
      <c r="N463" s="1" t="s">
        <v>10</v>
      </c>
      <c r="O463" s="1">
        <v>5.3</v>
      </c>
    </row>
    <row r="464" spans="4:15" x14ac:dyDescent="0.3">
      <c r="D464" s="1">
        <v>32608</v>
      </c>
      <c r="E464" s="2">
        <v>43607</v>
      </c>
      <c r="F464" s="1" t="s">
        <v>9</v>
      </c>
      <c r="G464" s="1">
        <v>20</v>
      </c>
      <c r="H464" s="9"/>
      <c r="J464" s="1">
        <v>1457.24</v>
      </c>
      <c r="N464" s="1" t="s">
        <v>10</v>
      </c>
      <c r="O464" s="1">
        <v>3.7</v>
      </c>
    </row>
    <row r="465" spans="4:15" x14ac:dyDescent="0.3">
      <c r="D465" s="1">
        <v>13668</v>
      </c>
      <c r="E465" s="2">
        <v>43519</v>
      </c>
      <c r="F465" s="1" t="s">
        <v>12</v>
      </c>
      <c r="G465" s="1">
        <v>42</v>
      </c>
      <c r="H465" s="9"/>
      <c r="J465" s="1">
        <v>302.39</v>
      </c>
      <c r="N465" s="1" t="s">
        <v>10</v>
      </c>
      <c r="O465" s="1">
        <v>5.6</v>
      </c>
    </row>
    <row r="466" spans="4:15" x14ac:dyDescent="0.3">
      <c r="D466" s="1">
        <v>39972</v>
      </c>
      <c r="E466" s="2">
        <v>43733</v>
      </c>
      <c r="F466" s="1" t="s">
        <v>11</v>
      </c>
      <c r="G466" s="1">
        <v>36</v>
      </c>
      <c r="H466" s="9"/>
      <c r="J466" s="1">
        <v>148.29</v>
      </c>
      <c r="N466" s="1" t="s">
        <v>10</v>
      </c>
      <c r="O466" s="1">
        <v>0.5</v>
      </c>
    </row>
    <row r="467" spans="4:15" x14ac:dyDescent="0.3">
      <c r="D467" s="1">
        <v>933</v>
      </c>
      <c r="E467" s="2">
        <v>43681</v>
      </c>
      <c r="F467" s="1" t="s">
        <v>11</v>
      </c>
      <c r="G467" s="1">
        <v>15</v>
      </c>
      <c r="H467" s="9"/>
      <c r="J467" s="1">
        <v>86.25</v>
      </c>
      <c r="N467" s="1" t="s">
        <v>10</v>
      </c>
      <c r="O467" s="1">
        <v>3.2</v>
      </c>
    </row>
    <row r="468" spans="4:15" x14ac:dyDescent="0.3">
      <c r="D468" s="1">
        <v>4578</v>
      </c>
      <c r="E468" s="2">
        <v>43720</v>
      </c>
      <c r="F468" s="1" t="s">
        <v>7</v>
      </c>
      <c r="G468" s="1">
        <v>48</v>
      </c>
      <c r="H468" s="9"/>
      <c r="J468" s="1">
        <v>774.82</v>
      </c>
      <c r="N468" s="1" t="s">
        <v>10</v>
      </c>
      <c r="O468" s="1">
        <v>14.3</v>
      </c>
    </row>
    <row r="469" spans="4:15" x14ac:dyDescent="0.3">
      <c r="D469" s="1">
        <v>44768</v>
      </c>
      <c r="E469" s="2">
        <v>43611</v>
      </c>
      <c r="F469" s="1" t="s">
        <v>11</v>
      </c>
      <c r="G469" s="1">
        <v>45</v>
      </c>
      <c r="H469" s="9"/>
      <c r="J469" s="1">
        <v>17868.53</v>
      </c>
      <c r="N469" s="1" t="s">
        <v>13</v>
      </c>
      <c r="O469" s="1">
        <v>63</v>
      </c>
    </row>
    <row r="470" spans="4:15" x14ac:dyDescent="0.3">
      <c r="D470" s="1">
        <v>10593</v>
      </c>
      <c r="E470" s="2">
        <v>43507</v>
      </c>
      <c r="F470" s="1" t="s">
        <v>9</v>
      </c>
      <c r="G470" s="1">
        <v>27</v>
      </c>
      <c r="H470" s="9"/>
      <c r="J470" s="1">
        <v>465.74</v>
      </c>
      <c r="N470" s="1" t="s">
        <v>10</v>
      </c>
      <c r="O470" s="1">
        <v>9.6</v>
      </c>
    </row>
    <row r="471" spans="4:15" x14ac:dyDescent="0.3">
      <c r="D471" s="1">
        <v>30720</v>
      </c>
      <c r="E471" s="2">
        <v>43735</v>
      </c>
      <c r="F471" s="1" t="s">
        <v>7</v>
      </c>
      <c r="G471" s="1">
        <v>27</v>
      </c>
      <c r="H471" s="9"/>
      <c r="J471" s="1">
        <v>2566.8200000000002</v>
      </c>
      <c r="N471" s="1" t="s">
        <v>8</v>
      </c>
      <c r="O471" s="1">
        <v>19.399999999999999</v>
      </c>
    </row>
    <row r="472" spans="4:15" x14ac:dyDescent="0.3">
      <c r="D472" s="1">
        <v>41927</v>
      </c>
      <c r="E472" s="2">
        <v>43659</v>
      </c>
      <c r="F472" s="1" t="s">
        <v>11</v>
      </c>
      <c r="G472" s="1">
        <v>46</v>
      </c>
      <c r="H472" s="9"/>
      <c r="J472" s="1">
        <v>2495.4899999999998</v>
      </c>
      <c r="N472" s="1" t="s">
        <v>8</v>
      </c>
      <c r="O472" s="1">
        <v>7.7</v>
      </c>
    </row>
    <row r="473" spans="4:15" x14ac:dyDescent="0.3">
      <c r="D473" s="1">
        <v>39168</v>
      </c>
      <c r="E473" s="2">
        <v>43602</v>
      </c>
      <c r="F473" s="1" t="s">
        <v>9</v>
      </c>
      <c r="G473" s="1">
        <v>22</v>
      </c>
      <c r="H473" s="9"/>
      <c r="J473" s="1">
        <v>866.6</v>
      </c>
      <c r="N473" s="1" t="s">
        <v>10</v>
      </c>
      <c r="O473" s="1">
        <v>3.2</v>
      </c>
    </row>
    <row r="474" spans="4:15" x14ac:dyDescent="0.3">
      <c r="D474" s="1">
        <v>35938</v>
      </c>
      <c r="E474" s="2">
        <v>43786</v>
      </c>
      <c r="F474" s="1" t="s">
        <v>11</v>
      </c>
      <c r="G474" s="1">
        <v>6</v>
      </c>
      <c r="H474" s="9"/>
      <c r="J474" s="1">
        <v>1894.65</v>
      </c>
      <c r="N474" s="1" t="s">
        <v>13</v>
      </c>
      <c r="O474" s="1">
        <v>61</v>
      </c>
    </row>
    <row r="475" spans="4:15" x14ac:dyDescent="0.3">
      <c r="D475" s="1">
        <v>26309</v>
      </c>
      <c r="E475" s="2">
        <v>43514</v>
      </c>
      <c r="F475" s="1" t="s">
        <v>7</v>
      </c>
      <c r="G475" s="1">
        <v>42</v>
      </c>
      <c r="H475" s="9"/>
      <c r="J475" s="1">
        <v>137.1</v>
      </c>
      <c r="N475" s="1" t="s">
        <v>10</v>
      </c>
      <c r="O475" s="1">
        <v>1.1000000000000001</v>
      </c>
    </row>
    <row r="476" spans="4:15" x14ac:dyDescent="0.3">
      <c r="D476" s="1">
        <v>15491</v>
      </c>
      <c r="E476" s="2">
        <v>43482</v>
      </c>
      <c r="F476" s="1" t="s">
        <v>14</v>
      </c>
      <c r="G476" s="1">
        <v>5</v>
      </c>
      <c r="H476" s="9"/>
      <c r="J476" s="1">
        <v>964.47</v>
      </c>
      <c r="N476" s="1" t="s">
        <v>10</v>
      </c>
      <c r="O476" s="1">
        <v>2.7</v>
      </c>
    </row>
    <row r="477" spans="4:15" x14ac:dyDescent="0.3">
      <c r="D477" s="1">
        <v>28454</v>
      </c>
      <c r="E477" s="2">
        <v>43683</v>
      </c>
      <c r="F477" s="1" t="s">
        <v>14</v>
      </c>
      <c r="G477" s="1">
        <v>25</v>
      </c>
      <c r="H477" s="9"/>
      <c r="J477" s="1">
        <v>168.42</v>
      </c>
      <c r="N477" s="1" t="s">
        <v>10</v>
      </c>
      <c r="O477" s="1">
        <v>7.2</v>
      </c>
    </row>
    <row r="478" spans="4:15" x14ac:dyDescent="0.3">
      <c r="D478" s="1">
        <v>16807</v>
      </c>
      <c r="E478" s="2">
        <v>43479</v>
      </c>
      <c r="F478" s="1" t="s">
        <v>14</v>
      </c>
      <c r="G478" s="1">
        <v>48</v>
      </c>
      <c r="H478" s="9"/>
      <c r="J478" s="1">
        <v>1696.59</v>
      </c>
      <c r="N478" s="1" t="s">
        <v>10</v>
      </c>
      <c r="O478" s="1">
        <v>5.3</v>
      </c>
    </row>
    <row r="479" spans="4:15" x14ac:dyDescent="0.3">
      <c r="D479" s="1">
        <v>37762</v>
      </c>
      <c r="E479" s="2">
        <v>43622</v>
      </c>
      <c r="F479" s="1" t="s">
        <v>14</v>
      </c>
      <c r="G479" s="1">
        <v>20</v>
      </c>
      <c r="H479" s="9"/>
      <c r="J479" s="1">
        <v>144.47</v>
      </c>
      <c r="N479" s="1" t="s">
        <v>10</v>
      </c>
      <c r="O479" s="1">
        <v>7.2</v>
      </c>
    </row>
    <row r="480" spans="4:15" x14ac:dyDescent="0.3">
      <c r="D480" s="1">
        <v>33893</v>
      </c>
      <c r="E480" s="2">
        <v>43728</v>
      </c>
      <c r="F480" s="1" t="s">
        <v>11</v>
      </c>
      <c r="G480" s="1">
        <v>16</v>
      </c>
      <c r="H480" s="9"/>
      <c r="J480" s="1">
        <v>94.48</v>
      </c>
      <c r="N480" s="1" t="s">
        <v>10</v>
      </c>
      <c r="O480" s="1">
        <v>2.4</v>
      </c>
    </row>
    <row r="481" spans="4:15" x14ac:dyDescent="0.3">
      <c r="D481" s="1">
        <v>3907</v>
      </c>
      <c r="E481" s="2">
        <v>43695</v>
      </c>
      <c r="F481" s="1" t="s">
        <v>14</v>
      </c>
      <c r="G481" s="1">
        <v>34</v>
      </c>
      <c r="H481" s="9"/>
      <c r="J481" s="1">
        <v>780.92</v>
      </c>
      <c r="N481" s="1" t="s">
        <v>10</v>
      </c>
      <c r="O481" s="1">
        <v>16.2</v>
      </c>
    </row>
    <row r="482" spans="4:15" x14ac:dyDescent="0.3">
      <c r="D482" s="1">
        <v>51109</v>
      </c>
      <c r="E482" s="2">
        <v>43777</v>
      </c>
      <c r="F482" s="1" t="s">
        <v>9</v>
      </c>
      <c r="G482" s="1">
        <v>28</v>
      </c>
      <c r="H482" s="9"/>
      <c r="J482" s="1">
        <v>119.89</v>
      </c>
      <c r="N482" s="1" t="s">
        <v>10</v>
      </c>
      <c r="O482" s="1">
        <v>1.4</v>
      </c>
    </row>
    <row r="483" spans="4:15" x14ac:dyDescent="0.3">
      <c r="D483" s="1">
        <v>18500</v>
      </c>
      <c r="E483" s="2">
        <v>43506</v>
      </c>
      <c r="F483" s="1" t="s">
        <v>14</v>
      </c>
      <c r="G483" s="1">
        <v>30</v>
      </c>
      <c r="H483" s="9"/>
      <c r="J483" s="1">
        <v>1126.3699999999999</v>
      </c>
      <c r="N483" s="1" t="s">
        <v>10</v>
      </c>
      <c r="O483" s="1">
        <v>5.9</v>
      </c>
    </row>
    <row r="484" spans="4:15" x14ac:dyDescent="0.3">
      <c r="D484" s="1">
        <v>31684</v>
      </c>
      <c r="E484" s="2">
        <v>43724</v>
      </c>
      <c r="F484" s="1" t="s">
        <v>12</v>
      </c>
      <c r="G484" s="1">
        <v>28</v>
      </c>
      <c r="H484" s="9"/>
      <c r="J484" s="1">
        <v>488.89</v>
      </c>
      <c r="N484" s="1" t="s">
        <v>8</v>
      </c>
      <c r="O484" s="1">
        <v>19</v>
      </c>
    </row>
    <row r="485" spans="4:15" x14ac:dyDescent="0.3">
      <c r="D485" s="1">
        <v>16197</v>
      </c>
      <c r="E485" s="2">
        <v>43764</v>
      </c>
      <c r="F485" s="1" t="s">
        <v>12</v>
      </c>
      <c r="G485" s="1">
        <v>23</v>
      </c>
      <c r="H485" s="9"/>
      <c r="J485" s="1">
        <v>234.02</v>
      </c>
      <c r="N485" s="1" t="s">
        <v>8</v>
      </c>
      <c r="O485" s="1">
        <v>2.2999999999999998</v>
      </c>
    </row>
    <row r="486" spans="4:15" x14ac:dyDescent="0.3">
      <c r="D486" s="1">
        <v>44647</v>
      </c>
      <c r="E486" s="2">
        <v>43488</v>
      </c>
      <c r="F486" s="1" t="s">
        <v>7</v>
      </c>
      <c r="G486" s="1">
        <v>24</v>
      </c>
      <c r="H486" s="9"/>
      <c r="J486" s="1">
        <v>324.11</v>
      </c>
      <c r="N486" s="1" t="s">
        <v>10</v>
      </c>
      <c r="O486" s="1">
        <v>6.6</v>
      </c>
    </row>
    <row r="487" spans="4:15" x14ac:dyDescent="0.3">
      <c r="D487" s="1">
        <v>13157</v>
      </c>
      <c r="E487" s="2">
        <v>43506</v>
      </c>
      <c r="F487" s="1" t="s">
        <v>14</v>
      </c>
      <c r="G487" s="1">
        <v>2</v>
      </c>
      <c r="H487" s="9"/>
      <c r="J487" s="1">
        <v>41.66</v>
      </c>
      <c r="N487" s="1" t="s">
        <v>10</v>
      </c>
      <c r="O487" s="1">
        <v>5.0999999999999996</v>
      </c>
    </row>
    <row r="488" spans="4:15" x14ac:dyDescent="0.3">
      <c r="D488" s="1">
        <v>8034</v>
      </c>
      <c r="E488" s="2">
        <v>43483</v>
      </c>
      <c r="F488" s="1" t="s">
        <v>9</v>
      </c>
      <c r="G488" s="1">
        <v>13</v>
      </c>
      <c r="H488" s="9"/>
      <c r="J488" s="1">
        <v>255.12</v>
      </c>
      <c r="N488" s="1" t="s">
        <v>10</v>
      </c>
      <c r="O488" s="1">
        <v>9.6</v>
      </c>
    </row>
    <row r="489" spans="4:15" x14ac:dyDescent="0.3">
      <c r="D489" s="1">
        <v>30599</v>
      </c>
      <c r="E489" s="2">
        <v>43505</v>
      </c>
      <c r="F489" s="1" t="s">
        <v>11</v>
      </c>
      <c r="G489" s="1">
        <v>23</v>
      </c>
      <c r="H489" s="9"/>
      <c r="J489" s="1">
        <v>113.35</v>
      </c>
      <c r="N489" s="1" t="s">
        <v>10</v>
      </c>
      <c r="O489" s="1">
        <v>0.9</v>
      </c>
    </row>
    <row r="490" spans="4:15" x14ac:dyDescent="0.3">
      <c r="D490" s="1">
        <v>50148</v>
      </c>
      <c r="E490" s="2">
        <v>43496</v>
      </c>
      <c r="F490" s="1" t="s">
        <v>14</v>
      </c>
      <c r="G490" s="1">
        <v>9</v>
      </c>
      <c r="H490" s="9"/>
      <c r="J490" s="1">
        <v>19223.03</v>
      </c>
      <c r="N490" s="1" t="s">
        <v>10</v>
      </c>
      <c r="O490" s="1">
        <v>15</v>
      </c>
    </row>
    <row r="491" spans="4:15" x14ac:dyDescent="0.3">
      <c r="D491" s="1">
        <v>52003</v>
      </c>
      <c r="E491" s="2">
        <v>43513</v>
      </c>
      <c r="F491" s="1" t="s">
        <v>7</v>
      </c>
      <c r="G491" s="1">
        <v>2</v>
      </c>
      <c r="H491" s="9"/>
      <c r="J491" s="1">
        <v>99.87</v>
      </c>
      <c r="N491" s="1" t="s">
        <v>10</v>
      </c>
      <c r="O491" s="1">
        <v>5.4</v>
      </c>
    </row>
    <row r="492" spans="4:15" x14ac:dyDescent="0.3">
      <c r="D492" s="1">
        <v>15399</v>
      </c>
      <c r="E492" s="2">
        <v>43598</v>
      </c>
      <c r="F492" s="1" t="s">
        <v>12</v>
      </c>
      <c r="G492" s="1">
        <v>7</v>
      </c>
      <c r="H492" s="9"/>
      <c r="J492" s="1">
        <v>2356.62</v>
      </c>
      <c r="N492" s="1" t="s">
        <v>13</v>
      </c>
      <c r="O492" s="1">
        <v>74.400000000000006</v>
      </c>
    </row>
    <row r="493" spans="4:15" x14ac:dyDescent="0.3">
      <c r="D493" s="1">
        <v>36163</v>
      </c>
      <c r="E493" s="2">
        <v>43774</v>
      </c>
      <c r="F493" s="1" t="s">
        <v>7</v>
      </c>
      <c r="G493" s="1">
        <v>32</v>
      </c>
      <c r="H493" s="9"/>
      <c r="J493" s="1">
        <v>495.41</v>
      </c>
      <c r="N493" s="1" t="s">
        <v>10</v>
      </c>
      <c r="O493" s="1">
        <v>7.7</v>
      </c>
    </row>
    <row r="494" spans="4:15" x14ac:dyDescent="0.3">
      <c r="D494" s="1">
        <v>51239</v>
      </c>
      <c r="E494" s="2">
        <v>43518</v>
      </c>
      <c r="F494" s="1" t="s">
        <v>7</v>
      </c>
      <c r="G494" s="1">
        <v>48</v>
      </c>
      <c r="H494" s="9"/>
      <c r="J494" s="1">
        <v>4329.49</v>
      </c>
      <c r="N494" s="1" t="s">
        <v>13</v>
      </c>
      <c r="O494" s="1">
        <v>64.2</v>
      </c>
    </row>
    <row r="495" spans="4:15" x14ac:dyDescent="0.3">
      <c r="D495" s="1">
        <v>44805</v>
      </c>
      <c r="E495" s="2">
        <v>43722</v>
      </c>
      <c r="F495" s="1" t="s">
        <v>9</v>
      </c>
      <c r="G495" s="1">
        <v>40</v>
      </c>
      <c r="H495" s="9"/>
      <c r="J495" s="1">
        <v>1830.4</v>
      </c>
      <c r="N495" s="1" t="s">
        <v>10</v>
      </c>
      <c r="O495" s="1">
        <v>3.2</v>
      </c>
    </row>
    <row r="496" spans="4:15" x14ac:dyDescent="0.3">
      <c r="D496" s="1">
        <v>5767</v>
      </c>
      <c r="E496" s="2">
        <v>43583</v>
      </c>
      <c r="F496" s="1" t="s">
        <v>9</v>
      </c>
      <c r="G496" s="1">
        <v>31</v>
      </c>
      <c r="H496" s="9"/>
      <c r="J496" s="1">
        <v>2557.88</v>
      </c>
      <c r="N496" s="1" t="s">
        <v>10</v>
      </c>
      <c r="O496" s="1">
        <v>5.9</v>
      </c>
    </row>
    <row r="497" spans="4:15" x14ac:dyDescent="0.3">
      <c r="D497" s="1">
        <v>23745</v>
      </c>
      <c r="E497" s="2">
        <v>43804</v>
      </c>
      <c r="F497" s="1" t="s">
        <v>7</v>
      </c>
      <c r="G497" s="1">
        <v>12</v>
      </c>
      <c r="H497" s="9"/>
      <c r="J497" s="1">
        <v>765.91</v>
      </c>
      <c r="N497" s="1" t="s">
        <v>10</v>
      </c>
      <c r="O497" s="1">
        <v>55.9</v>
      </c>
    </row>
    <row r="498" spans="4:15" x14ac:dyDescent="0.3">
      <c r="D498" s="1">
        <v>33666</v>
      </c>
      <c r="E498" s="2">
        <v>43662</v>
      </c>
      <c r="F498" s="1" t="s">
        <v>11</v>
      </c>
      <c r="G498" s="1">
        <v>17</v>
      </c>
      <c r="H498" s="9"/>
      <c r="J498" s="1">
        <v>4067.36</v>
      </c>
      <c r="N498" s="1" t="s">
        <v>10</v>
      </c>
      <c r="O498" s="1">
        <v>73.8</v>
      </c>
    </row>
    <row r="499" spans="4:15" x14ac:dyDescent="0.3">
      <c r="D499" s="1">
        <v>34723</v>
      </c>
      <c r="E499" s="2">
        <v>43808</v>
      </c>
      <c r="F499" s="1" t="s">
        <v>14</v>
      </c>
      <c r="G499" s="1">
        <v>4</v>
      </c>
      <c r="H499" s="9"/>
      <c r="J499" s="1">
        <v>6521.7997999999998</v>
      </c>
      <c r="N499" s="1" t="s">
        <v>13</v>
      </c>
      <c r="O499" s="1">
        <v>31.8</v>
      </c>
    </row>
    <row r="500" spans="4:15" x14ac:dyDescent="0.3">
      <c r="D500" s="1">
        <v>49380</v>
      </c>
      <c r="E500" s="2">
        <v>43589</v>
      </c>
      <c r="F500" s="1" t="s">
        <v>14</v>
      </c>
      <c r="G500" s="1">
        <v>11</v>
      </c>
      <c r="H500" s="9"/>
      <c r="J500" s="1">
        <v>23695.55</v>
      </c>
      <c r="N500" s="1" t="s">
        <v>10</v>
      </c>
      <c r="O500" s="1">
        <v>15</v>
      </c>
    </row>
    <row r="501" spans="4:15" x14ac:dyDescent="0.3">
      <c r="D501" s="1">
        <v>52676</v>
      </c>
      <c r="E501" s="2">
        <v>43705</v>
      </c>
      <c r="F501" s="1" t="s">
        <v>9</v>
      </c>
      <c r="G501" s="1">
        <v>46</v>
      </c>
      <c r="H501" s="9"/>
      <c r="J501" s="1">
        <v>1048</v>
      </c>
      <c r="N501" s="1" t="s">
        <v>10</v>
      </c>
      <c r="O501" s="1">
        <v>6.3</v>
      </c>
    </row>
    <row r="502" spans="4:15" x14ac:dyDescent="0.3">
      <c r="D502" s="1">
        <v>25348</v>
      </c>
      <c r="E502" s="2">
        <v>43594</v>
      </c>
      <c r="F502" s="1" t="s">
        <v>12</v>
      </c>
      <c r="G502" s="1">
        <v>7</v>
      </c>
      <c r="H502" s="9"/>
      <c r="J502" s="1">
        <v>330.87</v>
      </c>
      <c r="N502" s="1" t="s">
        <v>10</v>
      </c>
      <c r="O502" s="1">
        <v>1.3</v>
      </c>
    </row>
    <row r="503" spans="4:15" x14ac:dyDescent="0.3">
      <c r="D503" s="1">
        <v>33570</v>
      </c>
      <c r="E503" s="2">
        <v>43815</v>
      </c>
      <c r="F503" s="1" t="s">
        <v>11</v>
      </c>
      <c r="G503" s="1">
        <v>1</v>
      </c>
      <c r="H503" s="9"/>
      <c r="J503" s="1">
        <v>1605.88</v>
      </c>
      <c r="N503" s="1" t="s">
        <v>13</v>
      </c>
      <c r="O503" s="1">
        <v>31.8</v>
      </c>
    </row>
    <row r="504" spans="4:15" x14ac:dyDescent="0.3">
      <c r="D504" s="1">
        <v>59905</v>
      </c>
      <c r="E504" s="2">
        <v>43569</v>
      </c>
      <c r="F504" s="1" t="s">
        <v>9</v>
      </c>
      <c r="G504" s="1">
        <v>6</v>
      </c>
      <c r="H504" s="9"/>
      <c r="J504" s="1">
        <v>52.18</v>
      </c>
      <c r="N504" s="1" t="s">
        <v>10</v>
      </c>
      <c r="O504" s="1">
        <v>1.8</v>
      </c>
    </row>
    <row r="505" spans="4:15" x14ac:dyDescent="0.3">
      <c r="D505" s="1">
        <v>21796</v>
      </c>
      <c r="E505" s="2">
        <v>43591</v>
      </c>
      <c r="F505" s="1" t="s">
        <v>7</v>
      </c>
      <c r="G505" s="1">
        <v>31</v>
      </c>
      <c r="H505" s="9"/>
      <c r="J505" s="1">
        <v>36.615400000000001</v>
      </c>
      <c r="N505" s="1" t="s">
        <v>10</v>
      </c>
      <c r="O505" s="1">
        <v>0.7</v>
      </c>
    </row>
    <row r="506" spans="4:15" x14ac:dyDescent="0.3">
      <c r="D506" s="1">
        <v>6183</v>
      </c>
      <c r="E506" s="2">
        <v>43631</v>
      </c>
      <c r="F506" s="1" t="s">
        <v>14</v>
      </c>
      <c r="G506" s="1">
        <v>41</v>
      </c>
      <c r="H506" s="9"/>
      <c r="J506" s="1">
        <v>2131.37</v>
      </c>
      <c r="N506" s="1" t="s">
        <v>10</v>
      </c>
      <c r="O506" s="1">
        <v>6.3</v>
      </c>
    </row>
    <row r="507" spans="4:15" x14ac:dyDescent="0.3">
      <c r="D507" s="1">
        <v>59234</v>
      </c>
      <c r="E507" s="2">
        <v>43675</v>
      </c>
      <c r="F507" s="1" t="s">
        <v>7</v>
      </c>
      <c r="G507" s="1">
        <v>16</v>
      </c>
      <c r="H507" s="9"/>
      <c r="J507" s="1">
        <v>853.05</v>
      </c>
      <c r="N507" s="1" t="s">
        <v>13</v>
      </c>
      <c r="O507" s="1">
        <v>15.2</v>
      </c>
    </row>
    <row r="508" spans="4:15" x14ac:dyDescent="0.3">
      <c r="D508" s="1">
        <v>56967</v>
      </c>
      <c r="E508" s="2">
        <v>43526</v>
      </c>
      <c r="F508" s="1" t="s">
        <v>7</v>
      </c>
      <c r="G508" s="1">
        <v>17</v>
      </c>
      <c r="H508" s="9"/>
      <c r="J508" s="1">
        <v>1480.77</v>
      </c>
      <c r="N508" s="1" t="s">
        <v>8</v>
      </c>
      <c r="O508" s="1">
        <v>6.6</v>
      </c>
    </row>
    <row r="509" spans="4:15" x14ac:dyDescent="0.3">
      <c r="D509" s="1">
        <v>50567</v>
      </c>
      <c r="E509" s="2">
        <v>43500</v>
      </c>
      <c r="F509" s="1" t="s">
        <v>14</v>
      </c>
      <c r="G509" s="1">
        <v>22</v>
      </c>
      <c r="H509" s="9"/>
      <c r="J509" s="1">
        <v>1611.07</v>
      </c>
      <c r="N509" s="1" t="s">
        <v>13</v>
      </c>
      <c r="O509" s="1">
        <v>32.1</v>
      </c>
    </row>
    <row r="510" spans="4:15" x14ac:dyDescent="0.3">
      <c r="D510" s="1">
        <v>27109</v>
      </c>
      <c r="E510" s="2">
        <v>43503</v>
      </c>
      <c r="F510" s="1" t="s">
        <v>12</v>
      </c>
      <c r="G510" s="1">
        <v>48</v>
      </c>
      <c r="H510" s="9"/>
      <c r="J510" s="1">
        <v>575.9</v>
      </c>
      <c r="N510" s="1" t="s">
        <v>10</v>
      </c>
      <c r="O510" s="1">
        <v>7</v>
      </c>
    </row>
    <row r="511" spans="4:15" x14ac:dyDescent="0.3">
      <c r="D511" s="1">
        <v>2755</v>
      </c>
      <c r="E511" s="2">
        <v>43501</v>
      </c>
      <c r="F511" s="1" t="s">
        <v>11</v>
      </c>
      <c r="G511" s="1">
        <v>30</v>
      </c>
      <c r="H511" s="9"/>
      <c r="J511" s="1">
        <v>787.84</v>
      </c>
      <c r="N511" s="1" t="s">
        <v>10</v>
      </c>
      <c r="O511" s="1">
        <v>3.2</v>
      </c>
    </row>
    <row r="512" spans="4:15" x14ac:dyDescent="0.3">
      <c r="D512" s="1">
        <v>46977</v>
      </c>
      <c r="E512" s="2">
        <v>43592</v>
      </c>
      <c r="F512" s="1" t="s">
        <v>14</v>
      </c>
      <c r="G512" s="1">
        <v>19</v>
      </c>
      <c r="H512" s="9"/>
      <c r="J512" s="1">
        <v>3189</v>
      </c>
      <c r="N512" s="1" t="s">
        <v>10</v>
      </c>
      <c r="O512" s="1">
        <v>9.6</v>
      </c>
    </row>
    <row r="513" spans="4:15" x14ac:dyDescent="0.3">
      <c r="D513" s="1">
        <v>2560</v>
      </c>
      <c r="E513" s="2">
        <v>43712</v>
      </c>
      <c r="F513" s="1" t="s">
        <v>12</v>
      </c>
      <c r="G513" s="1">
        <v>23</v>
      </c>
      <c r="H513" s="9"/>
      <c r="J513" s="1">
        <v>122.13</v>
      </c>
      <c r="N513" s="1" t="s">
        <v>10</v>
      </c>
      <c r="O513" s="1">
        <v>5.9</v>
      </c>
    </row>
    <row r="514" spans="4:15" x14ac:dyDescent="0.3">
      <c r="D514" s="1">
        <v>11969</v>
      </c>
      <c r="E514" s="2">
        <v>43483</v>
      </c>
      <c r="F514" s="1" t="s">
        <v>11</v>
      </c>
      <c r="G514" s="1">
        <v>42</v>
      </c>
      <c r="H514" s="9"/>
      <c r="J514" s="1">
        <v>12263.013199999999</v>
      </c>
      <c r="N514" s="1" t="s">
        <v>13</v>
      </c>
      <c r="O514" s="1">
        <v>64.2</v>
      </c>
    </row>
    <row r="515" spans="4:15" x14ac:dyDescent="0.3">
      <c r="D515" s="1">
        <v>38656</v>
      </c>
      <c r="E515" s="2">
        <v>43687</v>
      </c>
      <c r="F515" s="1" t="s">
        <v>7</v>
      </c>
      <c r="G515" s="1">
        <v>41</v>
      </c>
      <c r="H515" s="9"/>
      <c r="J515" s="1">
        <v>173.89</v>
      </c>
      <c r="N515" s="1" t="s">
        <v>10</v>
      </c>
      <c r="O515" s="1">
        <v>5.7</v>
      </c>
    </row>
    <row r="516" spans="4:15" x14ac:dyDescent="0.3">
      <c r="D516" s="1">
        <v>32835</v>
      </c>
      <c r="E516" s="2">
        <v>43653</v>
      </c>
      <c r="F516" s="1" t="s">
        <v>14</v>
      </c>
      <c r="G516" s="1">
        <v>15</v>
      </c>
      <c r="H516" s="9"/>
      <c r="J516" s="1">
        <v>612.50279999999998</v>
      </c>
      <c r="N516" s="1" t="s">
        <v>10</v>
      </c>
      <c r="O516" s="1">
        <v>5.3</v>
      </c>
    </row>
    <row r="517" spans="4:15" x14ac:dyDescent="0.3">
      <c r="D517" s="1">
        <v>34723</v>
      </c>
      <c r="E517" s="2">
        <v>43808</v>
      </c>
      <c r="F517" s="1" t="s">
        <v>14</v>
      </c>
      <c r="G517" s="1">
        <v>29</v>
      </c>
      <c r="H517" s="9"/>
      <c r="J517" s="1">
        <v>1592.05</v>
      </c>
      <c r="N517" s="1" t="s">
        <v>10</v>
      </c>
      <c r="O517" s="1">
        <v>9.6</v>
      </c>
    </row>
    <row r="518" spans="4:15" x14ac:dyDescent="0.3">
      <c r="D518" s="1">
        <v>51872</v>
      </c>
      <c r="E518" s="2">
        <v>43578</v>
      </c>
      <c r="F518" s="1" t="s">
        <v>14</v>
      </c>
      <c r="G518" s="1">
        <v>37</v>
      </c>
      <c r="H518" s="9"/>
      <c r="J518" s="1">
        <v>4983.6871000000001</v>
      </c>
      <c r="N518" s="1" t="s">
        <v>10</v>
      </c>
      <c r="O518" s="1">
        <v>4.2</v>
      </c>
    </row>
    <row r="519" spans="4:15" x14ac:dyDescent="0.3">
      <c r="D519" s="1">
        <v>43653</v>
      </c>
      <c r="E519" s="2">
        <v>43768</v>
      </c>
      <c r="F519" s="1" t="s">
        <v>9</v>
      </c>
      <c r="G519" s="1">
        <v>3</v>
      </c>
      <c r="H519" s="9"/>
      <c r="J519" s="1">
        <v>11.36</v>
      </c>
      <c r="N519" s="1" t="s">
        <v>10</v>
      </c>
      <c r="O519" s="1">
        <v>1.4</v>
      </c>
    </row>
    <row r="520" spans="4:15" x14ac:dyDescent="0.3">
      <c r="D520" s="1">
        <v>10917</v>
      </c>
      <c r="E520" s="2">
        <v>43505</v>
      </c>
      <c r="F520" s="1" t="s">
        <v>12</v>
      </c>
      <c r="G520" s="1">
        <v>14</v>
      </c>
      <c r="H520" s="9"/>
      <c r="J520" s="1">
        <v>1371.05</v>
      </c>
      <c r="N520" s="1" t="s">
        <v>8</v>
      </c>
      <c r="O520" s="1">
        <v>6.4</v>
      </c>
    </row>
    <row r="521" spans="4:15" x14ac:dyDescent="0.3">
      <c r="D521" s="1">
        <v>11969</v>
      </c>
      <c r="E521" s="2">
        <v>43483</v>
      </c>
      <c r="F521" s="1" t="s">
        <v>11</v>
      </c>
      <c r="G521" s="1">
        <v>16</v>
      </c>
      <c r="H521" s="9"/>
      <c r="J521" s="1">
        <v>1802.9072000000001</v>
      </c>
      <c r="N521" s="1" t="s">
        <v>10</v>
      </c>
      <c r="O521" s="1">
        <v>37.5</v>
      </c>
    </row>
    <row r="522" spans="4:15" x14ac:dyDescent="0.3">
      <c r="D522" s="1">
        <v>18757</v>
      </c>
      <c r="E522" s="2">
        <v>43607</v>
      </c>
      <c r="F522" s="1" t="s">
        <v>7</v>
      </c>
      <c r="G522" s="1">
        <v>43</v>
      </c>
      <c r="H522" s="9"/>
      <c r="J522" s="1">
        <v>342.36</v>
      </c>
      <c r="N522" s="1" t="s">
        <v>8</v>
      </c>
      <c r="O522" s="1">
        <v>1.7</v>
      </c>
    </row>
    <row r="523" spans="4:15" x14ac:dyDescent="0.3">
      <c r="D523" s="1">
        <v>49953</v>
      </c>
      <c r="E523" s="2">
        <v>43541</v>
      </c>
      <c r="F523" s="1" t="s">
        <v>11</v>
      </c>
      <c r="G523" s="1">
        <v>18</v>
      </c>
      <c r="H523" s="9"/>
      <c r="J523" s="1">
        <v>303.35000000000002</v>
      </c>
      <c r="N523" s="1" t="s">
        <v>10</v>
      </c>
      <c r="O523" s="1">
        <v>7</v>
      </c>
    </row>
    <row r="524" spans="4:15" x14ac:dyDescent="0.3">
      <c r="D524" s="1">
        <v>8388</v>
      </c>
      <c r="E524" s="2">
        <v>43518</v>
      </c>
      <c r="F524" s="1" t="s">
        <v>7</v>
      </c>
      <c r="G524" s="1">
        <v>37</v>
      </c>
      <c r="H524" s="9"/>
      <c r="J524" s="1">
        <v>464.5</v>
      </c>
      <c r="N524" s="1" t="s">
        <v>10</v>
      </c>
      <c r="O524" s="1">
        <v>6</v>
      </c>
    </row>
    <row r="525" spans="4:15" x14ac:dyDescent="0.3">
      <c r="D525" s="1">
        <v>28582</v>
      </c>
      <c r="E525" s="2">
        <v>43486</v>
      </c>
      <c r="F525" s="1" t="s">
        <v>11</v>
      </c>
      <c r="G525" s="1">
        <v>40</v>
      </c>
      <c r="H525" s="9"/>
      <c r="J525" s="1">
        <v>1605.18</v>
      </c>
      <c r="N525" s="1" t="s">
        <v>8</v>
      </c>
      <c r="O525" s="1">
        <v>2.1</v>
      </c>
    </row>
    <row r="526" spans="4:15" x14ac:dyDescent="0.3">
      <c r="D526" s="1">
        <v>27616</v>
      </c>
      <c r="E526" s="2">
        <v>43676</v>
      </c>
      <c r="F526" s="1" t="s">
        <v>7</v>
      </c>
      <c r="G526" s="1">
        <v>3</v>
      </c>
      <c r="H526" s="9"/>
      <c r="J526" s="1">
        <v>657.13</v>
      </c>
      <c r="N526" s="1" t="s">
        <v>10</v>
      </c>
      <c r="O526" s="1">
        <v>26.2</v>
      </c>
    </row>
    <row r="527" spans="4:15" x14ac:dyDescent="0.3">
      <c r="D527" s="1">
        <v>47777</v>
      </c>
      <c r="E527" s="2">
        <v>43794</v>
      </c>
      <c r="F527" s="1" t="s">
        <v>7</v>
      </c>
      <c r="G527" s="1">
        <v>13</v>
      </c>
      <c r="H527" s="9"/>
      <c r="J527" s="1">
        <v>94.06</v>
      </c>
      <c r="N527" s="1" t="s">
        <v>10</v>
      </c>
      <c r="O527" s="1">
        <v>5.8</v>
      </c>
    </row>
    <row r="528" spans="4:15" x14ac:dyDescent="0.3">
      <c r="D528" s="1">
        <v>18849</v>
      </c>
      <c r="E528" s="2">
        <v>43682</v>
      </c>
      <c r="F528" s="1" t="s">
        <v>9</v>
      </c>
      <c r="G528" s="1">
        <v>6</v>
      </c>
      <c r="H528" s="9"/>
      <c r="J528" s="1">
        <v>804.33</v>
      </c>
      <c r="N528" s="1" t="s">
        <v>10</v>
      </c>
      <c r="O528" s="1">
        <v>1.1000000000000001</v>
      </c>
    </row>
    <row r="529" spans="4:15" x14ac:dyDescent="0.3">
      <c r="D529" s="1">
        <v>54020</v>
      </c>
      <c r="E529" s="2">
        <v>43495</v>
      </c>
      <c r="F529" s="1" t="s">
        <v>7</v>
      </c>
      <c r="G529" s="1">
        <v>35</v>
      </c>
      <c r="H529" s="9"/>
      <c r="J529" s="1">
        <v>693.98</v>
      </c>
      <c r="N529" s="1" t="s">
        <v>10</v>
      </c>
      <c r="O529" s="1">
        <v>5.6</v>
      </c>
    </row>
    <row r="530" spans="4:15" x14ac:dyDescent="0.3">
      <c r="D530" s="1">
        <v>42115</v>
      </c>
      <c r="E530" s="2">
        <v>43513</v>
      </c>
      <c r="F530" s="1" t="s">
        <v>12</v>
      </c>
      <c r="G530" s="1">
        <v>21</v>
      </c>
      <c r="H530" s="9"/>
      <c r="J530" s="1">
        <v>721.09439999999995</v>
      </c>
      <c r="N530" s="1" t="s">
        <v>10</v>
      </c>
      <c r="O530" s="1">
        <v>2.1</v>
      </c>
    </row>
    <row r="531" spans="4:15" x14ac:dyDescent="0.3">
      <c r="D531" s="1">
        <v>18500</v>
      </c>
      <c r="E531" s="2">
        <v>43506</v>
      </c>
      <c r="F531" s="1" t="s">
        <v>14</v>
      </c>
      <c r="G531" s="1">
        <v>30</v>
      </c>
      <c r="H531" s="9"/>
      <c r="J531" s="1">
        <v>2713.85</v>
      </c>
      <c r="N531" s="1" t="s">
        <v>10</v>
      </c>
      <c r="O531" s="1">
        <v>37.5</v>
      </c>
    </row>
    <row r="532" spans="4:15" x14ac:dyDescent="0.3">
      <c r="D532" s="1">
        <v>14695</v>
      </c>
      <c r="E532" s="2">
        <v>43713</v>
      </c>
      <c r="F532" s="1" t="s">
        <v>9</v>
      </c>
      <c r="G532" s="1">
        <v>40</v>
      </c>
      <c r="H532" s="9"/>
      <c r="J532" s="1">
        <v>2131.92</v>
      </c>
      <c r="N532" s="1" t="s">
        <v>13</v>
      </c>
      <c r="O532" s="1">
        <v>57.9</v>
      </c>
    </row>
    <row r="533" spans="4:15" x14ac:dyDescent="0.3">
      <c r="D533" s="1">
        <v>38279</v>
      </c>
      <c r="E533" s="2">
        <v>43584</v>
      </c>
      <c r="F533" s="1" t="s">
        <v>14</v>
      </c>
      <c r="G533" s="1">
        <v>1</v>
      </c>
      <c r="H533" s="9"/>
      <c r="J533" s="1">
        <v>12.45</v>
      </c>
      <c r="N533" s="1" t="s">
        <v>10</v>
      </c>
      <c r="O533" s="1">
        <v>4.3</v>
      </c>
    </row>
    <row r="534" spans="4:15" x14ac:dyDescent="0.3">
      <c r="D534" s="1">
        <v>14215</v>
      </c>
      <c r="E534" s="2">
        <v>43659</v>
      </c>
      <c r="F534" s="1" t="s">
        <v>14</v>
      </c>
      <c r="G534" s="1">
        <v>44</v>
      </c>
      <c r="H534" s="9"/>
      <c r="J534" s="1">
        <v>2436.42</v>
      </c>
      <c r="N534" s="1" t="s">
        <v>10</v>
      </c>
      <c r="O534" s="1">
        <v>7.3</v>
      </c>
    </row>
    <row r="535" spans="4:15" x14ac:dyDescent="0.3">
      <c r="D535" s="1">
        <v>15872</v>
      </c>
      <c r="E535" s="2">
        <v>43768</v>
      </c>
      <c r="F535" s="1" t="s">
        <v>11</v>
      </c>
      <c r="G535" s="1">
        <v>23</v>
      </c>
      <c r="H535" s="9"/>
      <c r="J535" s="1">
        <v>201.73</v>
      </c>
      <c r="N535" s="1" t="s">
        <v>10</v>
      </c>
      <c r="O535" s="1">
        <v>6.4</v>
      </c>
    </row>
    <row r="536" spans="4:15" x14ac:dyDescent="0.3">
      <c r="D536" s="1">
        <v>51269</v>
      </c>
      <c r="E536" s="2">
        <v>43476</v>
      </c>
      <c r="F536" s="1" t="s">
        <v>12</v>
      </c>
      <c r="G536" s="1">
        <v>20</v>
      </c>
      <c r="H536" s="9"/>
      <c r="J536" s="1">
        <v>460.54</v>
      </c>
      <c r="N536" s="1" t="s">
        <v>10</v>
      </c>
      <c r="O536" s="1">
        <v>8.1</v>
      </c>
    </row>
    <row r="537" spans="4:15" x14ac:dyDescent="0.3">
      <c r="D537" s="1">
        <v>39783</v>
      </c>
      <c r="E537" s="2">
        <v>43728</v>
      </c>
      <c r="F537" s="1" t="s">
        <v>11</v>
      </c>
      <c r="G537" s="1">
        <v>19</v>
      </c>
      <c r="H537" s="9"/>
      <c r="J537" s="1">
        <v>88.2</v>
      </c>
      <c r="N537" s="1" t="s">
        <v>10</v>
      </c>
      <c r="O537" s="1">
        <v>7.4</v>
      </c>
    </row>
    <row r="538" spans="4:15" x14ac:dyDescent="0.3">
      <c r="D538" s="1">
        <v>50822</v>
      </c>
      <c r="E538" s="2">
        <v>43502</v>
      </c>
      <c r="F538" s="1" t="s">
        <v>14</v>
      </c>
      <c r="G538" s="1">
        <v>6</v>
      </c>
      <c r="H538" s="9"/>
      <c r="J538" s="1">
        <v>1749.76</v>
      </c>
      <c r="N538" s="1" t="s">
        <v>10</v>
      </c>
      <c r="O538" s="1">
        <v>26.2</v>
      </c>
    </row>
    <row r="539" spans="4:15" x14ac:dyDescent="0.3">
      <c r="D539" s="1">
        <v>2688</v>
      </c>
      <c r="E539" s="2">
        <v>43487</v>
      </c>
      <c r="F539" s="1" t="s">
        <v>9</v>
      </c>
      <c r="G539" s="1">
        <v>7</v>
      </c>
      <c r="H539" s="9"/>
      <c r="J539" s="1">
        <v>155.6</v>
      </c>
      <c r="N539" s="1" t="s">
        <v>10</v>
      </c>
      <c r="O539" s="1">
        <v>7</v>
      </c>
    </row>
    <row r="540" spans="4:15" x14ac:dyDescent="0.3">
      <c r="D540" s="1">
        <v>14727</v>
      </c>
      <c r="E540" s="2">
        <v>43665</v>
      </c>
      <c r="F540" s="1" t="s">
        <v>14</v>
      </c>
      <c r="G540" s="1">
        <v>33</v>
      </c>
      <c r="H540" s="9"/>
      <c r="J540" s="1">
        <v>2428.27</v>
      </c>
      <c r="N540" s="1" t="s">
        <v>10</v>
      </c>
      <c r="O540" s="1">
        <v>3.7</v>
      </c>
    </row>
    <row r="541" spans="4:15" x14ac:dyDescent="0.3">
      <c r="D541" s="1">
        <v>39365</v>
      </c>
      <c r="E541" s="2">
        <v>43599</v>
      </c>
      <c r="F541" s="1" t="s">
        <v>9</v>
      </c>
      <c r="G541" s="1">
        <v>32</v>
      </c>
      <c r="H541" s="9"/>
      <c r="J541" s="1">
        <v>996.26</v>
      </c>
      <c r="N541" s="1" t="s">
        <v>8</v>
      </c>
      <c r="O541" s="1">
        <v>2.1</v>
      </c>
    </row>
    <row r="542" spans="4:15" x14ac:dyDescent="0.3">
      <c r="D542" s="1">
        <v>55239</v>
      </c>
      <c r="E542" s="2">
        <v>43802</v>
      </c>
      <c r="F542" s="1" t="s">
        <v>12</v>
      </c>
      <c r="G542" s="1">
        <v>6</v>
      </c>
      <c r="H542" s="9"/>
      <c r="J542" s="1">
        <v>1079.49</v>
      </c>
      <c r="N542" s="1" t="s">
        <v>8</v>
      </c>
      <c r="O542" s="1">
        <v>73.8</v>
      </c>
    </row>
    <row r="543" spans="4:15" x14ac:dyDescent="0.3">
      <c r="D543" s="1">
        <v>48672</v>
      </c>
      <c r="E543" s="2">
        <v>43825</v>
      </c>
      <c r="F543" s="1" t="s">
        <v>9</v>
      </c>
      <c r="G543" s="1">
        <v>43</v>
      </c>
      <c r="H543" s="9"/>
      <c r="J543" s="1">
        <v>273.60000000000002</v>
      </c>
      <c r="N543" s="1" t="s">
        <v>10</v>
      </c>
      <c r="O543" s="1">
        <v>3.6</v>
      </c>
    </row>
    <row r="544" spans="4:15" x14ac:dyDescent="0.3">
      <c r="D544" s="1">
        <v>40032</v>
      </c>
      <c r="E544" s="2">
        <v>43799</v>
      </c>
      <c r="F544" s="1" t="s">
        <v>7</v>
      </c>
      <c r="G544" s="1">
        <v>9</v>
      </c>
      <c r="H544" s="9"/>
      <c r="J544" s="1">
        <v>24931.13</v>
      </c>
      <c r="N544" s="1" t="s">
        <v>13</v>
      </c>
      <c r="O544" s="1">
        <v>31.8</v>
      </c>
    </row>
    <row r="545" spans="4:15" x14ac:dyDescent="0.3">
      <c r="D545" s="1">
        <v>44549</v>
      </c>
      <c r="E545" s="2">
        <v>43486</v>
      </c>
      <c r="F545" s="1" t="s">
        <v>14</v>
      </c>
      <c r="G545" s="1">
        <v>5</v>
      </c>
      <c r="H545" s="9"/>
      <c r="J545" s="1">
        <v>12.04</v>
      </c>
      <c r="N545" s="1" t="s">
        <v>10</v>
      </c>
      <c r="O545" s="1">
        <v>1.6</v>
      </c>
    </row>
    <row r="546" spans="4:15" x14ac:dyDescent="0.3">
      <c r="D546" s="1">
        <v>30403</v>
      </c>
      <c r="E546" s="2">
        <v>43656</v>
      </c>
      <c r="F546" s="1" t="s">
        <v>9</v>
      </c>
      <c r="G546" s="1">
        <v>41</v>
      </c>
      <c r="H546" s="9"/>
      <c r="J546" s="1">
        <v>326.36</v>
      </c>
      <c r="N546" s="1" t="s">
        <v>8</v>
      </c>
      <c r="O546" s="1">
        <v>8.3000000000000007</v>
      </c>
    </row>
    <row r="547" spans="4:15" x14ac:dyDescent="0.3">
      <c r="D547" s="1">
        <v>35040</v>
      </c>
      <c r="E547" s="2">
        <v>43573</v>
      </c>
      <c r="F547" s="1" t="s">
        <v>11</v>
      </c>
      <c r="G547" s="1">
        <v>44</v>
      </c>
      <c r="H547" s="9"/>
      <c r="J547" s="1">
        <v>520.69410000000005</v>
      </c>
      <c r="N547" s="1" t="s">
        <v>10</v>
      </c>
      <c r="O547" s="1">
        <v>8</v>
      </c>
    </row>
    <row r="548" spans="4:15" x14ac:dyDescent="0.3">
      <c r="D548" s="1">
        <v>58978</v>
      </c>
      <c r="E548" s="2">
        <v>43501</v>
      </c>
      <c r="F548" s="1" t="s">
        <v>7</v>
      </c>
      <c r="G548" s="1">
        <v>13</v>
      </c>
      <c r="H548" s="9"/>
      <c r="J548" s="1">
        <v>81.2</v>
      </c>
      <c r="N548" s="1" t="s">
        <v>10</v>
      </c>
      <c r="O548" s="1">
        <v>5.5</v>
      </c>
    </row>
    <row r="549" spans="4:15" x14ac:dyDescent="0.3">
      <c r="D549" s="1">
        <v>26116</v>
      </c>
      <c r="E549" s="2">
        <v>43767</v>
      </c>
      <c r="F549" s="1" t="s">
        <v>12</v>
      </c>
      <c r="G549" s="1">
        <v>36</v>
      </c>
      <c r="H549" s="9"/>
      <c r="J549" s="1">
        <v>746.23</v>
      </c>
      <c r="N549" s="1" t="s">
        <v>10</v>
      </c>
      <c r="O549" s="1">
        <v>9.6999999999999993</v>
      </c>
    </row>
    <row r="550" spans="4:15" x14ac:dyDescent="0.3">
      <c r="D550" s="1">
        <v>16775</v>
      </c>
      <c r="E550" s="2">
        <v>43791</v>
      </c>
      <c r="F550" s="1" t="s">
        <v>7</v>
      </c>
      <c r="G550" s="1">
        <v>49</v>
      </c>
      <c r="H550" s="9"/>
      <c r="J550" s="1">
        <v>2641.99</v>
      </c>
      <c r="N550" s="1" t="s">
        <v>10</v>
      </c>
      <c r="O550" s="1">
        <v>6.3</v>
      </c>
    </row>
    <row r="551" spans="4:15" x14ac:dyDescent="0.3">
      <c r="D551" s="1">
        <v>34117</v>
      </c>
      <c r="E551" s="2">
        <v>43502</v>
      </c>
      <c r="F551" s="1" t="s">
        <v>9</v>
      </c>
      <c r="G551" s="1">
        <v>45</v>
      </c>
      <c r="H551" s="9"/>
      <c r="J551" s="1">
        <v>320.94</v>
      </c>
      <c r="N551" s="1" t="s">
        <v>10</v>
      </c>
      <c r="O551" s="1">
        <v>3.2</v>
      </c>
    </row>
    <row r="552" spans="4:15" x14ac:dyDescent="0.3">
      <c r="D552" s="1">
        <v>31106</v>
      </c>
      <c r="E552" s="2">
        <v>43511</v>
      </c>
      <c r="F552" s="1" t="s">
        <v>7</v>
      </c>
      <c r="G552" s="1">
        <v>37</v>
      </c>
      <c r="H552" s="9"/>
      <c r="J552" s="1">
        <v>109.033</v>
      </c>
      <c r="N552" s="1" t="s">
        <v>10</v>
      </c>
      <c r="O552" s="1">
        <v>0.5</v>
      </c>
    </row>
    <row r="553" spans="4:15" x14ac:dyDescent="0.3">
      <c r="D553" s="1">
        <v>28224</v>
      </c>
      <c r="E553" s="2">
        <v>43818</v>
      </c>
      <c r="F553" s="1" t="s">
        <v>12</v>
      </c>
      <c r="G553" s="1">
        <v>25</v>
      </c>
      <c r="H553" s="9"/>
      <c r="J553" s="1">
        <v>174.84870000000001</v>
      </c>
      <c r="N553" s="1" t="s">
        <v>10</v>
      </c>
      <c r="O553" s="1">
        <v>7.5</v>
      </c>
    </row>
    <row r="554" spans="4:15" x14ac:dyDescent="0.3">
      <c r="D554" s="1">
        <v>27557</v>
      </c>
      <c r="E554" s="2">
        <v>43503</v>
      </c>
      <c r="F554" s="1" t="s">
        <v>7</v>
      </c>
      <c r="G554" s="1">
        <v>18</v>
      </c>
      <c r="H554" s="9"/>
      <c r="J554" s="1">
        <v>60.06</v>
      </c>
      <c r="N554" s="1" t="s">
        <v>10</v>
      </c>
      <c r="O554" s="1">
        <v>5.7</v>
      </c>
    </row>
    <row r="555" spans="4:15" x14ac:dyDescent="0.3">
      <c r="D555" s="1">
        <v>54721</v>
      </c>
      <c r="E555" s="2">
        <v>43756</v>
      </c>
      <c r="F555" s="1" t="s">
        <v>11</v>
      </c>
      <c r="G555" s="1">
        <v>19</v>
      </c>
      <c r="H555" s="9"/>
      <c r="J555" s="1">
        <v>2142.5700000000002</v>
      </c>
      <c r="N555" s="1" t="s">
        <v>13</v>
      </c>
      <c r="O555" s="1">
        <v>28.1</v>
      </c>
    </row>
    <row r="556" spans="4:15" x14ac:dyDescent="0.3">
      <c r="D556" s="1">
        <v>11011</v>
      </c>
      <c r="E556" s="2">
        <v>43598</v>
      </c>
      <c r="F556" s="1" t="s">
        <v>9</v>
      </c>
      <c r="G556" s="1">
        <v>36</v>
      </c>
      <c r="H556" s="9"/>
      <c r="J556" s="1">
        <v>327.01</v>
      </c>
      <c r="N556" s="1" t="s">
        <v>10</v>
      </c>
      <c r="O556" s="1">
        <v>8.9</v>
      </c>
    </row>
    <row r="557" spans="4:15" x14ac:dyDescent="0.3">
      <c r="D557" s="1">
        <v>16866</v>
      </c>
      <c r="E557" s="2">
        <v>43501</v>
      </c>
      <c r="F557" s="1" t="s">
        <v>11</v>
      </c>
      <c r="G557" s="1">
        <v>43</v>
      </c>
      <c r="H557" s="9"/>
      <c r="J557" s="1">
        <v>2522.9621000000002</v>
      </c>
      <c r="N557" s="1" t="s">
        <v>10</v>
      </c>
      <c r="O557" s="1">
        <v>4.3</v>
      </c>
    </row>
    <row r="558" spans="4:15" x14ac:dyDescent="0.3">
      <c r="D558" s="1">
        <v>1088</v>
      </c>
      <c r="E558" s="2">
        <v>43605</v>
      </c>
      <c r="F558" s="1" t="s">
        <v>7</v>
      </c>
      <c r="G558" s="1">
        <v>13</v>
      </c>
      <c r="H558" s="9"/>
      <c r="J558" s="1">
        <v>287.85000000000002</v>
      </c>
      <c r="N558" s="1" t="s">
        <v>10</v>
      </c>
      <c r="O558" s="1">
        <v>7</v>
      </c>
    </row>
    <row r="559" spans="4:15" x14ac:dyDescent="0.3">
      <c r="D559" s="1">
        <v>44071</v>
      </c>
      <c r="E559" s="2">
        <v>43570</v>
      </c>
      <c r="F559" s="1" t="s">
        <v>11</v>
      </c>
      <c r="G559" s="1">
        <v>19</v>
      </c>
      <c r="H559" s="9"/>
      <c r="J559" s="1">
        <v>118.42</v>
      </c>
      <c r="N559" s="1" t="s">
        <v>10</v>
      </c>
      <c r="O559" s="1">
        <v>5.3</v>
      </c>
    </row>
    <row r="560" spans="4:15" x14ac:dyDescent="0.3">
      <c r="D560" s="1">
        <v>18849</v>
      </c>
      <c r="E560" s="2">
        <v>43682</v>
      </c>
      <c r="F560" s="1" t="s">
        <v>9</v>
      </c>
      <c r="G560" s="1">
        <v>39</v>
      </c>
      <c r="H560" s="9"/>
      <c r="J560" s="1">
        <v>577.37</v>
      </c>
      <c r="N560" s="1" t="s">
        <v>10</v>
      </c>
      <c r="O560" s="1">
        <v>9.4</v>
      </c>
    </row>
    <row r="561" spans="4:15" x14ac:dyDescent="0.3">
      <c r="D561" s="1">
        <v>13027</v>
      </c>
      <c r="E561" s="2">
        <v>43479</v>
      </c>
      <c r="F561" s="1" t="s">
        <v>12</v>
      </c>
      <c r="G561" s="1">
        <v>42</v>
      </c>
      <c r="H561" s="9"/>
      <c r="J561" s="1">
        <v>311.02999999999997</v>
      </c>
      <c r="N561" s="1" t="s">
        <v>10</v>
      </c>
      <c r="O561" s="1">
        <v>6.6</v>
      </c>
    </row>
    <row r="562" spans="4:15" x14ac:dyDescent="0.3">
      <c r="D562" s="1">
        <v>23585</v>
      </c>
      <c r="E562" s="2">
        <v>43769</v>
      </c>
      <c r="F562" s="1" t="s">
        <v>12</v>
      </c>
      <c r="G562" s="1">
        <v>44</v>
      </c>
      <c r="H562" s="9"/>
      <c r="J562" s="1">
        <v>206.27</v>
      </c>
      <c r="N562" s="1" t="s">
        <v>10</v>
      </c>
      <c r="O562" s="1">
        <v>1.7</v>
      </c>
    </row>
    <row r="563" spans="4:15" x14ac:dyDescent="0.3">
      <c r="D563" s="1">
        <v>4103</v>
      </c>
      <c r="E563" s="2">
        <v>43648</v>
      </c>
      <c r="F563" s="1" t="s">
        <v>7</v>
      </c>
      <c r="G563" s="1">
        <v>3</v>
      </c>
      <c r="H563" s="9"/>
      <c r="J563" s="1">
        <v>45.48</v>
      </c>
      <c r="N563" s="1" t="s">
        <v>10</v>
      </c>
      <c r="O563" s="1">
        <v>9.6</v>
      </c>
    </row>
    <row r="564" spans="4:15" x14ac:dyDescent="0.3">
      <c r="D564" s="1">
        <v>27780</v>
      </c>
      <c r="E564" s="2">
        <v>43758</v>
      </c>
      <c r="F564" s="1" t="s">
        <v>12</v>
      </c>
      <c r="G564" s="1">
        <v>39</v>
      </c>
      <c r="H564" s="9"/>
      <c r="J564" s="1">
        <v>158.05000000000001</v>
      </c>
      <c r="N564" s="1" t="s">
        <v>10</v>
      </c>
      <c r="O564" s="1">
        <v>1.4</v>
      </c>
    </row>
    <row r="565" spans="4:15" x14ac:dyDescent="0.3">
      <c r="D565" s="1">
        <v>24098</v>
      </c>
      <c r="E565" s="2">
        <v>43572</v>
      </c>
      <c r="F565" s="1" t="s">
        <v>12</v>
      </c>
      <c r="G565" s="1">
        <v>32</v>
      </c>
      <c r="H565" s="9"/>
      <c r="J565" s="1">
        <v>4449.1400000000003</v>
      </c>
      <c r="N565" s="1" t="s">
        <v>10</v>
      </c>
      <c r="O565" s="1">
        <v>9.6</v>
      </c>
    </row>
    <row r="566" spans="4:15" x14ac:dyDescent="0.3">
      <c r="D566" s="1">
        <v>39168</v>
      </c>
      <c r="E566" s="2">
        <v>43602</v>
      </c>
      <c r="F566" s="1" t="s">
        <v>9</v>
      </c>
      <c r="G566" s="1">
        <v>50</v>
      </c>
      <c r="H566" s="9"/>
      <c r="J566" s="1">
        <v>1099.5999999999999</v>
      </c>
      <c r="N566" s="1" t="s">
        <v>10</v>
      </c>
      <c r="O566" s="1">
        <v>9.3000000000000007</v>
      </c>
    </row>
    <row r="567" spans="4:15" x14ac:dyDescent="0.3">
      <c r="D567" s="1">
        <v>55683</v>
      </c>
      <c r="E567" s="2">
        <v>43661</v>
      </c>
      <c r="F567" s="1" t="s">
        <v>9</v>
      </c>
      <c r="G567" s="1">
        <v>23</v>
      </c>
      <c r="H567" s="9"/>
      <c r="J567" s="1">
        <v>1281.97</v>
      </c>
      <c r="N567" s="1" t="s">
        <v>10</v>
      </c>
      <c r="O567" s="1">
        <v>21.4</v>
      </c>
    </row>
    <row r="568" spans="4:15" x14ac:dyDescent="0.3">
      <c r="D568" s="1">
        <v>35392</v>
      </c>
      <c r="E568" s="2">
        <v>43518</v>
      </c>
      <c r="F568" s="1" t="s">
        <v>9</v>
      </c>
      <c r="G568" s="1">
        <v>9</v>
      </c>
      <c r="H568" s="9"/>
      <c r="J568" s="1">
        <v>75.8416</v>
      </c>
      <c r="N568" s="1" t="s">
        <v>10</v>
      </c>
      <c r="O568" s="1">
        <v>10.4</v>
      </c>
    </row>
    <row r="569" spans="4:15" x14ac:dyDescent="0.3">
      <c r="D569" s="1">
        <v>4800</v>
      </c>
      <c r="E569" s="2">
        <v>43469</v>
      </c>
      <c r="F569" s="1" t="s">
        <v>7</v>
      </c>
      <c r="G569" s="1">
        <v>4</v>
      </c>
      <c r="H569" s="9"/>
      <c r="J569" s="1">
        <v>44.88</v>
      </c>
      <c r="N569" s="1" t="s">
        <v>10</v>
      </c>
      <c r="O569" s="1">
        <v>9.6</v>
      </c>
    </row>
    <row r="570" spans="4:15" x14ac:dyDescent="0.3">
      <c r="D570" s="1">
        <v>52197</v>
      </c>
      <c r="E570" s="2">
        <v>43681</v>
      </c>
      <c r="F570" s="1" t="s">
        <v>12</v>
      </c>
      <c r="G570" s="1">
        <v>6</v>
      </c>
      <c r="H570" s="9"/>
      <c r="J570" s="1">
        <v>403.42</v>
      </c>
      <c r="N570" s="1" t="s">
        <v>10</v>
      </c>
      <c r="O570" s="1">
        <v>7.4</v>
      </c>
    </row>
    <row r="571" spans="4:15" x14ac:dyDescent="0.3">
      <c r="D571" s="1">
        <v>32165</v>
      </c>
      <c r="E571" s="2">
        <v>43752</v>
      </c>
      <c r="F571" s="1" t="s">
        <v>11</v>
      </c>
      <c r="G571" s="1">
        <v>38</v>
      </c>
      <c r="H571" s="9"/>
      <c r="J571" s="1">
        <v>3145.46</v>
      </c>
      <c r="N571" s="1" t="s">
        <v>10</v>
      </c>
      <c r="O571" s="1">
        <v>1.1000000000000001</v>
      </c>
    </row>
    <row r="572" spans="4:15" x14ac:dyDescent="0.3">
      <c r="D572" s="1">
        <v>52995</v>
      </c>
      <c r="E572" s="2">
        <v>43539</v>
      </c>
      <c r="F572" s="1" t="s">
        <v>11</v>
      </c>
      <c r="G572" s="1">
        <v>8</v>
      </c>
      <c r="H572" s="9"/>
      <c r="J572" s="1">
        <v>35.729999999999997</v>
      </c>
      <c r="N572" s="1" t="s">
        <v>10</v>
      </c>
      <c r="O572" s="1">
        <v>6.7</v>
      </c>
    </row>
    <row r="573" spans="4:15" x14ac:dyDescent="0.3">
      <c r="D573" s="1">
        <v>2848</v>
      </c>
      <c r="E573" s="2">
        <v>43533</v>
      </c>
      <c r="F573" s="1" t="s">
        <v>12</v>
      </c>
      <c r="G573" s="1">
        <v>35</v>
      </c>
      <c r="H573" s="9"/>
      <c r="J573" s="1">
        <v>1579.74</v>
      </c>
      <c r="N573" s="1" t="s">
        <v>8</v>
      </c>
      <c r="O573" s="1">
        <v>17</v>
      </c>
    </row>
    <row r="574" spans="4:15" x14ac:dyDescent="0.3">
      <c r="D574" s="1">
        <v>17216</v>
      </c>
      <c r="E574" s="2">
        <v>43612</v>
      </c>
      <c r="F574" s="1" t="s">
        <v>14</v>
      </c>
      <c r="G574" s="1">
        <v>7</v>
      </c>
      <c r="H574" s="9"/>
      <c r="J574" s="1">
        <v>2392.69</v>
      </c>
      <c r="N574" s="1" t="s">
        <v>13</v>
      </c>
      <c r="O574" s="1">
        <v>63.1</v>
      </c>
    </row>
    <row r="575" spans="4:15" x14ac:dyDescent="0.3">
      <c r="D575" s="1">
        <v>42177</v>
      </c>
      <c r="E575" s="2">
        <v>43615</v>
      </c>
      <c r="F575" s="1" t="s">
        <v>11</v>
      </c>
      <c r="G575" s="1">
        <v>38</v>
      </c>
      <c r="H575" s="9"/>
      <c r="J575" s="1">
        <v>423.55</v>
      </c>
      <c r="N575" s="1" t="s">
        <v>10</v>
      </c>
      <c r="O575" s="1">
        <v>6.4</v>
      </c>
    </row>
    <row r="576" spans="4:15" x14ac:dyDescent="0.3">
      <c r="D576" s="1">
        <v>32871</v>
      </c>
      <c r="E576" s="2">
        <v>43764</v>
      </c>
      <c r="F576" s="1" t="s">
        <v>9</v>
      </c>
      <c r="G576" s="1">
        <v>9</v>
      </c>
      <c r="H576" s="9"/>
      <c r="J576" s="1">
        <v>115.47</v>
      </c>
      <c r="N576" s="1" t="s">
        <v>10</v>
      </c>
      <c r="O576" s="1">
        <v>7</v>
      </c>
    </row>
    <row r="577" spans="4:15" x14ac:dyDescent="0.3">
      <c r="D577" s="1">
        <v>46023</v>
      </c>
      <c r="E577" s="2">
        <v>43548</v>
      </c>
      <c r="F577" s="1" t="s">
        <v>11</v>
      </c>
      <c r="G577" s="1">
        <v>50</v>
      </c>
      <c r="H577" s="9"/>
      <c r="J577" s="1">
        <v>1178.8832</v>
      </c>
      <c r="N577" s="1" t="s">
        <v>10</v>
      </c>
      <c r="O577" s="1">
        <v>15</v>
      </c>
    </row>
    <row r="578" spans="4:15" x14ac:dyDescent="0.3">
      <c r="D578" s="1">
        <v>17698</v>
      </c>
      <c r="E578" s="2">
        <v>43598</v>
      </c>
      <c r="F578" s="1" t="s">
        <v>9</v>
      </c>
      <c r="G578" s="1">
        <v>22</v>
      </c>
      <c r="H578" s="9"/>
      <c r="J578" s="1">
        <v>1196.53</v>
      </c>
      <c r="N578" s="1" t="s">
        <v>10</v>
      </c>
      <c r="O578" s="1">
        <v>9.6</v>
      </c>
    </row>
    <row r="579" spans="4:15" x14ac:dyDescent="0.3">
      <c r="D579" s="1">
        <v>40772</v>
      </c>
      <c r="E579" s="2">
        <v>43508</v>
      </c>
      <c r="F579" s="1" t="s">
        <v>12</v>
      </c>
      <c r="G579" s="1">
        <v>15</v>
      </c>
      <c r="H579" s="9"/>
      <c r="J579" s="1">
        <v>137.25</v>
      </c>
      <c r="N579" s="1" t="s">
        <v>10</v>
      </c>
      <c r="O579" s="1">
        <v>3</v>
      </c>
    </row>
    <row r="580" spans="4:15" x14ac:dyDescent="0.3">
      <c r="D580" s="1">
        <v>36709</v>
      </c>
      <c r="E580" s="2">
        <v>43700</v>
      </c>
      <c r="F580" s="1" t="s">
        <v>12</v>
      </c>
      <c r="G580" s="1">
        <v>42</v>
      </c>
      <c r="H580" s="9"/>
      <c r="J580" s="1">
        <v>2402.89</v>
      </c>
      <c r="N580" s="1" t="s">
        <v>10</v>
      </c>
      <c r="O580" s="1">
        <v>9.6</v>
      </c>
    </row>
    <row r="581" spans="4:15" x14ac:dyDescent="0.3">
      <c r="D581" s="1">
        <v>13984</v>
      </c>
      <c r="E581" s="2">
        <v>43732</v>
      </c>
      <c r="F581" s="1" t="s">
        <v>12</v>
      </c>
      <c r="G581" s="1">
        <v>30</v>
      </c>
      <c r="H581" s="9"/>
      <c r="J581" s="1">
        <v>2196.52</v>
      </c>
      <c r="N581" s="1" t="s">
        <v>10</v>
      </c>
      <c r="O581" s="1">
        <v>40.200000000000003</v>
      </c>
    </row>
    <row r="582" spans="4:15" x14ac:dyDescent="0.3">
      <c r="D582" s="1">
        <v>51205</v>
      </c>
      <c r="E582" s="2">
        <v>43809</v>
      </c>
      <c r="F582" s="1" t="s">
        <v>9</v>
      </c>
      <c r="G582" s="1">
        <v>17</v>
      </c>
      <c r="H582" s="9"/>
      <c r="J582" s="1">
        <v>249.32</v>
      </c>
      <c r="N582" s="1" t="s">
        <v>8</v>
      </c>
      <c r="O582" s="1">
        <v>1.6</v>
      </c>
    </row>
    <row r="583" spans="4:15" x14ac:dyDescent="0.3">
      <c r="D583" s="1">
        <v>50849</v>
      </c>
      <c r="E583" s="2">
        <v>43742</v>
      </c>
      <c r="F583" s="1" t="s">
        <v>7</v>
      </c>
      <c r="G583" s="1">
        <v>47</v>
      </c>
      <c r="H583" s="9"/>
      <c r="J583" s="1">
        <v>328.89</v>
      </c>
      <c r="N583" s="1" t="s">
        <v>8</v>
      </c>
      <c r="O583" s="1">
        <v>9.8000000000000007</v>
      </c>
    </row>
    <row r="584" spans="4:15" x14ac:dyDescent="0.3">
      <c r="D584" s="1">
        <v>5601</v>
      </c>
      <c r="E584" s="2">
        <v>43469</v>
      </c>
      <c r="F584" s="1" t="s">
        <v>9</v>
      </c>
      <c r="G584" s="1">
        <v>10</v>
      </c>
      <c r="H584" s="9"/>
      <c r="J584" s="1">
        <v>128.97</v>
      </c>
      <c r="N584" s="1" t="s">
        <v>10</v>
      </c>
      <c r="O584" s="1">
        <v>3</v>
      </c>
    </row>
    <row r="585" spans="4:15" x14ac:dyDescent="0.3">
      <c r="D585" s="1">
        <v>37798</v>
      </c>
      <c r="E585" s="2">
        <v>43773</v>
      </c>
      <c r="F585" s="1" t="s">
        <v>9</v>
      </c>
      <c r="G585" s="1">
        <v>23</v>
      </c>
      <c r="H585" s="9"/>
      <c r="J585" s="1">
        <v>6716.21</v>
      </c>
      <c r="N585" s="1" t="s">
        <v>13</v>
      </c>
      <c r="O585" s="1">
        <v>52.2</v>
      </c>
    </row>
    <row r="586" spans="4:15" x14ac:dyDescent="0.3">
      <c r="D586" s="1">
        <v>9602</v>
      </c>
      <c r="E586" s="2">
        <v>43779</v>
      </c>
      <c r="F586" s="1" t="s">
        <v>12</v>
      </c>
      <c r="G586" s="1">
        <v>27</v>
      </c>
      <c r="H586" s="9"/>
      <c r="J586" s="1">
        <v>2839.95</v>
      </c>
      <c r="N586" s="1" t="s">
        <v>13</v>
      </c>
      <c r="O586" s="1">
        <v>30</v>
      </c>
    </row>
    <row r="587" spans="4:15" x14ac:dyDescent="0.3">
      <c r="D587" s="1">
        <v>39813</v>
      </c>
      <c r="E587" s="2">
        <v>43497</v>
      </c>
      <c r="F587" s="1" t="s">
        <v>12</v>
      </c>
      <c r="G587" s="1">
        <v>48</v>
      </c>
      <c r="H587" s="9"/>
      <c r="J587" s="1">
        <v>336.34</v>
      </c>
      <c r="N587" s="1" t="s">
        <v>10</v>
      </c>
      <c r="O587" s="1">
        <v>7.1</v>
      </c>
    </row>
    <row r="588" spans="4:15" x14ac:dyDescent="0.3">
      <c r="D588" s="1">
        <v>32327</v>
      </c>
      <c r="E588" s="2">
        <v>43684</v>
      </c>
      <c r="F588" s="1" t="s">
        <v>7</v>
      </c>
      <c r="G588" s="1">
        <v>45</v>
      </c>
      <c r="H588" s="9"/>
      <c r="J588" s="1">
        <v>21757.18</v>
      </c>
      <c r="N588" s="1" t="s">
        <v>13</v>
      </c>
      <c r="O588" s="1">
        <v>157.4</v>
      </c>
    </row>
    <row r="589" spans="4:15" x14ac:dyDescent="0.3">
      <c r="D589" s="1">
        <v>6500</v>
      </c>
      <c r="E589" s="2">
        <v>43750</v>
      </c>
      <c r="F589" s="1" t="s">
        <v>12</v>
      </c>
      <c r="G589" s="1">
        <v>15</v>
      </c>
      <c r="H589" s="9"/>
      <c r="J589" s="1">
        <v>479.43</v>
      </c>
      <c r="N589" s="1" t="s">
        <v>10</v>
      </c>
      <c r="O589" s="1">
        <v>9.3000000000000007</v>
      </c>
    </row>
    <row r="590" spans="4:15" x14ac:dyDescent="0.3">
      <c r="D590" s="1">
        <v>33956</v>
      </c>
      <c r="E590" s="2">
        <v>43483</v>
      </c>
      <c r="F590" s="1" t="s">
        <v>7</v>
      </c>
      <c r="G590" s="1">
        <v>13</v>
      </c>
      <c r="H590" s="9"/>
      <c r="J590" s="1">
        <v>117.25</v>
      </c>
      <c r="N590" s="1" t="s">
        <v>10</v>
      </c>
      <c r="O590" s="1">
        <v>4.3</v>
      </c>
    </row>
    <row r="591" spans="4:15" x14ac:dyDescent="0.3">
      <c r="D591" s="1">
        <v>25348</v>
      </c>
      <c r="E591" s="2">
        <v>43594</v>
      </c>
      <c r="F591" s="1" t="s">
        <v>12</v>
      </c>
      <c r="G591" s="1">
        <v>6</v>
      </c>
      <c r="H591" s="9"/>
      <c r="J591" s="1">
        <v>367.4</v>
      </c>
      <c r="N591" s="1" t="s">
        <v>10</v>
      </c>
      <c r="O591" s="1">
        <v>14.1</v>
      </c>
    </row>
    <row r="592" spans="4:15" x14ac:dyDescent="0.3">
      <c r="D592" s="1">
        <v>59781</v>
      </c>
      <c r="E592" s="2">
        <v>43811</v>
      </c>
      <c r="F592" s="1" t="s">
        <v>11</v>
      </c>
      <c r="G592" s="1">
        <v>28</v>
      </c>
      <c r="H592" s="9"/>
      <c r="J592" s="1">
        <v>26098.54</v>
      </c>
      <c r="N592" s="1" t="s">
        <v>13</v>
      </c>
      <c r="O592" s="1">
        <v>47.7</v>
      </c>
    </row>
    <row r="593" spans="4:15" x14ac:dyDescent="0.3">
      <c r="D593" s="1">
        <v>28934</v>
      </c>
      <c r="E593" s="2">
        <v>43797</v>
      </c>
      <c r="F593" s="1" t="s">
        <v>14</v>
      </c>
      <c r="G593" s="1">
        <v>26</v>
      </c>
      <c r="H593" s="9"/>
      <c r="J593" s="1">
        <v>4280.37</v>
      </c>
      <c r="N593" s="1" t="s">
        <v>13</v>
      </c>
      <c r="O593" s="1">
        <v>32.1</v>
      </c>
    </row>
    <row r="594" spans="4:15" x14ac:dyDescent="0.3">
      <c r="D594" s="1">
        <v>19718</v>
      </c>
      <c r="E594" s="2">
        <v>43640</v>
      </c>
      <c r="F594" s="1" t="s">
        <v>7</v>
      </c>
      <c r="G594" s="1">
        <v>6</v>
      </c>
      <c r="H594" s="9"/>
      <c r="J594" s="1">
        <v>96.03</v>
      </c>
      <c r="N594" s="1" t="s">
        <v>10</v>
      </c>
      <c r="O594" s="1">
        <v>8</v>
      </c>
    </row>
    <row r="595" spans="4:15" x14ac:dyDescent="0.3">
      <c r="D595" s="1">
        <v>41056</v>
      </c>
      <c r="E595" s="2">
        <v>43550</v>
      </c>
      <c r="F595" s="1" t="s">
        <v>12</v>
      </c>
      <c r="G595" s="1">
        <v>4</v>
      </c>
      <c r="H595" s="9"/>
      <c r="J595" s="1">
        <v>147.16999999999999</v>
      </c>
      <c r="N595" s="1" t="s">
        <v>10</v>
      </c>
      <c r="O595" s="1">
        <v>8.1</v>
      </c>
    </row>
    <row r="596" spans="4:15" x14ac:dyDescent="0.3">
      <c r="D596" s="1">
        <v>32356</v>
      </c>
      <c r="E596" s="2">
        <v>43748</v>
      </c>
      <c r="F596" s="1" t="s">
        <v>11</v>
      </c>
      <c r="G596" s="1">
        <v>47</v>
      </c>
      <c r="H596" s="9"/>
      <c r="J596" s="1">
        <v>5604.87</v>
      </c>
      <c r="N596" s="1" t="s">
        <v>13</v>
      </c>
      <c r="O596" s="1">
        <v>49.4</v>
      </c>
    </row>
    <row r="597" spans="4:15" x14ac:dyDescent="0.3">
      <c r="D597" s="1">
        <v>49602</v>
      </c>
      <c r="E597" s="2">
        <v>43532</v>
      </c>
      <c r="F597" s="1" t="s">
        <v>11</v>
      </c>
      <c r="G597" s="1">
        <v>31</v>
      </c>
      <c r="H597" s="9"/>
      <c r="J597" s="1">
        <v>5220.1400000000003</v>
      </c>
      <c r="N597" s="1" t="s">
        <v>13</v>
      </c>
      <c r="O597" s="1">
        <v>70.900000000000006</v>
      </c>
    </row>
    <row r="598" spans="4:15" x14ac:dyDescent="0.3">
      <c r="D598" s="1">
        <v>4162</v>
      </c>
      <c r="E598" s="2">
        <v>43504</v>
      </c>
      <c r="F598" s="1" t="s">
        <v>7</v>
      </c>
      <c r="G598" s="1">
        <v>2</v>
      </c>
      <c r="H598" s="9"/>
      <c r="J598" s="1">
        <v>408.31</v>
      </c>
      <c r="N598" s="1" t="s">
        <v>10</v>
      </c>
      <c r="O598" s="1">
        <v>21.4</v>
      </c>
    </row>
    <row r="599" spans="4:15" x14ac:dyDescent="0.3">
      <c r="D599" s="1">
        <v>3205</v>
      </c>
      <c r="E599" s="2">
        <v>43565</v>
      </c>
      <c r="F599" s="1" t="s">
        <v>7</v>
      </c>
      <c r="G599" s="1">
        <v>8</v>
      </c>
      <c r="H599" s="9"/>
      <c r="J599" s="1">
        <v>146.16999999999999</v>
      </c>
      <c r="N599" s="1" t="s">
        <v>10</v>
      </c>
      <c r="O599" s="1">
        <v>4</v>
      </c>
    </row>
    <row r="600" spans="4:15" x14ac:dyDescent="0.3">
      <c r="D600" s="1">
        <v>31586</v>
      </c>
      <c r="E600" s="2">
        <v>43545</v>
      </c>
      <c r="F600" s="1" t="s">
        <v>7</v>
      </c>
      <c r="G600" s="1">
        <v>25</v>
      </c>
      <c r="H600" s="9"/>
      <c r="J600" s="1">
        <v>4697.3310000000001</v>
      </c>
      <c r="N600" s="1" t="s">
        <v>8</v>
      </c>
      <c r="O600" s="1">
        <v>5.6</v>
      </c>
    </row>
    <row r="601" spans="4:15" x14ac:dyDescent="0.3">
      <c r="D601" s="1">
        <v>7552</v>
      </c>
      <c r="E601" s="2">
        <v>43718</v>
      </c>
      <c r="F601" s="1" t="s">
        <v>12</v>
      </c>
      <c r="G601" s="1">
        <v>49</v>
      </c>
      <c r="H601" s="9"/>
      <c r="J601" s="1">
        <v>628.85</v>
      </c>
      <c r="N601" s="1" t="s">
        <v>10</v>
      </c>
      <c r="O601" s="1">
        <v>3.4</v>
      </c>
    </row>
    <row r="602" spans="4:15" x14ac:dyDescent="0.3">
      <c r="D602" s="1">
        <v>130</v>
      </c>
      <c r="E602" s="2">
        <v>43592</v>
      </c>
      <c r="F602" s="1" t="s">
        <v>9</v>
      </c>
      <c r="G602" s="1">
        <v>23</v>
      </c>
      <c r="H602" s="9"/>
      <c r="J602" s="1">
        <v>253.01</v>
      </c>
      <c r="N602" s="1" t="s">
        <v>10</v>
      </c>
      <c r="O602" s="1">
        <v>10.1</v>
      </c>
    </row>
    <row r="603" spans="4:15" x14ac:dyDescent="0.3">
      <c r="D603" s="1">
        <v>43588</v>
      </c>
      <c r="E603" s="2">
        <v>43709</v>
      </c>
      <c r="F603" s="1" t="s">
        <v>14</v>
      </c>
      <c r="G603" s="1">
        <v>6</v>
      </c>
      <c r="H603" s="9"/>
      <c r="J603" s="1">
        <v>21.9</v>
      </c>
      <c r="N603" s="1" t="s">
        <v>10</v>
      </c>
      <c r="O603" s="1">
        <v>1.2</v>
      </c>
    </row>
    <row r="604" spans="4:15" x14ac:dyDescent="0.3">
      <c r="D604" s="1">
        <v>39168</v>
      </c>
      <c r="E604" s="2">
        <v>43602</v>
      </c>
      <c r="F604" s="1" t="s">
        <v>9</v>
      </c>
      <c r="G604" s="1">
        <v>30</v>
      </c>
      <c r="H604" s="9"/>
      <c r="J604" s="1">
        <v>322.47660000000002</v>
      </c>
      <c r="N604" s="1" t="s">
        <v>10</v>
      </c>
      <c r="O604" s="1">
        <v>3.1</v>
      </c>
    </row>
    <row r="605" spans="4:15" x14ac:dyDescent="0.3">
      <c r="D605" s="1">
        <v>2247</v>
      </c>
      <c r="E605" s="2">
        <v>43678</v>
      </c>
      <c r="F605" s="1" t="s">
        <v>11</v>
      </c>
      <c r="G605" s="1">
        <v>6</v>
      </c>
      <c r="H605" s="9"/>
      <c r="J605" s="1">
        <v>22614.14</v>
      </c>
      <c r="N605" s="1" t="s">
        <v>13</v>
      </c>
      <c r="O605" s="1">
        <v>9.3000000000000007</v>
      </c>
    </row>
    <row r="606" spans="4:15" x14ac:dyDescent="0.3">
      <c r="D606" s="1">
        <v>36998</v>
      </c>
      <c r="E606" s="2">
        <v>43737</v>
      </c>
      <c r="F606" s="1" t="s">
        <v>7</v>
      </c>
      <c r="G606" s="1">
        <v>8</v>
      </c>
      <c r="H606" s="9"/>
      <c r="J606" s="1">
        <v>60.46</v>
      </c>
      <c r="N606" s="1" t="s">
        <v>10</v>
      </c>
      <c r="O606" s="1">
        <v>5.6</v>
      </c>
    </row>
    <row r="607" spans="4:15" x14ac:dyDescent="0.3">
      <c r="D607" s="1">
        <v>43488</v>
      </c>
      <c r="E607" s="2">
        <v>43634</v>
      </c>
      <c r="F607" s="1" t="s">
        <v>12</v>
      </c>
      <c r="G607" s="1">
        <v>46</v>
      </c>
      <c r="H607" s="9"/>
      <c r="J607" s="1">
        <v>820.01</v>
      </c>
      <c r="N607" s="1" t="s">
        <v>10</v>
      </c>
      <c r="O607" s="1">
        <v>1.5</v>
      </c>
    </row>
    <row r="608" spans="4:15" x14ac:dyDescent="0.3">
      <c r="D608" s="1">
        <v>26306</v>
      </c>
      <c r="E608" s="2">
        <v>43768</v>
      </c>
      <c r="F608" s="1" t="s">
        <v>7</v>
      </c>
      <c r="G608" s="1">
        <v>15</v>
      </c>
      <c r="H608" s="9"/>
      <c r="J608" s="1">
        <v>2747.37</v>
      </c>
      <c r="N608" s="1" t="s">
        <v>10</v>
      </c>
      <c r="O608" s="1">
        <v>73.8</v>
      </c>
    </row>
    <row r="609" spans="4:15" x14ac:dyDescent="0.3">
      <c r="D609" s="1">
        <v>1057</v>
      </c>
      <c r="E609" s="2">
        <v>43514</v>
      </c>
      <c r="F609" s="1" t="s">
        <v>12</v>
      </c>
      <c r="G609" s="1">
        <v>41</v>
      </c>
      <c r="H609" s="9"/>
      <c r="J609" s="1">
        <v>365.26</v>
      </c>
      <c r="N609" s="1" t="s">
        <v>10</v>
      </c>
      <c r="O609" s="1">
        <v>3.9</v>
      </c>
    </row>
    <row r="610" spans="4:15" x14ac:dyDescent="0.3">
      <c r="D610" s="1">
        <v>10432</v>
      </c>
      <c r="E610" s="2">
        <v>43469</v>
      </c>
      <c r="F610" s="1" t="s">
        <v>7</v>
      </c>
      <c r="G610" s="1">
        <v>13</v>
      </c>
      <c r="H610" s="9"/>
      <c r="J610" s="1">
        <v>2486</v>
      </c>
      <c r="N610" s="1" t="s">
        <v>10</v>
      </c>
      <c r="O610" s="1">
        <v>21.4</v>
      </c>
    </row>
    <row r="611" spans="4:15" x14ac:dyDescent="0.3">
      <c r="D611" s="1">
        <v>15524</v>
      </c>
      <c r="E611" s="2">
        <v>43596</v>
      </c>
      <c r="F611" s="1" t="s">
        <v>14</v>
      </c>
      <c r="G611" s="1">
        <v>27</v>
      </c>
      <c r="H611" s="9"/>
      <c r="J611" s="1">
        <v>167.79740000000001</v>
      </c>
      <c r="N611" s="1" t="s">
        <v>10</v>
      </c>
      <c r="O611" s="1">
        <v>3.9</v>
      </c>
    </row>
    <row r="612" spans="4:15" x14ac:dyDescent="0.3">
      <c r="D612" s="1">
        <v>26660</v>
      </c>
      <c r="E612" s="2">
        <v>43542</v>
      </c>
      <c r="F612" s="1" t="s">
        <v>14</v>
      </c>
      <c r="G612" s="1">
        <v>1</v>
      </c>
      <c r="H612" s="9"/>
      <c r="J612" s="1">
        <v>10.946099999999999</v>
      </c>
      <c r="N612" s="1" t="s">
        <v>10</v>
      </c>
      <c r="O612" s="1">
        <v>2.2000000000000002</v>
      </c>
    </row>
    <row r="613" spans="4:15" x14ac:dyDescent="0.3">
      <c r="D613" s="1">
        <v>29411</v>
      </c>
      <c r="E613" s="2">
        <v>43561</v>
      </c>
      <c r="F613" s="1" t="s">
        <v>9</v>
      </c>
      <c r="G613" s="1">
        <v>38</v>
      </c>
      <c r="H613" s="9"/>
      <c r="J613" s="1">
        <v>16237.2</v>
      </c>
      <c r="N613" s="1" t="s">
        <v>13</v>
      </c>
      <c r="O613" s="1">
        <v>51.6</v>
      </c>
    </row>
    <row r="614" spans="4:15" x14ac:dyDescent="0.3">
      <c r="D614" s="1">
        <v>8450</v>
      </c>
      <c r="E614" s="2">
        <v>43568</v>
      </c>
      <c r="F614" s="1" t="s">
        <v>11</v>
      </c>
      <c r="G614" s="1">
        <v>24</v>
      </c>
      <c r="H614" s="9"/>
      <c r="J614" s="1">
        <v>1398.49</v>
      </c>
      <c r="N614" s="1" t="s">
        <v>10</v>
      </c>
      <c r="O614" s="1">
        <v>1.1000000000000001</v>
      </c>
    </row>
    <row r="615" spans="4:15" x14ac:dyDescent="0.3">
      <c r="D615" s="1">
        <v>35173</v>
      </c>
      <c r="E615" s="2">
        <v>43537</v>
      </c>
      <c r="F615" s="1" t="s">
        <v>11</v>
      </c>
      <c r="G615" s="1">
        <v>13</v>
      </c>
      <c r="H615" s="9"/>
      <c r="J615" s="1">
        <v>1547.44</v>
      </c>
      <c r="N615" s="1" t="s">
        <v>10</v>
      </c>
      <c r="O615" s="1">
        <v>8.6</v>
      </c>
    </row>
    <row r="616" spans="4:15" x14ac:dyDescent="0.3">
      <c r="D616" s="1">
        <v>39364</v>
      </c>
      <c r="E616" s="2">
        <v>43778</v>
      </c>
      <c r="F616" s="1" t="s">
        <v>9</v>
      </c>
      <c r="G616" s="1">
        <v>15</v>
      </c>
      <c r="H616" s="9"/>
      <c r="J616" s="1">
        <v>20776.78</v>
      </c>
      <c r="N616" s="1" t="s">
        <v>10</v>
      </c>
      <c r="O616" s="1">
        <v>21.4</v>
      </c>
    </row>
    <row r="617" spans="4:15" x14ac:dyDescent="0.3">
      <c r="D617" s="1">
        <v>53574</v>
      </c>
      <c r="E617" s="2">
        <v>43564</v>
      </c>
      <c r="F617" s="1" t="s">
        <v>14</v>
      </c>
      <c r="G617" s="1">
        <v>8</v>
      </c>
      <c r="H617" s="9"/>
      <c r="J617" s="1">
        <v>716.56830000000002</v>
      </c>
      <c r="N617" s="1" t="s">
        <v>10</v>
      </c>
      <c r="O617" s="1">
        <v>37.5</v>
      </c>
    </row>
    <row r="618" spans="4:15" x14ac:dyDescent="0.3">
      <c r="D618" s="1">
        <v>26756</v>
      </c>
      <c r="E618" s="2">
        <v>43595</v>
      </c>
      <c r="F618" s="1" t="s">
        <v>14</v>
      </c>
      <c r="G618" s="1">
        <v>20</v>
      </c>
      <c r="H618" s="9"/>
      <c r="J618" s="1">
        <v>136.85</v>
      </c>
      <c r="N618" s="1" t="s">
        <v>10</v>
      </c>
      <c r="O618" s="1">
        <v>7.9</v>
      </c>
    </row>
    <row r="619" spans="4:15" x14ac:dyDescent="0.3">
      <c r="D619" s="1">
        <v>20615</v>
      </c>
      <c r="E619" s="2">
        <v>43570</v>
      </c>
      <c r="F619" s="1" t="s">
        <v>14</v>
      </c>
      <c r="G619" s="1">
        <v>29</v>
      </c>
      <c r="H619" s="9"/>
      <c r="J619" s="1">
        <v>161.66999999999999</v>
      </c>
      <c r="N619" s="1" t="s">
        <v>8</v>
      </c>
      <c r="O619" s="1">
        <v>3.2</v>
      </c>
    </row>
    <row r="620" spans="4:15" x14ac:dyDescent="0.3">
      <c r="D620" s="1">
        <v>3172</v>
      </c>
      <c r="E620" s="2">
        <v>43618</v>
      </c>
      <c r="F620" s="1" t="s">
        <v>11</v>
      </c>
      <c r="G620" s="1">
        <v>33</v>
      </c>
      <c r="H620" s="9"/>
      <c r="J620" s="1">
        <v>625.42999999999995</v>
      </c>
      <c r="N620" s="1" t="s">
        <v>10</v>
      </c>
      <c r="O620" s="1">
        <v>3.5</v>
      </c>
    </row>
    <row r="621" spans="4:15" x14ac:dyDescent="0.3">
      <c r="D621" s="1">
        <v>21344</v>
      </c>
      <c r="E621" s="2">
        <v>43808</v>
      </c>
      <c r="F621" s="1" t="s">
        <v>7</v>
      </c>
      <c r="G621" s="1">
        <v>39</v>
      </c>
      <c r="H621" s="9"/>
      <c r="J621" s="1">
        <v>118.55</v>
      </c>
      <c r="N621" s="1" t="s">
        <v>10</v>
      </c>
      <c r="O621" s="1">
        <v>0.5</v>
      </c>
    </row>
    <row r="622" spans="4:15" x14ac:dyDescent="0.3">
      <c r="D622" s="1">
        <v>4515</v>
      </c>
      <c r="E622" s="2">
        <v>43540</v>
      </c>
      <c r="F622" s="1" t="s">
        <v>12</v>
      </c>
      <c r="G622" s="1">
        <v>7</v>
      </c>
      <c r="H622" s="9"/>
      <c r="J622" s="1">
        <v>950.1</v>
      </c>
      <c r="N622" s="1" t="s">
        <v>10</v>
      </c>
      <c r="O622" s="1">
        <v>7.6</v>
      </c>
    </row>
    <row r="623" spans="4:15" x14ac:dyDescent="0.3">
      <c r="D623" s="1">
        <v>7552</v>
      </c>
      <c r="E623" s="2">
        <v>43718</v>
      </c>
      <c r="F623" s="1" t="s">
        <v>12</v>
      </c>
      <c r="G623" s="1">
        <v>47</v>
      </c>
      <c r="H623" s="9"/>
      <c r="J623" s="1">
        <v>1504.94</v>
      </c>
      <c r="N623" s="1" t="s">
        <v>10</v>
      </c>
      <c r="O623" s="1">
        <v>6.6</v>
      </c>
    </row>
    <row r="624" spans="4:15" x14ac:dyDescent="0.3">
      <c r="D624" s="1">
        <v>549</v>
      </c>
      <c r="E624" s="2">
        <v>43658</v>
      </c>
      <c r="F624" s="1" t="s">
        <v>12</v>
      </c>
      <c r="G624" s="1">
        <v>30</v>
      </c>
      <c r="H624" s="9"/>
      <c r="J624" s="1">
        <v>1231.44</v>
      </c>
      <c r="N624" s="1" t="s">
        <v>8</v>
      </c>
      <c r="O624" s="1">
        <v>37.5</v>
      </c>
    </row>
    <row r="625" spans="4:15" x14ac:dyDescent="0.3">
      <c r="D625" s="1">
        <v>24801</v>
      </c>
      <c r="E625" s="2">
        <v>43784</v>
      </c>
      <c r="F625" s="1" t="s">
        <v>9</v>
      </c>
      <c r="G625" s="1">
        <v>10</v>
      </c>
      <c r="H625" s="9"/>
      <c r="J625" s="1">
        <v>1095.8599999999999</v>
      </c>
      <c r="N625" s="1" t="s">
        <v>10</v>
      </c>
      <c r="O625" s="1">
        <v>6.4</v>
      </c>
    </row>
    <row r="626" spans="4:15" x14ac:dyDescent="0.3">
      <c r="D626" s="1">
        <v>44647</v>
      </c>
      <c r="E626" s="2">
        <v>43488</v>
      </c>
      <c r="F626" s="1" t="s">
        <v>7</v>
      </c>
      <c r="G626" s="1">
        <v>47</v>
      </c>
      <c r="H626" s="9"/>
      <c r="J626" s="1">
        <v>24866.76</v>
      </c>
      <c r="N626" s="1" t="s">
        <v>13</v>
      </c>
      <c r="O626" s="1">
        <v>27.8</v>
      </c>
    </row>
    <row r="627" spans="4:15" x14ac:dyDescent="0.3">
      <c r="D627" s="1">
        <v>44261</v>
      </c>
      <c r="E627" s="2">
        <v>43547</v>
      </c>
      <c r="F627" s="1" t="s">
        <v>9</v>
      </c>
      <c r="G627" s="1">
        <v>10</v>
      </c>
      <c r="H627" s="9"/>
      <c r="J627" s="1">
        <v>328.13</v>
      </c>
      <c r="N627" s="1" t="s">
        <v>10</v>
      </c>
      <c r="O627" s="1">
        <v>6.4</v>
      </c>
    </row>
    <row r="628" spans="4:15" x14ac:dyDescent="0.3">
      <c r="D628" s="1">
        <v>21573</v>
      </c>
      <c r="E628" s="2">
        <v>43580</v>
      </c>
      <c r="F628" s="1" t="s">
        <v>12</v>
      </c>
      <c r="G628" s="1">
        <v>31</v>
      </c>
      <c r="H628" s="9"/>
      <c r="J628" s="1">
        <v>102.97</v>
      </c>
      <c r="N628" s="1" t="s">
        <v>10</v>
      </c>
      <c r="O628" s="1">
        <v>1.1000000000000001</v>
      </c>
    </row>
    <row r="629" spans="4:15" x14ac:dyDescent="0.3">
      <c r="D629" s="1">
        <v>55462</v>
      </c>
      <c r="E629" s="2">
        <v>43551</v>
      </c>
      <c r="F629" s="1" t="s">
        <v>14</v>
      </c>
      <c r="G629" s="1">
        <v>35</v>
      </c>
      <c r="H629" s="9"/>
      <c r="J629" s="1">
        <v>3941.5911000000001</v>
      </c>
      <c r="N629" s="1" t="s">
        <v>10</v>
      </c>
      <c r="O629" s="1">
        <v>9.6</v>
      </c>
    </row>
    <row r="630" spans="4:15" x14ac:dyDescent="0.3">
      <c r="D630" s="1">
        <v>17735</v>
      </c>
      <c r="E630" s="2">
        <v>43658</v>
      </c>
      <c r="F630" s="1" t="s">
        <v>7</v>
      </c>
      <c r="G630" s="1">
        <v>28</v>
      </c>
      <c r="H630" s="9"/>
      <c r="J630" s="1">
        <v>108.27</v>
      </c>
      <c r="N630" s="1" t="s">
        <v>10</v>
      </c>
      <c r="O630" s="1">
        <v>0.8</v>
      </c>
    </row>
    <row r="631" spans="4:15" x14ac:dyDescent="0.3">
      <c r="D631" s="1">
        <v>7653</v>
      </c>
      <c r="E631" s="2">
        <v>43522</v>
      </c>
      <c r="F631" s="1" t="s">
        <v>14</v>
      </c>
      <c r="G631" s="1">
        <v>32</v>
      </c>
      <c r="H631" s="9"/>
      <c r="J631" s="1">
        <v>1524.81</v>
      </c>
      <c r="N631" s="1" t="s">
        <v>10</v>
      </c>
      <c r="O631" s="1">
        <v>5.4</v>
      </c>
    </row>
    <row r="632" spans="4:15" x14ac:dyDescent="0.3">
      <c r="D632" s="1">
        <v>55747</v>
      </c>
      <c r="E632" s="2">
        <v>43801</v>
      </c>
      <c r="F632" s="1" t="s">
        <v>9</v>
      </c>
      <c r="G632" s="1">
        <v>36</v>
      </c>
      <c r="H632" s="9"/>
      <c r="J632" s="1">
        <v>18790.22</v>
      </c>
      <c r="N632" s="1" t="s">
        <v>13</v>
      </c>
      <c r="O632" s="1">
        <v>27.8</v>
      </c>
    </row>
    <row r="633" spans="4:15" x14ac:dyDescent="0.3">
      <c r="D633" s="1">
        <v>43682</v>
      </c>
      <c r="E633" s="2">
        <v>43704</v>
      </c>
      <c r="F633" s="1" t="s">
        <v>14</v>
      </c>
      <c r="G633" s="1">
        <v>14</v>
      </c>
      <c r="H633" s="9"/>
      <c r="J633" s="1">
        <v>1979.07</v>
      </c>
      <c r="N633" s="1" t="s">
        <v>10</v>
      </c>
      <c r="O633" s="1">
        <v>9.6</v>
      </c>
    </row>
    <row r="634" spans="4:15" x14ac:dyDescent="0.3">
      <c r="D634" s="1">
        <v>24067</v>
      </c>
      <c r="E634" s="2">
        <v>43699</v>
      </c>
      <c r="F634" s="1" t="s">
        <v>9</v>
      </c>
      <c r="G634" s="1">
        <v>19</v>
      </c>
      <c r="H634" s="9"/>
      <c r="J634" s="1">
        <v>129</v>
      </c>
      <c r="N634" s="1" t="s">
        <v>10</v>
      </c>
      <c r="O634" s="1">
        <v>8</v>
      </c>
    </row>
    <row r="635" spans="4:15" x14ac:dyDescent="0.3">
      <c r="D635" s="1">
        <v>16897</v>
      </c>
      <c r="E635" s="2">
        <v>43631</v>
      </c>
      <c r="F635" s="1" t="s">
        <v>11</v>
      </c>
      <c r="G635" s="1">
        <v>1</v>
      </c>
      <c r="H635" s="9"/>
      <c r="J635" s="1">
        <v>406.39</v>
      </c>
      <c r="N635" s="1" t="s">
        <v>13</v>
      </c>
      <c r="O635" s="1">
        <v>63.1</v>
      </c>
    </row>
    <row r="636" spans="4:15" x14ac:dyDescent="0.3">
      <c r="D636" s="1">
        <v>34211</v>
      </c>
      <c r="E636" s="2">
        <v>43508</v>
      </c>
      <c r="F636" s="1" t="s">
        <v>11</v>
      </c>
      <c r="G636" s="1">
        <v>15</v>
      </c>
      <c r="H636" s="9"/>
      <c r="J636" s="1">
        <v>146.04</v>
      </c>
      <c r="N636" s="1" t="s">
        <v>10</v>
      </c>
      <c r="O636" s="1">
        <v>1.2</v>
      </c>
    </row>
    <row r="637" spans="4:15" x14ac:dyDescent="0.3">
      <c r="D637" s="1">
        <v>43488</v>
      </c>
      <c r="E637" s="2">
        <v>43634</v>
      </c>
      <c r="F637" s="1" t="s">
        <v>12</v>
      </c>
      <c r="G637" s="1">
        <v>3</v>
      </c>
      <c r="H637" s="9"/>
      <c r="J637" s="1">
        <v>1384.95</v>
      </c>
      <c r="N637" s="1" t="s">
        <v>10</v>
      </c>
      <c r="O637" s="1">
        <v>26.2</v>
      </c>
    </row>
    <row r="638" spans="4:15" x14ac:dyDescent="0.3">
      <c r="D638" s="1">
        <v>1764</v>
      </c>
      <c r="E638" s="2">
        <v>43548</v>
      </c>
      <c r="F638" s="1" t="s">
        <v>12</v>
      </c>
      <c r="G638" s="1">
        <v>7</v>
      </c>
      <c r="H638" s="9"/>
      <c r="J638" s="1">
        <v>64.19</v>
      </c>
      <c r="N638" s="1" t="s">
        <v>10</v>
      </c>
      <c r="O638" s="1">
        <v>5.2</v>
      </c>
    </row>
    <row r="639" spans="4:15" x14ac:dyDescent="0.3">
      <c r="D639" s="1">
        <v>24386</v>
      </c>
      <c r="E639" s="2">
        <v>43642</v>
      </c>
      <c r="F639" s="1" t="s">
        <v>9</v>
      </c>
      <c r="G639" s="1">
        <v>15</v>
      </c>
      <c r="H639" s="9"/>
      <c r="J639" s="1">
        <v>82.33</v>
      </c>
      <c r="N639" s="1" t="s">
        <v>8</v>
      </c>
      <c r="O639" s="1">
        <v>1.1000000000000001</v>
      </c>
    </row>
    <row r="640" spans="4:15" x14ac:dyDescent="0.3">
      <c r="D640" s="1">
        <v>36038</v>
      </c>
      <c r="E640" s="2">
        <v>43693</v>
      </c>
      <c r="F640" s="1" t="s">
        <v>9</v>
      </c>
      <c r="G640" s="1">
        <v>26</v>
      </c>
      <c r="H640" s="9"/>
      <c r="J640" s="1">
        <v>101.93</v>
      </c>
      <c r="N640" s="1" t="s">
        <v>10</v>
      </c>
      <c r="O640" s="1">
        <v>5.4</v>
      </c>
    </row>
    <row r="641" spans="4:15" x14ac:dyDescent="0.3">
      <c r="D641" s="1">
        <v>51044</v>
      </c>
      <c r="E641" s="2">
        <v>43482</v>
      </c>
      <c r="F641" s="1" t="s">
        <v>7</v>
      </c>
      <c r="G641" s="1">
        <v>17</v>
      </c>
      <c r="H641" s="9"/>
      <c r="J641" s="1">
        <v>166.8</v>
      </c>
      <c r="N641" s="1" t="s">
        <v>10</v>
      </c>
      <c r="O641" s="1">
        <v>1.5</v>
      </c>
    </row>
    <row r="642" spans="4:15" x14ac:dyDescent="0.3">
      <c r="D642" s="1">
        <v>29090</v>
      </c>
      <c r="E642" s="2">
        <v>43480</v>
      </c>
      <c r="F642" s="1" t="s">
        <v>14</v>
      </c>
      <c r="G642" s="1">
        <v>36</v>
      </c>
      <c r="H642" s="9"/>
      <c r="J642" s="1">
        <v>406.96</v>
      </c>
      <c r="N642" s="1" t="s">
        <v>10</v>
      </c>
      <c r="O642" s="1">
        <v>7.4</v>
      </c>
    </row>
    <row r="643" spans="4:15" x14ac:dyDescent="0.3">
      <c r="D643" s="1">
        <v>29927</v>
      </c>
      <c r="E643" s="2">
        <v>43776</v>
      </c>
      <c r="F643" s="1" t="s">
        <v>9</v>
      </c>
      <c r="G643" s="1">
        <v>19</v>
      </c>
      <c r="H643" s="9"/>
      <c r="J643" s="1">
        <v>276.02999999999997</v>
      </c>
      <c r="N643" s="1" t="s">
        <v>10</v>
      </c>
      <c r="O643" s="1">
        <v>5.3</v>
      </c>
    </row>
    <row r="644" spans="4:15" x14ac:dyDescent="0.3">
      <c r="D644" s="1">
        <v>33479</v>
      </c>
      <c r="E644" s="2">
        <v>43726</v>
      </c>
      <c r="F644" s="1" t="s">
        <v>12</v>
      </c>
      <c r="G644" s="1">
        <v>24</v>
      </c>
      <c r="H644" s="9"/>
      <c r="J644" s="1">
        <v>173.2</v>
      </c>
      <c r="N644" s="1" t="s">
        <v>10</v>
      </c>
      <c r="O644" s="1">
        <v>5.5</v>
      </c>
    </row>
    <row r="645" spans="4:15" x14ac:dyDescent="0.3">
      <c r="D645" s="1">
        <v>12096</v>
      </c>
      <c r="E645" s="2">
        <v>43727</v>
      </c>
      <c r="F645" s="1" t="s">
        <v>14</v>
      </c>
      <c r="G645" s="1">
        <v>46</v>
      </c>
      <c r="H645" s="9"/>
      <c r="J645" s="1">
        <v>8570.2639999999992</v>
      </c>
      <c r="N645" s="1" t="s">
        <v>10</v>
      </c>
      <c r="O645" s="1">
        <v>8.6</v>
      </c>
    </row>
    <row r="646" spans="4:15" x14ac:dyDescent="0.3">
      <c r="D646" s="1">
        <v>30403</v>
      </c>
      <c r="E646" s="2">
        <v>43656</v>
      </c>
      <c r="F646" s="1" t="s">
        <v>9</v>
      </c>
      <c r="G646" s="1">
        <v>24</v>
      </c>
      <c r="H646" s="9"/>
      <c r="J646" s="1">
        <v>3834.3663999999999</v>
      </c>
      <c r="N646" s="1" t="s">
        <v>10</v>
      </c>
      <c r="O646" s="1">
        <v>21.4</v>
      </c>
    </row>
    <row r="647" spans="4:15" x14ac:dyDescent="0.3">
      <c r="D647" s="1">
        <v>33761</v>
      </c>
      <c r="E647" s="2">
        <v>43681</v>
      </c>
      <c r="F647" s="1" t="s">
        <v>9</v>
      </c>
      <c r="G647" s="1">
        <v>45</v>
      </c>
      <c r="H647" s="9"/>
      <c r="J647" s="1">
        <v>496.41</v>
      </c>
      <c r="N647" s="1" t="s">
        <v>10</v>
      </c>
      <c r="O647" s="1">
        <v>3.1</v>
      </c>
    </row>
    <row r="648" spans="4:15" x14ac:dyDescent="0.3">
      <c r="D648" s="1">
        <v>44261</v>
      </c>
      <c r="E648" s="2">
        <v>43547</v>
      </c>
      <c r="F648" s="1" t="s">
        <v>9</v>
      </c>
      <c r="G648" s="1">
        <v>1</v>
      </c>
      <c r="H648" s="9"/>
      <c r="J648" s="1">
        <v>3595.52</v>
      </c>
      <c r="N648" s="1" t="s">
        <v>13</v>
      </c>
      <c r="O648" s="1">
        <v>9.3000000000000007</v>
      </c>
    </row>
    <row r="649" spans="4:15" x14ac:dyDescent="0.3">
      <c r="D649" s="1">
        <v>52068</v>
      </c>
      <c r="E649" s="2">
        <v>43477</v>
      </c>
      <c r="F649" s="1" t="s">
        <v>11</v>
      </c>
      <c r="G649" s="1">
        <v>31</v>
      </c>
      <c r="H649" s="9"/>
      <c r="J649" s="1">
        <v>174.7</v>
      </c>
      <c r="N649" s="1" t="s">
        <v>10</v>
      </c>
      <c r="O649" s="1">
        <v>3.2</v>
      </c>
    </row>
    <row r="650" spans="4:15" x14ac:dyDescent="0.3">
      <c r="D650" s="1">
        <v>37765</v>
      </c>
      <c r="E650" s="2">
        <v>43793</v>
      </c>
      <c r="F650" s="1" t="s">
        <v>7</v>
      </c>
      <c r="G650" s="1">
        <v>18</v>
      </c>
      <c r="H650" s="9"/>
      <c r="J650" s="1">
        <v>701.47</v>
      </c>
      <c r="N650" s="1" t="s">
        <v>10</v>
      </c>
      <c r="O650" s="1">
        <v>5.4</v>
      </c>
    </row>
    <row r="651" spans="4:15" x14ac:dyDescent="0.3">
      <c r="D651" s="1">
        <v>1285</v>
      </c>
      <c r="E651" s="2">
        <v>43616</v>
      </c>
      <c r="F651" s="1" t="s">
        <v>12</v>
      </c>
      <c r="G651" s="1">
        <v>27</v>
      </c>
      <c r="H651" s="9"/>
      <c r="J651" s="1">
        <v>4145.3100000000004</v>
      </c>
      <c r="N651" s="1" t="s">
        <v>13</v>
      </c>
      <c r="O651" s="1">
        <v>58.6</v>
      </c>
    </row>
    <row r="652" spans="4:15" x14ac:dyDescent="0.3">
      <c r="D652" s="1">
        <v>45635</v>
      </c>
      <c r="E652" s="2">
        <v>43562</v>
      </c>
      <c r="F652" s="1" t="s">
        <v>7</v>
      </c>
      <c r="G652" s="1">
        <v>50</v>
      </c>
      <c r="H652" s="9"/>
      <c r="J652" s="1">
        <v>2159.9899999999998</v>
      </c>
      <c r="N652" s="1" t="s">
        <v>10</v>
      </c>
      <c r="O652" s="1">
        <v>2.1</v>
      </c>
    </row>
    <row r="653" spans="4:15" x14ac:dyDescent="0.3">
      <c r="D653" s="1">
        <v>10945</v>
      </c>
      <c r="E653" s="2">
        <v>43467</v>
      </c>
      <c r="F653" s="1" t="s">
        <v>14</v>
      </c>
      <c r="G653" s="1">
        <v>14</v>
      </c>
      <c r="H653" s="9"/>
      <c r="J653" s="1">
        <v>1251.93</v>
      </c>
      <c r="N653" s="1" t="s">
        <v>10</v>
      </c>
      <c r="O653" s="1">
        <v>9.6</v>
      </c>
    </row>
    <row r="654" spans="4:15" x14ac:dyDescent="0.3">
      <c r="D654" s="1">
        <v>19425</v>
      </c>
      <c r="E654" s="2">
        <v>43732</v>
      </c>
      <c r="F654" s="1" t="s">
        <v>11</v>
      </c>
      <c r="G654" s="1">
        <v>34</v>
      </c>
      <c r="H654" s="9"/>
      <c r="J654" s="1">
        <v>224.96</v>
      </c>
      <c r="N654" s="1" t="s">
        <v>10</v>
      </c>
      <c r="O654" s="1">
        <v>3.9</v>
      </c>
    </row>
    <row r="655" spans="4:15" x14ac:dyDescent="0.3">
      <c r="D655" s="1">
        <v>20451</v>
      </c>
      <c r="E655" s="2">
        <v>43610</v>
      </c>
      <c r="F655" s="1" t="s">
        <v>12</v>
      </c>
      <c r="G655" s="1">
        <v>17</v>
      </c>
      <c r="H655" s="9"/>
      <c r="J655" s="1">
        <v>9790.6</v>
      </c>
      <c r="N655" s="1" t="s">
        <v>13</v>
      </c>
      <c r="O655" s="1">
        <v>48.9</v>
      </c>
    </row>
    <row r="656" spans="4:15" x14ac:dyDescent="0.3">
      <c r="D656" s="1">
        <v>19777</v>
      </c>
      <c r="E656" s="2">
        <v>43757</v>
      </c>
      <c r="F656" s="1" t="s">
        <v>11</v>
      </c>
      <c r="G656" s="1">
        <v>22</v>
      </c>
      <c r="H656" s="9"/>
      <c r="J656" s="1">
        <v>344.44</v>
      </c>
      <c r="N656" s="1" t="s">
        <v>10</v>
      </c>
      <c r="O656" s="1">
        <v>9</v>
      </c>
    </row>
    <row r="657" spans="4:15" x14ac:dyDescent="0.3">
      <c r="D657" s="1">
        <v>5635</v>
      </c>
      <c r="E657" s="2">
        <v>43692</v>
      </c>
      <c r="F657" s="1" t="s">
        <v>14</v>
      </c>
      <c r="G657" s="1">
        <v>17</v>
      </c>
      <c r="H657" s="9"/>
      <c r="J657" s="1">
        <v>212.69</v>
      </c>
      <c r="N657" s="1" t="s">
        <v>10</v>
      </c>
      <c r="O657" s="1">
        <v>7.7</v>
      </c>
    </row>
    <row r="658" spans="4:15" x14ac:dyDescent="0.3">
      <c r="D658" s="1">
        <v>56291</v>
      </c>
      <c r="E658" s="2">
        <v>43725</v>
      </c>
      <c r="F658" s="1" t="s">
        <v>11</v>
      </c>
      <c r="G658" s="1">
        <v>47</v>
      </c>
      <c r="H658" s="9"/>
      <c r="J658" s="1">
        <v>1284.749</v>
      </c>
      <c r="N658" s="1" t="s">
        <v>10</v>
      </c>
      <c r="O658" s="1">
        <v>9.4</v>
      </c>
    </row>
    <row r="659" spans="4:15" x14ac:dyDescent="0.3">
      <c r="D659" s="1">
        <v>59781</v>
      </c>
      <c r="E659" s="2">
        <v>43811</v>
      </c>
      <c r="F659" s="1" t="s">
        <v>11</v>
      </c>
      <c r="G659" s="1">
        <v>43</v>
      </c>
      <c r="H659" s="9"/>
      <c r="J659" s="1">
        <v>280.48</v>
      </c>
      <c r="N659" s="1" t="s">
        <v>8</v>
      </c>
      <c r="O659" s="1">
        <v>5.7</v>
      </c>
    </row>
    <row r="660" spans="4:15" x14ac:dyDescent="0.3">
      <c r="D660" s="1">
        <v>35842</v>
      </c>
      <c r="E660" s="2">
        <v>43609</v>
      </c>
      <c r="F660" s="1" t="s">
        <v>9</v>
      </c>
      <c r="G660" s="1">
        <v>18</v>
      </c>
      <c r="H660" s="9"/>
      <c r="J660" s="1">
        <v>57.56</v>
      </c>
      <c r="N660" s="1" t="s">
        <v>10</v>
      </c>
      <c r="O660" s="1">
        <v>1.1000000000000001</v>
      </c>
    </row>
    <row r="661" spans="4:15" x14ac:dyDescent="0.3">
      <c r="D661" s="1">
        <v>45700</v>
      </c>
      <c r="E661" s="2">
        <v>43782</v>
      </c>
      <c r="F661" s="1" t="s">
        <v>9</v>
      </c>
      <c r="G661" s="1">
        <v>43</v>
      </c>
      <c r="H661" s="9"/>
      <c r="J661" s="1">
        <v>1823.9</v>
      </c>
      <c r="N661" s="1" t="s">
        <v>10</v>
      </c>
      <c r="O661" s="1">
        <v>4.8</v>
      </c>
    </row>
    <row r="662" spans="4:15" x14ac:dyDescent="0.3">
      <c r="D662" s="1">
        <v>42982</v>
      </c>
      <c r="E662" s="2">
        <v>43673</v>
      </c>
      <c r="F662" s="1" t="s">
        <v>7</v>
      </c>
      <c r="G662" s="1">
        <v>12</v>
      </c>
      <c r="H662" s="9"/>
      <c r="J662" s="1">
        <v>1410.62</v>
      </c>
      <c r="N662" s="1" t="s">
        <v>8</v>
      </c>
      <c r="O662" s="1">
        <v>26.2</v>
      </c>
    </row>
    <row r="663" spans="4:15" x14ac:dyDescent="0.3">
      <c r="D663" s="1">
        <v>15687</v>
      </c>
      <c r="E663" s="2">
        <v>43564</v>
      </c>
      <c r="F663" s="1" t="s">
        <v>12</v>
      </c>
      <c r="G663" s="1">
        <v>48</v>
      </c>
      <c r="H663" s="9"/>
      <c r="J663" s="1">
        <v>3638.67</v>
      </c>
      <c r="N663" s="1" t="s">
        <v>13</v>
      </c>
      <c r="O663" s="1">
        <v>50</v>
      </c>
    </row>
    <row r="664" spans="4:15" x14ac:dyDescent="0.3">
      <c r="D664" s="1">
        <v>11431</v>
      </c>
      <c r="E664" s="2">
        <v>43678</v>
      </c>
      <c r="F664" s="1" t="s">
        <v>9</v>
      </c>
      <c r="G664" s="1">
        <v>5</v>
      </c>
      <c r="H664" s="9"/>
      <c r="J664" s="1">
        <v>42.46</v>
      </c>
      <c r="N664" s="1" t="s">
        <v>10</v>
      </c>
      <c r="O664" s="1">
        <v>3.1</v>
      </c>
    </row>
    <row r="665" spans="4:15" x14ac:dyDescent="0.3">
      <c r="D665" s="1">
        <v>21573</v>
      </c>
      <c r="E665" s="2">
        <v>43580</v>
      </c>
      <c r="F665" s="1" t="s">
        <v>12</v>
      </c>
      <c r="G665" s="1">
        <v>3</v>
      </c>
      <c r="H665" s="9"/>
      <c r="J665" s="1">
        <v>251.2</v>
      </c>
      <c r="N665" s="1" t="s">
        <v>13</v>
      </c>
      <c r="O665" s="1">
        <v>95.6</v>
      </c>
    </row>
    <row r="666" spans="4:15" x14ac:dyDescent="0.3">
      <c r="D666" s="1">
        <v>25569</v>
      </c>
      <c r="E666" s="2">
        <v>43655</v>
      </c>
      <c r="F666" s="1" t="s">
        <v>9</v>
      </c>
      <c r="G666" s="1">
        <v>27</v>
      </c>
      <c r="H666" s="9"/>
      <c r="J666" s="1">
        <v>332.99</v>
      </c>
      <c r="N666" s="1" t="s">
        <v>10</v>
      </c>
      <c r="O666" s="1">
        <v>6.9</v>
      </c>
    </row>
    <row r="667" spans="4:15" x14ac:dyDescent="0.3">
      <c r="D667" s="1">
        <v>59491</v>
      </c>
      <c r="E667" s="2">
        <v>43548</v>
      </c>
      <c r="F667" s="1" t="s">
        <v>9</v>
      </c>
      <c r="G667" s="1">
        <v>8</v>
      </c>
      <c r="H667" s="9"/>
      <c r="J667" s="1">
        <v>34.57</v>
      </c>
      <c r="N667" s="1" t="s">
        <v>10</v>
      </c>
      <c r="O667" s="1">
        <v>5.9</v>
      </c>
    </row>
    <row r="668" spans="4:15" x14ac:dyDescent="0.3">
      <c r="D668" s="1">
        <v>11045</v>
      </c>
      <c r="E668" s="2">
        <v>43549</v>
      </c>
      <c r="F668" s="1" t="s">
        <v>14</v>
      </c>
      <c r="G668" s="1">
        <v>35</v>
      </c>
      <c r="H668" s="9"/>
      <c r="J668" s="1">
        <v>760.62</v>
      </c>
      <c r="N668" s="1" t="s">
        <v>10</v>
      </c>
      <c r="O668" s="1">
        <v>6.4</v>
      </c>
    </row>
    <row r="669" spans="4:15" x14ac:dyDescent="0.3">
      <c r="D669" s="1">
        <v>487</v>
      </c>
      <c r="E669" s="2">
        <v>43694</v>
      </c>
      <c r="F669" s="1" t="s">
        <v>12</v>
      </c>
      <c r="G669" s="1">
        <v>19</v>
      </c>
      <c r="H669" s="9"/>
      <c r="J669" s="1">
        <v>225.13</v>
      </c>
      <c r="N669" s="1" t="s">
        <v>10</v>
      </c>
      <c r="O669" s="1">
        <v>4.8</v>
      </c>
    </row>
    <row r="670" spans="4:15" x14ac:dyDescent="0.3">
      <c r="D670" s="1">
        <v>9509</v>
      </c>
      <c r="E670" s="2">
        <v>43745</v>
      </c>
      <c r="F670" s="1" t="s">
        <v>11</v>
      </c>
      <c r="G670" s="1">
        <v>36</v>
      </c>
      <c r="H670" s="9"/>
      <c r="J670" s="1">
        <v>13028.13</v>
      </c>
      <c r="N670" s="1" t="s">
        <v>13</v>
      </c>
      <c r="O670" s="1">
        <v>63.1</v>
      </c>
    </row>
    <row r="671" spans="4:15" x14ac:dyDescent="0.3">
      <c r="D671" s="1">
        <v>37765</v>
      </c>
      <c r="E671" s="2">
        <v>43793</v>
      </c>
      <c r="F671" s="1" t="s">
        <v>7</v>
      </c>
      <c r="G671" s="1">
        <v>12</v>
      </c>
      <c r="H671" s="9"/>
      <c r="J671" s="1">
        <v>1567.9</v>
      </c>
      <c r="N671" s="1" t="s">
        <v>13</v>
      </c>
      <c r="O671" s="1">
        <v>32.1</v>
      </c>
    </row>
    <row r="672" spans="4:15" x14ac:dyDescent="0.3">
      <c r="D672" s="1">
        <v>59234</v>
      </c>
      <c r="E672" s="2">
        <v>43675</v>
      </c>
      <c r="F672" s="1" t="s">
        <v>7</v>
      </c>
      <c r="G672" s="1">
        <v>32</v>
      </c>
      <c r="H672" s="9"/>
      <c r="J672" s="1">
        <v>6084.29</v>
      </c>
      <c r="N672" s="1" t="s">
        <v>10</v>
      </c>
      <c r="O672" s="1">
        <v>1.1000000000000001</v>
      </c>
    </row>
    <row r="673" spans="4:15" x14ac:dyDescent="0.3">
      <c r="D673" s="1">
        <v>48067</v>
      </c>
      <c r="E673" s="2">
        <v>43645</v>
      </c>
      <c r="F673" s="1" t="s">
        <v>7</v>
      </c>
      <c r="G673" s="1">
        <v>31</v>
      </c>
      <c r="H673" s="9"/>
      <c r="J673" s="1">
        <v>3455.74</v>
      </c>
      <c r="N673" s="1" t="s">
        <v>8</v>
      </c>
      <c r="O673" s="1">
        <v>3.2</v>
      </c>
    </row>
    <row r="674" spans="4:15" x14ac:dyDescent="0.3">
      <c r="D674" s="1">
        <v>20451</v>
      </c>
      <c r="E674" s="2">
        <v>43610</v>
      </c>
      <c r="F674" s="1" t="s">
        <v>12</v>
      </c>
      <c r="G674" s="1">
        <v>33</v>
      </c>
      <c r="H674" s="9"/>
      <c r="J674" s="1">
        <v>1935.85</v>
      </c>
      <c r="N674" s="1" t="s">
        <v>10</v>
      </c>
      <c r="O674" s="1">
        <v>5.4</v>
      </c>
    </row>
    <row r="675" spans="4:15" x14ac:dyDescent="0.3">
      <c r="D675" s="1">
        <v>14726</v>
      </c>
      <c r="E675" s="2">
        <v>43472</v>
      </c>
      <c r="F675" s="1" t="s">
        <v>7</v>
      </c>
      <c r="G675" s="1">
        <v>15</v>
      </c>
      <c r="H675" s="9"/>
      <c r="J675" s="1">
        <v>332.63</v>
      </c>
      <c r="N675" s="1" t="s">
        <v>10</v>
      </c>
      <c r="O675" s="1">
        <v>4.3</v>
      </c>
    </row>
    <row r="676" spans="4:15" x14ac:dyDescent="0.3">
      <c r="D676" s="1">
        <v>35173</v>
      </c>
      <c r="E676" s="2">
        <v>43537</v>
      </c>
      <c r="F676" s="1" t="s">
        <v>11</v>
      </c>
      <c r="G676" s="1">
        <v>29</v>
      </c>
      <c r="H676" s="9"/>
      <c r="J676" s="1">
        <v>6937.09</v>
      </c>
      <c r="N676" s="1" t="s">
        <v>13</v>
      </c>
      <c r="O676" s="1">
        <v>64.400000000000006</v>
      </c>
    </row>
    <row r="677" spans="4:15" x14ac:dyDescent="0.3">
      <c r="D677" s="1">
        <v>25825</v>
      </c>
      <c r="E677" s="2">
        <v>43665</v>
      </c>
      <c r="F677" s="1" t="s">
        <v>11</v>
      </c>
      <c r="G677" s="1">
        <v>45</v>
      </c>
      <c r="H677" s="9"/>
      <c r="J677" s="1">
        <v>517.60180000000003</v>
      </c>
      <c r="N677" s="1" t="s">
        <v>10</v>
      </c>
      <c r="O677" s="1">
        <v>1.9</v>
      </c>
    </row>
    <row r="678" spans="4:15" x14ac:dyDescent="0.3">
      <c r="D678" s="1">
        <v>20354</v>
      </c>
      <c r="E678" s="2">
        <v>43727</v>
      </c>
      <c r="F678" s="1" t="s">
        <v>12</v>
      </c>
      <c r="G678" s="1">
        <v>24</v>
      </c>
      <c r="H678" s="9"/>
      <c r="J678" s="1">
        <v>81.38</v>
      </c>
      <c r="N678" s="1" t="s">
        <v>10</v>
      </c>
      <c r="O678" s="1">
        <v>0.5</v>
      </c>
    </row>
    <row r="679" spans="4:15" x14ac:dyDescent="0.3">
      <c r="D679" s="1">
        <v>52290</v>
      </c>
      <c r="E679" s="2">
        <v>43606</v>
      </c>
      <c r="F679" s="1" t="s">
        <v>7</v>
      </c>
      <c r="G679" s="1">
        <v>7</v>
      </c>
      <c r="H679" s="9"/>
      <c r="J679" s="1">
        <v>1213.43</v>
      </c>
      <c r="N679" s="1" t="s">
        <v>10</v>
      </c>
      <c r="O679" s="1">
        <v>21.4</v>
      </c>
    </row>
    <row r="680" spans="4:15" x14ac:dyDescent="0.3">
      <c r="D680" s="1">
        <v>43138</v>
      </c>
      <c r="E680" s="2">
        <v>43538</v>
      </c>
      <c r="F680" s="1" t="s">
        <v>7</v>
      </c>
      <c r="G680" s="1">
        <v>50</v>
      </c>
      <c r="H680" s="9"/>
      <c r="J680" s="1">
        <v>7011.56</v>
      </c>
      <c r="N680" s="1" t="s">
        <v>13</v>
      </c>
      <c r="O680" s="1">
        <v>34.4</v>
      </c>
    </row>
    <row r="681" spans="4:15" x14ac:dyDescent="0.3">
      <c r="D681" s="1">
        <v>34241</v>
      </c>
      <c r="E681" s="2">
        <v>43746</v>
      </c>
      <c r="F681" s="1" t="s">
        <v>7</v>
      </c>
      <c r="G681" s="1">
        <v>4</v>
      </c>
      <c r="H681" s="9"/>
      <c r="J681" s="1">
        <v>222.07849999999999</v>
      </c>
      <c r="N681" s="1" t="s">
        <v>10</v>
      </c>
      <c r="O681" s="1">
        <v>2.7</v>
      </c>
    </row>
    <row r="682" spans="4:15" x14ac:dyDescent="0.3">
      <c r="D682" s="1">
        <v>29507</v>
      </c>
      <c r="E682" s="2">
        <v>43504</v>
      </c>
      <c r="F682" s="1" t="s">
        <v>7</v>
      </c>
      <c r="G682" s="1">
        <v>41</v>
      </c>
      <c r="H682" s="9"/>
      <c r="J682" s="1">
        <v>1364.2</v>
      </c>
      <c r="N682" s="1" t="s">
        <v>10</v>
      </c>
      <c r="O682" s="1">
        <v>1.2</v>
      </c>
    </row>
    <row r="683" spans="4:15" x14ac:dyDescent="0.3">
      <c r="D683" s="1">
        <v>36803</v>
      </c>
      <c r="E683" s="2">
        <v>43681</v>
      </c>
      <c r="F683" s="1" t="s">
        <v>11</v>
      </c>
      <c r="G683" s="1">
        <v>2</v>
      </c>
      <c r="H683" s="9"/>
      <c r="J683" s="1">
        <v>110.32</v>
      </c>
      <c r="N683" s="1" t="s">
        <v>10</v>
      </c>
      <c r="O683" s="1">
        <v>2.7</v>
      </c>
    </row>
    <row r="684" spans="4:15" x14ac:dyDescent="0.3">
      <c r="D684" s="1">
        <v>59204</v>
      </c>
      <c r="E684" s="2">
        <v>43524</v>
      </c>
      <c r="F684" s="1" t="s">
        <v>14</v>
      </c>
      <c r="G684" s="1">
        <v>8</v>
      </c>
      <c r="H684" s="9"/>
      <c r="J684" s="1">
        <v>267.81</v>
      </c>
      <c r="N684" s="1" t="s">
        <v>10</v>
      </c>
      <c r="O684" s="1">
        <v>13.5</v>
      </c>
    </row>
    <row r="685" spans="4:15" x14ac:dyDescent="0.3">
      <c r="D685" s="1">
        <v>40132</v>
      </c>
      <c r="E685" s="2">
        <v>43518</v>
      </c>
      <c r="F685" s="1" t="s">
        <v>7</v>
      </c>
      <c r="G685" s="1">
        <v>26</v>
      </c>
      <c r="H685" s="9"/>
      <c r="J685" s="1">
        <v>1458.41</v>
      </c>
      <c r="N685" s="1" t="s">
        <v>13</v>
      </c>
      <c r="O685" s="1">
        <v>15.2</v>
      </c>
    </row>
    <row r="686" spans="4:15" x14ac:dyDescent="0.3">
      <c r="D686" s="1">
        <v>45575</v>
      </c>
      <c r="E686" s="2">
        <v>43567</v>
      </c>
      <c r="F686" s="1" t="s">
        <v>12</v>
      </c>
      <c r="G686" s="1">
        <v>46</v>
      </c>
      <c r="H686" s="9"/>
      <c r="J686" s="1">
        <v>4118.6099999999997</v>
      </c>
      <c r="N686" s="1" t="s">
        <v>10</v>
      </c>
      <c r="O686" s="1">
        <v>5.4</v>
      </c>
    </row>
    <row r="687" spans="4:15" x14ac:dyDescent="0.3">
      <c r="D687" s="1">
        <v>41667</v>
      </c>
      <c r="E687" s="2">
        <v>43636</v>
      </c>
      <c r="F687" s="1" t="s">
        <v>9</v>
      </c>
      <c r="G687" s="1">
        <v>18</v>
      </c>
      <c r="H687" s="9"/>
      <c r="J687" s="1">
        <v>1136.57</v>
      </c>
      <c r="N687" s="1" t="s">
        <v>10</v>
      </c>
      <c r="O687" s="1">
        <v>5.7</v>
      </c>
    </row>
    <row r="688" spans="4:15" x14ac:dyDescent="0.3">
      <c r="D688" s="1">
        <v>14439</v>
      </c>
      <c r="E688" s="2">
        <v>43707</v>
      </c>
      <c r="F688" s="1" t="s">
        <v>9</v>
      </c>
      <c r="G688" s="1">
        <v>27</v>
      </c>
      <c r="H688" s="9"/>
      <c r="J688" s="1">
        <v>1528.64</v>
      </c>
      <c r="N688" s="1" t="s">
        <v>10</v>
      </c>
      <c r="O688" s="1">
        <v>11.5</v>
      </c>
    </row>
    <row r="689" spans="4:15" x14ac:dyDescent="0.3">
      <c r="D689" s="1">
        <v>34400</v>
      </c>
      <c r="E689" s="2">
        <v>43823</v>
      </c>
      <c r="F689" s="1" t="s">
        <v>7</v>
      </c>
      <c r="G689" s="1">
        <v>17</v>
      </c>
      <c r="H689" s="9"/>
      <c r="J689" s="1">
        <v>1057.8499999999999</v>
      </c>
      <c r="N689" s="1" t="s">
        <v>10</v>
      </c>
      <c r="O689" s="1">
        <v>4.5</v>
      </c>
    </row>
    <row r="690" spans="4:15" x14ac:dyDescent="0.3">
      <c r="D690" s="1">
        <v>8803</v>
      </c>
      <c r="E690" s="2">
        <v>43819</v>
      </c>
      <c r="F690" s="1" t="s">
        <v>11</v>
      </c>
      <c r="G690" s="1">
        <v>6</v>
      </c>
      <c r="H690" s="9"/>
      <c r="J690" s="1">
        <v>1267</v>
      </c>
      <c r="N690" s="1" t="s">
        <v>10</v>
      </c>
      <c r="O690" s="1">
        <v>21.4</v>
      </c>
    </row>
    <row r="691" spans="4:15" x14ac:dyDescent="0.3">
      <c r="D691" s="1">
        <v>16103</v>
      </c>
      <c r="E691" s="2">
        <v>43661</v>
      </c>
      <c r="F691" s="1" t="s">
        <v>11</v>
      </c>
      <c r="G691" s="1">
        <v>31</v>
      </c>
      <c r="H691" s="9"/>
      <c r="J691" s="1">
        <v>232.34</v>
      </c>
      <c r="N691" s="1" t="s">
        <v>10</v>
      </c>
      <c r="O691" s="1">
        <v>6.7</v>
      </c>
    </row>
    <row r="692" spans="4:15" x14ac:dyDescent="0.3">
      <c r="D692" s="1">
        <v>24450</v>
      </c>
      <c r="E692" s="2">
        <v>43655</v>
      </c>
      <c r="F692" s="1" t="s">
        <v>12</v>
      </c>
      <c r="G692" s="1">
        <v>4</v>
      </c>
      <c r="H692" s="9"/>
      <c r="J692" s="1">
        <v>33.01</v>
      </c>
      <c r="N692" s="1" t="s">
        <v>10</v>
      </c>
      <c r="O692" s="1">
        <v>6.2</v>
      </c>
    </row>
    <row r="693" spans="4:15" x14ac:dyDescent="0.3">
      <c r="D693" s="1">
        <v>2755</v>
      </c>
      <c r="E693" s="2">
        <v>43501</v>
      </c>
      <c r="F693" s="1" t="s">
        <v>11</v>
      </c>
      <c r="G693" s="1">
        <v>50</v>
      </c>
      <c r="H693" s="9"/>
      <c r="J693" s="1">
        <v>370.28</v>
      </c>
      <c r="N693" s="1" t="s">
        <v>10</v>
      </c>
      <c r="O693" s="1">
        <v>6.3</v>
      </c>
    </row>
    <row r="694" spans="4:15" x14ac:dyDescent="0.3">
      <c r="D694" s="1">
        <v>6695</v>
      </c>
      <c r="E694" s="2">
        <v>43643</v>
      </c>
      <c r="F694" s="1" t="s">
        <v>7</v>
      </c>
      <c r="G694" s="1">
        <v>49</v>
      </c>
      <c r="H694" s="9"/>
      <c r="J694" s="1">
        <v>315.91000000000003</v>
      </c>
      <c r="N694" s="1" t="s">
        <v>8</v>
      </c>
      <c r="O694" s="1">
        <v>9.1</v>
      </c>
    </row>
    <row r="695" spans="4:15" x14ac:dyDescent="0.3">
      <c r="D695" s="1">
        <v>17157</v>
      </c>
      <c r="E695" s="2">
        <v>43727</v>
      </c>
      <c r="F695" s="1" t="s">
        <v>7</v>
      </c>
      <c r="G695" s="1">
        <v>31</v>
      </c>
      <c r="H695" s="9"/>
      <c r="J695" s="1">
        <v>3297.17</v>
      </c>
      <c r="N695" s="1" t="s">
        <v>10</v>
      </c>
      <c r="O695" s="1">
        <v>4.5</v>
      </c>
    </row>
    <row r="696" spans="4:15" x14ac:dyDescent="0.3">
      <c r="D696" s="1">
        <v>32165</v>
      </c>
      <c r="E696" s="2">
        <v>43752</v>
      </c>
      <c r="F696" s="1" t="s">
        <v>11</v>
      </c>
      <c r="G696" s="1">
        <v>47</v>
      </c>
      <c r="H696" s="9"/>
      <c r="J696" s="1">
        <v>3652.6482999999998</v>
      </c>
      <c r="N696" s="1" t="s">
        <v>10</v>
      </c>
      <c r="O696" s="1">
        <v>15.5</v>
      </c>
    </row>
    <row r="697" spans="4:15" x14ac:dyDescent="0.3">
      <c r="D697" s="1">
        <v>54370</v>
      </c>
      <c r="E697" s="2">
        <v>43563</v>
      </c>
      <c r="F697" s="1" t="s">
        <v>11</v>
      </c>
      <c r="G697" s="1">
        <v>49</v>
      </c>
      <c r="H697" s="9"/>
      <c r="J697" s="1">
        <v>5316.3</v>
      </c>
      <c r="N697" s="1" t="s">
        <v>10</v>
      </c>
      <c r="O697" s="1">
        <v>21.4</v>
      </c>
    </row>
    <row r="698" spans="4:15" x14ac:dyDescent="0.3">
      <c r="D698" s="1">
        <v>21796</v>
      </c>
      <c r="E698" s="2">
        <v>43591</v>
      </c>
      <c r="F698" s="1" t="s">
        <v>7</v>
      </c>
      <c r="G698" s="1">
        <v>2</v>
      </c>
      <c r="H698" s="9"/>
      <c r="J698" s="1">
        <v>43.68</v>
      </c>
      <c r="N698" s="1" t="s">
        <v>10</v>
      </c>
      <c r="O698" s="1">
        <v>5.0999999999999996</v>
      </c>
    </row>
    <row r="699" spans="4:15" x14ac:dyDescent="0.3">
      <c r="D699" s="1">
        <v>11269</v>
      </c>
      <c r="E699" s="2">
        <v>43611</v>
      </c>
      <c r="F699" s="1" t="s">
        <v>7</v>
      </c>
      <c r="G699" s="1">
        <v>49</v>
      </c>
      <c r="H699" s="9"/>
      <c r="J699" s="1">
        <v>249.61</v>
      </c>
      <c r="N699" s="1" t="s">
        <v>10</v>
      </c>
      <c r="O699" s="1">
        <v>0.5</v>
      </c>
    </row>
    <row r="700" spans="4:15" x14ac:dyDescent="0.3">
      <c r="D700" s="1">
        <v>49862</v>
      </c>
      <c r="E700" s="2">
        <v>43720</v>
      </c>
      <c r="F700" s="1" t="s">
        <v>11</v>
      </c>
      <c r="G700" s="1">
        <v>24</v>
      </c>
      <c r="H700" s="9"/>
      <c r="J700" s="1">
        <v>81.03</v>
      </c>
      <c r="N700" s="1" t="s">
        <v>10</v>
      </c>
      <c r="O700" s="1">
        <v>0.5</v>
      </c>
    </row>
    <row r="701" spans="4:15" x14ac:dyDescent="0.3">
      <c r="D701" s="1">
        <v>31460</v>
      </c>
      <c r="E701" s="2">
        <v>43703</v>
      </c>
      <c r="F701" s="1" t="s">
        <v>9</v>
      </c>
      <c r="G701" s="1">
        <v>9</v>
      </c>
      <c r="H701" s="9"/>
      <c r="J701" s="1">
        <v>1060.0169000000001</v>
      </c>
      <c r="N701" s="1" t="s">
        <v>10</v>
      </c>
      <c r="O701" s="1">
        <v>37.5</v>
      </c>
    </row>
    <row r="702" spans="4:15" x14ac:dyDescent="0.3">
      <c r="D702" s="1">
        <v>54501</v>
      </c>
      <c r="E702" s="2">
        <v>43798</v>
      </c>
      <c r="F702" s="1" t="s">
        <v>12</v>
      </c>
      <c r="G702" s="1">
        <v>16</v>
      </c>
      <c r="H702" s="9"/>
      <c r="J702" s="1">
        <v>241.24</v>
      </c>
      <c r="N702" s="1" t="s">
        <v>10</v>
      </c>
      <c r="O702" s="1">
        <v>8</v>
      </c>
    </row>
    <row r="703" spans="4:15" x14ac:dyDescent="0.3">
      <c r="D703" s="1">
        <v>54307</v>
      </c>
      <c r="E703" s="2">
        <v>43472</v>
      </c>
      <c r="F703" s="1" t="s">
        <v>9</v>
      </c>
      <c r="G703" s="1">
        <v>41</v>
      </c>
      <c r="H703" s="9"/>
      <c r="J703" s="1">
        <v>212.1703</v>
      </c>
      <c r="N703" s="1" t="s">
        <v>10</v>
      </c>
      <c r="O703" s="1">
        <v>6.1</v>
      </c>
    </row>
    <row r="704" spans="4:15" x14ac:dyDescent="0.3">
      <c r="D704" s="1">
        <v>48704</v>
      </c>
      <c r="E704" s="2">
        <v>43473</v>
      </c>
      <c r="F704" s="1" t="s">
        <v>9</v>
      </c>
      <c r="G704" s="1">
        <v>11</v>
      </c>
      <c r="H704" s="9"/>
      <c r="J704" s="1">
        <v>1335.21</v>
      </c>
      <c r="N704" s="1" t="s">
        <v>10</v>
      </c>
      <c r="O704" s="1">
        <v>9.6</v>
      </c>
    </row>
    <row r="705" spans="4:15" x14ac:dyDescent="0.3">
      <c r="D705" s="1">
        <v>57638</v>
      </c>
      <c r="E705" s="2">
        <v>43577</v>
      </c>
      <c r="F705" s="1" t="s">
        <v>7</v>
      </c>
      <c r="G705" s="1">
        <v>49</v>
      </c>
      <c r="H705" s="9"/>
      <c r="J705" s="1">
        <v>610.36</v>
      </c>
      <c r="N705" s="1" t="s">
        <v>10</v>
      </c>
      <c r="O705" s="1">
        <v>5.8</v>
      </c>
    </row>
    <row r="706" spans="4:15" x14ac:dyDescent="0.3">
      <c r="D706" s="1">
        <v>14435</v>
      </c>
      <c r="E706" s="2">
        <v>43800</v>
      </c>
      <c r="F706" s="1" t="s">
        <v>11</v>
      </c>
      <c r="G706" s="1">
        <v>9</v>
      </c>
      <c r="H706" s="9"/>
      <c r="J706" s="1">
        <v>35703.599999999999</v>
      </c>
      <c r="N706" s="1" t="s">
        <v>10</v>
      </c>
      <c r="O706" s="1">
        <v>26.2</v>
      </c>
    </row>
    <row r="707" spans="4:15" x14ac:dyDescent="0.3">
      <c r="D707" s="1">
        <v>35814</v>
      </c>
      <c r="E707" s="2">
        <v>43551</v>
      </c>
      <c r="F707" s="1" t="s">
        <v>9</v>
      </c>
      <c r="G707" s="1">
        <v>11</v>
      </c>
      <c r="H707" s="9"/>
      <c r="J707" s="1">
        <v>347.24</v>
      </c>
      <c r="N707" s="1" t="s">
        <v>10</v>
      </c>
      <c r="O707" s="1">
        <v>9.1</v>
      </c>
    </row>
    <row r="708" spans="4:15" x14ac:dyDescent="0.3">
      <c r="D708" s="1">
        <v>51872</v>
      </c>
      <c r="E708" s="2">
        <v>43578</v>
      </c>
      <c r="F708" s="1" t="s">
        <v>14</v>
      </c>
      <c r="G708" s="1">
        <v>11</v>
      </c>
      <c r="H708" s="9"/>
      <c r="J708" s="1">
        <v>869.37</v>
      </c>
      <c r="N708" s="1" t="s">
        <v>8</v>
      </c>
      <c r="O708" s="1">
        <v>1.3</v>
      </c>
    </row>
    <row r="709" spans="4:15" x14ac:dyDescent="0.3">
      <c r="D709" s="1">
        <v>55747</v>
      </c>
      <c r="E709" s="2">
        <v>43801</v>
      </c>
      <c r="F709" s="1" t="s">
        <v>9</v>
      </c>
      <c r="G709" s="1">
        <v>42</v>
      </c>
      <c r="H709" s="9"/>
      <c r="J709" s="1">
        <v>21234.89</v>
      </c>
      <c r="N709" s="1" t="s">
        <v>13</v>
      </c>
      <c r="O709" s="1">
        <v>69.099999999999994</v>
      </c>
    </row>
    <row r="710" spans="4:15" x14ac:dyDescent="0.3">
      <c r="D710" s="1">
        <v>3970</v>
      </c>
      <c r="E710" s="2">
        <v>43550</v>
      </c>
      <c r="F710" s="1" t="s">
        <v>14</v>
      </c>
      <c r="G710" s="1">
        <v>13</v>
      </c>
      <c r="H710" s="9"/>
      <c r="J710" s="1">
        <v>347.57</v>
      </c>
      <c r="N710" s="1" t="s">
        <v>13</v>
      </c>
      <c r="O710" s="1">
        <v>48.2</v>
      </c>
    </row>
    <row r="711" spans="4:15" x14ac:dyDescent="0.3">
      <c r="D711" s="1">
        <v>32804</v>
      </c>
      <c r="E711" s="2">
        <v>43717</v>
      </c>
      <c r="F711" s="1" t="s">
        <v>14</v>
      </c>
      <c r="G711" s="1">
        <v>49</v>
      </c>
      <c r="H711" s="9"/>
      <c r="J711" s="1">
        <v>187.05</v>
      </c>
      <c r="N711" s="1" t="s">
        <v>10</v>
      </c>
      <c r="O711" s="1">
        <v>0.5</v>
      </c>
    </row>
    <row r="712" spans="4:15" x14ac:dyDescent="0.3">
      <c r="D712" s="1">
        <v>4069</v>
      </c>
      <c r="E712" s="2">
        <v>43597</v>
      </c>
      <c r="F712" s="1" t="s">
        <v>14</v>
      </c>
      <c r="G712" s="1">
        <v>8</v>
      </c>
      <c r="H712" s="9"/>
      <c r="J712" s="1">
        <v>58.24</v>
      </c>
      <c r="N712" s="1" t="s">
        <v>10</v>
      </c>
      <c r="O712" s="1">
        <v>7.2</v>
      </c>
    </row>
    <row r="713" spans="4:15" x14ac:dyDescent="0.3">
      <c r="D713" s="1">
        <v>55011</v>
      </c>
      <c r="E713" s="2">
        <v>43468</v>
      </c>
      <c r="F713" s="1" t="s">
        <v>12</v>
      </c>
      <c r="G713" s="1">
        <v>48</v>
      </c>
      <c r="H713" s="9"/>
      <c r="J713" s="1">
        <v>483.94</v>
      </c>
      <c r="N713" s="1" t="s">
        <v>10</v>
      </c>
      <c r="O713" s="1">
        <v>5.2</v>
      </c>
    </row>
    <row r="714" spans="4:15" x14ac:dyDescent="0.3">
      <c r="D714" s="1">
        <v>20066</v>
      </c>
      <c r="E714" s="2">
        <v>43710</v>
      </c>
      <c r="F714" s="1" t="s">
        <v>12</v>
      </c>
      <c r="G714" s="1">
        <v>3</v>
      </c>
      <c r="H714" s="9"/>
      <c r="J714" s="1">
        <v>43.65</v>
      </c>
      <c r="N714" s="1" t="s">
        <v>10</v>
      </c>
      <c r="O714" s="1">
        <v>6.1</v>
      </c>
    </row>
    <row r="715" spans="4:15" x14ac:dyDescent="0.3">
      <c r="D715" s="1">
        <v>292</v>
      </c>
      <c r="E715" s="2">
        <v>43476</v>
      </c>
      <c r="F715" s="1" t="s">
        <v>9</v>
      </c>
      <c r="G715" s="1">
        <v>43</v>
      </c>
      <c r="H715" s="9"/>
      <c r="J715" s="1">
        <v>441.5</v>
      </c>
      <c r="N715" s="1" t="s">
        <v>10</v>
      </c>
      <c r="O715" s="1">
        <v>1.5</v>
      </c>
    </row>
    <row r="716" spans="4:15" x14ac:dyDescent="0.3">
      <c r="D716" s="1">
        <v>33568</v>
      </c>
      <c r="E716" s="2">
        <v>43667</v>
      </c>
      <c r="F716" s="1" t="s">
        <v>14</v>
      </c>
      <c r="G716" s="1">
        <v>10</v>
      </c>
      <c r="H716" s="9"/>
      <c r="J716" s="1">
        <v>672.74109999999996</v>
      </c>
      <c r="N716" s="1" t="s">
        <v>10</v>
      </c>
      <c r="O716" s="1">
        <v>55.9</v>
      </c>
    </row>
    <row r="717" spans="4:15" x14ac:dyDescent="0.3">
      <c r="D717" s="1">
        <v>39619</v>
      </c>
      <c r="E717" s="2">
        <v>43468</v>
      </c>
      <c r="F717" s="1" t="s">
        <v>7</v>
      </c>
      <c r="G717" s="1">
        <v>15</v>
      </c>
      <c r="H717" s="9"/>
      <c r="J717" s="1">
        <v>794.79600000000005</v>
      </c>
      <c r="N717" s="1" t="s">
        <v>10</v>
      </c>
      <c r="O717" s="1">
        <v>11</v>
      </c>
    </row>
    <row r="718" spans="4:15" x14ac:dyDescent="0.3">
      <c r="D718" s="1">
        <v>37188</v>
      </c>
      <c r="E718" s="2">
        <v>43528</v>
      </c>
      <c r="F718" s="1" t="s">
        <v>12</v>
      </c>
      <c r="G718" s="1">
        <v>24</v>
      </c>
      <c r="H718" s="9"/>
      <c r="J718" s="1">
        <v>141.26</v>
      </c>
      <c r="N718" s="1" t="s">
        <v>8</v>
      </c>
      <c r="O718" s="1">
        <v>8.9</v>
      </c>
    </row>
    <row r="719" spans="4:15" x14ac:dyDescent="0.3">
      <c r="D719" s="1">
        <v>2691</v>
      </c>
      <c r="E719" s="2">
        <v>43584</v>
      </c>
      <c r="F719" s="1" t="s">
        <v>7</v>
      </c>
      <c r="G719" s="1">
        <v>14</v>
      </c>
      <c r="H719" s="9"/>
      <c r="J719" s="1">
        <v>3598.56</v>
      </c>
      <c r="N719" s="1" t="s">
        <v>13</v>
      </c>
      <c r="O719" s="1">
        <v>44.8</v>
      </c>
    </row>
    <row r="720" spans="4:15" x14ac:dyDescent="0.3">
      <c r="D720" s="1">
        <v>35456</v>
      </c>
      <c r="E720" s="2">
        <v>43770</v>
      </c>
      <c r="F720" s="1" t="s">
        <v>12</v>
      </c>
      <c r="G720" s="1">
        <v>37</v>
      </c>
      <c r="H720" s="9"/>
      <c r="J720" s="1">
        <v>49.62</v>
      </c>
      <c r="N720" s="1" t="s">
        <v>10</v>
      </c>
      <c r="O720" s="1">
        <v>0.7</v>
      </c>
    </row>
    <row r="721" spans="4:15" x14ac:dyDescent="0.3">
      <c r="D721" s="1">
        <v>52068</v>
      </c>
      <c r="E721" s="2">
        <v>43477</v>
      </c>
      <c r="F721" s="1" t="s">
        <v>11</v>
      </c>
      <c r="G721" s="1">
        <v>17</v>
      </c>
      <c r="H721" s="9"/>
      <c r="J721" s="1">
        <v>472.43709999999999</v>
      </c>
      <c r="N721" s="1" t="s">
        <v>13</v>
      </c>
      <c r="O721" s="1">
        <v>15.4</v>
      </c>
    </row>
    <row r="722" spans="4:15" x14ac:dyDescent="0.3">
      <c r="D722" s="1">
        <v>21573</v>
      </c>
      <c r="E722" s="2">
        <v>43580</v>
      </c>
      <c r="F722" s="1" t="s">
        <v>12</v>
      </c>
      <c r="G722" s="1">
        <v>7</v>
      </c>
      <c r="H722" s="9"/>
      <c r="J722" s="1">
        <v>74.985600000000005</v>
      </c>
      <c r="N722" s="1" t="s">
        <v>10</v>
      </c>
      <c r="O722" s="1">
        <v>4</v>
      </c>
    </row>
    <row r="723" spans="4:15" x14ac:dyDescent="0.3">
      <c r="D723" s="1">
        <v>4805</v>
      </c>
      <c r="E723" s="2">
        <v>43579</v>
      </c>
      <c r="F723" s="1" t="s">
        <v>11</v>
      </c>
      <c r="G723" s="1">
        <v>7</v>
      </c>
      <c r="H723" s="9"/>
      <c r="J723" s="1">
        <v>59.26</v>
      </c>
      <c r="N723" s="1" t="s">
        <v>10</v>
      </c>
      <c r="O723" s="1">
        <v>7.9</v>
      </c>
    </row>
    <row r="724" spans="4:15" x14ac:dyDescent="0.3">
      <c r="D724" s="1">
        <v>29861</v>
      </c>
      <c r="E724" s="2">
        <v>43580</v>
      </c>
      <c r="F724" s="1" t="s">
        <v>12</v>
      </c>
      <c r="G724" s="1">
        <v>11</v>
      </c>
      <c r="H724" s="9"/>
      <c r="J724" s="1">
        <v>37.630000000000003</v>
      </c>
      <c r="N724" s="1" t="s">
        <v>10</v>
      </c>
      <c r="O724" s="1">
        <v>1.1000000000000001</v>
      </c>
    </row>
    <row r="725" spans="4:15" x14ac:dyDescent="0.3">
      <c r="D725" s="1">
        <v>51365</v>
      </c>
      <c r="E725" s="2">
        <v>43684</v>
      </c>
      <c r="F725" s="1" t="s">
        <v>9</v>
      </c>
      <c r="G725" s="1">
        <v>35</v>
      </c>
      <c r="H725" s="9"/>
      <c r="J725" s="1">
        <v>208.9</v>
      </c>
      <c r="N725" s="1" t="s">
        <v>10</v>
      </c>
      <c r="O725" s="1">
        <v>6</v>
      </c>
    </row>
    <row r="726" spans="4:15" x14ac:dyDescent="0.3">
      <c r="D726" s="1">
        <v>55299</v>
      </c>
      <c r="E726" s="2">
        <v>43554</v>
      </c>
      <c r="F726" s="1" t="s">
        <v>7</v>
      </c>
      <c r="G726" s="1">
        <v>20</v>
      </c>
      <c r="H726" s="9"/>
      <c r="J726" s="1">
        <v>23.84</v>
      </c>
      <c r="N726" s="1" t="s">
        <v>10</v>
      </c>
      <c r="O726" s="1">
        <v>0.7</v>
      </c>
    </row>
    <row r="727" spans="4:15" x14ac:dyDescent="0.3">
      <c r="D727" s="1">
        <v>4864</v>
      </c>
      <c r="E727" s="2">
        <v>43779</v>
      </c>
      <c r="F727" s="1" t="s">
        <v>7</v>
      </c>
      <c r="G727" s="1">
        <v>16</v>
      </c>
      <c r="H727" s="9"/>
      <c r="J727" s="1">
        <v>5245.13</v>
      </c>
      <c r="N727" s="1" t="s">
        <v>10</v>
      </c>
      <c r="O727" s="1">
        <v>21.4</v>
      </c>
    </row>
    <row r="728" spans="4:15" x14ac:dyDescent="0.3">
      <c r="D728" s="1">
        <v>33285</v>
      </c>
      <c r="E728" s="2">
        <v>43483</v>
      </c>
      <c r="F728" s="1" t="s">
        <v>9</v>
      </c>
      <c r="G728" s="1">
        <v>5</v>
      </c>
      <c r="H728" s="9"/>
      <c r="J728" s="1">
        <v>71.599999999999994</v>
      </c>
      <c r="N728" s="1" t="s">
        <v>10</v>
      </c>
      <c r="O728" s="1">
        <v>6.6</v>
      </c>
    </row>
    <row r="729" spans="4:15" x14ac:dyDescent="0.3">
      <c r="D729" s="1">
        <v>49927</v>
      </c>
      <c r="E729" s="2">
        <v>43666</v>
      </c>
      <c r="F729" s="1" t="s">
        <v>11</v>
      </c>
      <c r="G729" s="1">
        <v>39</v>
      </c>
      <c r="H729" s="9"/>
      <c r="J729" s="1">
        <v>91.656199999999998</v>
      </c>
      <c r="N729" s="1" t="s">
        <v>10</v>
      </c>
      <c r="O729" s="1">
        <v>0.8</v>
      </c>
    </row>
    <row r="730" spans="4:15" x14ac:dyDescent="0.3">
      <c r="D730" s="1">
        <v>43653</v>
      </c>
      <c r="E730" s="2">
        <v>43768</v>
      </c>
      <c r="F730" s="1" t="s">
        <v>9</v>
      </c>
      <c r="G730" s="1">
        <v>39</v>
      </c>
      <c r="H730" s="9"/>
      <c r="J730" s="1">
        <v>713.05</v>
      </c>
      <c r="N730" s="1" t="s">
        <v>8</v>
      </c>
      <c r="O730" s="1">
        <v>7.9</v>
      </c>
    </row>
    <row r="731" spans="4:15" x14ac:dyDescent="0.3">
      <c r="D731" s="1">
        <v>39490</v>
      </c>
      <c r="E731" s="2">
        <v>43689</v>
      </c>
      <c r="F731" s="1" t="s">
        <v>7</v>
      </c>
      <c r="G731" s="1">
        <v>17</v>
      </c>
      <c r="H731" s="9"/>
      <c r="J731" s="1">
        <v>3043.7647999999999</v>
      </c>
      <c r="N731" s="1" t="s">
        <v>13</v>
      </c>
      <c r="O731" s="1">
        <v>64.2</v>
      </c>
    </row>
    <row r="732" spans="4:15" x14ac:dyDescent="0.3">
      <c r="D732" s="1">
        <v>11431</v>
      </c>
      <c r="E732" s="2">
        <v>43678</v>
      </c>
      <c r="F732" s="1" t="s">
        <v>9</v>
      </c>
      <c r="G732" s="1">
        <v>8</v>
      </c>
      <c r="H732" s="9"/>
      <c r="J732" s="1">
        <v>1362.39</v>
      </c>
      <c r="N732" s="1" t="s">
        <v>10</v>
      </c>
      <c r="O732" s="1">
        <v>9.6</v>
      </c>
    </row>
    <row r="733" spans="4:15" x14ac:dyDescent="0.3">
      <c r="D733" s="1">
        <v>1793</v>
      </c>
      <c r="E733" s="2">
        <v>43657</v>
      </c>
      <c r="F733" s="1" t="s">
        <v>11</v>
      </c>
      <c r="G733" s="1">
        <v>36</v>
      </c>
      <c r="H733" s="9"/>
      <c r="J733" s="1">
        <v>249.77</v>
      </c>
      <c r="N733" s="1" t="s">
        <v>10</v>
      </c>
      <c r="O733" s="1">
        <v>5.7</v>
      </c>
    </row>
    <row r="734" spans="4:15" x14ac:dyDescent="0.3">
      <c r="D734" s="1">
        <v>16548</v>
      </c>
      <c r="E734" s="2">
        <v>43500</v>
      </c>
      <c r="F734" s="1" t="s">
        <v>11</v>
      </c>
      <c r="G734" s="1">
        <v>40</v>
      </c>
      <c r="H734" s="9"/>
      <c r="J734" s="1">
        <v>3240.88</v>
      </c>
      <c r="N734" s="1" t="s">
        <v>10</v>
      </c>
      <c r="O734" s="1">
        <v>73.8</v>
      </c>
    </row>
    <row r="735" spans="4:15" x14ac:dyDescent="0.3">
      <c r="D735" s="1">
        <v>30913</v>
      </c>
      <c r="E735" s="2">
        <v>43730</v>
      </c>
      <c r="F735" s="1" t="s">
        <v>14</v>
      </c>
      <c r="G735" s="1">
        <v>44</v>
      </c>
      <c r="H735" s="9"/>
      <c r="J735" s="1">
        <v>135.20519999999999</v>
      </c>
      <c r="N735" s="1" t="s">
        <v>10</v>
      </c>
      <c r="O735" s="1">
        <v>0.5</v>
      </c>
    </row>
    <row r="736" spans="4:15" x14ac:dyDescent="0.3">
      <c r="D736" s="1">
        <v>59969</v>
      </c>
      <c r="E736" s="2">
        <v>43475</v>
      </c>
      <c r="F736" s="1" t="s">
        <v>9</v>
      </c>
      <c r="G736" s="1">
        <v>16</v>
      </c>
      <c r="H736" s="9"/>
      <c r="J736" s="1">
        <v>294.26</v>
      </c>
      <c r="N736" s="1" t="s">
        <v>10</v>
      </c>
      <c r="O736" s="1">
        <v>12</v>
      </c>
    </row>
    <row r="737" spans="4:15" x14ac:dyDescent="0.3">
      <c r="D737" s="1">
        <v>39972</v>
      </c>
      <c r="E737" s="2">
        <v>43733</v>
      </c>
      <c r="F737" s="1" t="s">
        <v>11</v>
      </c>
      <c r="G737" s="1">
        <v>19</v>
      </c>
      <c r="H737" s="9"/>
      <c r="J737" s="1">
        <v>103.85</v>
      </c>
      <c r="N737" s="1" t="s">
        <v>10</v>
      </c>
      <c r="O737" s="1">
        <v>3.2</v>
      </c>
    </row>
    <row r="738" spans="4:15" x14ac:dyDescent="0.3">
      <c r="D738" s="1">
        <v>28934</v>
      </c>
      <c r="E738" s="2">
        <v>43797</v>
      </c>
      <c r="F738" s="1" t="s">
        <v>14</v>
      </c>
      <c r="G738" s="1">
        <v>26</v>
      </c>
      <c r="H738" s="9"/>
      <c r="J738" s="1">
        <v>3591.9043999999999</v>
      </c>
      <c r="N738" s="1" t="s">
        <v>8</v>
      </c>
      <c r="O738" s="1">
        <v>7.6</v>
      </c>
    </row>
    <row r="739" spans="4:15" x14ac:dyDescent="0.3">
      <c r="D739" s="1">
        <v>27939</v>
      </c>
      <c r="E739" s="2">
        <v>43565</v>
      </c>
      <c r="F739" s="1" t="s">
        <v>14</v>
      </c>
      <c r="G739" s="1">
        <v>8</v>
      </c>
      <c r="H739" s="9"/>
      <c r="J739" s="1">
        <v>64.381900000000002</v>
      </c>
      <c r="N739" s="1" t="s">
        <v>10</v>
      </c>
      <c r="O739" s="1">
        <v>6.1</v>
      </c>
    </row>
    <row r="740" spans="4:15" x14ac:dyDescent="0.3">
      <c r="D740" s="1">
        <v>52007</v>
      </c>
      <c r="E740" s="2">
        <v>43569</v>
      </c>
      <c r="F740" s="1" t="s">
        <v>14</v>
      </c>
      <c r="G740" s="1">
        <v>25</v>
      </c>
      <c r="H740" s="9"/>
      <c r="J740" s="1">
        <v>73.34</v>
      </c>
      <c r="N740" s="1" t="s">
        <v>10</v>
      </c>
      <c r="O740" s="1">
        <v>0.5</v>
      </c>
    </row>
    <row r="741" spans="4:15" x14ac:dyDescent="0.3">
      <c r="D741" s="1">
        <v>2560</v>
      </c>
      <c r="E741" s="2">
        <v>43712</v>
      </c>
      <c r="F741" s="1" t="s">
        <v>12</v>
      </c>
      <c r="G741" s="1">
        <v>32</v>
      </c>
      <c r="H741" s="9"/>
      <c r="J741" s="1">
        <v>782.41</v>
      </c>
      <c r="N741" s="1" t="s">
        <v>10</v>
      </c>
      <c r="O741" s="1">
        <v>7</v>
      </c>
    </row>
    <row r="742" spans="4:15" x14ac:dyDescent="0.3">
      <c r="D742" s="1">
        <v>12292</v>
      </c>
      <c r="E742" s="2">
        <v>43618</v>
      </c>
      <c r="F742" s="1" t="s">
        <v>11</v>
      </c>
      <c r="G742" s="1">
        <v>32</v>
      </c>
      <c r="H742" s="9"/>
      <c r="J742" s="1">
        <v>881.94</v>
      </c>
      <c r="N742" s="1" t="s">
        <v>10</v>
      </c>
      <c r="O742" s="1">
        <v>6.3</v>
      </c>
    </row>
    <row r="743" spans="4:15" x14ac:dyDescent="0.3">
      <c r="D743" s="1">
        <v>14240</v>
      </c>
      <c r="E743" s="2">
        <v>43512</v>
      </c>
      <c r="F743" s="1" t="s">
        <v>9</v>
      </c>
      <c r="G743" s="1">
        <v>24</v>
      </c>
      <c r="H743" s="9"/>
      <c r="J743" s="1">
        <v>73.7</v>
      </c>
      <c r="N743" s="1" t="s">
        <v>10</v>
      </c>
      <c r="O743" s="1">
        <v>1.6</v>
      </c>
    </row>
    <row r="744" spans="4:15" x14ac:dyDescent="0.3">
      <c r="D744" s="1">
        <v>22182</v>
      </c>
      <c r="E744" s="2">
        <v>43713</v>
      </c>
      <c r="F744" s="1" t="s">
        <v>14</v>
      </c>
      <c r="G744" s="1">
        <v>48</v>
      </c>
      <c r="H744" s="9"/>
      <c r="J744" s="1">
        <v>2430.3658999999998</v>
      </c>
      <c r="N744" s="1" t="s">
        <v>8</v>
      </c>
      <c r="O744" s="1">
        <v>11</v>
      </c>
    </row>
    <row r="745" spans="4:15" x14ac:dyDescent="0.3">
      <c r="D745" s="1">
        <v>34976</v>
      </c>
      <c r="E745" s="2">
        <v>43793</v>
      </c>
      <c r="F745" s="1" t="s">
        <v>14</v>
      </c>
      <c r="G745" s="1">
        <v>45</v>
      </c>
      <c r="H745" s="9"/>
      <c r="J745" s="1">
        <v>4788.25</v>
      </c>
      <c r="N745" s="1" t="s">
        <v>13</v>
      </c>
      <c r="O745" s="1">
        <v>79.599999999999994</v>
      </c>
    </row>
    <row r="746" spans="4:15" x14ac:dyDescent="0.3">
      <c r="D746" s="1">
        <v>39652</v>
      </c>
      <c r="E746" s="2">
        <v>43589</v>
      </c>
      <c r="F746" s="1" t="s">
        <v>7</v>
      </c>
      <c r="G746" s="1">
        <v>4</v>
      </c>
      <c r="H746" s="9"/>
      <c r="J746" s="1">
        <v>712.37</v>
      </c>
      <c r="N746" s="1" t="s">
        <v>10</v>
      </c>
      <c r="O746" s="1">
        <v>9.6</v>
      </c>
    </row>
    <row r="747" spans="4:15" x14ac:dyDescent="0.3">
      <c r="D747" s="1">
        <v>41766</v>
      </c>
      <c r="E747" s="2">
        <v>43719</v>
      </c>
      <c r="F747" s="1" t="s">
        <v>12</v>
      </c>
      <c r="G747" s="1">
        <v>7</v>
      </c>
      <c r="H747" s="9"/>
      <c r="J747" s="1">
        <v>292.56</v>
      </c>
      <c r="N747" s="1" t="s">
        <v>10</v>
      </c>
      <c r="O747" s="1">
        <v>15.8</v>
      </c>
    </row>
    <row r="748" spans="4:15" x14ac:dyDescent="0.3">
      <c r="D748" s="1">
        <v>17702</v>
      </c>
      <c r="E748" s="2">
        <v>43568</v>
      </c>
      <c r="F748" s="1" t="s">
        <v>9</v>
      </c>
      <c r="G748" s="1">
        <v>9</v>
      </c>
      <c r="H748" s="9"/>
      <c r="J748" s="1">
        <v>283.14999999999998</v>
      </c>
      <c r="N748" s="1" t="s">
        <v>8</v>
      </c>
      <c r="O748" s="1">
        <v>4.3</v>
      </c>
    </row>
    <row r="749" spans="4:15" x14ac:dyDescent="0.3">
      <c r="D749" s="1">
        <v>4416</v>
      </c>
      <c r="E749" s="2">
        <v>43645</v>
      </c>
      <c r="F749" s="1" t="s">
        <v>7</v>
      </c>
      <c r="G749" s="1">
        <v>46</v>
      </c>
      <c r="H749" s="9"/>
      <c r="J749" s="1">
        <v>7962.18</v>
      </c>
      <c r="N749" s="1" t="s">
        <v>10</v>
      </c>
      <c r="O749" s="1">
        <v>21.4</v>
      </c>
    </row>
    <row r="750" spans="4:15" x14ac:dyDescent="0.3">
      <c r="D750" s="1">
        <v>49062</v>
      </c>
      <c r="E750" s="2">
        <v>43566</v>
      </c>
      <c r="F750" s="1" t="s">
        <v>7</v>
      </c>
      <c r="G750" s="1">
        <v>33</v>
      </c>
      <c r="H750" s="9"/>
      <c r="J750" s="1">
        <v>110.55</v>
      </c>
      <c r="N750" s="1" t="s">
        <v>10</v>
      </c>
      <c r="O750" s="1">
        <v>2.2000000000000002</v>
      </c>
    </row>
    <row r="751" spans="4:15" x14ac:dyDescent="0.3">
      <c r="D751" s="1">
        <v>22916</v>
      </c>
      <c r="E751" s="2">
        <v>43497</v>
      </c>
      <c r="F751" s="1" t="s">
        <v>14</v>
      </c>
      <c r="G751" s="1">
        <v>18</v>
      </c>
      <c r="H751" s="9"/>
      <c r="J751" s="1">
        <v>130.56</v>
      </c>
      <c r="N751" s="1" t="s">
        <v>10</v>
      </c>
      <c r="O751" s="1">
        <v>10.8</v>
      </c>
    </row>
    <row r="752" spans="4:15" x14ac:dyDescent="0.3">
      <c r="D752" s="1">
        <v>56514</v>
      </c>
      <c r="E752" s="2">
        <v>43506</v>
      </c>
      <c r="F752" s="1" t="s">
        <v>7</v>
      </c>
      <c r="G752" s="1">
        <v>35</v>
      </c>
      <c r="H752" s="9"/>
      <c r="J752" s="1">
        <v>199.97</v>
      </c>
      <c r="N752" s="1" t="s">
        <v>10</v>
      </c>
      <c r="O752" s="1">
        <v>8.1</v>
      </c>
    </row>
    <row r="753" spans="4:15" x14ac:dyDescent="0.3">
      <c r="D753" s="1">
        <v>3973</v>
      </c>
      <c r="E753" s="2">
        <v>43547</v>
      </c>
      <c r="F753" s="1" t="s">
        <v>11</v>
      </c>
      <c r="G753" s="1">
        <v>21</v>
      </c>
      <c r="H753" s="9"/>
      <c r="J753" s="1">
        <v>338.49</v>
      </c>
      <c r="N753" s="1" t="s">
        <v>10</v>
      </c>
      <c r="O753" s="1">
        <v>4</v>
      </c>
    </row>
    <row r="754" spans="4:15" x14ac:dyDescent="0.3">
      <c r="D754" s="1">
        <v>5891</v>
      </c>
      <c r="E754" s="2">
        <v>43827</v>
      </c>
      <c r="F754" s="1" t="s">
        <v>14</v>
      </c>
      <c r="G754" s="1">
        <v>2</v>
      </c>
      <c r="H754" s="9"/>
      <c r="J754" s="1">
        <v>47.56</v>
      </c>
      <c r="N754" s="1" t="s">
        <v>10</v>
      </c>
      <c r="O754" s="1">
        <v>1.6</v>
      </c>
    </row>
    <row r="755" spans="4:15" x14ac:dyDescent="0.3">
      <c r="D755" s="1">
        <v>17959</v>
      </c>
      <c r="E755" s="2">
        <v>43717</v>
      </c>
      <c r="F755" s="1" t="s">
        <v>14</v>
      </c>
      <c r="G755" s="1">
        <v>28</v>
      </c>
      <c r="H755" s="9"/>
      <c r="J755" s="1">
        <v>1285.8</v>
      </c>
      <c r="N755" s="1" t="s">
        <v>10</v>
      </c>
      <c r="O755" s="1">
        <v>21.4</v>
      </c>
    </row>
    <row r="756" spans="4:15" x14ac:dyDescent="0.3">
      <c r="D756" s="1">
        <v>30054</v>
      </c>
      <c r="E756" s="2">
        <v>43709</v>
      </c>
      <c r="F756" s="1" t="s">
        <v>11</v>
      </c>
      <c r="G756" s="1">
        <v>33</v>
      </c>
      <c r="H756" s="9"/>
      <c r="J756" s="1">
        <v>332.97</v>
      </c>
      <c r="N756" s="1" t="s">
        <v>10</v>
      </c>
      <c r="O756" s="1">
        <v>5.3</v>
      </c>
    </row>
    <row r="757" spans="4:15" x14ac:dyDescent="0.3">
      <c r="D757" s="1">
        <v>58113</v>
      </c>
      <c r="E757" s="2">
        <v>43496</v>
      </c>
      <c r="F757" s="1" t="s">
        <v>9</v>
      </c>
      <c r="G757" s="1">
        <v>48</v>
      </c>
      <c r="H757" s="9"/>
      <c r="J757" s="1">
        <v>388.1</v>
      </c>
      <c r="N757" s="1" t="s">
        <v>10</v>
      </c>
      <c r="O757" s="1">
        <v>6.6</v>
      </c>
    </row>
    <row r="758" spans="4:15" x14ac:dyDescent="0.3">
      <c r="D758" s="1">
        <v>39783</v>
      </c>
      <c r="E758" s="2">
        <v>43728</v>
      </c>
      <c r="F758" s="1" t="s">
        <v>11</v>
      </c>
      <c r="G758" s="1">
        <v>31</v>
      </c>
      <c r="H758" s="9"/>
      <c r="J758" s="1">
        <v>316.69</v>
      </c>
      <c r="N758" s="1" t="s">
        <v>10</v>
      </c>
      <c r="O758" s="1">
        <v>6</v>
      </c>
    </row>
    <row r="759" spans="4:15" x14ac:dyDescent="0.3">
      <c r="D759" s="1">
        <v>24067</v>
      </c>
      <c r="E759" s="2">
        <v>43699</v>
      </c>
      <c r="F759" s="1" t="s">
        <v>9</v>
      </c>
      <c r="G759" s="1">
        <v>30</v>
      </c>
      <c r="H759" s="9"/>
      <c r="J759" s="1">
        <v>137.22999999999999</v>
      </c>
      <c r="N759" s="1" t="s">
        <v>8</v>
      </c>
      <c r="O759" s="1">
        <v>5.6</v>
      </c>
    </row>
    <row r="760" spans="4:15" x14ac:dyDescent="0.3">
      <c r="D760" s="1">
        <v>42753</v>
      </c>
      <c r="E760" s="2">
        <v>43482</v>
      </c>
      <c r="F760" s="1" t="s">
        <v>14</v>
      </c>
      <c r="G760" s="1">
        <v>45</v>
      </c>
      <c r="H760" s="9"/>
      <c r="J760" s="1">
        <v>4357.91</v>
      </c>
      <c r="N760" s="1" t="s">
        <v>10</v>
      </c>
      <c r="O760" s="1">
        <v>3.2</v>
      </c>
    </row>
    <row r="761" spans="4:15" x14ac:dyDescent="0.3">
      <c r="D761" s="1">
        <v>52225</v>
      </c>
      <c r="E761" s="2">
        <v>43567</v>
      </c>
      <c r="F761" s="1" t="s">
        <v>12</v>
      </c>
      <c r="G761" s="1">
        <v>33</v>
      </c>
      <c r="H761" s="9"/>
      <c r="J761" s="1">
        <v>1945.15</v>
      </c>
      <c r="N761" s="1" t="s">
        <v>10</v>
      </c>
      <c r="O761" s="1">
        <v>11.5</v>
      </c>
    </row>
    <row r="762" spans="4:15" x14ac:dyDescent="0.3">
      <c r="D762" s="1">
        <v>17702</v>
      </c>
      <c r="E762" s="2">
        <v>43568</v>
      </c>
      <c r="F762" s="1" t="s">
        <v>9</v>
      </c>
      <c r="G762" s="1">
        <v>48</v>
      </c>
      <c r="H762" s="9"/>
      <c r="J762" s="1">
        <v>394.82</v>
      </c>
      <c r="N762" s="1" t="s">
        <v>10</v>
      </c>
      <c r="O762" s="1">
        <v>9.9</v>
      </c>
    </row>
    <row r="763" spans="4:15" x14ac:dyDescent="0.3">
      <c r="D763" s="1">
        <v>42469</v>
      </c>
      <c r="E763" s="2">
        <v>43777</v>
      </c>
      <c r="F763" s="1" t="s">
        <v>11</v>
      </c>
      <c r="G763" s="1">
        <v>18</v>
      </c>
      <c r="H763" s="9"/>
      <c r="J763" s="1">
        <v>2279.9774000000002</v>
      </c>
      <c r="N763" s="1" t="s">
        <v>10</v>
      </c>
      <c r="O763" s="1">
        <v>9.6999999999999993</v>
      </c>
    </row>
    <row r="764" spans="4:15" x14ac:dyDescent="0.3">
      <c r="D764" s="1">
        <v>52645</v>
      </c>
      <c r="E764" s="2">
        <v>43531</v>
      </c>
      <c r="F764" s="1" t="s">
        <v>7</v>
      </c>
      <c r="G764" s="1">
        <v>11</v>
      </c>
      <c r="H764" s="9"/>
      <c r="J764" s="1">
        <v>68.84</v>
      </c>
      <c r="N764" s="1" t="s">
        <v>10</v>
      </c>
      <c r="O764" s="1">
        <v>2.4</v>
      </c>
    </row>
    <row r="765" spans="4:15" x14ac:dyDescent="0.3">
      <c r="D765" s="1">
        <v>28742</v>
      </c>
      <c r="E765" s="2">
        <v>43584</v>
      </c>
      <c r="F765" s="1" t="s">
        <v>7</v>
      </c>
      <c r="G765" s="1">
        <v>7</v>
      </c>
      <c r="H765" s="9"/>
      <c r="J765" s="1">
        <v>2323.4699999999998</v>
      </c>
      <c r="N765" s="1" t="s">
        <v>13</v>
      </c>
      <c r="O765" s="1">
        <v>91.6</v>
      </c>
    </row>
    <row r="766" spans="4:15" x14ac:dyDescent="0.3">
      <c r="D766" s="1">
        <v>5121</v>
      </c>
      <c r="E766" s="2">
        <v>43595</v>
      </c>
      <c r="F766" s="1" t="s">
        <v>11</v>
      </c>
      <c r="G766" s="1">
        <v>45</v>
      </c>
      <c r="H766" s="9"/>
      <c r="J766" s="1">
        <v>2131.12</v>
      </c>
      <c r="N766" s="1" t="s">
        <v>10</v>
      </c>
      <c r="O766" s="1">
        <v>1.3</v>
      </c>
    </row>
    <row r="767" spans="4:15" x14ac:dyDescent="0.3">
      <c r="D767" s="1">
        <v>12711</v>
      </c>
      <c r="E767" s="2">
        <v>43514</v>
      </c>
      <c r="F767" s="1" t="s">
        <v>12</v>
      </c>
      <c r="G767" s="1">
        <v>45</v>
      </c>
      <c r="H767" s="9"/>
      <c r="J767" s="1">
        <v>597.1</v>
      </c>
      <c r="N767" s="1" t="s">
        <v>10</v>
      </c>
      <c r="O767" s="1">
        <v>3.4</v>
      </c>
    </row>
    <row r="768" spans="4:15" x14ac:dyDescent="0.3">
      <c r="D768" s="1">
        <v>2146</v>
      </c>
      <c r="E768" s="2">
        <v>43721</v>
      </c>
      <c r="F768" s="1" t="s">
        <v>11</v>
      </c>
      <c r="G768" s="1">
        <v>44</v>
      </c>
      <c r="H768" s="9"/>
      <c r="J768" s="1">
        <v>121.67</v>
      </c>
      <c r="N768" s="1" t="s">
        <v>10</v>
      </c>
      <c r="O768" s="1">
        <v>0.5</v>
      </c>
    </row>
    <row r="769" spans="4:15" x14ac:dyDescent="0.3">
      <c r="D769" s="1">
        <v>21605</v>
      </c>
      <c r="E769" s="2">
        <v>43563</v>
      </c>
      <c r="F769" s="1" t="s">
        <v>9</v>
      </c>
      <c r="G769" s="1">
        <v>32</v>
      </c>
      <c r="H769" s="9"/>
      <c r="J769" s="1">
        <v>2068.2800000000002</v>
      </c>
      <c r="N769" s="1" t="s">
        <v>13</v>
      </c>
      <c r="O769" s="1">
        <v>32.1</v>
      </c>
    </row>
    <row r="770" spans="4:15" x14ac:dyDescent="0.3">
      <c r="D770" s="1">
        <v>31270</v>
      </c>
      <c r="E770" s="2">
        <v>43792</v>
      </c>
      <c r="F770" s="1" t="s">
        <v>14</v>
      </c>
      <c r="G770" s="1">
        <v>5</v>
      </c>
      <c r="H770" s="9"/>
      <c r="J770" s="1">
        <v>176.59</v>
      </c>
      <c r="N770" s="1" t="s">
        <v>10</v>
      </c>
      <c r="O770" s="1">
        <v>9.3000000000000007</v>
      </c>
    </row>
    <row r="771" spans="4:15" x14ac:dyDescent="0.3">
      <c r="D771" s="1">
        <v>41378</v>
      </c>
      <c r="E771" s="2">
        <v>43767</v>
      </c>
      <c r="F771" s="1" t="s">
        <v>11</v>
      </c>
      <c r="G771" s="1">
        <v>30</v>
      </c>
      <c r="H771" s="9"/>
      <c r="J771" s="1">
        <v>5836.33</v>
      </c>
      <c r="N771" s="1" t="s">
        <v>13</v>
      </c>
      <c r="O771" s="1">
        <v>32.1</v>
      </c>
    </row>
    <row r="772" spans="4:15" x14ac:dyDescent="0.3">
      <c r="D772" s="1">
        <v>49954</v>
      </c>
      <c r="E772" s="2">
        <v>43522</v>
      </c>
      <c r="F772" s="1" t="s">
        <v>12</v>
      </c>
      <c r="G772" s="1">
        <v>36</v>
      </c>
      <c r="H772" s="9"/>
      <c r="J772" s="1">
        <v>2055.61</v>
      </c>
      <c r="N772" s="1" t="s">
        <v>10</v>
      </c>
      <c r="O772" s="1">
        <v>9.6</v>
      </c>
    </row>
    <row r="773" spans="4:15" x14ac:dyDescent="0.3">
      <c r="D773" s="1">
        <v>322</v>
      </c>
      <c r="E773" s="2">
        <v>43542</v>
      </c>
      <c r="F773" s="1" t="s">
        <v>12</v>
      </c>
      <c r="G773" s="1">
        <v>20</v>
      </c>
      <c r="H773" s="9"/>
      <c r="J773" s="1">
        <v>2819.3</v>
      </c>
      <c r="N773" s="1" t="s">
        <v>10</v>
      </c>
      <c r="O773" s="1">
        <v>8.6</v>
      </c>
    </row>
    <row r="774" spans="4:15" x14ac:dyDescent="0.3">
      <c r="D774" s="1">
        <v>3655</v>
      </c>
      <c r="E774" s="2">
        <v>43743</v>
      </c>
      <c r="F774" s="1" t="s">
        <v>12</v>
      </c>
      <c r="G774" s="1">
        <v>3</v>
      </c>
      <c r="H774" s="9"/>
      <c r="J774" s="1">
        <v>66.92</v>
      </c>
      <c r="N774" s="1" t="s">
        <v>10</v>
      </c>
      <c r="O774" s="1">
        <v>14.1</v>
      </c>
    </row>
    <row r="775" spans="4:15" x14ac:dyDescent="0.3">
      <c r="D775" s="1">
        <v>24098</v>
      </c>
      <c r="E775" s="2">
        <v>43572</v>
      </c>
      <c r="F775" s="1" t="s">
        <v>12</v>
      </c>
      <c r="G775" s="1">
        <v>42</v>
      </c>
      <c r="H775" s="9"/>
      <c r="J775" s="1">
        <v>213.55</v>
      </c>
      <c r="N775" s="1" t="s">
        <v>10</v>
      </c>
      <c r="O775" s="1">
        <v>1.6</v>
      </c>
    </row>
    <row r="776" spans="4:15" x14ac:dyDescent="0.3">
      <c r="D776" s="1">
        <v>43270</v>
      </c>
      <c r="E776" s="2">
        <v>43709</v>
      </c>
      <c r="F776" s="1" t="s">
        <v>12</v>
      </c>
      <c r="G776" s="1">
        <v>35</v>
      </c>
      <c r="H776" s="9"/>
      <c r="J776" s="1">
        <v>367.99</v>
      </c>
      <c r="N776" s="1" t="s">
        <v>10</v>
      </c>
      <c r="O776" s="1">
        <v>1.1000000000000001</v>
      </c>
    </row>
    <row r="777" spans="4:15" x14ac:dyDescent="0.3">
      <c r="D777" s="1">
        <v>9573</v>
      </c>
      <c r="E777" s="2">
        <v>43629</v>
      </c>
      <c r="F777" s="1" t="s">
        <v>14</v>
      </c>
      <c r="G777" s="1">
        <v>41</v>
      </c>
      <c r="H777" s="9"/>
      <c r="J777" s="1">
        <v>142.56</v>
      </c>
      <c r="N777" s="1" t="s">
        <v>10</v>
      </c>
      <c r="O777" s="1">
        <v>2.1</v>
      </c>
    </row>
    <row r="778" spans="4:15" x14ac:dyDescent="0.3">
      <c r="D778" s="1">
        <v>49442</v>
      </c>
      <c r="E778" s="2">
        <v>43686</v>
      </c>
      <c r="F778" s="1" t="s">
        <v>9</v>
      </c>
      <c r="G778" s="1">
        <v>11</v>
      </c>
      <c r="H778" s="9"/>
      <c r="J778" s="1">
        <v>140.30000000000001</v>
      </c>
      <c r="N778" s="1" t="s">
        <v>10</v>
      </c>
      <c r="O778" s="1">
        <v>7.7</v>
      </c>
    </row>
    <row r="779" spans="4:15" x14ac:dyDescent="0.3">
      <c r="D779" s="1">
        <v>33570</v>
      </c>
      <c r="E779" s="2">
        <v>43815</v>
      </c>
      <c r="F779" s="1" t="s">
        <v>11</v>
      </c>
      <c r="G779" s="1">
        <v>19</v>
      </c>
      <c r="H779" s="9"/>
      <c r="J779" s="1">
        <v>3310.43</v>
      </c>
      <c r="N779" s="1" t="s">
        <v>10</v>
      </c>
      <c r="O779" s="1">
        <v>5.6</v>
      </c>
    </row>
    <row r="780" spans="4:15" x14ac:dyDescent="0.3">
      <c r="D780" s="1">
        <v>41760</v>
      </c>
      <c r="E780" s="2">
        <v>43491</v>
      </c>
      <c r="F780" s="1" t="s">
        <v>7</v>
      </c>
      <c r="G780" s="1">
        <v>21</v>
      </c>
      <c r="H780" s="9"/>
      <c r="J780" s="1">
        <v>7156.87</v>
      </c>
      <c r="N780" s="1" t="s">
        <v>10</v>
      </c>
      <c r="O780" s="1">
        <v>21.4</v>
      </c>
    </row>
    <row r="781" spans="4:15" x14ac:dyDescent="0.3">
      <c r="D781" s="1">
        <v>9892</v>
      </c>
      <c r="E781" s="2">
        <v>43662</v>
      </c>
      <c r="F781" s="1" t="s">
        <v>14</v>
      </c>
      <c r="G781" s="1">
        <v>50</v>
      </c>
      <c r="H781" s="9"/>
      <c r="J781" s="1">
        <v>1505.1</v>
      </c>
      <c r="N781" s="1" t="s">
        <v>10</v>
      </c>
      <c r="O781" s="1">
        <v>8.8000000000000007</v>
      </c>
    </row>
    <row r="782" spans="4:15" x14ac:dyDescent="0.3">
      <c r="D782" s="1">
        <v>1154</v>
      </c>
      <c r="E782" s="2">
        <v>43509</v>
      </c>
      <c r="F782" s="1" t="s">
        <v>12</v>
      </c>
      <c r="G782" s="1">
        <v>7</v>
      </c>
      <c r="H782" s="9"/>
      <c r="J782" s="1">
        <v>552.82000000000005</v>
      </c>
      <c r="N782" s="1" t="s">
        <v>8</v>
      </c>
      <c r="O782" s="1">
        <v>3.7</v>
      </c>
    </row>
    <row r="783" spans="4:15" x14ac:dyDescent="0.3">
      <c r="D783" s="1">
        <v>55968</v>
      </c>
      <c r="E783" s="2">
        <v>43738</v>
      </c>
      <c r="F783" s="1" t="s">
        <v>7</v>
      </c>
      <c r="G783" s="1">
        <v>40</v>
      </c>
      <c r="H783" s="9"/>
      <c r="J783" s="1">
        <v>78.77</v>
      </c>
      <c r="N783" s="1" t="s">
        <v>10</v>
      </c>
      <c r="O783" s="1">
        <v>1.1000000000000001</v>
      </c>
    </row>
    <row r="784" spans="4:15" x14ac:dyDescent="0.3">
      <c r="D784" s="1">
        <v>53445</v>
      </c>
      <c r="E784" s="2">
        <v>43762</v>
      </c>
      <c r="F784" s="1" t="s">
        <v>9</v>
      </c>
      <c r="G784" s="1">
        <v>21</v>
      </c>
      <c r="H784" s="9"/>
      <c r="J784" s="1">
        <v>78.97</v>
      </c>
      <c r="N784" s="1" t="s">
        <v>10</v>
      </c>
      <c r="O784" s="1">
        <v>1.4</v>
      </c>
    </row>
    <row r="785" spans="4:15" x14ac:dyDescent="0.3">
      <c r="D785" s="1">
        <v>41312</v>
      </c>
      <c r="E785" s="2">
        <v>43495</v>
      </c>
      <c r="F785" s="1" t="s">
        <v>11</v>
      </c>
      <c r="G785" s="1">
        <v>21</v>
      </c>
      <c r="H785" s="9"/>
      <c r="J785" s="1">
        <v>842.76</v>
      </c>
      <c r="N785" s="1" t="s">
        <v>10</v>
      </c>
      <c r="O785" s="1">
        <v>2.1</v>
      </c>
    </row>
    <row r="786" spans="4:15" x14ac:dyDescent="0.3">
      <c r="D786" s="1">
        <v>22434</v>
      </c>
      <c r="E786" s="2">
        <v>43706</v>
      </c>
      <c r="F786" s="1" t="s">
        <v>12</v>
      </c>
      <c r="G786" s="1">
        <v>3</v>
      </c>
      <c r="H786" s="9"/>
      <c r="J786" s="1">
        <v>20.010000000000002</v>
      </c>
      <c r="N786" s="1" t="s">
        <v>10</v>
      </c>
      <c r="O786" s="1">
        <v>6.2</v>
      </c>
    </row>
    <row r="787" spans="4:15" x14ac:dyDescent="0.3">
      <c r="D787" s="1">
        <v>43138</v>
      </c>
      <c r="E787" s="2">
        <v>43538</v>
      </c>
      <c r="F787" s="1" t="s">
        <v>7</v>
      </c>
      <c r="G787" s="1">
        <v>43</v>
      </c>
      <c r="H787" s="9"/>
      <c r="J787" s="1">
        <v>1427.43</v>
      </c>
      <c r="N787" s="1" t="s">
        <v>10</v>
      </c>
      <c r="O787" s="1">
        <v>3.2</v>
      </c>
    </row>
    <row r="788" spans="4:15" x14ac:dyDescent="0.3">
      <c r="D788" s="1">
        <v>12804</v>
      </c>
      <c r="E788" s="2">
        <v>43610</v>
      </c>
      <c r="F788" s="1" t="s">
        <v>14</v>
      </c>
      <c r="G788" s="1">
        <v>21</v>
      </c>
      <c r="H788" s="9"/>
      <c r="J788" s="1">
        <v>73.89</v>
      </c>
      <c r="N788" s="1" t="s">
        <v>10</v>
      </c>
      <c r="O788" s="1">
        <v>0.5</v>
      </c>
    </row>
    <row r="789" spans="4:15" x14ac:dyDescent="0.3">
      <c r="D789" s="1">
        <v>23809</v>
      </c>
      <c r="E789" s="2">
        <v>43620</v>
      </c>
      <c r="F789" s="1" t="s">
        <v>11</v>
      </c>
      <c r="G789" s="1">
        <v>7</v>
      </c>
      <c r="H789" s="9"/>
      <c r="J789" s="1">
        <v>92.67</v>
      </c>
      <c r="N789" s="1" t="s">
        <v>10</v>
      </c>
      <c r="O789" s="1">
        <v>1.6</v>
      </c>
    </row>
    <row r="790" spans="4:15" x14ac:dyDescent="0.3">
      <c r="D790" s="1">
        <v>49889</v>
      </c>
      <c r="E790" s="2">
        <v>43811</v>
      </c>
      <c r="F790" s="1" t="s">
        <v>12</v>
      </c>
      <c r="G790" s="1">
        <v>21</v>
      </c>
      <c r="H790" s="9"/>
      <c r="J790" s="1">
        <v>66.28</v>
      </c>
      <c r="N790" s="1" t="s">
        <v>8</v>
      </c>
      <c r="O790" s="1">
        <v>2.2000000000000002</v>
      </c>
    </row>
    <row r="791" spans="4:15" x14ac:dyDescent="0.3">
      <c r="D791" s="1">
        <v>30405</v>
      </c>
      <c r="E791" s="2">
        <v>43583</v>
      </c>
      <c r="F791" s="1" t="s">
        <v>7</v>
      </c>
      <c r="G791" s="1">
        <v>7</v>
      </c>
      <c r="H791" s="9"/>
      <c r="J791" s="1">
        <v>2984.26</v>
      </c>
      <c r="N791" s="1" t="s">
        <v>13</v>
      </c>
      <c r="O791" s="1">
        <v>45.5</v>
      </c>
    </row>
    <row r="792" spans="4:15" x14ac:dyDescent="0.3">
      <c r="D792" s="1">
        <v>51140</v>
      </c>
      <c r="E792" s="2">
        <v>43722</v>
      </c>
      <c r="F792" s="1" t="s">
        <v>7</v>
      </c>
      <c r="G792" s="1">
        <v>14</v>
      </c>
      <c r="H792" s="9"/>
      <c r="J792" s="1">
        <v>670.17</v>
      </c>
      <c r="N792" s="1" t="s">
        <v>10</v>
      </c>
      <c r="O792" s="1">
        <v>2.1</v>
      </c>
    </row>
    <row r="793" spans="4:15" x14ac:dyDescent="0.3">
      <c r="D793" s="1">
        <v>42758</v>
      </c>
      <c r="E793" s="2">
        <v>43779</v>
      </c>
      <c r="F793" s="1" t="s">
        <v>12</v>
      </c>
      <c r="G793" s="1">
        <v>42</v>
      </c>
      <c r="H793" s="9"/>
      <c r="J793" s="1">
        <v>682.73</v>
      </c>
      <c r="N793" s="1" t="s">
        <v>10</v>
      </c>
      <c r="O793" s="1">
        <v>2.1</v>
      </c>
    </row>
    <row r="794" spans="4:15" x14ac:dyDescent="0.3">
      <c r="D794" s="1">
        <v>28934</v>
      </c>
      <c r="E794" s="2">
        <v>43797</v>
      </c>
      <c r="F794" s="1" t="s">
        <v>14</v>
      </c>
      <c r="G794" s="1">
        <v>12</v>
      </c>
      <c r="H794" s="9"/>
      <c r="J794" s="1">
        <v>1361.41</v>
      </c>
      <c r="N794" s="1" t="s">
        <v>10</v>
      </c>
      <c r="O794" s="1">
        <v>7.7</v>
      </c>
    </row>
    <row r="795" spans="4:15" x14ac:dyDescent="0.3">
      <c r="D795" s="1">
        <v>18368</v>
      </c>
      <c r="E795" s="2">
        <v>43799</v>
      </c>
      <c r="F795" s="1" t="s">
        <v>11</v>
      </c>
      <c r="G795" s="1">
        <v>35</v>
      </c>
      <c r="H795" s="9"/>
      <c r="J795" s="1">
        <v>1364.9</v>
      </c>
      <c r="N795" s="1" t="s">
        <v>10</v>
      </c>
      <c r="O795" s="1">
        <v>5.4</v>
      </c>
    </row>
    <row r="796" spans="4:15" x14ac:dyDescent="0.3">
      <c r="D796" s="1">
        <v>49798</v>
      </c>
      <c r="E796" s="2">
        <v>43807</v>
      </c>
      <c r="F796" s="1" t="s">
        <v>12</v>
      </c>
      <c r="G796" s="1">
        <v>5</v>
      </c>
      <c r="H796" s="9"/>
      <c r="J796" s="1">
        <v>1524.7</v>
      </c>
      <c r="N796" s="1" t="s">
        <v>13</v>
      </c>
      <c r="O796" s="1">
        <v>61</v>
      </c>
    </row>
    <row r="797" spans="4:15" x14ac:dyDescent="0.3">
      <c r="D797" s="1">
        <v>20807</v>
      </c>
      <c r="E797" s="2">
        <v>43667</v>
      </c>
      <c r="F797" s="1" t="s">
        <v>11</v>
      </c>
      <c r="G797" s="1">
        <v>39</v>
      </c>
      <c r="H797" s="9"/>
      <c r="J797" s="1">
        <v>6583.2</v>
      </c>
      <c r="N797" s="1" t="s">
        <v>13</v>
      </c>
      <c r="O797" s="1">
        <v>32.1</v>
      </c>
    </row>
    <row r="798" spans="4:15" x14ac:dyDescent="0.3">
      <c r="D798" s="1">
        <v>32902</v>
      </c>
      <c r="E798" s="2">
        <v>43527</v>
      </c>
      <c r="F798" s="1" t="s">
        <v>9</v>
      </c>
      <c r="G798" s="1">
        <v>8</v>
      </c>
      <c r="H798" s="9"/>
      <c r="J798" s="1">
        <v>68.59</v>
      </c>
      <c r="N798" s="1" t="s">
        <v>10</v>
      </c>
      <c r="O798" s="1">
        <v>9</v>
      </c>
    </row>
    <row r="799" spans="4:15" x14ac:dyDescent="0.3">
      <c r="D799" s="1">
        <v>52007</v>
      </c>
      <c r="E799" s="2">
        <v>43569</v>
      </c>
      <c r="F799" s="1" t="s">
        <v>14</v>
      </c>
      <c r="G799" s="1">
        <v>19</v>
      </c>
      <c r="H799" s="9"/>
      <c r="J799" s="1">
        <v>11075.58</v>
      </c>
      <c r="N799" s="1" t="s">
        <v>13</v>
      </c>
      <c r="O799" s="1">
        <v>48.9</v>
      </c>
    </row>
    <row r="800" spans="4:15" x14ac:dyDescent="0.3">
      <c r="D800" s="1">
        <v>45284</v>
      </c>
      <c r="E800" s="2">
        <v>43471</v>
      </c>
      <c r="F800" s="1" t="s">
        <v>9</v>
      </c>
      <c r="G800" s="1">
        <v>7</v>
      </c>
      <c r="H800" s="9"/>
      <c r="J800" s="1">
        <v>97.830100000000002</v>
      </c>
      <c r="N800" s="1" t="s">
        <v>10</v>
      </c>
      <c r="O800" s="1">
        <v>9.6</v>
      </c>
    </row>
    <row r="801" spans="4:15" x14ac:dyDescent="0.3">
      <c r="D801" s="1">
        <v>30913</v>
      </c>
      <c r="E801" s="2">
        <v>43730</v>
      </c>
      <c r="F801" s="1" t="s">
        <v>14</v>
      </c>
      <c r="G801" s="1">
        <v>23</v>
      </c>
      <c r="H801" s="9"/>
      <c r="J801" s="1">
        <v>153.11699999999999</v>
      </c>
      <c r="N801" s="1" t="s">
        <v>10</v>
      </c>
      <c r="O801" s="1">
        <v>1.6</v>
      </c>
    </row>
    <row r="802" spans="4:15" x14ac:dyDescent="0.3">
      <c r="D802" s="1">
        <v>59202</v>
      </c>
      <c r="E802" s="2">
        <v>43716</v>
      </c>
      <c r="F802" s="1" t="s">
        <v>14</v>
      </c>
      <c r="G802" s="1">
        <v>7</v>
      </c>
      <c r="H802" s="9"/>
      <c r="J802" s="1">
        <v>89.68</v>
      </c>
      <c r="N802" s="1" t="s">
        <v>10</v>
      </c>
      <c r="O802" s="1">
        <v>0.5</v>
      </c>
    </row>
    <row r="803" spans="4:15" x14ac:dyDescent="0.3">
      <c r="D803" s="1">
        <v>16706</v>
      </c>
      <c r="E803" s="2">
        <v>43643</v>
      </c>
      <c r="F803" s="1" t="s">
        <v>9</v>
      </c>
      <c r="G803" s="1">
        <v>49</v>
      </c>
      <c r="H803" s="9"/>
      <c r="J803" s="1">
        <v>6608.08</v>
      </c>
      <c r="N803" s="1" t="s">
        <v>8</v>
      </c>
      <c r="O803" s="1">
        <v>4.2</v>
      </c>
    </row>
    <row r="804" spans="4:15" x14ac:dyDescent="0.3">
      <c r="D804" s="1">
        <v>8007</v>
      </c>
      <c r="E804" s="2">
        <v>43506</v>
      </c>
      <c r="F804" s="1" t="s">
        <v>7</v>
      </c>
      <c r="G804" s="1">
        <v>35</v>
      </c>
      <c r="H804" s="9"/>
      <c r="J804" s="1">
        <v>3565.3</v>
      </c>
      <c r="N804" s="1" t="s">
        <v>10</v>
      </c>
      <c r="O804" s="1">
        <v>21.4</v>
      </c>
    </row>
    <row r="805" spans="4:15" x14ac:dyDescent="0.3">
      <c r="D805" s="1">
        <v>24707</v>
      </c>
      <c r="E805" s="2">
        <v>43534</v>
      </c>
      <c r="F805" s="1" t="s">
        <v>14</v>
      </c>
      <c r="G805" s="1">
        <v>3</v>
      </c>
      <c r="H805" s="9"/>
      <c r="J805" s="1">
        <v>5.29</v>
      </c>
      <c r="N805" s="1" t="s">
        <v>10</v>
      </c>
      <c r="O805" s="1">
        <v>0.7</v>
      </c>
    </row>
    <row r="806" spans="4:15" x14ac:dyDescent="0.3">
      <c r="D806" s="1">
        <v>4067</v>
      </c>
      <c r="E806" s="2">
        <v>43744</v>
      </c>
      <c r="F806" s="1" t="s">
        <v>9</v>
      </c>
      <c r="G806" s="1">
        <v>16</v>
      </c>
      <c r="H806" s="9"/>
      <c r="J806" s="1">
        <v>126.67</v>
      </c>
      <c r="N806" s="1" t="s">
        <v>10</v>
      </c>
      <c r="O806" s="1">
        <v>6.5</v>
      </c>
    </row>
    <row r="807" spans="4:15" x14ac:dyDescent="0.3">
      <c r="D807" s="1">
        <v>16935</v>
      </c>
      <c r="E807" s="2">
        <v>43814</v>
      </c>
      <c r="F807" s="1" t="s">
        <v>11</v>
      </c>
      <c r="G807" s="1">
        <v>43</v>
      </c>
      <c r="H807" s="9"/>
      <c r="J807" s="1">
        <v>125.92</v>
      </c>
      <c r="N807" s="1" t="s">
        <v>8</v>
      </c>
      <c r="O807" s="1">
        <v>0.7</v>
      </c>
    </row>
    <row r="808" spans="4:15" x14ac:dyDescent="0.3">
      <c r="D808" s="1">
        <v>37315</v>
      </c>
      <c r="E808" s="2">
        <v>43621</v>
      </c>
      <c r="F808" s="1" t="s">
        <v>7</v>
      </c>
      <c r="G808" s="1">
        <v>31</v>
      </c>
      <c r="H808" s="9"/>
      <c r="J808" s="1">
        <v>5057.46</v>
      </c>
      <c r="N808" s="1" t="s">
        <v>8</v>
      </c>
      <c r="O808" s="1">
        <v>5.3</v>
      </c>
    </row>
    <row r="809" spans="4:15" x14ac:dyDescent="0.3">
      <c r="D809" s="1">
        <v>4069</v>
      </c>
      <c r="E809" s="2">
        <v>43597</v>
      </c>
      <c r="F809" s="1" t="s">
        <v>14</v>
      </c>
      <c r="G809" s="1">
        <v>30</v>
      </c>
      <c r="H809" s="9"/>
      <c r="J809" s="1">
        <v>83.95</v>
      </c>
      <c r="N809" s="1" t="s">
        <v>10</v>
      </c>
      <c r="O809" s="1">
        <v>0.9</v>
      </c>
    </row>
    <row r="810" spans="4:15" x14ac:dyDescent="0.3">
      <c r="D810" s="1">
        <v>3232</v>
      </c>
      <c r="E810" s="2">
        <v>43746</v>
      </c>
      <c r="F810" s="1" t="s">
        <v>12</v>
      </c>
      <c r="G810" s="1">
        <v>5</v>
      </c>
      <c r="H810" s="9"/>
      <c r="J810" s="1">
        <v>45.65</v>
      </c>
      <c r="N810" s="1" t="s">
        <v>10</v>
      </c>
      <c r="O810" s="1">
        <v>5</v>
      </c>
    </row>
    <row r="811" spans="4:15" x14ac:dyDescent="0.3">
      <c r="D811" s="1">
        <v>1925</v>
      </c>
      <c r="E811" s="2">
        <v>43528</v>
      </c>
      <c r="F811" s="1" t="s">
        <v>12</v>
      </c>
      <c r="G811" s="1">
        <v>7</v>
      </c>
      <c r="H811" s="9"/>
      <c r="J811" s="1">
        <v>2005.5759</v>
      </c>
      <c r="N811" s="1" t="s">
        <v>10</v>
      </c>
      <c r="O811" s="1">
        <v>26.2</v>
      </c>
    </row>
    <row r="812" spans="4:15" x14ac:dyDescent="0.3">
      <c r="D812" s="1">
        <v>24608</v>
      </c>
      <c r="E812" s="2">
        <v>43691</v>
      </c>
      <c r="F812" s="1" t="s">
        <v>14</v>
      </c>
      <c r="G812" s="1">
        <v>50</v>
      </c>
      <c r="H812" s="9"/>
      <c r="J812" s="1">
        <v>211.18</v>
      </c>
      <c r="N812" s="1" t="s">
        <v>10</v>
      </c>
      <c r="O812" s="1">
        <v>3.2</v>
      </c>
    </row>
    <row r="813" spans="4:15" x14ac:dyDescent="0.3">
      <c r="D813" s="1">
        <v>11108</v>
      </c>
      <c r="E813" s="2">
        <v>43693</v>
      </c>
      <c r="F813" s="1" t="s">
        <v>11</v>
      </c>
      <c r="G813" s="1">
        <v>20</v>
      </c>
      <c r="H813" s="9"/>
      <c r="J813" s="1">
        <v>140.93</v>
      </c>
      <c r="N813" s="1" t="s">
        <v>10</v>
      </c>
      <c r="O813" s="1">
        <v>6.1</v>
      </c>
    </row>
    <row r="814" spans="4:15" x14ac:dyDescent="0.3">
      <c r="D814" s="1">
        <v>13894</v>
      </c>
      <c r="E814" s="2">
        <v>43565</v>
      </c>
      <c r="F814" s="1" t="s">
        <v>14</v>
      </c>
      <c r="G814" s="1">
        <v>50</v>
      </c>
      <c r="H814" s="9"/>
      <c r="J814" s="1">
        <v>1648.1</v>
      </c>
      <c r="N814" s="1" t="s">
        <v>10</v>
      </c>
      <c r="O814" s="1">
        <v>1.3</v>
      </c>
    </row>
    <row r="815" spans="4:15" x14ac:dyDescent="0.3">
      <c r="D815" s="1">
        <v>34723</v>
      </c>
      <c r="E815" s="2">
        <v>43808</v>
      </c>
      <c r="F815" s="1" t="s">
        <v>14</v>
      </c>
      <c r="G815" s="1">
        <v>46</v>
      </c>
      <c r="H815" s="9"/>
      <c r="J815" s="1">
        <v>4040.62</v>
      </c>
      <c r="N815" s="1" t="s">
        <v>13</v>
      </c>
      <c r="O815" s="1">
        <v>32.200000000000003</v>
      </c>
    </row>
    <row r="816" spans="4:15" x14ac:dyDescent="0.3">
      <c r="D816" s="1">
        <v>54209</v>
      </c>
      <c r="E816" s="2">
        <v>43692</v>
      </c>
      <c r="F816" s="1" t="s">
        <v>14</v>
      </c>
      <c r="G816" s="1">
        <v>21</v>
      </c>
      <c r="H816" s="9"/>
      <c r="J816" s="1">
        <v>711.53819999999996</v>
      </c>
      <c r="N816" s="1" t="s">
        <v>10</v>
      </c>
      <c r="O816" s="1">
        <v>6.4</v>
      </c>
    </row>
    <row r="817" spans="4:15" x14ac:dyDescent="0.3">
      <c r="D817" s="1">
        <v>6500</v>
      </c>
      <c r="E817" s="2">
        <v>43750</v>
      </c>
      <c r="F817" s="1" t="s">
        <v>12</v>
      </c>
      <c r="G817" s="1">
        <v>20</v>
      </c>
      <c r="H817" s="9"/>
      <c r="J817" s="1">
        <v>40.97</v>
      </c>
      <c r="N817" s="1" t="s">
        <v>10</v>
      </c>
      <c r="O817" s="1">
        <v>1.7</v>
      </c>
    </row>
    <row r="818" spans="4:15" x14ac:dyDescent="0.3">
      <c r="D818" s="1">
        <v>9861</v>
      </c>
      <c r="E818" s="2">
        <v>43766</v>
      </c>
      <c r="F818" s="1" t="s">
        <v>7</v>
      </c>
      <c r="G818" s="1">
        <v>47</v>
      </c>
      <c r="H818" s="9"/>
      <c r="J818" s="1">
        <v>756.15</v>
      </c>
      <c r="N818" s="1" t="s">
        <v>10</v>
      </c>
      <c r="O818" s="1">
        <v>5.8</v>
      </c>
    </row>
    <row r="819" spans="4:15" x14ac:dyDescent="0.3">
      <c r="D819" s="1">
        <v>7458</v>
      </c>
      <c r="E819" s="2">
        <v>43559</v>
      </c>
      <c r="F819" s="1" t="s">
        <v>12</v>
      </c>
      <c r="G819" s="1">
        <v>46</v>
      </c>
      <c r="H819" s="9"/>
      <c r="J819" s="1">
        <v>546.84</v>
      </c>
      <c r="N819" s="1" t="s">
        <v>10</v>
      </c>
      <c r="O819" s="1">
        <v>7</v>
      </c>
    </row>
    <row r="820" spans="4:15" x14ac:dyDescent="0.3">
      <c r="D820" s="1">
        <v>16804</v>
      </c>
      <c r="E820" s="2">
        <v>43534</v>
      </c>
      <c r="F820" s="1" t="s">
        <v>9</v>
      </c>
      <c r="G820" s="1">
        <v>36</v>
      </c>
      <c r="H820" s="9"/>
      <c r="J820" s="1">
        <v>233.9</v>
      </c>
      <c r="N820" s="1" t="s">
        <v>8</v>
      </c>
      <c r="O820" s="1">
        <v>5.3</v>
      </c>
    </row>
    <row r="821" spans="4:15" x14ac:dyDescent="0.3">
      <c r="D821" s="1">
        <v>37765</v>
      </c>
      <c r="E821" s="2">
        <v>43793</v>
      </c>
      <c r="F821" s="1" t="s">
        <v>7</v>
      </c>
      <c r="G821" s="1">
        <v>7</v>
      </c>
      <c r="H821" s="9"/>
      <c r="J821" s="1">
        <v>45.65</v>
      </c>
      <c r="N821" s="1" t="s">
        <v>8</v>
      </c>
      <c r="O821" s="1">
        <v>7.4</v>
      </c>
    </row>
    <row r="822" spans="4:15" x14ac:dyDescent="0.3">
      <c r="D822" s="1">
        <v>59492</v>
      </c>
      <c r="E822" s="2">
        <v>43769</v>
      </c>
      <c r="F822" s="1" t="s">
        <v>11</v>
      </c>
      <c r="G822" s="1">
        <v>25</v>
      </c>
      <c r="H822" s="9"/>
      <c r="J822" s="1">
        <v>182.33</v>
      </c>
      <c r="N822" s="1" t="s">
        <v>10</v>
      </c>
      <c r="O822" s="1">
        <v>10.8</v>
      </c>
    </row>
    <row r="823" spans="4:15" x14ac:dyDescent="0.3">
      <c r="D823" s="1">
        <v>3014</v>
      </c>
      <c r="E823" s="2">
        <v>43767</v>
      </c>
      <c r="F823" s="1" t="s">
        <v>11</v>
      </c>
      <c r="G823" s="1">
        <v>13</v>
      </c>
      <c r="H823" s="9"/>
      <c r="J823" s="1">
        <v>4282.29</v>
      </c>
      <c r="N823" s="1" t="s">
        <v>10</v>
      </c>
      <c r="O823" s="1">
        <v>21.4</v>
      </c>
    </row>
    <row r="824" spans="4:15" x14ac:dyDescent="0.3">
      <c r="D824" s="1">
        <v>50721</v>
      </c>
      <c r="E824" s="2">
        <v>43522</v>
      </c>
      <c r="F824" s="1" t="s">
        <v>9</v>
      </c>
      <c r="G824" s="1">
        <v>33</v>
      </c>
      <c r="H824" s="9"/>
      <c r="J824" s="1">
        <v>10441.81</v>
      </c>
      <c r="N824" s="1" t="s">
        <v>10</v>
      </c>
      <c r="O824" s="1">
        <v>21.4</v>
      </c>
    </row>
    <row r="825" spans="4:15" x14ac:dyDescent="0.3">
      <c r="D825" s="1">
        <v>57699</v>
      </c>
      <c r="E825" s="2">
        <v>43779</v>
      </c>
      <c r="F825" s="1" t="s">
        <v>7</v>
      </c>
      <c r="G825" s="1">
        <v>20</v>
      </c>
      <c r="H825" s="9"/>
      <c r="J825" s="1">
        <v>47.02</v>
      </c>
      <c r="N825" s="1" t="s">
        <v>10</v>
      </c>
      <c r="O825" s="1">
        <v>5.7</v>
      </c>
    </row>
    <row r="826" spans="4:15" x14ac:dyDescent="0.3">
      <c r="D826" s="1">
        <v>56224</v>
      </c>
      <c r="E826" s="2">
        <v>43763</v>
      </c>
      <c r="F826" s="1" t="s">
        <v>14</v>
      </c>
      <c r="G826" s="1">
        <v>9</v>
      </c>
      <c r="H826" s="9"/>
      <c r="J826" s="1">
        <v>965.17</v>
      </c>
      <c r="N826" s="1" t="s">
        <v>13</v>
      </c>
      <c r="O826" s="1">
        <v>55.6</v>
      </c>
    </row>
    <row r="827" spans="4:15" x14ac:dyDescent="0.3">
      <c r="D827" s="1">
        <v>17831</v>
      </c>
      <c r="E827" s="2">
        <v>43763</v>
      </c>
      <c r="F827" s="1" t="s">
        <v>12</v>
      </c>
      <c r="G827" s="1">
        <v>34</v>
      </c>
      <c r="H827" s="9"/>
      <c r="J827" s="1">
        <v>256.05</v>
      </c>
      <c r="N827" s="1" t="s">
        <v>10</v>
      </c>
      <c r="O827" s="1">
        <v>3</v>
      </c>
    </row>
    <row r="828" spans="4:15" x14ac:dyDescent="0.3">
      <c r="D828" s="1">
        <v>32871</v>
      </c>
      <c r="E828" s="2">
        <v>43764</v>
      </c>
      <c r="F828" s="1" t="s">
        <v>9</v>
      </c>
      <c r="G828" s="1">
        <v>42</v>
      </c>
      <c r="H828" s="9"/>
      <c r="J828" s="1">
        <v>1005.55</v>
      </c>
      <c r="N828" s="1" t="s">
        <v>8</v>
      </c>
      <c r="O828" s="1">
        <v>4.3</v>
      </c>
    </row>
    <row r="829" spans="4:15" x14ac:dyDescent="0.3">
      <c r="D829" s="1">
        <v>41345</v>
      </c>
      <c r="E829" s="2">
        <v>43497</v>
      </c>
      <c r="F829" s="1" t="s">
        <v>14</v>
      </c>
      <c r="G829" s="1">
        <v>36</v>
      </c>
      <c r="H829" s="9"/>
      <c r="J829" s="1">
        <v>71.06</v>
      </c>
      <c r="N829" s="1" t="s">
        <v>10</v>
      </c>
      <c r="O829" s="1">
        <v>0.8</v>
      </c>
    </row>
    <row r="830" spans="4:15" x14ac:dyDescent="0.3">
      <c r="D830" s="1">
        <v>25767</v>
      </c>
      <c r="E830" s="2">
        <v>43527</v>
      </c>
      <c r="F830" s="1" t="s">
        <v>9</v>
      </c>
      <c r="G830" s="1">
        <v>15</v>
      </c>
      <c r="H830" s="9"/>
      <c r="J830" s="1">
        <v>635.29</v>
      </c>
      <c r="N830" s="1" t="s">
        <v>10</v>
      </c>
      <c r="O830" s="1">
        <v>14.2</v>
      </c>
    </row>
    <row r="831" spans="4:15" x14ac:dyDescent="0.3">
      <c r="D831" s="1">
        <v>58658</v>
      </c>
      <c r="E831" s="2">
        <v>43627</v>
      </c>
      <c r="F831" s="1" t="s">
        <v>14</v>
      </c>
      <c r="G831" s="1">
        <v>46</v>
      </c>
      <c r="H831" s="9"/>
      <c r="J831" s="1">
        <v>814.06</v>
      </c>
      <c r="N831" s="1" t="s">
        <v>10</v>
      </c>
      <c r="O831" s="1">
        <v>1.1000000000000001</v>
      </c>
    </row>
    <row r="832" spans="4:15" x14ac:dyDescent="0.3">
      <c r="D832" s="1">
        <v>52230</v>
      </c>
      <c r="E832" s="2">
        <v>43707</v>
      </c>
      <c r="F832" s="1" t="s">
        <v>12</v>
      </c>
      <c r="G832" s="1">
        <v>29</v>
      </c>
      <c r="H832" s="9"/>
      <c r="J832" s="1">
        <v>2889.8346000000001</v>
      </c>
      <c r="N832" s="1" t="s">
        <v>13</v>
      </c>
      <c r="O832" s="1">
        <v>62.3</v>
      </c>
    </row>
    <row r="833" spans="4:15" x14ac:dyDescent="0.3">
      <c r="D833" s="1">
        <v>49634</v>
      </c>
      <c r="E833" s="2">
        <v>43547</v>
      </c>
      <c r="F833" s="1" t="s">
        <v>11</v>
      </c>
      <c r="G833" s="1">
        <v>3</v>
      </c>
      <c r="H833" s="9"/>
      <c r="J833" s="1">
        <v>92.93</v>
      </c>
      <c r="N833" s="1" t="s">
        <v>10</v>
      </c>
      <c r="O833" s="1">
        <v>2.1</v>
      </c>
    </row>
    <row r="834" spans="4:15" x14ac:dyDescent="0.3">
      <c r="D834" s="1">
        <v>29473</v>
      </c>
      <c r="E834" s="2">
        <v>43510</v>
      </c>
      <c r="F834" s="1" t="s">
        <v>14</v>
      </c>
      <c r="G834" s="1">
        <v>31</v>
      </c>
      <c r="H834" s="9"/>
      <c r="J834" s="1">
        <v>220.73</v>
      </c>
      <c r="N834" s="1" t="s">
        <v>10</v>
      </c>
      <c r="O834" s="1">
        <v>5.4</v>
      </c>
    </row>
    <row r="835" spans="4:15" x14ac:dyDescent="0.3">
      <c r="D835" s="1">
        <v>8005</v>
      </c>
      <c r="E835" s="2">
        <v>43560</v>
      </c>
      <c r="F835" s="1" t="s">
        <v>12</v>
      </c>
      <c r="G835" s="1">
        <v>24</v>
      </c>
      <c r="H835" s="9"/>
      <c r="J835" s="1">
        <v>845.97</v>
      </c>
      <c r="N835" s="1" t="s">
        <v>10</v>
      </c>
      <c r="O835" s="1">
        <v>15.8</v>
      </c>
    </row>
    <row r="836" spans="4:15" x14ac:dyDescent="0.3">
      <c r="D836" s="1">
        <v>15651</v>
      </c>
      <c r="E836" s="2">
        <v>43742</v>
      </c>
      <c r="F836" s="1" t="s">
        <v>12</v>
      </c>
      <c r="G836" s="1">
        <v>8</v>
      </c>
      <c r="H836" s="9"/>
      <c r="J836" s="1">
        <v>1601.61</v>
      </c>
      <c r="N836" s="1" t="s">
        <v>13</v>
      </c>
      <c r="O836" s="1">
        <v>60.1</v>
      </c>
    </row>
    <row r="837" spans="4:15" x14ac:dyDescent="0.3">
      <c r="D837" s="1">
        <v>58369</v>
      </c>
      <c r="E837" s="2">
        <v>43707</v>
      </c>
      <c r="F837" s="1" t="s">
        <v>9</v>
      </c>
      <c r="G837" s="1">
        <v>46</v>
      </c>
      <c r="H837" s="9"/>
      <c r="J837" s="1">
        <v>343.00990000000002</v>
      </c>
      <c r="N837" s="1" t="s">
        <v>10</v>
      </c>
      <c r="O837" s="1">
        <v>6.5</v>
      </c>
    </row>
    <row r="838" spans="4:15" x14ac:dyDescent="0.3">
      <c r="D838" s="1">
        <v>37412</v>
      </c>
      <c r="E838" s="2">
        <v>43680</v>
      </c>
      <c r="F838" s="1" t="s">
        <v>9</v>
      </c>
      <c r="G838" s="1">
        <v>17</v>
      </c>
      <c r="H838" s="9"/>
      <c r="J838" s="1">
        <v>205.09</v>
      </c>
      <c r="N838" s="1" t="s">
        <v>10</v>
      </c>
      <c r="O838" s="1">
        <v>3.6</v>
      </c>
    </row>
    <row r="839" spans="4:15" x14ac:dyDescent="0.3">
      <c r="D839" s="1">
        <v>28899</v>
      </c>
      <c r="E839" s="2">
        <v>43630</v>
      </c>
      <c r="F839" s="1" t="s">
        <v>7</v>
      </c>
      <c r="G839" s="1">
        <v>27</v>
      </c>
      <c r="H839" s="9"/>
      <c r="J839" s="1">
        <v>4802.4399999999996</v>
      </c>
      <c r="N839" s="1" t="s">
        <v>10</v>
      </c>
      <c r="O839" s="1">
        <v>5.4</v>
      </c>
    </row>
    <row r="840" spans="4:15" x14ac:dyDescent="0.3">
      <c r="D840" s="1">
        <v>56358</v>
      </c>
      <c r="E840" s="2">
        <v>43525</v>
      </c>
      <c r="F840" s="1" t="s">
        <v>11</v>
      </c>
      <c r="G840" s="1">
        <v>1</v>
      </c>
      <c r="H840" s="9"/>
      <c r="J840" s="1">
        <v>12.52</v>
      </c>
      <c r="N840" s="1" t="s">
        <v>10</v>
      </c>
      <c r="O840" s="1">
        <v>6</v>
      </c>
    </row>
    <row r="841" spans="4:15" x14ac:dyDescent="0.3">
      <c r="D841" s="1">
        <v>55462</v>
      </c>
      <c r="E841" s="2">
        <v>43551</v>
      </c>
      <c r="F841" s="1" t="s">
        <v>14</v>
      </c>
      <c r="G841" s="1">
        <v>13</v>
      </c>
      <c r="H841" s="9"/>
      <c r="J841" s="1">
        <v>80.540000000000006</v>
      </c>
      <c r="N841" s="1" t="s">
        <v>10</v>
      </c>
      <c r="O841" s="1">
        <v>3.2</v>
      </c>
    </row>
    <row r="842" spans="4:15" x14ac:dyDescent="0.3">
      <c r="D842" s="1">
        <v>54115</v>
      </c>
      <c r="E842" s="2">
        <v>43471</v>
      </c>
      <c r="F842" s="1" t="s">
        <v>7</v>
      </c>
      <c r="G842" s="1">
        <v>24</v>
      </c>
      <c r="H842" s="9"/>
      <c r="J842" s="1">
        <v>122.16</v>
      </c>
      <c r="N842" s="1" t="s">
        <v>10</v>
      </c>
      <c r="O842" s="1">
        <v>5.5</v>
      </c>
    </row>
    <row r="843" spans="4:15" x14ac:dyDescent="0.3">
      <c r="D843" s="1">
        <v>57537</v>
      </c>
      <c r="E843" s="2">
        <v>43726</v>
      </c>
      <c r="F843" s="1" t="s">
        <v>14</v>
      </c>
      <c r="G843" s="1">
        <v>29</v>
      </c>
      <c r="H843" s="9"/>
      <c r="J843" s="1">
        <v>3155.03</v>
      </c>
      <c r="N843" s="1" t="s">
        <v>10</v>
      </c>
      <c r="O843" s="1">
        <v>7.7</v>
      </c>
    </row>
    <row r="844" spans="4:15" x14ac:dyDescent="0.3">
      <c r="D844" s="1">
        <v>37158</v>
      </c>
      <c r="E844" s="2">
        <v>43730</v>
      </c>
      <c r="F844" s="1" t="s">
        <v>7</v>
      </c>
      <c r="G844" s="1">
        <v>25</v>
      </c>
      <c r="H844" s="9"/>
      <c r="J844" s="1">
        <v>184.08</v>
      </c>
      <c r="N844" s="1" t="s">
        <v>10</v>
      </c>
      <c r="O844" s="1">
        <v>7.9</v>
      </c>
    </row>
    <row r="845" spans="4:15" x14ac:dyDescent="0.3">
      <c r="D845" s="1">
        <v>32902</v>
      </c>
      <c r="E845" s="2">
        <v>43527</v>
      </c>
      <c r="F845" s="1" t="s">
        <v>9</v>
      </c>
      <c r="G845" s="1">
        <v>23</v>
      </c>
      <c r="H845" s="9"/>
      <c r="J845" s="1">
        <v>1753.38</v>
      </c>
      <c r="N845" s="1" t="s">
        <v>13</v>
      </c>
      <c r="O845" s="1">
        <v>64.2</v>
      </c>
    </row>
    <row r="846" spans="4:15" x14ac:dyDescent="0.3">
      <c r="D846" s="1">
        <v>9602</v>
      </c>
      <c r="E846" s="2">
        <v>43779</v>
      </c>
      <c r="F846" s="1" t="s">
        <v>12</v>
      </c>
      <c r="G846" s="1">
        <v>15</v>
      </c>
      <c r="H846" s="9"/>
      <c r="J846" s="1">
        <v>1843.24</v>
      </c>
      <c r="N846" s="1" t="s">
        <v>13</v>
      </c>
      <c r="O846" s="1">
        <v>55</v>
      </c>
    </row>
    <row r="847" spans="4:15" x14ac:dyDescent="0.3">
      <c r="D847" s="1">
        <v>15616</v>
      </c>
      <c r="E847" s="2">
        <v>43547</v>
      </c>
      <c r="F847" s="1" t="s">
        <v>12</v>
      </c>
      <c r="G847" s="1">
        <v>34</v>
      </c>
      <c r="H847" s="9"/>
      <c r="J847" s="1">
        <v>143.44</v>
      </c>
      <c r="N847" s="1" t="s">
        <v>10</v>
      </c>
      <c r="O847" s="1">
        <v>1.3</v>
      </c>
    </row>
    <row r="848" spans="4:15" x14ac:dyDescent="0.3">
      <c r="D848" s="1">
        <v>3685</v>
      </c>
      <c r="E848" s="2">
        <v>43480</v>
      </c>
      <c r="F848" s="1" t="s">
        <v>14</v>
      </c>
      <c r="G848" s="1">
        <v>29</v>
      </c>
      <c r="H848" s="9"/>
      <c r="J848" s="1">
        <v>114.25</v>
      </c>
      <c r="N848" s="1" t="s">
        <v>10</v>
      </c>
      <c r="O848" s="1">
        <v>5.4</v>
      </c>
    </row>
    <row r="849" spans="4:15" x14ac:dyDescent="0.3">
      <c r="D849" s="1">
        <v>24672</v>
      </c>
      <c r="E849" s="2">
        <v>43541</v>
      </c>
      <c r="F849" s="1" t="s">
        <v>14</v>
      </c>
      <c r="G849" s="1">
        <v>37</v>
      </c>
      <c r="H849" s="9"/>
      <c r="J849" s="1">
        <v>206.42</v>
      </c>
      <c r="N849" s="1" t="s">
        <v>10</v>
      </c>
      <c r="O849" s="1">
        <v>1</v>
      </c>
    </row>
    <row r="850" spans="4:15" x14ac:dyDescent="0.3">
      <c r="D850" s="1">
        <v>23140</v>
      </c>
      <c r="E850" s="2">
        <v>43503</v>
      </c>
      <c r="F850" s="1" t="s">
        <v>9</v>
      </c>
      <c r="G850" s="1">
        <v>18</v>
      </c>
      <c r="H850" s="9"/>
      <c r="J850" s="1">
        <v>1833.77</v>
      </c>
      <c r="N850" s="1" t="s">
        <v>10</v>
      </c>
      <c r="O850" s="1">
        <v>9.6</v>
      </c>
    </row>
    <row r="851" spans="4:15" x14ac:dyDescent="0.3">
      <c r="D851" s="1">
        <v>59361</v>
      </c>
      <c r="E851" s="2">
        <v>43706</v>
      </c>
      <c r="F851" s="1" t="s">
        <v>9</v>
      </c>
      <c r="G851" s="1">
        <v>45</v>
      </c>
      <c r="H851" s="9"/>
      <c r="J851" s="1">
        <v>1078.92</v>
      </c>
      <c r="N851" s="1" t="s">
        <v>10</v>
      </c>
      <c r="O851" s="1">
        <v>6.7</v>
      </c>
    </row>
    <row r="852" spans="4:15" x14ac:dyDescent="0.3">
      <c r="D852" s="1">
        <v>29761</v>
      </c>
      <c r="E852" s="2">
        <v>43649</v>
      </c>
      <c r="F852" s="1" t="s">
        <v>14</v>
      </c>
      <c r="G852" s="1">
        <v>48</v>
      </c>
      <c r="H852" s="9"/>
      <c r="J852" s="1">
        <v>1565.52</v>
      </c>
      <c r="N852" s="1" t="s">
        <v>10</v>
      </c>
      <c r="O852" s="1">
        <v>1.3</v>
      </c>
    </row>
    <row r="853" spans="4:15" x14ac:dyDescent="0.3">
      <c r="D853" s="1">
        <v>50403</v>
      </c>
      <c r="E853" s="2">
        <v>43597</v>
      </c>
      <c r="F853" s="1" t="s">
        <v>11</v>
      </c>
      <c r="G853" s="1">
        <v>22</v>
      </c>
      <c r="H853" s="9"/>
      <c r="J853" s="1">
        <v>152.88</v>
      </c>
      <c r="N853" s="1" t="s">
        <v>10</v>
      </c>
      <c r="O853" s="1">
        <v>1.7</v>
      </c>
    </row>
    <row r="854" spans="4:15" x14ac:dyDescent="0.3">
      <c r="D854" s="1">
        <v>612</v>
      </c>
      <c r="E854" s="2">
        <v>43758</v>
      </c>
      <c r="F854" s="1" t="s">
        <v>14</v>
      </c>
      <c r="G854" s="1">
        <v>50</v>
      </c>
      <c r="H854" s="9"/>
      <c r="J854" s="1">
        <v>281.27</v>
      </c>
      <c r="N854" s="1" t="s">
        <v>10</v>
      </c>
      <c r="O854" s="1">
        <v>6.7</v>
      </c>
    </row>
    <row r="855" spans="4:15" x14ac:dyDescent="0.3">
      <c r="D855" s="1">
        <v>32292</v>
      </c>
      <c r="E855" s="2">
        <v>43510</v>
      </c>
      <c r="F855" s="1" t="s">
        <v>7</v>
      </c>
      <c r="G855" s="1">
        <v>49</v>
      </c>
      <c r="H855" s="9"/>
      <c r="J855" s="1">
        <v>5359.3743000000004</v>
      </c>
      <c r="N855" s="1" t="s">
        <v>10</v>
      </c>
      <c r="O855" s="1">
        <v>6.4</v>
      </c>
    </row>
    <row r="856" spans="4:15" x14ac:dyDescent="0.3">
      <c r="D856" s="1">
        <v>42951</v>
      </c>
      <c r="E856" s="2">
        <v>43724</v>
      </c>
      <c r="F856" s="1" t="s">
        <v>12</v>
      </c>
      <c r="G856" s="1">
        <v>20</v>
      </c>
      <c r="H856" s="9"/>
      <c r="J856" s="1">
        <v>2252.34</v>
      </c>
      <c r="N856" s="1" t="s">
        <v>10</v>
      </c>
      <c r="O856" s="1">
        <v>9.4</v>
      </c>
    </row>
    <row r="857" spans="4:15" x14ac:dyDescent="0.3">
      <c r="D857" s="1">
        <v>49634</v>
      </c>
      <c r="E857" s="2">
        <v>43547</v>
      </c>
      <c r="F857" s="1" t="s">
        <v>11</v>
      </c>
      <c r="G857" s="1">
        <v>39</v>
      </c>
      <c r="H857" s="9"/>
      <c r="J857" s="1">
        <v>431.99</v>
      </c>
      <c r="N857" s="1" t="s">
        <v>10</v>
      </c>
      <c r="O857" s="1">
        <v>4.8</v>
      </c>
    </row>
    <row r="858" spans="4:15" x14ac:dyDescent="0.3">
      <c r="D858" s="1">
        <v>58210</v>
      </c>
      <c r="E858" s="2">
        <v>43805</v>
      </c>
      <c r="F858" s="1" t="s">
        <v>14</v>
      </c>
      <c r="G858" s="1">
        <v>38</v>
      </c>
      <c r="H858" s="9"/>
      <c r="J858" s="1">
        <v>154.11000000000001</v>
      </c>
      <c r="N858" s="1" t="s">
        <v>10</v>
      </c>
      <c r="O858" s="1">
        <v>5.9</v>
      </c>
    </row>
    <row r="859" spans="4:15" x14ac:dyDescent="0.3">
      <c r="D859" s="1">
        <v>53026</v>
      </c>
      <c r="E859" s="2">
        <v>43521</v>
      </c>
      <c r="F859" s="1" t="s">
        <v>7</v>
      </c>
      <c r="G859" s="1">
        <v>35</v>
      </c>
      <c r="H859" s="9"/>
      <c r="J859" s="1">
        <v>345.42</v>
      </c>
      <c r="N859" s="1" t="s">
        <v>10</v>
      </c>
      <c r="O859" s="1">
        <v>4.3</v>
      </c>
    </row>
    <row r="860" spans="4:15" x14ac:dyDescent="0.3">
      <c r="D860" s="1">
        <v>35811</v>
      </c>
      <c r="E860" s="2">
        <v>43467</v>
      </c>
      <c r="F860" s="1" t="s">
        <v>12</v>
      </c>
      <c r="G860" s="1">
        <v>49</v>
      </c>
      <c r="H860" s="9"/>
      <c r="J860" s="1">
        <v>793.48</v>
      </c>
      <c r="N860" s="1" t="s">
        <v>10</v>
      </c>
      <c r="O860" s="1">
        <v>1.5</v>
      </c>
    </row>
    <row r="861" spans="4:15" x14ac:dyDescent="0.3">
      <c r="D861" s="1">
        <v>8293</v>
      </c>
      <c r="E861" s="2">
        <v>43687</v>
      </c>
      <c r="F861" s="1" t="s">
        <v>7</v>
      </c>
      <c r="G861" s="1">
        <v>50</v>
      </c>
      <c r="H861" s="9"/>
      <c r="J861" s="1">
        <v>1602.6</v>
      </c>
      <c r="N861" s="1" t="s">
        <v>10</v>
      </c>
      <c r="O861" s="1">
        <v>1.2</v>
      </c>
    </row>
    <row r="862" spans="4:15" x14ac:dyDescent="0.3">
      <c r="D862" s="1">
        <v>55296</v>
      </c>
      <c r="E862" s="2">
        <v>43756</v>
      </c>
      <c r="F862" s="1" t="s">
        <v>7</v>
      </c>
      <c r="G862" s="1">
        <v>32</v>
      </c>
      <c r="H862" s="9"/>
      <c r="J862" s="1">
        <v>339.25420000000003</v>
      </c>
      <c r="N862" s="1" t="s">
        <v>10</v>
      </c>
      <c r="O862" s="1">
        <v>2.2000000000000002</v>
      </c>
    </row>
    <row r="863" spans="4:15" x14ac:dyDescent="0.3">
      <c r="D863" s="1">
        <v>45315</v>
      </c>
      <c r="E863" s="2">
        <v>43575</v>
      </c>
      <c r="F863" s="1" t="s">
        <v>14</v>
      </c>
      <c r="G863" s="1">
        <v>32</v>
      </c>
      <c r="H863" s="9"/>
      <c r="J863" s="1">
        <v>1221.83</v>
      </c>
      <c r="N863" s="1" t="s">
        <v>10</v>
      </c>
      <c r="O863" s="1">
        <v>8.8000000000000007</v>
      </c>
    </row>
    <row r="864" spans="4:15" x14ac:dyDescent="0.3">
      <c r="D864" s="1">
        <v>1221</v>
      </c>
      <c r="E864" s="2">
        <v>43573</v>
      </c>
      <c r="F864" s="1" t="s">
        <v>11</v>
      </c>
      <c r="G864" s="1">
        <v>11</v>
      </c>
      <c r="H864" s="9"/>
      <c r="J864" s="1">
        <v>10855.3</v>
      </c>
      <c r="N864" s="1" t="s">
        <v>10</v>
      </c>
      <c r="O864" s="1">
        <v>21.4</v>
      </c>
    </row>
    <row r="865" spans="4:15" x14ac:dyDescent="0.3">
      <c r="D865" s="1">
        <v>14016</v>
      </c>
      <c r="E865" s="2">
        <v>43657</v>
      </c>
      <c r="F865" s="1" t="s">
        <v>7</v>
      </c>
      <c r="G865" s="1">
        <v>9</v>
      </c>
      <c r="H865" s="9"/>
      <c r="J865" s="1">
        <v>1217.25</v>
      </c>
      <c r="N865" s="1" t="s">
        <v>13</v>
      </c>
      <c r="O865" s="1">
        <v>55.6</v>
      </c>
    </row>
    <row r="866" spans="4:15" x14ac:dyDescent="0.3">
      <c r="D866" s="1">
        <v>23619</v>
      </c>
      <c r="E866" s="2">
        <v>43820</v>
      </c>
      <c r="F866" s="1" t="s">
        <v>14</v>
      </c>
      <c r="G866" s="1">
        <v>48</v>
      </c>
      <c r="H866" s="9"/>
      <c r="J866" s="1">
        <v>2794.63</v>
      </c>
      <c r="N866" s="1" t="s">
        <v>10</v>
      </c>
      <c r="O866" s="1">
        <v>6.3</v>
      </c>
    </row>
    <row r="867" spans="4:15" x14ac:dyDescent="0.3">
      <c r="D867" s="1">
        <v>24743</v>
      </c>
      <c r="E867" s="2">
        <v>43644</v>
      </c>
      <c r="F867" s="1" t="s">
        <v>7</v>
      </c>
      <c r="G867" s="1">
        <v>26</v>
      </c>
      <c r="H867" s="9"/>
      <c r="J867" s="1">
        <v>4021.88</v>
      </c>
      <c r="N867" s="1" t="s">
        <v>10</v>
      </c>
      <c r="O867" s="1">
        <v>26.2</v>
      </c>
    </row>
    <row r="868" spans="4:15" x14ac:dyDescent="0.3">
      <c r="D868" s="1">
        <v>20642</v>
      </c>
      <c r="E868" s="2">
        <v>43604</v>
      </c>
      <c r="F868" s="1" t="s">
        <v>9</v>
      </c>
      <c r="G868" s="1">
        <v>32</v>
      </c>
      <c r="H868" s="9"/>
      <c r="J868" s="1">
        <v>144.66</v>
      </c>
      <c r="N868" s="1" t="s">
        <v>10</v>
      </c>
      <c r="O868" s="1">
        <v>0.5</v>
      </c>
    </row>
    <row r="869" spans="4:15" x14ac:dyDescent="0.3">
      <c r="D869" s="1">
        <v>41921</v>
      </c>
      <c r="E869" s="2">
        <v>43518</v>
      </c>
      <c r="F869" s="1" t="s">
        <v>14</v>
      </c>
      <c r="G869" s="1">
        <v>29</v>
      </c>
      <c r="H869" s="9"/>
      <c r="J869" s="1">
        <v>361</v>
      </c>
      <c r="N869" s="1" t="s">
        <v>8</v>
      </c>
      <c r="O869" s="1">
        <v>7.5</v>
      </c>
    </row>
    <row r="870" spans="4:15" x14ac:dyDescent="0.3">
      <c r="D870" s="1">
        <v>54371</v>
      </c>
      <c r="E870" s="2">
        <v>43510</v>
      </c>
      <c r="F870" s="1" t="s">
        <v>11</v>
      </c>
      <c r="G870" s="1">
        <v>28</v>
      </c>
      <c r="H870" s="9"/>
      <c r="J870" s="1">
        <v>123.07</v>
      </c>
      <c r="N870" s="1" t="s">
        <v>10</v>
      </c>
      <c r="O870" s="1">
        <v>0.8</v>
      </c>
    </row>
    <row r="871" spans="4:15" x14ac:dyDescent="0.3">
      <c r="D871" s="1">
        <v>8450</v>
      </c>
      <c r="E871" s="2">
        <v>43568</v>
      </c>
      <c r="F871" s="1" t="s">
        <v>11</v>
      </c>
      <c r="G871" s="1">
        <v>22</v>
      </c>
      <c r="H871" s="9"/>
      <c r="J871" s="1">
        <v>44.29</v>
      </c>
      <c r="N871" s="1" t="s">
        <v>10</v>
      </c>
      <c r="O871" s="1">
        <v>1.6</v>
      </c>
    </row>
    <row r="872" spans="4:15" x14ac:dyDescent="0.3">
      <c r="D872" s="1">
        <v>13991</v>
      </c>
      <c r="E872" s="2">
        <v>43530</v>
      </c>
      <c r="F872" s="1" t="s">
        <v>9</v>
      </c>
      <c r="G872" s="1">
        <v>21</v>
      </c>
      <c r="H872" s="9"/>
      <c r="J872" s="1">
        <v>1968.21</v>
      </c>
      <c r="N872" s="1" t="s">
        <v>10</v>
      </c>
      <c r="O872" s="1">
        <v>73.8</v>
      </c>
    </row>
    <row r="873" spans="4:15" x14ac:dyDescent="0.3">
      <c r="D873" s="1">
        <v>59329</v>
      </c>
      <c r="E873" s="2">
        <v>43803</v>
      </c>
      <c r="F873" s="1" t="s">
        <v>12</v>
      </c>
      <c r="G873" s="1">
        <v>35</v>
      </c>
      <c r="H873" s="9"/>
      <c r="J873" s="1">
        <v>137.09</v>
      </c>
      <c r="N873" s="1" t="s">
        <v>10</v>
      </c>
      <c r="O873" s="1">
        <v>5.8</v>
      </c>
    </row>
    <row r="874" spans="4:15" x14ac:dyDescent="0.3">
      <c r="D874" s="1">
        <v>16257</v>
      </c>
      <c r="E874" s="2">
        <v>43590</v>
      </c>
      <c r="F874" s="1" t="s">
        <v>11</v>
      </c>
      <c r="G874" s="1">
        <v>16</v>
      </c>
      <c r="H874" s="9"/>
      <c r="J874" s="1">
        <v>109.92</v>
      </c>
      <c r="N874" s="1" t="s">
        <v>10</v>
      </c>
      <c r="O874" s="1">
        <v>2.7</v>
      </c>
    </row>
    <row r="875" spans="4:15" x14ac:dyDescent="0.3">
      <c r="D875" s="1">
        <v>48003</v>
      </c>
      <c r="E875" s="2">
        <v>43490</v>
      </c>
      <c r="F875" s="1" t="s">
        <v>14</v>
      </c>
      <c r="G875" s="1">
        <v>12</v>
      </c>
      <c r="H875" s="9"/>
      <c r="J875" s="1">
        <v>94.22</v>
      </c>
      <c r="N875" s="1" t="s">
        <v>10</v>
      </c>
      <c r="O875" s="1">
        <v>10.4</v>
      </c>
    </row>
    <row r="876" spans="4:15" x14ac:dyDescent="0.3">
      <c r="D876" s="1">
        <v>47971</v>
      </c>
      <c r="E876" s="2">
        <v>43767</v>
      </c>
      <c r="F876" s="1" t="s">
        <v>9</v>
      </c>
      <c r="G876" s="1">
        <v>24</v>
      </c>
      <c r="H876" s="9"/>
      <c r="J876" s="1">
        <v>121.37</v>
      </c>
      <c r="N876" s="1" t="s">
        <v>10</v>
      </c>
      <c r="O876" s="1">
        <v>5.7</v>
      </c>
    </row>
    <row r="877" spans="4:15" x14ac:dyDescent="0.3">
      <c r="D877" s="1">
        <v>39943</v>
      </c>
      <c r="E877" s="2">
        <v>43623</v>
      </c>
      <c r="F877" s="1" t="s">
        <v>9</v>
      </c>
      <c r="G877" s="1">
        <v>12</v>
      </c>
      <c r="H877" s="9"/>
      <c r="J877" s="1">
        <v>215.64</v>
      </c>
      <c r="N877" s="1" t="s">
        <v>10</v>
      </c>
      <c r="O877" s="1">
        <v>3.5</v>
      </c>
    </row>
    <row r="878" spans="4:15" x14ac:dyDescent="0.3">
      <c r="D878" s="1">
        <v>24743</v>
      </c>
      <c r="E878" s="2">
        <v>43644</v>
      </c>
      <c r="F878" s="1" t="s">
        <v>7</v>
      </c>
      <c r="G878" s="1">
        <v>47</v>
      </c>
      <c r="H878" s="9"/>
      <c r="J878" s="1">
        <v>10307.94</v>
      </c>
      <c r="N878" s="1" t="s">
        <v>13</v>
      </c>
      <c r="O878" s="1">
        <v>68.7</v>
      </c>
    </row>
    <row r="879" spans="4:15" x14ac:dyDescent="0.3">
      <c r="D879" s="1">
        <v>26981</v>
      </c>
      <c r="E879" s="2">
        <v>43707</v>
      </c>
      <c r="F879" s="1" t="s">
        <v>14</v>
      </c>
      <c r="G879" s="1">
        <v>44</v>
      </c>
      <c r="H879" s="9"/>
      <c r="J879" s="1">
        <v>824.47</v>
      </c>
      <c r="N879" s="1" t="s">
        <v>10</v>
      </c>
      <c r="O879" s="1">
        <v>6.7</v>
      </c>
    </row>
    <row r="880" spans="4:15" x14ac:dyDescent="0.3">
      <c r="D880" s="1">
        <v>40611</v>
      </c>
      <c r="E880" s="2">
        <v>43552</v>
      </c>
      <c r="F880" s="1" t="s">
        <v>11</v>
      </c>
      <c r="G880" s="1">
        <v>12</v>
      </c>
      <c r="H880" s="9"/>
      <c r="J880" s="1">
        <v>71.510000000000005</v>
      </c>
      <c r="N880" s="1" t="s">
        <v>8</v>
      </c>
      <c r="O880" s="1">
        <v>5.5</v>
      </c>
    </row>
    <row r="881" spans="4:15" x14ac:dyDescent="0.3">
      <c r="D881" s="1">
        <v>28611</v>
      </c>
      <c r="E881" s="2">
        <v>43826</v>
      </c>
      <c r="F881" s="1" t="s">
        <v>7</v>
      </c>
      <c r="G881" s="1">
        <v>42</v>
      </c>
      <c r="H881" s="9"/>
      <c r="J881" s="1">
        <v>4155.3100000000004</v>
      </c>
      <c r="N881" s="1" t="s">
        <v>10</v>
      </c>
      <c r="O881" s="1">
        <v>9.6</v>
      </c>
    </row>
    <row r="882" spans="4:15" x14ac:dyDescent="0.3">
      <c r="D882" s="1">
        <v>25635</v>
      </c>
      <c r="E882" s="2">
        <v>43614</v>
      </c>
      <c r="F882" s="1" t="s">
        <v>12</v>
      </c>
      <c r="G882" s="1">
        <v>22</v>
      </c>
      <c r="H882" s="9"/>
      <c r="J882" s="1">
        <v>118.15</v>
      </c>
      <c r="N882" s="1" t="s">
        <v>10</v>
      </c>
      <c r="O882" s="1">
        <v>3.9</v>
      </c>
    </row>
    <row r="883" spans="4:15" x14ac:dyDescent="0.3">
      <c r="D883" s="1">
        <v>26981</v>
      </c>
      <c r="E883" s="2">
        <v>43707</v>
      </c>
      <c r="F883" s="1" t="s">
        <v>14</v>
      </c>
      <c r="G883" s="1">
        <v>13</v>
      </c>
      <c r="H883" s="9"/>
      <c r="J883" s="1">
        <v>645.58000000000004</v>
      </c>
      <c r="N883" s="1" t="s">
        <v>10</v>
      </c>
      <c r="O883" s="1">
        <v>1.3</v>
      </c>
    </row>
    <row r="884" spans="4:15" x14ac:dyDescent="0.3">
      <c r="D884" s="1">
        <v>59781</v>
      </c>
      <c r="E884" s="2">
        <v>43811</v>
      </c>
      <c r="F884" s="1" t="s">
        <v>11</v>
      </c>
      <c r="G884" s="1">
        <v>18</v>
      </c>
      <c r="H884" s="9"/>
      <c r="J884" s="1">
        <v>1966.6</v>
      </c>
      <c r="N884" s="1" t="s">
        <v>10</v>
      </c>
      <c r="O884" s="1">
        <v>9.6</v>
      </c>
    </row>
    <row r="885" spans="4:15" x14ac:dyDescent="0.3">
      <c r="D885" s="1">
        <v>14630</v>
      </c>
      <c r="E885" s="2">
        <v>43754</v>
      </c>
      <c r="F885" s="1" t="s">
        <v>7</v>
      </c>
      <c r="G885" s="1">
        <v>17</v>
      </c>
      <c r="H885" s="9"/>
      <c r="J885" s="1">
        <v>388.98779999999999</v>
      </c>
      <c r="N885" s="1" t="s">
        <v>10</v>
      </c>
      <c r="O885" s="1">
        <v>5.9</v>
      </c>
    </row>
    <row r="886" spans="4:15" x14ac:dyDescent="0.3">
      <c r="D886" s="1">
        <v>6339</v>
      </c>
      <c r="E886" s="2">
        <v>43810</v>
      </c>
      <c r="F886" s="1" t="s">
        <v>12</v>
      </c>
      <c r="G886" s="1">
        <v>20</v>
      </c>
      <c r="H886" s="9"/>
      <c r="J886" s="1">
        <v>324.95</v>
      </c>
      <c r="N886" s="1" t="s">
        <v>10</v>
      </c>
      <c r="O886" s="1">
        <v>8.1999999999999993</v>
      </c>
    </row>
    <row r="887" spans="4:15" x14ac:dyDescent="0.3">
      <c r="D887" s="1">
        <v>25985</v>
      </c>
      <c r="E887" s="2">
        <v>43710</v>
      </c>
      <c r="F887" s="1" t="s">
        <v>7</v>
      </c>
      <c r="G887" s="1">
        <v>22</v>
      </c>
      <c r="H887" s="9"/>
      <c r="J887" s="1">
        <v>86.45</v>
      </c>
      <c r="N887" s="1" t="s">
        <v>10</v>
      </c>
      <c r="O887" s="1">
        <v>0.8</v>
      </c>
    </row>
    <row r="888" spans="4:15" x14ac:dyDescent="0.3">
      <c r="D888" s="1">
        <v>52519</v>
      </c>
      <c r="E888" s="2">
        <v>43584</v>
      </c>
      <c r="F888" s="1" t="s">
        <v>9</v>
      </c>
      <c r="G888" s="1">
        <v>6</v>
      </c>
      <c r="H888" s="9"/>
      <c r="J888" s="1">
        <v>128.81</v>
      </c>
      <c r="N888" s="1" t="s">
        <v>10</v>
      </c>
      <c r="O888" s="1">
        <v>6.8</v>
      </c>
    </row>
    <row r="889" spans="4:15" x14ac:dyDescent="0.3">
      <c r="D889" s="1">
        <v>1282</v>
      </c>
      <c r="E889" s="2">
        <v>43522</v>
      </c>
      <c r="F889" s="1" t="s">
        <v>11</v>
      </c>
      <c r="G889" s="1">
        <v>26</v>
      </c>
      <c r="H889" s="9"/>
      <c r="J889" s="1">
        <v>954.84659999999997</v>
      </c>
      <c r="N889" s="1" t="s">
        <v>10</v>
      </c>
      <c r="O889" s="1">
        <v>2.1</v>
      </c>
    </row>
    <row r="890" spans="4:15" x14ac:dyDescent="0.3">
      <c r="D890" s="1">
        <v>3654</v>
      </c>
      <c r="E890" s="2">
        <v>43618</v>
      </c>
      <c r="F890" s="1" t="s">
        <v>7</v>
      </c>
      <c r="G890" s="1">
        <v>47</v>
      </c>
      <c r="H890" s="9"/>
      <c r="J890" s="1">
        <v>13449.16</v>
      </c>
      <c r="N890" s="1" t="s">
        <v>13</v>
      </c>
      <c r="O890" s="1">
        <v>24.8</v>
      </c>
    </row>
    <row r="891" spans="4:15" x14ac:dyDescent="0.3">
      <c r="D891" s="1">
        <v>7107</v>
      </c>
      <c r="E891" s="2">
        <v>43468</v>
      </c>
      <c r="F891" s="1" t="s">
        <v>11</v>
      </c>
      <c r="G891" s="1">
        <v>3</v>
      </c>
      <c r="H891" s="9"/>
      <c r="J891" s="1">
        <v>121.06</v>
      </c>
      <c r="N891" s="1" t="s">
        <v>10</v>
      </c>
      <c r="O891" s="1">
        <v>5.4</v>
      </c>
    </row>
    <row r="892" spans="4:15" x14ac:dyDescent="0.3">
      <c r="D892" s="1">
        <v>15651</v>
      </c>
      <c r="E892" s="2">
        <v>43742</v>
      </c>
      <c r="F892" s="1" t="s">
        <v>12</v>
      </c>
      <c r="G892" s="1">
        <v>40</v>
      </c>
      <c r="H892" s="9"/>
      <c r="J892" s="1">
        <v>2335.71</v>
      </c>
      <c r="N892" s="1" t="s">
        <v>8</v>
      </c>
      <c r="O892" s="1">
        <v>3.7</v>
      </c>
    </row>
    <row r="893" spans="4:15" x14ac:dyDescent="0.3">
      <c r="D893" s="1">
        <v>38914</v>
      </c>
      <c r="E893" s="2">
        <v>43615</v>
      </c>
      <c r="F893" s="1" t="s">
        <v>14</v>
      </c>
      <c r="G893" s="1">
        <v>43</v>
      </c>
      <c r="H893" s="9"/>
      <c r="J893" s="1">
        <v>478.42</v>
      </c>
      <c r="N893" s="1" t="s">
        <v>10</v>
      </c>
      <c r="O893" s="1">
        <v>5.5</v>
      </c>
    </row>
    <row r="894" spans="4:15" x14ac:dyDescent="0.3">
      <c r="D894" s="1">
        <v>17447</v>
      </c>
      <c r="E894" s="2">
        <v>43603</v>
      </c>
      <c r="F894" s="1" t="s">
        <v>7</v>
      </c>
      <c r="G894" s="1">
        <v>42</v>
      </c>
      <c r="H894" s="9"/>
      <c r="J894" s="1">
        <v>921.71</v>
      </c>
      <c r="N894" s="1" t="s">
        <v>10</v>
      </c>
      <c r="O894" s="1">
        <v>10.199999999999999</v>
      </c>
    </row>
    <row r="895" spans="4:15" x14ac:dyDescent="0.3">
      <c r="D895" s="1">
        <v>48868</v>
      </c>
      <c r="E895" s="2">
        <v>43629</v>
      </c>
      <c r="F895" s="1" t="s">
        <v>11</v>
      </c>
      <c r="G895" s="1">
        <v>43</v>
      </c>
      <c r="H895" s="9"/>
      <c r="J895" s="1">
        <v>7342.18</v>
      </c>
      <c r="N895" s="1" t="s">
        <v>10</v>
      </c>
      <c r="O895" s="1">
        <v>4.3</v>
      </c>
    </row>
    <row r="896" spans="4:15" x14ac:dyDescent="0.3">
      <c r="D896" s="1">
        <v>52999</v>
      </c>
      <c r="E896" s="2">
        <v>43580</v>
      </c>
      <c r="F896" s="1" t="s">
        <v>11</v>
      </c>
      <c r="G896" s="1">
        <v>39</v>
      </c>
      <c r="H896" s="9"/>
      <c r="J896" s="1">
        <v>367.06</v>
      </c>
      <c r="N896" s="1" t="s">
        <v>10</v>
      </c>
      <c r="O896" s="1">
        <v>2.2999999999999998</v>
      </c>
    </row>
    <row r="897" spans="4:15" x14ac:dyDescent="0.3">
      <c r="D897" s="1">
        <v>9826</v>
      </c>
      <c r="E897" s="2">
        <v>43546</v>
      </c>
      <c r="F897" s="1" t="s">
        <v>14</v>
      </c>
      <c r="G897" s="1">
        <v>7</v>
      </c>
      <c r="H897" s="9"/>
      <c r="J897" s="1">
        <v>140.82</v>
      </c>
      <c r="N897" s="1" t="s">
        <v>10</v>
      </c>
      <c r="O897" s="1">
        <v>2.1</v>
      </c>
    </row>
    <row r="898" spans="4:15" x14ac:dyDescent="0.3">
      <c r="D898" s="1">
        <v>18950</v>
      </c>
      <c r="E898" s="2">
        <v>43522</v>
      </c>
      <c r="F898" s="1" t="s">
        <v>7</v>
      </c>
      <c r="G898" s="1">
        <v>33</v>
      </c>
      <c r="H898" s="9"/>
      <c r="J898" s="1">
        <v>3219.1</v>
      </c>
      <c r="N898" s="1" t="s">
        <v>13</v>
      </c>
      <c r="O898" s="1">
        <v>15</v>
      </c>
    </row>
    <row r="899" spans="4:15" x14ac:dyDescent="0.3">
      <c r="D899" s="1">
        <v>30343</v>
      </c>
      <c r="E899" s="2">
        <v>43606</v>
      </c>
      <c r="F899" s="1" t="s">
        <v>12</v>
      </c>
      <c r="G899" s="1">
        <v>28</v>
      </c>
      <c r="H899" s="9"/>
      <c r="J899" s="1">
        <v>139.4</v>
      </c>
      <c r="N899" s="1" t="s">
        <v>10</v>
      </c>
      <c r="O899" s="1">
        <v>0.5</v>
      </c>
    </row>
    <row r="900" spans="4:15" x14ac:dyDescent="0.3">
      <c r="D900" s="1">
        <v>52645</v>
      </c>
      <c r="E900" s="2">
        <v>43531</v>
      </c>
      <c r="F900" s="1" t="s">
        <v>7</v>
      </c>
      <c r="G900" s="1">
        <v>10</v>
      </c>
      <c r="H900" s="9"/>
      <c r="J900" s="1">
        <v>741.53</v>
      </c>
      <c r="N900" s="1" t="s">
        <v>10</v>
      </c>
      <c r="O900" s="1">
        <v>3.7</v>
      </c>
    </row>
    <row r="901" spans="4:15" x14ac:dyDescent="0.3">
      <c r="D901" s="1">
        <v>8293</v>
      </c>
      <c r="E901" s="2">
        <v>43687</v>
      </c>
      <c r="F901" s="1" t="s">
        <v>7</v>
      </c>
      <c r="G901" s="1">
        <v>22</v>
      </c>
      <c r="H901" s="9"/>
      <c r="J901" s="1">
        <v>80.28</v>
      </c>
      <c r="N901" s="1" t="s">
        <v>10</v>
      </c>
      <c r="O901" s="1">
        <v>2.1</v>
      </c>
    </row>
    <row r="902" spans="4:15" x14ac:dyDescent="0.3">
      <c r="D902" s="1">
        <v>18208</v>
      </c>
      <c r="E902" s="2">
        <v>43556</v>
      </c>
      <c r="F902" s="1" t="s">
        <v>11</v>
      </c>
      <c r="G902" s="1">
        <v>36</v>
      </c>
      <c r="H902" s="9"/>
      <c r="J902" s="1">
        <v>88.79</v>
      </c>
      <c r="N902" s="1" t="s">
        <v>10</v>
      </c>
      <c r="O902" s="1">
        <v>5.6</v>
      </c>
    </row>
    <row r="903" spans="4:15" x14ac:dyDescent="0.3">
      <c r="D903" s="1">
        <v>44646</v>
      </c>
      <c r="E903" s="2">
        <v>43468</v>
      </c>
      <c r="F903" s="1" t="s">
        <v>7</v>
      </c>
      <c r="G903" s="1">
        <v>47</v>
      </c>
      <c r="H903" s="9"/>
      <c r="J903" s="1">
        <v>13614.63</v>
      </c>
      <c r="N903" s="1" t="s">
        <v>10</v>
      </c>
      <c r="O903" s="1">
        <v>37.5</v>
      </c>
    </row>
    <row r="904" spans="4:15" x14ac:dyDescent="0.3">
      <c r="D904" s="1">
        <v>26756</v>
      </c>
      <c r="E904" s="2">
        <v>43595</v>
      </c>
      <c r="F904" s="1" t="s">
        <v>14</v>
      </c>
      <c r="G904" s="1">
        <v>25</v>
      </c>
      <c r="H904" s="9"/>
      <c r="J904" s="1">
        <v>820.97</v>
      </c>
      <c r="N904" s="1" t="s">
        <v>10</v>
      </c>
      <c r="O904" s="1">
        <v>4.3</v>
      </c>
    </row>
    <row r="905" spans="4:15" x14ac:dyDescent="0.3">
      <c r="D905" s="1">
        <v>40067</v>
      </c>
      <c r="E905" s="2">
        <v>43512</v>
      </c>
      <c r="F905" s="1" t="s">
        <v>7</v>
      </c>
      <c r="G905" s="1">
        <v>38</v>
      </c>
      <c r="H905" s="9"/>
      <c r="J905" s="1">
        <v>2308.3200000000002</v>
      </c>
      <c r="N905" s="1" t="s">
        <v>10</v>
      </c>
      <c r="O905" s="1">
        <v>5.7</v>
      </c>
    </row>
    <row r="906" spans="4:15" x14ac:dyDescent="0.3">
      <c r="D906" s="1">
        <v>5954</v>
      </c>
      <c r="E906" s="2">
        <v>43801</v>
      </c>
      <c r="F906" s="1" t="s">
        <v>12</v>
      </c>
      <c r="G906" s="1">
        <v>32</v>
      </c>
      <c r="H906" s="9"/>
      <c r="J906" s="1">
        <v>19598.440999999999</v>
      </c>
      <c r="N906" s="1" t="s">
        <v>13</v>
      </c>
      <c r="O906" s="1">
        <v>15.7</v>
      </c>
    </row>
    <row r="907" spans="4:15" x14ac:dyDescent="0.3">
      <c r="D907" s="1">
        <v>40007</v>
      </c>
      <c r="E907" s="2">
        <v>43707</v>
      </c>
      <c r="F907" s="1" t="s">
        <v>11</v>
      </c>
      <c r="G907" s="1">
        <v>45</v>
      </c>
      <c r="H907" s="9"/>
      <c r="J907" s="1">
        <v>201.98</v>
      </c>
      <c r="N907" s="1" t="s">
        <v>10</v>
      </c>
      <c r="O907" s="1">
        <v>1.3</v>
      </c>
    </row>
    <row r="908" spans="4:15" x14ac:dyDescent="0.3">
      <c r="D908" s="1">
        <v>31586</v>
      </c>
      <c r="E908" s="2">
        <v>43545</v>
      </c>
      <c r="F908" s="1" t="s">
        <v>7</v>
      </c>
      <c r="G908" s="1">
        <v>22</v>
      </c>
      <c r="H908" s="9"/>
      <c r="J908" s="1">
        <v>1030.8900000000001</v>
      </c>
      <c r="N908" s="1" t="s">
        <v>8</v>
      </c>
      <c r="O908" s="1">
        <v>4.3</v>
      </c>
    </row>
    <row r="909" spans="4:15" x14ac:dyDescent="0.3">
      <c r="D909" s="1">
        <v>34754</v>
      </c>
      <c r="E909" s="2">
        <v>43620</v>
      </c>
      <c r="F909" s="1" t="s">
        <v>12</v>
      </c>
      <c r="G909" s="1">
        <v>16</v>
      </c>
      <c r="H909" s="9"/>
      <c r="J909" s="1">
        <v>666.98</v>
      </c>
      <c r="N909" s="1" t="s">
        <v>10</v>
      </c>
      <c r="O909" s="1">
        <v>5.4</v>
      </c>
    </row>
    <row r="910" spans="4:15" x14ac:dyDescent="0.3">
      <c r="D910" s="1">
        <v>9761</v>
      </c>
      <c r="E910" s="2">
        <v>43486</v>
      </c>
      <c r="F910" s="1" t="s">
        <v>11</v>
      </c>
      <c r="G910" s="1">
        <v>2</v>
      </c>
      <c r="H910" s="9"/>
      <c r="J910" s="1">
        <v>216.82</v>
      </c>
      <c r="N910" s="1" t="s">
        <v>13</v>
      </c>
      <c r="O910" s="1">
        <v>15</v>
      </c>
    </row>
    <row r="911" spans="4:15" x14ac:dyDescent="0.3">
      <c r="D911" s="1">
        <v>59395</v>
      </c>
      <c r="E911" s="2">
        <v>43577</v>
      </c>
      <c r="F911" s="1" t="s">
        <v>12</v>
      </c>
      <c r="G911" s="1">
        <v>20</v>
      </c>
      <c r="H911" s="9"/>
      <c r="J911" s="1">
        <v>1030.73</v>
      </c>
      <c r="N911" s="1" t="s">
        <v>8</v>
      </c>
      <c r="O911" s="1">
        <v>7.7</v>
      </c>
    </row>
    <row r="912" spans="4:15" x14ac:dyDescent="0.3">
      <c r="D912" s="1">
        <v>43332</v>
      </c>
      <c r="E912" s="2">
        <v>43718</v>
      </c>
      <c r="F912" s="1" t="s">
        <v>9</v>
      </c>
      <c r="G912" s="1">
        <v>31</v>
      </c>
      <c r="H912" s="9"/>
      <c r="J912" s="1">
        <v>1872.5</v>
      </c>
      <c r="N912" s="1" t="s">
        <v>8</v>
      </c>
      <c r="O912" s="1">
        <v>15.3</v>
      </c>
    </row>
    <row r="913" spans="4:15" x14ac:dyDescent="0.3">
      <c r="D913" s="1">
        <v>7783</v>
      </c>
      <c r="E913" s="2">
        <v>43476</v>
      </c>
      <c r="F913" s="1" t="s">
        <v>14</v>
      </c>
      <c r="G913" s="1">
        <v>3</v>
      </c>
      <c r="H913" s="9"/>
      <c r="J913" s="1">
        <v>33.544499999999999</v>
      </c>
      <c r="N913" s="1" t="s">
        <v>10</v>
      </c>
      <c r="O913" s="1">
        <v>6</v>
      </c>
    </row>
    <row r="914" spans="4:15" x14ac:dyDescent="0.3">
      <c r="D914" s="1">
        <v>3907</v>
      </c>
      <c r="E914" s="2">
        <v>43695</v>
      </c>
      <c r="F914" s="1" t="s">
        <v>14</v>
      </c>
      <c r="G914" s="1">
        <v>36</v>
      </c>
      <c r="H914" s="9"/>
      <c r="J914" s="1">
        <v>1159.01</v>
      </c>
      <c r="N914" s="1" t="s">
        <v>8</v>
      </c>
      <c r="O914" s="1">
        <v>5.9</v>
      </c>
    </row>
    <row r="915" spans="4:15" x14ac:dyDescent="0.3">
      <c r="D915" s="1">
        <v>33029</v>
      </c>
      <c r="E915" s="2">
        <v>43616</v>
      </c>
      <c r="F915" s="1" t="s">
        <v>9</v>
      </c>
      <c r="G915" s="1">
        <v>39</v>
      </c>
      <c r="H915" s="9"/>
      <c r="J915" s="1">
        <v>17150.240000000002</v>
      </c>
      <c r="N915" s="1" t="s">
        <v>13</v>
      </c>
      <c r="O915" s="1">
        <v>80.5</v>
      </c>
    </row>
    <row r="916" spans="4:15" x14ac:dyDescent="0.3">
      <c r="D916" s="1">
        <v>16864</v>
      </c>
      <c r="E916" s="2">
        <v>43767</v>
      </c>
      <c r="F916" s="1" t="s">
        <v>11</v>
      </c>
      <c r="G916" s="1">
        <v>42</v>
      </c>
      <c r="H916" s="9"/>
      <c r="J916" s="1">
        <v>13735.71</v>
      </c>
      <c r="N916" s="1" t="s">
        <v>13</v>
      </c>
      <c r="O916" s="1">
        <v>46.6</v>
      </c>
    </row>
    <row r="917" spans="4:15" x14ac:dyDescent="0.3">
      <c r="D917" s="1">
        <v>8677</v>
      </c>
      <c r="E917" s="2">
        <v>43745</v>
      </c>
      <c r="F917" s="1" t="s">
        <v>9</v>
      </c>
      <c r="G917" s="1">
        <v>38</v>
      </c>
      <c r="H917" s="9"/>
      <c r="J917" s="1">
        <v>1723.51</v>
      </c>
      <c r="N917" s="1" t="s">
        <v>10</v>
      </c>
      <c r="O917" s="1">
        <v>17.5</v>
      </c>
    </row>
    <row r="918" spans="4:15" x14ac:dyDescent="0.3">
      <c r="D918" s="1">
        <v>24801</v>
      </c>
      <c r="E918" s="2">
        <v>43784</v>
      </c>
      <c r="F918" s="1" t="s">
        <v>9</v>
      </c>
      <c r="G918" s="1">
        <v>7</v>
      </c>
      <c r="H918" s="9"/>
      <c r="J918" s="1">
        <v>733.7</v>
      </c>
      <c r="N918" s="1" t="s">
        <v>10</v>
      </c>
      <c r="O918" s="1">
        <v>22.2</v>
      </c>
    </row>
    <row r="919" spans="4:15" x14ac:dyDescent="0.3">
      <c r="D919" s="1">
        <v>29856</v>
      </c>
      <c r="E919" s="2">
        <v>43624</v>
      </c>
      <c r="F919" s="1" t="s">
        <v>14</v>
      </c>
      <c r="G919" s="1">
        <v>24</v>
      </c>
      <c r="H919" s="9"/>
      <c r="J919" s="1">
        <v>123.63</v>
      </c>
      <c r="N919" s="1" t="s">
        <v>10</v>
      </c>
      <c r="O919" s="1">
        <v>0.9</v>
      </c>
    </row>
    <row r="920" spans="4:15" x14ac:dyDescent="0.3">
      <c r="D920" s="1">
        <v>3333</v>
      </c>
      <c r="E920" s="2">
        <v>43723</v>
      </c>
      <c r="F920" s="1" t="s">
        <v>11</v>
      </c>
      <c r="G920" s="1">
        <v>9</v>
      </c>
      <c r="H920" s="9"/>
      <c r="J920" s="1">
        <v>63.18</v>
      </c>
      <c r="N920" s="1" t="s">
        <v>10</v>
      </c>
      <c r="O920" s="1">
        <v>5.8</v>
      </c>
    </row>
    <row r="921" spans="4:15" x14ac:dyDescent="0.3">
      <c r="D921" s="1">
        <v>49190</v>
      </c>
      <c r="E921" s="2">
        <v>43810</v>
      </c>
      <c r="F921" s="1" t="s">
        <v>9</v>
      </c>
      <c r="G921" s="1">
        <v>4</v>
      </c>
      <c r="H921" s="9"/>
      <c r="J921" s="1">
        <v>30</v>
      </c>
      <c r="N921" s="1" t="s">
        <v>10</v>
      </c>
      <c r="O921" s="1">
        <v>2.1</v>
      </c>
    </row>
    <row r="922" spans="4:15" x14ac:dyDescent="0.3">
      <c r="D922" s="1">
        <v>21344</v>
      </c>
      <c r="E922" s="2">
        <v>43808</v>
      </c>
      <c r="F922" s="1" t="s">
        <v>7</v>
      </c>
      <c r="G922" s="1">
        <v>29</v>
      </c>
      <c r="H922" s="9"/>
      <c r="J922" s="1">
        <v>628.29999999999995</v>
      </c>
      <c r="N922" s="1" t="s">
        <v>10</v>
      </c>
      <c r="O922" s="1">
        <v>2.1</v>
      </c>
    </row>
    <row r="923" spans="4:15" x14ac:dyDescent="0.3">
      <c r="D923" s="1">
        <v>55651</v>
      </c>
      <c r="E923" s="2">
        <v>43531</v>
      </c>
      <c r="F923" s="1" t="s">
        <v>14</v>
      </c>
      <c r="G923" s="1">
        <v>41</v>
      </c>
      <c r="H923" s="9"/>
      <c r="J923" s="1">
        <v>888.67</v>
      </c>
      <c r="N923" s="1" t="s">
        <v>10</v>
      </c>
      <c r="O923" s="1">
        <v>9.6</v>
      </c>
    </row>
    <row r="924" spans="4:15" x14ac:dyDescent="0.3">
      <c r="D924" s="1">
        <v>50564</v>
      </c>
      <c r="E924" s="2">
        <v>43526</v>
      </c>
      <c r="F924" s="1" t="s">
        <v>9</v>
      </c>
      <c r="G924" s="1">
        <v>30</v>
      </c>
      <c r="H924" s="9"/>
      <c r="J924" s="1">
        <v>11814.32</v>
      </c>
      <c r="N924" s="1" t="s">
        <v>10</v>
      </c>
      <c r="O924" s="1">
        <v>21.4</v>
      </c>
    </row>
    <row r="925" spans="4:15" x14ac:dyDescent="0.3">
      <c r="D925" s="1">
        <v>47456</v>
      </c>
      <c r="E925" s="2">
        <v>43616</v>
      </c>
      <c r="F925" s="1" t="s">
        <v>7</v>
      </c>
      <c r="G925" s="1">
        <v>43</v>
      </c>
      <c r="H925" s="9"/>
      <c r="J925" s="1">
        <v>296.48</v>
      </c>
      <c r="N925" s="1" t="s">
        <v>10</v>
      </c>
      <c r="O925" s="1">
        <v>8.5</v>
      </c>
    </row>
    <row r="926" spans="4:15" x14ac:dyDescent="0.3">
      <c r="D926" s="1">
        <v>29985</v>
      </c>
      <c r="E926" s="2">
        <v>43657</v>
      </c>
      <c r="F926" s="1" t="s">
        <v>12</v>
      </c>
      <c r="G926" s="1">
        <v>22</v>
      </c>
      <c r="H926" s="9"/>
      <c r="J926" s="1">
        <v>210.52250000000001</v>
      </c>
      <c r="N926" s="1" t="s">
        <v>8</v>
      </c>
      <c r="O926" s="1">
        <v>5.3</v>
      </c>
    </row>
    <row r="927" spans="4:15" x14ac:dyDescent="0.3">
      <c r="D927" s="1">
        <v>38690</v>
      </c>
      <c r="E927" s="2">
        <v>43484</v>
      </c>
      <c r="F927" s="1" t="s">
        <v>7</v>
      </c>
      <c r="G927" s="1">
        <v>28</v>
      </c>
      <c r="H927" s="9"/>
      <c r="J927" s="1">
        <v>746.33</v>
      </c>
      <c r="N927" s="1" t="s">
        <v>10</v>
      </c>
      <c r="O927" s="1">
        <v>6.7</v>
      </c>
    </row>
    <row r="928" spans="4:15" x14ac:dyDescent="0.3">
      <c r="D928" s="1">
        <v>11650</v>
      </c>
      <c r="E928" s="2">
        <v>43732</v>
      </c>
      <c r="F928" s="1" t="s">
        <v>11</v>
      </c>
      <c r="G928" s="1">
        <v>26</v>
      </c>
      <c r="H928" s="9"/>
      <c r="J928" s="1">
        <v>1166.73</v>
      </c>
      <c r="N928" s="1" t="s">
        <v>10</v>
      </c>
      <c r="O928" s="1">
        <v>9.6</v>
      </c>
    </row>
    <row r="929" spans="4:15" x14ac:dyDescent="0.3">
      <c r="D929" s="1">
        <v>384</v>
      </c>
      <c r="E929" s="2">
        <v>43526</v>
      </c>
      <c r="F929" s="1" t="s">
        <v>7</v>
      </c>
      <c r="G929" s="1">
        <v>50</v>
      </c>
      <c r="H929" s="9"/>
      <c r="J929" s="1">
        <v>8202.6628000000001</v>
      </c>
      <c r="N929" s="1" t="s">
        <v>13</v>
      </c>
      <c r="O929" s="1">
        <v>85.8</v>
      </c>
    </row>
    <row r="930" spans="4:15" x14ac:dyDescent="0.3">
      <c r="D930" s="1">
        <v>19332</v>
      </c>
      <c r="E930" s="2">
        <v>43522</v>
      </c>
      <c r="F930" s="1" t="s">
        <v>9</v>
      </c>
      <c r="G930" s="1">
        <v>46</v>
      </c>
      <c r="H930" s="9"/>
      <c r="J930" s="1">
        <v>8824.14</v>
      </c>
      <c r="N930" s="1" t="s">
        <v>13</v>
      </c>
      <c r="O930" s="1">
        <v>31.3</v>
      </c>
    </row>
    <row r="931" spans="4:15" x14ac:dyDescent="0.3">
      <c r="D931" s="1">
        <v>41760</v>
      </c>
      <c r="E931" s="2">
        <v>43491</v>
      </c>
      <c r="F931" s="1" t="s">
        <v>7</v>
      </c>
      <c r="G931" s="1">
        <v>40</v>
      </c>
      <c r="H931" s="9"/>
      <c r="J931" s="1">
        <v>3458.38</v>
      </c>
      <c r="N931" s="1" t="s">
        <v>10</v>
      </c>
      <c r="O931" s="1">
        <v>9.6</v>
      </c>
    </row>
    <row r="932" spans="4:15" x14ac:dyDescent="0.3">
      <c r="D932" s="1">
        <v>9350</v>
      </c>
      <c r="E932" s="2">
        <v>43769</v>
      </c>
      <c r="F932" s="1" t="s">
        <v>12</v>
      </c>
      <c r="G932" s="1">
        <v>2</v>
      </c>
      <c r="H932" s="9"/>
      <c r="J932" s="1">
        <v>361.23</v>
      </c>
      <c r="N932" s="1" t="s">
        <v>10</v>
      </c>
      <c r="O932" s="1">
        <v>21.4</v>
      </c>
    </row>
    <row r="933" spans="4:15" x14ac:dyDescent="0.3">
      <c r="D933" s="1">
        <v>33445</v>
      </c>
      <c r="E933" s="2">
        <v>43679</v>
      </c>
      <c r="F933" s="1" t="s">
        <v>7</v>
      </c>
      <c r="G933" s="1">
        <v>16</v>
      </c>
      <c r="H933" s="9"/>
      <c r="J933" s="1">
        <v>3191.28</v>
      </c>
      <c r="N933" s="1" t="s">
        <v>10</v>
      </c>
      <c r="O933" s="1">
        <v>73.8</v>
      </c>
    </row>
    <row r="934" spans="4:15" x14ac:dyDescent="0.3">
      <c r="D934" s="1">
        <v>43109</v>
      </c>
      <c r="E934" s="2">
        <v>43820</v>
      </c>
      <c r="F934" s="1" t="s">
        <v>12</v>
      </c>
      <c r="G934" s="1">
        <v>25</v>
      </c>
      <c r="H934" s="9"/>
      <c r="J934" s="1">
        <v>545.18640000000005</v>
      </c>
      <c r="N934" s="1" t="s">
        <v>10</v>
      </c>
      <c r="O934" s="1">
        <v>7</v>
      </c>
    </row>
    <row r="935" spans="4:15" x14ac:dyDescent="0.3">
      <c r="D935" s="1">
        <v>30401</v>
      </c>
      <c r="E935" s="2">
        <v>43756</v>
      </c>
      <c r="F935" s="1" t="s">
        <v>14</v>
      </c>
      <c r="G935" s="1">
        <v>39</v>
      </c>
      <c r="H935" s="9"/>
      <c r="J935" s="1">
        <v>256.16000000000003</v>
      </c>
      <c r="N935" s="1" t="s">
        <v>10</v>
      </c>
      <c r="O935" s="1">
        <v>5.5</v>
      </c>
    </row>
    <row r="936" spans="4:15" x14ac:dyDescent="0.3">
      <c r="D936" s="1">
        <v>20003</v>
      </c>
      <c r="E936" s="2">
        <v>43494</v>
      </c>
      <c r="F936" s="1" t="s">
        <v>14</v>
      </c>
      <c r="G936" s="1">
        <v>39</v>
      </c>
      <c r="H936" s="9"/>
      <c r="J936" s="1">
        <v>851.80560000000003</v>
      </c>
      <c r="N936" s="1" t="s">
        <v>10</v>
      </c>
      <c r="O936" s="1">
        <v>4.3</v>
      </c>
    </row>
    <row r="937" spans="4:15" x14ac:dyDescent="0.3">
      <c r="D937" s="1">
        <v>19361</v>
      </c>
      <c r="E937" s="2">
        <v>43731</v>
      </c>
      <c r="F937" s="1" t="s">
        <v>7</v>
      </c>
      <c r="G937" s="1">
        <v>21</v>
      </c>
      <c r="H937" s="9"/>
      <c r="J937" s="1">
        <v>573.05999999999995</v>
      </c>
      <c r="N937" s="1" t="s">
        <v>10</v>
      </c>
      <c r="O937" s="1">
        <v>9.6</v>
      </c>
    </row>
    <row r="938" spans="4:15" x14ac:dyDescent="0.3">
      <c r="D938" s="1">
        <v>31173</v>
      </c>
      <c r="E938" s="2">
        <v>43695</v>
      </c>
      <c r="F938" s="1" t="s">
        <v>7</v>
      </c>
      <c r="G938" s="1">
        <v>24</v>
      </c>
      <c r="H938" s="9"/>
      <c r="J938" s="1">
        <v>181.21</v>
      </c>
      <c r="N938" s="1" t="s">
        <v>8</v>
      </c>
      <c r="O938" s="1">
        <v>5.4</v>
      </c>
    </row>
    <row r="939" spans="4:15" x14ac:dyDescent="0.3">
      <c r="D939" s="1">
        <v>46243</v>
      </c>
      <c r="E939" s="2">
        <v>43488</v>
      </c>
      <c r="F939" s="1" t="s">
        <v>7</v>
      </c>
      <c r="G939" s="1">
        <v>31</v>
      </c>
      <c r="H939" s="9"/>
      <c r="J939" s="1">
        <v>657.35</v>
      </c>
      <c r="N939" s="1" t="s">
        <v>8</v>
      </c>
      <c r="O939" s="1">
        <v>9.6999999999999993</v>
      </c>
    </row>
    <row r="940" spans="4:15" x14ac:dyDescent="0.3">
      <c r="D940" s="1">
        <v>58278</v>
      </c>
      <c r="E940" s="2">
        <v>43718</v>
      </c>
      <c r="F940" s="1" t="s">
        <v>9</v>
      </c>
      <c r="G940" s="1">
        <v>4</v>
      </c>
      <c r="H940" s="9"/>
      <c r="J940" s="1">
        <v>301.25</v>
      </c>
      <c r="N940" s="1" t="s">
        <v>10</v>
      </c>
      <c r="O940" s="1">
        <v>1.1000000000000001</v>
      </c>
    </row>
    <row r="941" spans="4:15" x14ac:dyDescent="0.3">
      <c r="D941" s="1">
        <v>2500</v>
      </c>
      <c r="E941" s="2">
        <v>43691</v>
      </c>
      <c r="F941" s="1" t="s">
        <v>9</v>
      </c>
      <c r="G941" s="1">
        <v>5</v>
      </c>
      <c r="H941" s="9"/>
      <c r="J941" s="1">
        <v>24.14</v>
      </c>
      <c r="N941" s="1" t="s">
        <v>10</v>
      </c>
      <c r="O941" s="1">
        <v>6.7</v>
      </c>
    </row>
    <row r="942" spans="4:15" x14ac:dyDescent="0.3">
      <c r="D942" s="1">
        <v>4741</v>
      </c>
      <c r="E942" s="2">
        <v>43652</v>
      </c>
      <c r="F942" s="1" t="s">
        <v>11</v>
      </c>
      <c r="G942" s="1">
        <v>40</v>
      </c>
      <c r="H942" s="9"/>
      <c r="J942" s="1">
        <v>366.98</v>
      </c>
      <c r="N942" s="1" t="s">
        <v>10</v>
      </c>
      <c r="O942" s="1">
        <v>9.1</v>
      </c>
    </row>
    <row r="943" spans="4:15" x14ac:dyDescent="0.3">
      <c r="D943" s="1">
        <v>23297</v>
      </c>
      <c r="E943" s="2">
        <v>43648</v>
      </c>
      <c r="F943" s="1" t="s">
        <v>12</v>
      </c>
      <c r="G943" s="1">
        <v>20</v>
      </c>
      <c r="H943" s="9"/>
      <c r="J943" s="1">
        <v>533.59</v>
      </c>
      <c r="N943" s="1" t="s">
        <v>10</v>
      </c>
      <c r="O943" s="1">
        <v>5.7</v>
      </c>
    </row>
    <row r="944" spans="4:15" x14ac:dyDescent="0.3">
      <c r="D944" s="1">
        <v>9253</v>
      </c>
      <c r="E944" s="2">
        <v>43494</v>
      </c>
      <c r="F944" s="1" t="s">
        <v>12</v>
      </c>
      <c r="G944" s="1">
        <v>36</v>
      </c>
      <c r="H944" s="9"/>
      <c r="J944" s="1">
        <v>1759.3154</v>
      </c>
      <c r="N944" s="1" t="s">
        <v>10</v>
      </c>
      <c r="O944" s="1">
        <v>7.2</v>
      </c>
    </row>
    <row r="945" spans="4:15" x14ac:dyDescent="0.3">
      <c r="D945" s="1">
        <v>19074</v>
      </c>
      <c r="E945" s="2">
        <v>43641</v>
      </c>
      <c r="F945" s="1" t="s">
        <v>12</v>
      </c>
      <c r="G945" s="1">
        <v>17</v>
      </c>
      <c r="H945" s="9"/>
      <c r="J945" s="1">
        <v>4083.75</v>
      </c>
      <c r="N945" s="1" t="s">
        <v>13</v>
      </c>
      <c r="O945" s="1">
        <v>72.8</v>
      </c>
    </row>
    <row r="946" spans="4:15" x14ac:dyDescent="0.3">
      <c r="D946" s="1">
        <v>44737</v>
      </c>
      <c r="E946" s="2">
        <v>43788</v>
      </c>
      <c r="F946" s="1" t="s">
        <v>14</v>
      </c>
      <c r="G946" s="1">
        <v>11</v>
      </c>
      <c r="H946" s="9"/>
      <c r="J946" s="1">
        <v>827.9</v>
      </c>
      <c r="N946" s="1" t="s">
        <v>10</v>
      </c>
      <c r="O946" s="1">
        <v>37.5</v>
      </c>
    </row>
    <row r="947" spans="4:15" x14ac:dyDescent="0.3">
      <c r="D947" s="1">
        <v>2497</v>
      </c>
      <c r="E947" s="2">
        <v>43703</v>
      </c>
      <c r="F947" s="1" t="s">
        <v>12</v>
      </c>
      <c r="G947" s="1">
        <v>21</v>
      </c>
      <c r="H947" s="9"/>
      <c r="J947" s="1">
        <v>3883.16</v>
      </c>
      <c r="N947" s="1" t="s">
        <v>10</v>
      </c>
      <c r="O947" s="1">
        <v>5.6</v>
      </c>
    </row>
    <row r="948" spans="4:15" x14ac:dyDescent="0.3">
      <c r="D948" s="1">
        <v>29216</v>
      </c>
      <c r="E948" s="2">
        <v>43828</v>
      </c>
      <c r="F948" s="1" t="s">
        <v>12</v>
      </c>
      <c r="G948" s="1">
        <v>17</v>
      </c>
      <c r="H948" s="9"/>
      <c r="J948" s="1">
        <v>3970.81</v>
      </c>
      <c r="N948" s="1" t="s">
        <v>13</v>
      </c>
      <c r="O948" s="1">
        <v>74.5</v>
      </c>
    </row>
    <row r="949" spans="4:15" x14ac:dyDescent="0.3">
      <c r="D949" s="1">
        <v>25797</v>
      </c>
      <c r="E949" s="2">
        <v>43709</v>
      </c>
      <c r="F949" s="1" t="s">
        <v>11</v>
      </c>
      <c r="G949" s="1">
        <v>28</v>
      </c>
      <c r="H949" s="9"/>
      <c r="J949" s="1">
        <v>990.21</v>
      </c>
      <c r="N949" s="1" t="s">
        <v>10</v>
      </c>
      <c r="O949" s="1">
        <v>2.1</v>
      </c>
    </row>
    <row r="950" spans="4:15" x14ac:dyDescent="0.3">
      <c r="D950" s="1">
        <v>59685</v>
      </c>
      <c r="E950" s="2">
        <v>43809</v>
      </c>
      <c r="F950" s="1" t="s">
        <v>12</v>
      </c>
      <c r="G950" s="1">
        <v>46</v>
      </c>
      <c r="H950" s="9"/>
      <c r="J950" s="1">
        <v>602.30999999999995</v>
      </c>
      <c r="N950" s="1" t="s">
        <v>10</v>
      </c>
      <c r="O950" s="1">
        <v>15.4</v>
      </c>
    </row>
    <row r="951" spans="4:15" x14ac:dyDescent="0.3">
      <c r="D951" s="1">
        <v>32966</v>
      </c>
      <c r="E951" s="2">
        <v>43490</v>
      </c>
      <c r="F951" s="1" t="s">
        <v>7</v>
      </c>
      <c r="G951" s="1">
        <v>43</v>
      </c>
      <c r="H951" s="9"/>
      <c r="J951" s="1">
        <v>79.36</v>
      </c>
      <c r="N951" s="1" t="s">
        <v>10</v>
      </c>
      <c r="O951" s="1">
        <v>1.4</v>
      </c>
    </row>
    <row r="952" spans="4:15" x14ac:dyDescent="0.3">
      <c r="D952" s="1">
        <v>21607</v>
      </c>
      <c r="E952" s="2">
        <v>43539</v>
      </c>
      <c r="F952" s="1" t="s">
        <v>11</v>
      </c>
      <c r="G952" s="1">
        <v>17</v>
      </c>
      <c r="H952" s="9"/>
      <c r="J952" s="1">
        <v>662.22</v>
      </c>
      <c r="N952" s="1" t="s">
        <v>10</v>
      </c>
      <c r="O952" s="1">
        <v>14.9</v>
      </c>
    </row>
    <row r="953" spans="4:15" x14ac:dyDescent="0.3">
      <c r="D953" s="1">
        <v>33606</v>
      </c>
      <c r="E953" s="2">
        <v>43525</v>
      </c>
      <c r="F953" s="1" t="s">
        <v>9</v>
      </c>
      <c r="G953" s="1">
        <v>46</v>
      </c>
      <c r="H953" s="9"/>
      <c r="J953" s="1">
        <v>438.7321</v>
      </c>
      <c r="N953" s="1" t="s">
        <v>10</v>
      </c>
      <c r="O953" s="1">
        <v>9.1</v>
      </c>
    </row>
    <row r="954" spans="4:15" x14ac:dyDescent="0.3">
      <c r="D954" s="1">
        <v>52039</v>
      </c>
      <c r="E954" s="2">
        <v>43679</v>
      </c>
      <c r="F954" s="1" t="s">
        <v>12</v>
      </c>
      <c r="G954" s="1">
        <v>48</v>
      </c>
      <c r="H954" s="9"/>
      <c r="J954" s="1">
        <v>2146.83</v>
      </c>
      <c r="N954" s="1" t="s">
        <v>10</v>
      </c>
      <c r="O954" s="1">
        <v>2.1</v>
      </c>
    </row>
    <row r="955" spans="4:15" x14ac:dyDescent="0.3">
      <c r="D955" s="1">
        <v>4099</v>
      </c>
      <c r="E955" s="2">
        <v>43697</v>
      </c>
      <c r="F955" s="1" t="s">
        <v>12</v>
      </c>
      <c r="G955" s="1">
        <v>4</v>
      </c>
      <c r="H955" s="9"/>
      <c r="J955" s="1">
        <v>51.21</v>
      </c>
      <c r="N955" s="1" t="s">
        <v>10</v>
      </c>
      <c r="O955" s="1">
        <v>7.8</v>
      </c>
    </row>
    <row r="956" spans="4:15" x14ac:dyDescent="0.3">
      <c r="D956" s="1">
        <v>17507</v>
      </c>
      <c r="E956" s="2">
        <v>43628</v>
      </c>
      <c r="F956" s="1" t="s">
        <v>14</v>
      </c>
      <c r="G956" s="1">
        <v>27</v>
      </c>
      <c r="H956" s="9"/>
      <c r="J956" s="1">
        <v>427.74</v>
      </c>
      <c r="N956" s="1" t="s">
        <v>10</v>
      </c>
      <c r="O956" s="1">
        <v>3.7</v>
      </c>
    </row>
    <row r="957" spans="4:15" x14ac:dyDescent="0.3">
      <c r="D957" s="1">
        <v>43488</v>
      </c>
      <c r="E957" s="2">
        <v>43634</v>
      </c>
      <c r="F957" s="1" t="s">
        <v>12</v>
      </c>
      <c r="G957" s="1">
        <v>13</v>
      </c>
      <c r="H957" s="9"/>
      <c r="J957" s="1">
        <v>205.91</v>
      </c>
      <c r="N957" s="1" t="s">
        <v>10</v>
      </c>
      <c r="O957" s="1">
        <v>6.9</v>
      </c>
    </row>
    <row r="958" spans="4:15" x14ac:dyDescent="0.3">
      <c r="D958" s="1">
        <v>27780</v>
      </c>
      <c r="E958" s="2">
        <v>43758</v>
      </c>
      <c r="F958" s="1" t="s">
        <v>12</v>
      </c>
      <c r="G958" s="1">
        <v>18</v>
      </c>
      <c r="H958" s="9"/>
      <c r="J958" s="1">
        <v>60.36</v>
      </c>
      <c r="N958" s="1" t="s">
        <v>10</v>
      </c>
      <c r="O958" s="1">
        <v>1.1000000000000001</v>
      </c>
    </row>
    <row r="959" spans="4:15" x14ac:dyDescent="0.3">
      <c r="D959" s="1">
        <v>5028</v>
      </c>
      <c r="E959" s="2">
        <v>43571</v>
      </c>
      <c r="F959" s="1" t="s">
        <v>9</v>
      </c>
      <c r="G959" s="1">
        <v>10</v>
      </c>
      <c r="H959" s="9"/>
      <c r="J959" s="1">
        <v>85.26</v>
      </c>
      <c r="N959" s="1" t="s">
        <v>10</v>
      </c>
      <c r="O959" s="1">
        <v>3.9</v>
      </c>
    </row>
    <row r="960" spans="4:15" x14ac:dyDescent="0.3">
      <c r="D960" s="1">
        <v>24546</v>
      </c>
      <c r="E960" s="2">
        <v>43550</v>
      </c>
      <c r="F960" s="1" t="s">
        <v>12</v>
      </c>
      <c r="G960" s="1">
        <v>7</v>
      </c>
      <c r="H960" s="9"/>
      <c r="J960" s="1">
        <v>87.290599999999998</v>
      </c>
      <c r="N960" s="1" t="s">
        <v>10</v>
      </c>
      <c r="O960" s="1">
        <v>3.6</v>
      </c>
    </row>
    <row r="961" spans="4:15" x14ac:dyDescent="0.3">
      <c r="D961" s="1">
        <v>25447</v>
      </c>
      <c r="E961" s="2">
        <v>43608</v>
      </c>
      <c r="F961" s="1" t="s">
        <v>11</v>
      </c>
      <c r="G961" s="1">
        <v>25</v>
      </c>
      <c r="H961" s="9"/>
      <c r="J961" s="1">
        <v>573.74</v>
      </c>
      <c r="N961" s="1" t="s">
        <v>10</v>
      </c>
      <c r="O961" s="1">
        <v>9.6</v>
      </c>
    </row>
    <row r="962" spans="4:15" x14ac:dyDescent="0.3">
      <c r="D962" s="1">
        <v>41504</v>
      </c>
      <c r="E962" s="2">
        <v>43766</v>
      </c>
      <c r="F962" s="1" t="s">
        <v>12</v>
      </c>
      <c r="G962" s="1">
        <v>20</v>
      </c>
      <c r="H962" s="9"/>
      <c r="J962" s="1">
        <v>324.14999999999998</v>
      </c>
      <c r="N962" s="1" t="s">
        <v>10</v>
      </c>
      <c r="O962" s="1">
        <v>6.2</v>
      </c>
    </row>
    <row r="963" spans="4:15" x14ac:dyDescent="0.3">
      <c r="D963" s="1">
        <v>59909</v>
      </c>
      <c r="E963" s="2">
        <v>43682</v>
      </c>
      <c r="F963" s="1" t="s">
        <v>7</v>
      </c>
      <c r="G963" s="1">
        <v>46</v>
      </c>
      <c r="H963" s="9"/>
      <c r="J963" s="1">
        <v>440.37</v>
      </c>
      <c r="N963" s="1" t="s">
        <v>8</v>
      </c>
      <c r="O963" s="1">
        <v>7.8</v>
      </c>
    </row>
    <row r="964" spans="4:15" x14ac:dyDescent="0.3">
      <c r="D964" s="1">
        <v>24450</v>
      </c>
      <c r="E964" s="2">
        <v>43655</v>
      </c>
      <c r="F964" s="1" t="s">
        <v>12</v>
      </c>
      <c r="G964" s="1">
        <v>41</v>
      </c>
      <c r="H964" s="9"/>
      <c r="J964" s="1">
        <v>420.09</v>
      </c>
      <c r="N964" s="1" t="s">
        <v>8</v>
      </c>
      <c r="O964" s="1">
        <v>7.8</v>
      </c>
    </row>
    <row r="965" spans="4:15" x14ac:dyDescent="0.3">
      <c r="D965" s="1">
        <v>10470</v>
      </c>
      <c r="E965" s="2">
        <v>43589</v>
      </c>
      <c r="F965" s="1" t="s">
        <v>12</v>
      </c>
      <c r="G965" s="1">
        <v>35</v>
      </c>
      <c r="H965" s="9"/>
      <c r="J965" s="1">
        <v>264.27</v>
      </c>
      <c r="N965" s="1" t="s">
        <v>10</v>
      </c>
      <c r="O965" s="1">
        <v>5.6</v>
      </c>
    </row>
    <row r="966" spans="4:15" x14ac:dyDescent="0.3">
      <c r="D966" s="1">
        <v>39686</v>
      </c>
      <c r="E966" s="2">
        <v>43624</v>
      </c>
      <c r="F966" s="1" t="s">
        <v>11</v>
      </c>
      <c r="G966" s="1">
        <v>2</v>
      </c>
      <c r="H966" s="9"/>
      <c r="J966" s="1">
        <v>790.52</v>
      </c>
      <c r="N966" s="1" t="s">
        <v>13</v>
      </c>
      <c r="O966" s="1">
        <v>97.4</v>
      </c>
    </row>
    <row r="967" spans="4:15" x14ac:dyDescent="0.3">
      <c r="D967" s="1">
        <v>30499</v>
      </c>
      <c r="E967" s="2">
        <v>43768</v>
      </c>
      <c r="F967" s="1" t="s">
        <v>9</v>
      </c>
      <c r="G967" s="1">
        <v>16</v>
      </c>
      <c r="H967" s="9"/>
      <c r="J967" s="1">
        <v>98.504199999999997</v>
      </c>
      <c r="N967" s="1" t="s">
        <v>10</v>
      </c>
      <c r="O967" s="1">
        <v>2.7</v>
      </c>
    </row>
    <row r="968" spans="4:15" x14ac:dyDescent="0.3">
      <c r="D968" s="1">
        <v>19777</v>
      </c>
      <c r="E968" s="2">
        <v>43757</v>
      </c>
      <c r="F968" s="1" t="s">
        <v>11</v>
      </c>
      <c r="G968" s="1">
        <v>2</v>
      </c>
      <c r="H968" s="9"/>
      <c r="J968" s="1">
        <v>142.2672</v>
      </c>
      <c r="N968" s="1" t="s">
        <v>10</v>
      </c>
      <c r="O968" s="1">
        <v>11</v>
      </c>
    </row>
    <row r="969" spans="4:15" x14ac:dyDescent="0.3">
      <c r="D969" s="1">
        <v>58145</v>
      </c>
      <c r="E969" s="2">
        <v>43601</v>
      </c>
      <c r="F969" s="1" t="s">
        <v>14</v>
      </c>
      <c r="G969" s="1">
        <v>33</v>
      </c>
      <c r="H969" s="9"/>
      <c r="J969" s="1">
        <v>217.73</v>
      </c>
      <c r="N969" s="1" t="s">
        <v>8</v>
      </c>
      <c r="O969" s="1">
        <v>1.3</v>
      </c>
    </row>
    <row r="970" spans="4:15" x14ac:dyDescent="0.3">
      <c r="D970" s="1">
        <v>19745</v>
      </c>
      <c r="E970" s="2">
        <v>43817</v>
      </c>
      <c r="F970" s="1" t="s">
        <v>9</v>
      </c>
      <c r="G970" s="1">
        <v>25</v>
      </c>
      <c r="H970" s="9"/>
      <c r="J970" s="1">
        <v>1146.79</v>
      </c>
      <c r="N970" s="1" t="s">
        <v>10</v>
      </c>
      <c r="O970" s="1">
        <v>5.0999999999999996</v>
      </c>
    </row>
    <row r="971" spans="4:15" x14ac:dyDescent="0.3">
      <c r="D971" s="1">
        <v>30660</v>
      </c>
      <c r="E971" s="2">
        <v>43713</v>
      </c>
      <c r="F971" s="1" t="s">
        <v>12</v>
      </c>
      <c r="G971" s="1">
        <v>16</v>
      </c>
      <c r="H971" s="9"/>
      <c r="J971" s="1">
        <v>1055.31</v>
      </c>
      <c r="N971" s="1" t="s">
        <v>10</v>
      </c>
      <c r="O971" s="1">
        <v>73.8</v>
      </c>
    </row>
    <row r="972" spans="4:15" x14ac:dyDescent="0.3">
      <c r="D972" s="1">
        <v>23777</v>
      </c>
      <c r="E972" s="2">
        <v>43795</v>
      </c>
      <c r="F972" s="1" t="s">
        <v>11</v>
      </c>
      <c r="G972" s="1">
        <v>16</v>
      </c>
      <c r="H972" s="9"/>
      <c r="J972" s="1">
        <v>521.84</v>
      </c>
      <c r="N972" s="1" t="s">
        <v>10</v>
      </c>
      <c r="O972" s="1">
        <v>7.2</v>
      </c>
    </row>
    <row r="973" spans="4:15" x14ac:dyDescent="0.3">
      <c r="D973" s="1">
        <v>31845</v>
      </c>
      <c r="E973" s="2">
        <v>43760</v>
      </c>
      <c r="F973" s="1" t="s">
        <v>7</v>
      </c>
      <c r="G973" s="1">
        <v>11</v>
      </c>
      <c r="H973" s="9"/>
      <c r="J973" s="1">
        <v>122.57</v>
      </c>
      <c r="N973" s="1" t="s">
        <v>10</v>
      </c>
      <c r="O973" s="1">
        <v>2.2000000000000002</v>
      </c>
    </row>
    <row r="974" spans="4:15" x14ac:dyDescent="0.3">
      <c r="D974" s="1">
        <v>40132</v>
      </c>
      <c r="E974" s="2">
        <v>43518</v>
      </c>
      <c r="F974" s="1" t="s">
        <v>7</v>
      </c>
      <c r="G974" s="1">
        <v>16</v>
      </c>
      <c r="H974" s="9"/>
      <c r="J974" s="1">
        <v>371.79289999999997</v>
      </c>
      <c r="N974" s="1" t="s">
        <v>10</v>
      </c>
      <c r="O974" s="1">
        <v>16.2</v>
      </c>
    </row>
    <row r="975" spans="4:15" x14ac:dyDescent="0.3">
      <c r="D975" s="1">
        <v>36901</v>
      </c>
      <c r="E975" s="2">
        <v>43721</v>
      </c>
      <c r="F975" s="1" t="s">
        <v>12</v>
      </c>
      <c r="G975" s="1">
        <v>30</v>
      </c>
      <c r="H975" s="9"/>
      <c r="J975" s="1">
        <v>215.17</v>
      </c>
      <c r="N975" s="1" t="s">
        <v>10</v>
      </c>
      <c r="O975" s="1">
        <v>6.1</v>
      </c>
    </row>
    <row r="976" spans="4:15" x14ac:dyDescent="0.3">
      <c r="D976" s="1">
        <v>43556</v>
      </c>
      <c r="E976" s="2">
        <v>43668</v>
      </c>
      <c r="F976" s="1" t="s">
        <v>7</v>
      </c>
      <c r="G976" s="1">
        <v>31</v>
      </c>
      <c r="H976" s="9"/>
      <c r="J976" s="1">
        <v>510.56</v>
      </c>
      <c r="N976" s="1" t="s">
        <v>10</v>
      </c>
      <c r="O976" s="1">
        <v>2.1</v>
      </c>
    </row>
    <row r="977" spans="4:15" x14ac:dyDescent="0.3">
      <c r="D977" s="1">
        <v>40100</v>
      </c>
      <c r="E977" s="2">
        <v>43499</v>
      </c>
      <c r="F977" s="1" t="s">
        <v>7</v>
      </c>
      <c r="G977" s="1">
        <v>47</v>
      </c>
      <c r="H977" s="9"/>
      <c r="J977" s="1">
        <v>1071.25</v>
      </c>
      <c r="N977" s="1" t="s">
        <v>10</v>
      </c>
      <c r="O977" s="1">
        <v>6.2</v>
      </c>
    </row>
    <row r="978" spans="4:15" x14ac:dyDescent="0.3">
      <c r="D978" s="1">
        <v>25895</v>
      </c>
      <c r="E978" s="2">
        <v>43572</v>
      </c>
      <c r="F978" s="1" t="s">
        <v>14</v>
      </c>
      <c r="G978" s="1">
        <v>37</v>
      </c>
      <c r="H978" s="9"/>
      <c r="J978" s="1">
        <v>759.6</v>
      </c>
      <c r="N978" s="1" t="s">
        <v>10</v>
      </c>
      <c r="O978" s="1">
        <v>13.7</v>
      </c>
    </row>
    <row r="979" spans="4:15" x14ac:dyDescent="0.3">
      <c r="D979" s="1">
        <v>52673</v>
      </c>
      <c r="E979" s="2">
        <v>43593</v>
      </c>
      <c r="F979" s="1" t="s">
        <v>14</v>
      </c>
      <c r="G979" s="1">
        <v>4</v>
      </c>
      <c r="H979" s="9"/>
      <c r="J979" s="1">
        <v>28.26</v>
      </c>
      <c r="N979" s="1" t="s">
        <v>10</v>
      </c>
      <c r="O979" s="1">
        <v>6.1</v>
      </c>
    </row>
    <row r="980" spans="4:15" x14ac:dyDescent="0.3">
      <c r="D980" s="1">
        <v>1154</v>
      </c>
      <c r="E980" s="2">
        <v>43509</v>
      </c>
      <c r="F980" s="1" t="s">
        <v>12</v>
      </c>
      <c r="G980" s="1">
        <v>23</v>
      </c>
      <c r="H980" s="9"/>
      <c r="J980" s="1">
        <v>123.16</v>
      </c>
      <c r="N980" s="1" t="s">
        <v>10</v>
      </c>
      <c r="O980" s="1">
        <v>0.5</v>
      </c>
    </row>
    <row r="981" spans="4:15" x14ac:dyDescent="0.3">
      <c r="D981" s="1">
        <v>55462</v>
      </c>
      <c r="E981" s="2">
        <v>43551</v>
      </c>
      <c r="F981" s="1" t="s">
        <v>14</v>
      </c>
      <c r="G981" s="1">
        <v>31</v>
      </c>
      <c r="H981" s="9"/>
      <c r="J981" s="1">
        <v>1267.45</v>
      </c>
      <c r="N981" s="1" t="s">
        <v>10</v>
      </c>
      <c r="O981" s="1">
        <v>7.6</v>
      </c>
    </row>
    <row r="982" spans="4:15" x14ac:dyDescent="0.3">
      <c r="D982" s="1">
        <v>16454</v>
      </c>
      <c r="E982" s="2">
        <v>43596</v>
      </c>
      <c r="F982" s="1" t="s">
        <v>14</v>
      </c>
      <c r="G982" s="1">
        <v>12</v>
      </c>
      <c r="H982" s="9"/>
      <c r="J982" s="1">
        <v>101</v>
      </c>
      <c r="N982" s="1" t="s">
        <v>10</v>
      </c>
      <c r="O982" s="1">
        <v>6.5</v>
      </c>
    </row>
    <row r="983" spans="4:15" x14ac:dyDescent="0.3">
      <c r="D983" s="1">
        <v>59456</v>
      </c>
      <c r="E983" s="2">
        <v>43472</v>
      </c>
      <c r="F983" s="1" t="s">
        <v>7</v>
      </c>
      <c r="G983" s="1">
        <v>30</v>
      </c>
      <c r="H983" s="9"/>
      <c r="J983" s="1">
        <v>195.72</v>
      </c>
      <c r="N983" s="1" t="s">
        <v>10</v>
      </c>
      <c r="O983" s="1">
        <v>52.4</v>
      </c>
    </row>
    <row r="984" spans="4:15" x14ac:dyDescent="0.3">
      <c r="D984" s="1">
        <v>11782</v>
      </c>
      <c r="E984" s="2">
        <v>43674</v>
      </c>
      <c r="F984" s="1" t="s">
        <v>7</v>
      </c>
      <c r="G984" s="1">
        <v>46</v>
      </c>
      <c r="H984" s="9"/>
      <c r="J984" s="1">
        <v>264.51</v>
      </c>
      <c r="N984" s="1" t="s">
        <v>10</v>
      </c>
      <c r="O984" s="1">
        <v>5.0999999999999996</v>
      </c>
    </row>
    <row r="985" spans="4:15" x14ac:dyDescent="0.3">
      <c r="D985" s="1">
        <v>45127</v>
      </c>
      <c r="E985" s="2">
        <v>43829</v>
      </c>
      <c r="F985" s="1" t="s">
        <v>14</v>
      </c>
      <c r="G985" s="1">
        <v>10</v>
      </c>
      <c r="H985" s="9"/>
      <c r="J985" s="1">
        <v>15.140499999999999</v>
      </c>
      <c r="N985" s="1" t="s">
        <v>10</v>
      </c>
      <c r="O985" s="1">
        <v>0.7</v>
      </c>
    </row>
    <row r="986" spans="4:15" x14ac:dyDescent="0.3">
      <c r="D986" s="1">
        <v>9409</v>
      </c>
      <c r="E986" s="2">
        <v>43590</v>
      </c>
      <c r="F986" s="1" t="s">
        <v>12</v>
      </c>
      <c r="G986" s="1">
        <v>12</v>
      </c>
      <c r="H986" s="9"/>
      <c r="J986" s="1">
        <v>1832.55</v>
      </c>
      <c r="N986" s="1" t="s">
        <v>10</v>
      </c>
      <c r="O986" s="1">
        <v>4.3</v>
      </c>
    </row>
    <row r="987" spans="4:15" x14ac:dyDescent="0.3">
      <c r="D987" s="1">
        <v>36132</v>
      </c>
      <c r="E987" s="2">
        <v>43564</v>
      </c>
      <c r="F987" s="1" t="s">
        <v>7</v>
      </c>
      <c r="G987" s="1">
        <v>3</v>
      </c>
      <c r="H987" s="9"/>
      <c r="J987" s="1">
        <v>646.9</v>
      </c>
      <c r="N987" s="1" t="s">
        <v>13</v>
      </c>
      <c r="O987" s="1">
        <v>63.4</v>
      </c>
    </row>
    <row r="988" spans="4:15" x14ac:dyDescent="0.3">
      <c r="D988" s="1">
        <v>30913</v>
      </c>
      <c r="E988" s="2">
        <v>43730</v>
      </c>
      <c r="F988" s="1" t="s">
        <v>14</v>
      </c>
      <c r="G988" s="1">
        <v>36</v>
      </c>
      <c r="H988" s="9"/>
      <c r="J988" s="1">
        <v>851.21</v>
      </c>
      <c r="N988" s="1" t="s">
        <v>10</v>
      </c>
      <c r="O988" s="1">
        <v>2.1</v>
      </c>
    </row>
    <row r="989" spans="4:15" x14ac:dyDescent="0.3">
      <c r="D989" s="1">
        <v>5767</v>
      </c>
      <c r="E989" s="2">
        <v>43583</v>
      </c>
      <c r="F989" s="1" t="s">
        <v>9</v>
      </c>
      <c r="G989" s="1">
        <v>36</v>
      </c>
      <c r="H989" s="9"/>
      <c r="J989" s="1">
        <v>174.99</v>
      </c>
      <c r="N989" s="1" t="s">
        <v>8</v>
      </c>
      <c r="O989" s="1">
        <v>5.4</v>
      </c>
    </row>
    <row r="990" spans="4:15" x14ac:dyDescent="0.3">
      <c r="D990" s="1">
        <v>36803</v>
      </c>
      <c r="E990" s="2">
        <v>43681</v>
      </c>
      <c r="F990" s="1" t="s">
        <v>11</v>
      </c>
      <c r="G990" s="1">
        <v>2</v>
      </c>
      <c r="H990" s="9"/>
      <c r="J990" s="1">
        <v>20.350000000000001</v>
      </c>
      <c r="N990" s="1" t="s">
        <v>8</v>
      </c>
      <c r="O990" s="1">
        <v>5.7</v>
      </c>
    </row>
    <row r="991" spans="4:15" x14ac:dyDescent="0.3">
      <c r="D991" s="1">
        <v>23489</v>
      </c>
      <c r="E991" s="2">
        <v>43705</v>
      </c>
      <c r="F991" s="1" t="s">
        <v>9</v>
      </c>
      <c r="G991" s="1">
        <v>42</v>
      </c>
      <c r="H991" s="9"/>
      <c r="J991" s="1">
        <v>2144.92</v>
      </c>
      <c r="N991" s="1" t="s">
        <v>8</v>
      </c>
      <c r="O991" s="1">
        <v>3.9</v>
      </c>
    </row>
    <row r="992" spans="4:15" x14ac:dyDescent="0.3">
      <c r="D992" s="1">
        <v>19652</v>
      </c>
      <c r="E992" s="2">
        <v>43618</v>
      </c>
      <c r="F992" s="1" t="s">
        <v>12</v>
      </c>
      <c r="G992" s="1">
        <v>28</v>
      </c>
      <c r="H992" s="9"/>
      <c r="J992" s="1">
        <v>2900.92</v>
      </c>
      <c r="N992" s="1" t="s">
        <v>13</v>
      </c>
      <c r="O992" s="1">
        <v>44.9</v>
      </c>
    </row>
    <row r="993" spans="4:15" x14ac:dyDescent="0.3">
      <c r="D993" s="1">
        <v>3650</v>
      </c>
      <c r="E993" s="2">
        <v>43612</v>
      </c>
      <c r="F993" s="1" t="s">
        <v>11</v>
      </c>
      <c r="G993" s="1">
        <v>24</v>
      </c>
      <c r="H993" s="9"/>
      <c r="J993" s="1">
        <v>5572.03</v>
      </c>
      <c r="N993" s="1" t="s">
        <v>13</v>
      </c>
      <c r="O993" s="1">
        <v>68.7</v>
      </c>
    </row>
    <row r="994" spans="4:15" x14ac:dyDescent="0.3">
      <c r="D994" s="1">
        <v>23648</v>
      </c>
      <c r="E994" s="2">
        <v>43732</v>
      </c>
      <c r="F994" s="1" t="s">
        <v>12</v>
      </c>
      <c r="G994" s="1">
        <v>4</v>
      </c>
      <c r="H994" s="9"/>
      <c r="J994" s="1">
        <v>11.4</v>
      </c>
      <c r="N994" s="1" t="s">
        <v>10</v>
      </c>
      <c r="O994" s="1">
        <v>0.5</v>
      </c>
    </row>
    <row r="995" spans="4:15" x14ac:dyDescent="0.3">
      <c r="D995" s="1">
        <v>4230</v>
      </c>
      <c r="E995" s="2">
        <v>43527</v>
      </c>
      <c r="F995" s="1" t="s">
        <v>12</v>
      </c>
      <c r="G995" s="1">
        <v>18</v>
      </c>
      <c r="H995" s="9"/>
      <c r="J995" s="1">
        <v>437.8</v>
      </c>
      <c r="N995" s="1" t="s">
        <v>10</v>
      </c>
      <c r="O995" s="1">
        <v>9.6</v>
      </c>
    </row>
    <row r="996" spans="4:15" x14ac:dyDescent="0.3">
      <c r="D996" s="1">
        <v>13158</v>
      </c>
      <c r="E996" s="2">
        <v>43789</v>
      </c>
      <c r="F996" s="1" t="s">
        <v>12</v>
      </c>
      <c r="G996" s="1">
        <v>26</v>
      </c>
      <c r="H996" s="9"/>
      <c r="J996" s="1">
        <v>200.26</v>
      </c>
      <c r="N996" s="1" t="s">
        <v>10</v>
      </c>
      <c r="O996" s="1">
        <v>3.2</v>
      </c>
    </row>
    <row r="997" spans="4:15" x14ac:dyDescent="0.3">
      <c r="D997" s="1">
        <v>8039</v>
      </c>
      <c r="E997" s="2">
        <v>43700</v>
      </c>
      <c r="F997" s="1" t="s">
        <v>14</v>
      </c>
      <c r="G997" s="1">
        <v>37</v>
      </c>
      <c r="H997" s="9"/>
      <c r="J997" s="1">
        <v>1283.68</v>
      </c>
      <c r="N997" s="1" t="s">
        <v>10</v>
      </c>
      <c r="O997" s="1">
        <v>20.9</v>
      </c>
    </row>
    <row r="998" spans="4:15" x14ac:dyDescent="0.3">
      <c r="D998" s="1">
        <v>7106</v>
      </c>
      <c r="E998" s="2">
        <v>43595</v>
      </c>
      <c r="F998" s="1" t="s">
        <v>7</v>
      </c>
      <c r="G998" s="1">
        <v>8</v>
      </c>
      <c r="H998" s="9"/>
      <c r="J998" s="1">
        <v>127.31</v>
      </c>
      <c r="N998" s="1" t="s">
        <v>10</v>
      </c>
      <c r="O998" s="1">
        <v>7.8</v>
      </c>
    </row>
    <row r="999" spans="4:15" x14ac:dyDescent="0.3">
      <c r="D999" s="1">
        <v>29218</v>
      </c>
      <c r="E999" s="2">
        <v>43614</v>
      </c>
      <c r="F999" s="1" t="s">
        <v>7</v>
      </c>
      <c r="G999" s="1">
        <v>26</v>
      </c>
      <c r="H999" s="9"/>
      <c r="J999" s="1">
        <v>79.2</v>
      </c>
      <c r="N999" s="1" t="s">
        <v>10</v>
      </c>
      <c r="O999" s="1">
        <v>0.7</v>
      </c>
    </row>
    <row r="1000" spans="4:15" x14ac:dyDescent="0.3">
      <c r="D1000" s="1">
        <v>17543</v>
      </c>
      <c r="E1000" s="2">
        <v>43610</v>
      </c>
      <c r="F1000" s="1" t="s">
        <v>12</v>
      </c>
      <c r="G1000" s="1">
        <v>26</v>
      </c>
      <c r="H1000" s="9"/>
      <c r="J1000" s="1">
        <v>4601.67</v>
      </c>
      <c r="N1000" s="1" t="s">
        <v>10</v>
      </c>
      <c r="O1000" s="1">
        <v>8.6</v>
      </c>
    </row>
    <row r="1001" spans="4:15" x14ac:dyDescent="0.3">
      <c r="D1001" s="1">
        <v>17953</v>
      </c>
      <c r="E1001" s="2">
        <v>43697</v>
      </c>
      <c r="F1001" s="1" t="s">
        <v>9</v>
      </c>
      <c r="G1001" s="1">
        <v>17</v>
      </c>
      <c r="H1001" s="9"/>
      <c r="J1001" s="1">
        <v>112.82</v>
      </c>
      <c r="N1001" s="1" t="s">
        <v>10</v>
      </c>
      <c r="O1001" s="1">
        <v>1.3</v>
      </c>
    </row>
    <row r="1002" spans="4:15" x14ac:dyDescent="0.3">
      <c r="D1002" s="1">
        <v>3361</v>
      </c>
      <c r="E1002" s="2">
        <v>43699</v>
      </c>
      <c r="F1002" s="1" t="s">
        <v>11</v>
      </c>
      <c r="G1002" s="1">
        <v>49</v>
      </c>
      <c r="H1002" s="9"/>
      <c r="J1002" s="1">
        <v>228.67</v>
      </c>
      <c r="N1002" s="1" t="s">
        <v>10</v>
      </c>
      <c r="O1002" s="1">
        <v>7.2</v>
      </c>
    </row>
    <row r="1003" spans="4:15" x14ac:dyDescent="0.3">
      <c r="D1003" s="1">
        <v>55749</v>
      </c>
      <c r="E1003" s="2">
        <v>43588</v>
      </c>
      <c r="F1003" s="1" t="s">
        <v>12</v>
      </c>
      <c r="G1003" s="1">
        <v>42</v>
      </c>
      <c r="H1003" s="9"/>
      <c r="J1003" s="1">
        <v>390.34</v>
      </c>
      <c r="N1003" s="1" t="s">
        <v>10</v>
      </c>
      <c r="O1003" s="1">
        <v>1.5</v>
      </c>
    </row>
    <row r="1004" spans="4:15" x14ac:dyDescent="0.3">
      <c r="D1004" s="1">
        <v>56291</v>
      </c>
      <c r="E1004" s="2">
        <v>43725</v>
      </c>
      <c r="F1004" s="1" t="s">
        <v>11</v>
      </c>
      <c r="G1004" s="1">
        <v>22</v>
      </c>
      <c r="H1004" s="9"/>
      <c r="J1004" s="1">
        <v>11794.11</v>
      </c>
      <c r="N1004" s="1" t="s">
        <v>13</v>
      </c>
      <c r="O1004" s="1">
        <v>17.8</v>
      </c>
    </row>
    <row r="1005" spans="4:15" x14ac:dyDescent="0.3">
      <c r="D1005" s="1">
        <v>24450</v>
      </c>
      <c r="E1005" s="2">
        <v>43655</v>
      </c>
      <c r="F1005" s="1" t="s">
        <v>12</v>
      </c>
      <c r="G1005" s="1">
        <v>37</v>
      </c>
      <c r="H1005" s="9"/>
      <c r="J1005" s="1">
        <v>474.38</v>
      </c>
      <c r="N1005" s="1" t="s">
        <v>10</v>
      </c>
      <c r="O1005" s="1">
        <v>5.3</v>
      </c>
    </row>
    <row r="1006" spans="4:15" x14ac:dyDescent="0.3">
      <c r="D1006" s="1">
        <v>868</v>
      </c>
      <c r="E1006" s="2">
        <v>43624</v>
      </c>
      <c r="F1006" s="1" t="s">
        <v>11</v>
      </c>
      <c r="G1006" s="1">
        <v>31</v>
      </c>
      <c r="H1006" s="9"/>
      <c r="J1006" s="1">
        <v>1577.5331000000001</v>
      </c>
      <c r="N1006" s="1" t="s">
        <v>10</v>
      </c>
      <c r="O1006" s="1">
        <v>3.9</v>
      </c>
    </row>
    <row r="1007" spans="4:15" x14ac:dyDescent="0.3">
      <c r="D1007" s="1">
        <v>134</v>
      </c>
      <c r="E1007" s="2">
        <v>43585</v>
      </c>
      <c r="F1007" s="1" t="s">
        <v>11</v>
      </c>
      <c r="G1007" s="1">
        <v>11</v>
      </c>
      <c r="H1007" s="9"/>
      <c r="J1007" s="1">
        <v>1211.8800000000001</v>
      </c>
      <c r="N1007" s="1" t="s">
        <v>10</v>
      </c>
      <c r="O1007" s="1">
        <v>37.5</v>
      </c>
    </row>
    <row r="1008" spans="4:15" x14ac:dyDescent="0.3">
      <c r="D1008" s="1">
        <v>38912</v>
      </c>
      <c r="E1008" s="2">
        <v>43766</v>
      </c>
      <c r="F1008" s="1" t="s">
        <v>7</v>
      </c>
      <c r="G1008" s="1">
        <v>26</v>
      </c>
      <c r="H1008" s="9"/>
      <c r="J1008" s="1">
        <v>1621.01</v>
      </c>
      <c r="N1008" s="1" t="s">
        <v>10</v>
      </c>
      <c r="O1008" s="1">
        <v>5.3</v>
      </c>
    </row>
    <row r="1009" spans="4:15" x14ac:dyDescent="0.3">
      <c r="D1009" s="1">
        <v>48993</v>
      </c>
      <c r="E1009" s="2">
        <v>43616</v>
      </c>
      <c r="F1009" s="1" t="s">
        <v>7</v>
      </c>
      <c r="G1009" s="1">
        <v>17</v>
      </c>
      <c r="H1009" s="9"/>
      <c r="J1009" s="1">
        <v>130.99</v>
      </c>
      <c r="N1009" s="1" t="s">
        <v>8</v>
      </c>
      <c r="O1009" s="1">
        <v>6.7</v>
      </c>
    </row>
    <row r="1010" spans="4:15" x14ac:dyDescent="0.3">
      <c r="D1010" s="1">
        <v>9347</v>
      </c>
      <c r="E1010" s="2">
        <v>43686</v>
      </c>
      <c r="F1010" s="1" t="s">
        <v>7</v>
      </c>
      <c r="G1010" s="1">
        <v>31</v>
      </c>
      <c r="H1010" s="9"/>
      <c r="J1010" s="1">
        <v>140.38</v>
      </c>
      <c r="N1010" s="1" t="s">
        <v>10</v>
      </c>
      <c r="O1010" s="1">
        <v>5.5</v>
      </c>
    </row>
    <row r="1011" spans="4:15" x14ac:dyDescent="0.3">
      <c r="D1011" s="1">
        <v>42887</v>
      </c>
      <c r="E1011" s="2">
        <v>43626</v>
      </c>
      <c r="F1011" s="1" t="s">
        <v>14</v>
      </c>
      <c r="G1011" s="1">
        <v>3</v>
      </c>
      <c r="H1011" s="9"/>
      <c r="J1011" s="1">
        <v>38.18</v>
      </c>
      <c r="N1011" s="1" t="s">
        <v>10</v>
      </c>
      <c r="O1011" s="1">
        <v>6.2</v>
      </c>
    </row>
    <row r="1012" spans="4:15" x14ac:dyDescent="0.3">
      <c r="D1012" s="1">
        <v>32642</v>
      </c>
      <c r="E1012" s="2">
        <v>43553</v>
      </c>
      <c r="F1012" s="1" t="s">
        <v>14</v>
      </c>
      <c r="G1012" s="1">
        <v>50</v>
      </c>
      <c r="H1012" s="9"/>
      <c r="J1012" s="1">
        <v>1612.66</v>
      </c>
      <c r="N1012" s="1" t="s">
        <v>10</v>
      </c>
      <c r="O1012" s="1">
        <v>2.1</v>
      </c>
    </row>
    <row r="1013" spans="4:15" x14ac:dyDescent="0.3">
      <c r="D1013" s="1">
        <v>57574</v>
      </c>
      <c r="E1013" s="2">
        <v>43669</v>
      </c>
      <c r="F1013" s="1" t="s">
        <v>12</v>
      </c>
      <c r="G1013" s="1">
        <v>20</v>
      </c>
      <c r="H1013" s="9"/>
      <c r="J1013" s="1">
        <v>499.01</v>
      </c>
      <c r="N1013" s="1" t="s">
        <v>13</v>
      </c>
      <c r="O1013" s="1">
        <v>16.8</v>
      </c>
    </row>
    <row r="1014" spans="4:15" x14ac:dyDescent="0.3">
      <c r="D1014" s="1">
        <v>9952</v>
      </c>
      <c r="E1014" s="2">
        <v>43586</v>
      </c>
      <c r="F1014" s="1" t="s">
        <v>9</v>
      </c>
      <c r="G1014" s="1">
        <v>47</v>
      </c>
      <c r="H1014" s="9"/>
      <c r="J1014" s="1">
        <v>8443.25</v>
      </c>
      <c r="N1014" s="1" t="s">
        <v>8</v>
      </c>
      <c r="O1014" s="1">
        <v>37.5</v>
      </c>
    </row>
    <row r="1015" spans="4:15" x14ac:dyDescent="0.3">
      <c r="D1015" s="1">
        <v>2848</v>
      </c>
      <c r="E1015" s="2">
        <v>43533</v>
      </c>
      <c r="F1015" s="1" t="s">
        <v>12</v>
      </c>
      <c r="G1015" s="1">
        <v>8</v>
      </c>
      <c r="H1015" s="9"/>
      <c r="J1015" s="1">
        <v>924.03</v>
      </c>
      <c r="N1015" s="1" t="s">
        <v>10</v>
      </c>
      <c r="O1015" s="1">
        <v>9.6</v>
      </c>
    </row>
    <row r="1016" spans="4:15" x14ac:dyDescent="0.3">
      <c r="D1016" s="1">
        <v>59015</v>
      </c>
      <c r="E1016" s="2">
        <v>43611</v>
      </c>
      <c r="F1016" s="1" t="s">
        <v>14</v>
      </c>
      <c r="G1016" s="1">
        <v>32</v>
      </c>
      <c r="H1016" s="9"/>
      <c r="J1016" s="1">
        <v>272.27</v>
      </c>
      <c r="N1016" s="1" t="s">
        <v>10</v>
      </c>
      <c r="O1016" s="1">
        <v>2.1</v>
      </c>
    </row>
    <row r="1017" spans="4:15" x14ac:dyDescent="0.3">
      <c r="D1017" s="1">
        <v>16359</v>
      </c>
      <c r="E1017" s="2">
        <v>43599</v>
      </c>
      <c r="F1017" s="1" t="s">
        <v>12</v>
      </c>
      <c r="G1017" s="1">
        <v>8</v>
      </c>
      <c r="H1017" s="9"/>
      <c r="J1017" s="1">
        <v>37.749600000000001</v>
      </c>
      <c r="N1017" s="1" t="s">
        <v>10</v>
      </c>
      <c r="O1017" s="1">
        <v>8</v>
      </c>
    </row>
    <row r="1018" spans="4:15" x14ac:dyDescent="0.3">
      <c r="D1018" s="1">
        <v>56224</v>
      </c>
      <c r="E1018" s="2">
        <v>43763</v>
      </c>
      <c r="F1018" s="1" t="s">
        <v>14</v>
      </c>
      <c r="G1018" s="1">
        <v>46</v>
      </c>
      <c r="H1018" s="9"/>
      <c r="J1018" s="1">
        <v>363.02</v>
      </c>
      <c r="N1018" s="1" t="s">
        <v>10</v>
      </c>
      <c r="O1018" s="1">
        <v>3</v>
      </c>
    </row>
    <row r="1019" spans="4:15" x14ac:dyDescent="0.3">
      <c r="D1019" s="1">
        <v>59781</v>
      </c>
      <c r="E1019" s="2">
        <v>43811</v>
      </c>
      <c r="F1019" s="1" t="s">
        <v>11</v>
      </c>
      <c r="G1019" s="1">
        <v>24</v>
      </c>
      <c r="H1019" s="9"/>
      <c r="J1019" s="1">
        <v>4716.8500000000004</v>
      </c>
      <c r="N1019" s="1" t="s">
        <v>13</v>
      </c>
      <c r="O1019" s="1">
        <v>32.1</v>
      </c>
    </row>
    <row r="1020" spans="4:15" x14ac:dyDescent="0.3">
      <c r="D1020" s="1">
        <v>43043</v>
      </c>
      <c r="E1020" s="2">
        <v>43569</v>
      </c>
      <c r="F1020" s="1" t="s">
        <v>12</v>
      </c>
      <c r="G1020" s="1">
        <v>4</v>
      </c>
      <c r="H1020" s="9"/>
      <c r="J1020" s="1">
        <v>967.41</v>
      </c>
      <c r="N1020" s="1" t="s">
        <v>10</v>
      </c>
      <c r="O1020" s="1">
        <v>12.6</v>
      </c>
    </row>
    <row r="1021" spans="4:15" x14ac:dyDescent="0.3">
      <c r="D1021" s="1">
        <v>6016</v>
      </c>
      <c r="E1021" s="2">
        <v>43484</v>
      </c>
      <c r="F1021" s="1" t="s">
        <v>9</v>
      </c>
      <c r="G1021" s="1">
        <v>19</v>
      </c>
      <c r="H1021" s="9"/>
      <c r="J1021" s="1">
        <v>222.8596</v>
      </c>
      <c r="N1021" s="1" t="s">
        <v>10</v>
      </c>
      <c r="O1021" s="1">
        <v>5.8</v>
      </c>
    </row>
    <row r="1022" spans="4:15" x14ac:dyDescent="0.3">
      <c r="D1022" s="1">
        <v>54020</v>
      </c>
      <c r="E1022" s="2">
        <v>43495</v>
      </c>
      <c r="F1022" s="1" t="s">
        <v>7</v>
      </c>
      <c r="G1022" s="1">
        <v>43</v>
      </c>
      <c r="H1022" s="9"/>
      <c r="J1022" s="1">
        <v>289.5</v>
      </c>
      <c r="N1022" s="1" t="s">
        <v>10</v>
      </c>
      <c r="O1022" s="1">
        <v>7.3</v>
      </c>
    </row>
    <row r="1023" spans="4:15" x14ac:dyDescent="0.3">
      <c r="D1023" s="1">
        <v>57025</v>
      </c>
      <c r="E1023" s="2">
        <v>43642</v>
      </c>
      <c r="F1023" s="1" t="s">
        <v>14</v>
      </c>
      <c r="G1023" s="1">
        <v>8</v>
      </c>
      <c r="H1023" s="9"/>
      <c r="J1023" s="1">
        <v>76.08</v>
      </c>
      <c r="N1023" s="1" t="s">
        <v>10</v>
      </c>
      <c r="O1023" s="1">
        <v>3.2</v>
      </c>
    </row>
    <row r="1024" spans="4:15" x14ac:dyDescent="0.3">
      <c r="D1024" s="1">
        <v>7107</v>
      </c>
      <c r="E1024" s="2">
        <v>43468</v>
      </c>
      <c r="F1024" s="1" t="s">
        <v>11</v>
      </c>
      <c r="G1024" s="1">
        <v>32</v>
      </c>
      <c r="H1024" s="9"/>
      <c r="J1024" s="1">
        <v>1845.56</v>
      </c>
      <c r="N1024" s="1" t="s">
        <v>10</v>
      </c>
      <c r="O1024" s="1">
        <v>5.4</v>
      </c>
    </row>
    <row r="1025" spans="4:15" x14ac:dyDescent="0.3">
      <c r="D1025" s="1">
        <v>7488</v>
      </c>
      <c r="E1025" s="2">
        <v>43588</v>
      </c>
      <c r="F1025" s="1" t="s">
        <v>12</v>
      </c>
      <c r="G1025" s="1">
        <v>9</v>
      </c>
      <c r="H1025" s="9"/>
      <c r="J1025" s="1">
        <v>27.92</v>
      </c>
      <c r="N1025" s="1" t="s">
        <v>10</v>
      </c>
      <c r="O1025" s="1">
        <v>1</v>
      </c>
    </row>
    <row r="1026" spans="4:15" x14ac:dyDescent="0.3">
      <c r="D1026" s="1">
        <v>40357</v>
      </c>
      <c r="E1026" s="2">
        <v>43667</v>
      </c>
      <c r="F1026" s="1" t="s">
        <v>11</v>
      </c>
      <c r="G1026" s="1">
        <v>4</v>
      </c>
      <c r="H1026" s="9"/>
      <c r="J1026" s="1">
        <v>257.32</v>
      </c>
      <c r="N1026" s="1" t="s">
        <v>10</v>
      </c>
      <c r="O1026" s="1">
        <v>14.1</v>
      </c>
    </row>
    <row r="1027" spans="4:15" x14ac:dyDescent="0.3">
      <c r="D1027" s="1">
        <v>11969</v>
      </c>
      <c r="E1027" s="2">
        <v>43483</v>
      </c>
      <c r="F1027" s="1" t="s">
        <v>11</v>
      </c>
      <c r="G1027" s="1">
        <v>9</v>
      </c>
      <c r="H1027" s="9"/>
      <c r="J1027" s="1">
        <v>1778.39</v>
      </c>
      <c r="N1027" s="1" t="s">
        <v>13</v>
      </c>
      <c r="O1027" s="1">
        <v>117.9</v>
      </c>
    </row>
    <row r="1028" spans="4:15" x14ac:dyDescent="0.3">
      <c r="D1028" s="1">
        <v>16134</v>
      </c>
      <c r="E1028" s="2">
        <v>43788</v>
      </c>
      <c r="F1028" s="1" t="s">
        <v>9</v>
      </c>
      <c r="G1028" s="1">
        <v>43</v>
      </c>
      <c r="H1028" s="9"/>
      <c r="J1028" s="1">
        <v>23455.77</v>
      </c>
      <c r="N1028" s="1" t="s">
        <v>13</v>
      </c>
      <c r="O1028" s="1">
        <v>30.1</v>
      </c>
    </row>
    <row r="1029" spans="4:15" x14ac:dyDescent="0.3">
      <c r="D1029" s="1">
        <v>28835</v>
      </c>
      <c r="E1029" s="2">
        <v>43555</v>
      </c>
      <c r="F1029" s="1" t="s">
        <v>11</v>
      </c>
      <c r="G1029" s="1">
        <v>1</v>
      </c>
      <c r="H1029" s="9"/>
      <c r="J1029" s="1">
        <v>197.07</v>
      </c>
      <c r="N1029" s="1" t="s">
        <v>10</v>
      </c>
      <c r="O1029" s="1">
        <v>21.4</v>
      </c>
    </row>
    <row r="1030" spans="4:15" x14ac:dyDescent="0.3">
      <c r="D1030" s="1">
        <v>30208</v>
      </c>
      <c r="E1030" s="2">
        <v>43662</v>
      </c>
      <c r="F1030" s="1" t="s">
        <v>7</v>
      </c>
      <c r="G1030" s="1">
        <v>46</v>
      </c>
      <c r="H1030" s="9"/>
      <c r="J1030" s="1">
        <v>1874.74</v>
      </c>
      <c r="N1030" s="1" t="s">
        <v>10</v>
      </c>
      <c r="O1030" s="1">
        <v>5.3</v>
      </c>
    </row>
    <row r="1031" spans="4:15" x14ac:dyDescent="0.3">
      <c r="D1031" s="1">
        <v>31744</v>
      </c>
      <c r="E1031" s="2">
        <v>43717</v>
      </c>
      <c r="F1031" s="1" t="s">
        <v>14</v>
      </c>
      <c r="G1031" s="1">
        <v>12</v>
      </c>
      <c r="H1031" s="9"/>
      <c r="J1031" s="1">
        <v>92.76</v>
      </c>
      <c r="N1031" s="1" t="s">
        <v>10</v>
      </c>
      <c r="O1031" s="1">
        <v>7.9</v>
      </c>
    </row>
    <row r="1032" spans="4:15" x14ac:dyDescent="0.3">
      <c r="D1032" s="1">
        <v>16164</v>
      </c>
      <c r="E1032" s="2">
        <v>43467</v>
      </c>
      <c r="F1032" s="1" t="s">
        <v>7</v>
      </c>
      <c r="G1032" s="1">
        <v>26</v>
      </c>
      <c r="H1032" s="9"/>
      <c r="J1032" s="1">
        <v>2518.94</v>
      </c>
      <c r="N1032" s="1" t="s">
        <v>13</v>
      </c>
      <c r="O1032" s="1">
        <v>15</v>
      </c>
    </row>
    <row r="1033" spans="4:15" x14ac:dyDescent="0.3">
      <c r="D1033" s="1">
        <v>53667</v>
      </c>
      <c r="E1033" s="2">
        <v>43602</v>
      </c>
      <c r="F1033" s="1" t="s">
        <v>14</v>
      </c>
      <c r="G1033" s="1">
        <v>33</v>
      </c>
      <c r="H1033" s="9"/>
      <c r="J1033" s="1">
        <v>120.23</v>
      </c>
      <c r="N1033" s="1" t="s">
        <v>10</v>
      </c>
      <c r="O1033" s="1">
        <v>6.7</v>
      </c>
    </row>
    <row r="1034" spans="4:15" x14ac:dyDescent="0.3">
      <c r="D1034" s="1">
        <v>43045</v>
      </c>
      <c r="E1034" s="2">
        <v>43630</v>
      </c>
      <c r="F1034" s="1" t="s">
        <v>14</v>
      </c>
      <c r="G1034" s="1">
        <v>12</v>
      </c>
      <c r="H1034" s="9"/>
      <c r="J1034" s="1">
        <v>447.73</v>
      </c>
      <c r="N1034" s="1" t="s">
        <v>13</v>
      </c>
      <c r="O1034" s="1">
        <v>48.7</v>
      </c>
    </row>
    <row r="1035" spans="4:15" x14ac:dyDescent="0.3">
      <c r="D1035" s="1">
        <v>24448</v>
      </c>
      <c r="E1035" s="2">
        <v>43501</v>
      </c>
      <c r="F1035" s="1" t="s">
        <v>9</v>
      </c>
      <c r="G1035" s="1">
        <v>46</v>
      </c>
      <c r="H1035" s="9"/>
      <c r="J1035" s="1">
        <v>11808.69</v>
      </c>
      <c r="N1035" s="1" t="s">
        <v>13</v>
      </c>
      <c r="O1035" s="1">
        <v>63.4</v>
      </c>
    </row>
    <row r="1036" spans="4:15" x14ac:dyDescent="0.3">
      <c r="D1036" s="1">
        <v>13345</v>
      </c>
      <c r="E1036" s="2">
        <v>43710</v>
      </c>
      <c r="F1036" s="1" t="s">
        <v>11</v>
      </c>
      <c r="G1036" s="1">
        <v>24</v>
      </c>
      <c r="H1036" s="9"/>
      <c r="J1036" s="1">
        <v>125</v>
      </c>
      <c r="N1036" s="1" t="s">
        <v>10</v>
      </c>
      <c r="O1036" s="1">
        <v>2.6</v>
      </c>
    </row>
    <row r="1037" spans="4:15" x14ac:dyDescent="0.3">
      <c r="D1037" s="1">
        <v>51267</v>
      </c>
      <c r="E1037" s="2">
        <v>43588</v>
      </c>
      <c r="F1037" s="1" t="s">
        <v>7</v>
      </c>
      <c r="G1037" s="1">
        <v>46</v>
      </c>
      <c r="H1037" s="9"/>
      <c r="J1037" s="1">
        <v>4702.41</v>
      </c>
      <c r="N1037" s="1" t="s">
        <v>13</v>
      </c>
      <c r="O1037" s="1">
        <v>38.299999999999997</v>
      </c>
    </row>
    <row r="1038" spans="4:15" x14ac:dyDescent="0.3">
      <c r="D1038" s="1">
        <v>26272</v>
      </c>
      <c r="E1038" s="2">
        <v>43645</v>
      </c>
      <c r="F1038" s="1" t="s">
        <v>7</v>
      </c>
      <c r="G1038" s="1">
        <v>6</v>
      </c>
      <c r="H1038" s="9"/>
      <c r="J1038" s="1">
        <v>969.36</v>
      </c>
      <c r="N1038" s="1" t="s">
        <v>8</v>
      </c>
      <c r="O1038" s="1">
        <v>26.2</v>
      </c>
    </row>
    <row r="1039" spans="4:15" x14ac:dyDescent="0.3">
      <c r="D1039" s="1">
        <v>13284</v>
      </c>
      <c r="E1039" s="2">
        <v>43689</v>
      </c>
      <c r="F1039" s="1" t="s">
        <v>9</v>
      </c>
      <c r="G1039" s="1">
        <v>22</v>
      </c>
      <c r="H1039" s="9"/>
      <c r="J1039" s="1">
        <v>9696.81</v>
      </c>
      <c r="N1039" s="1" t="s">
        <v>10</v>
      </c>
      <c r="O1039" s="1">
        <v>21.4</v>
      </c>
    </row>
    <row r="1040" spans="4:15" x14ac:dyDescent="0.3">
      <c r="D1040" s="1">
        <v>23745</v>
      </c>
      <c r="E1040" s="2">
        <v>43804</v>
      </c>
      <c r="F1040" s="1" t="s">
        <v>7</v>
      </c>
      <c r="G1040" s="1">
        <v>47</v>
      </c>
      <c r="H1040" s="9"/>
      <c r="J1040" s="1">
        <v>11707.12</v>
      </c>
      <c r="N1040" s="1" t="s">
        <v>13</v>
      </c>
      <c r="O1040" s="1">
        <v>34.799999999999997</v>
      </c>
    </row>
    <row r="1041" spans="4:15" x14ac:dyDescent="0.3">
      <c r="D1041" s="1">
        <v>26979</v>
      </c>
      <c r="E1041" s="2">
        <v>43552</v>
      </c>
      <c r="F1041" s="1" t="s">
        <v>14</v>
      </c>
      <c r="G1041" s="1">
        <v>43</v>
      </c>
      <c r="H1041" s="9"/>
      <c r="J1041" s="1">
        <v>360.6</v>
      </c>
      <c r="N1041" s="1" t="s">
        <v>10</v>
      </c>
      <c r="O1041" s="1">
        <v>1.3</v>
      </c>
    </row>
    <row r="1042" spans="4:15" x14ac:dyDescent="0.3">
      <c r="D1042" s="1">
        <v>55938</v>
      </c>
      <c r="E1042" s="2">
        <v>43648</v>
      </c>
      <c r="F1042" s="1" t="s">
        <v>11</v>
      </c>
      <c r="G1042" s="1">
        <v>42</v>
      </c>
      <c r="H1042" s="9"/>
      <c r="J1042" s="1">
        <v>858.63</v>
      </c>
      <c r="N1042" s="1" t="s">
        <v>8</v>
      </c>
      <c r="O1042" s="1">
        <v>6.4</v>
      </c>
    </row>
    <row r="1043" spans="4:15" x14ac:dyDescent="0.3">
      <c r="D1043" s="1">
        <v>33670</v>
      </c>
      <c r="E1043" s="2">
        <v>43582</v>
      </c>
      <c r="F1043" s="1" t="s">
        <v>9</v>
      </c>
      <c r="G1043" s="1">
        <v>4</v>
      </c>
      <c r="H1043" s="9"/>
      <c r="J1043" s="1">
        <v>18.54</v>
      </c>
      <c r="N1043" s="1" t="s">
        <v>10</v>
      </c>
      <c r="O1043" s="1">
        <v>5.4</v>
      </c>
    </row>
    <row r="1044" spans="4:15" x14ac:dyDescent="0.3">
      <c r="D1044" s="1">
        <v>18113</v>
      </c>
      <c r="E1044" s="2">
        <v>43705</v>
      </c>
      <c r="F1044" s="1" t="s">
        <v>11</v>
      </c>
      <c r="G1044" s="1">
        <v>27</v>
      </c>
      <c r="H1044" s="9"/>
      <c r="J1044" s="1">
        <v>3548.21</v>
      </c>
      <c r="N1044" s="1" t="s">
        <v>13</v>
      </c>
      <c r="O1044" s="1">
        <v>32.1</v>
      </c>
    </row>
    <row r="1045" spans="4:15" x14ac:dyDescent="0.3">
      <c r="D1045" s="1">
        <v>9509</v>
      </c>
      <c r="E1045" s="2">
        <v>43745</v>
      </c>
      <c r="F1045" s="1" t="s">
        <v>11</v>
      </c>
      <c r="G1045" s="1">
        <v>5</v>
      </c>
      <c r="H1045" s="9"/>
      <c r="J1045" s="1">
        <v>108.29</v>
      </c>
      <c r="N1045" s="1" t="s">
        <v>8</v>
      </c>
      <c r="O1045" s="1">
        <v>5.6</v>
      </c>
    </row>
    <row r="1046" spans="4:15" x14ac:dyDescent="0.3">
      <c r="D1046" s="1">
        <v>10053</v>
      </c>
      <c r="E1046" s="2">
        <v>43474</v>
      </c>
      <c r="F1046" s="1" t="s">
        <v>9</v>
      </c>
      <c r="G1046" s="1">
        <v>31</v>
      </c>
      <c r="H1046" s="9"/>
      <c r="J1046" s="1">
        <v>173.96</v>
      </c>
      <c r="N1046" s="1" t="s">
        <v>10</v>
      </c>
      <c r="O1046" s="1">
        <v>5.3</v>
      </c>
    </row>
    <row r="1047" spans="4:15" x14ac:dyDescent="0.3">
      <c r="D1047" s="1">
        <v>41760</v>
      </c>
      <c r="E1047" s="2">
        <v>43491</v>
      </c>
      <c r="F1047" s="1" t="s">
        <v>7</v>
      </c>
      <c r="G1047" s="1">
        <v>7</v>
      </c>
      <c r="H1047" s="9"/>
      <c r="J1047" s="1">
        <v>733.72</v>
      </c>
      <c r="N1047" s="1" t="s">
        <v>10</v>
      </c>
      <c r="O1047" s="1">
        <v>2.7</v>
      </c>
    </row>
    <row r="1048" spans="4:15" x14ac:dyDescent="0.3">
      <c r="D1048" s="1">
        <v>56548</v>
      </c>
      <c r="E1048" s="2">
        <v>43713</v>
      </c>
      <c r="F1048" s="1" t="s">
        <v>14</v>
      </c>
      <c r="G1048" s="1">
        <v>7</v>
      </c>
      <c r="H1048" s="9"/>
      <c r="J1048" s="1">
        <v>1432.76</v>
      </c>
      <c r="N1048" s="1" t="s">
        <v>13</v>
      </c>
      <c r="O1048" s="1">
        <v>74.5</v>
      </c>
    </row>
    <row r="1049" spans="4:15" x14ac:dyDescent="0.3">
      <c r="D1049" s="1">
        <v>46055</v>
      </c>
      <c r="E1049" s="2">
        <v>43618</v>
      </c>
      <c r="F1049" s="1" t="s">
        <v>14</v>
      </c>
      <c r="G1049" s="1">
        <v>25</v>
      </c>
      <c r="H1049" s="9"/>
      <c r="J1049" s="1">
        <v>1381.5840000000001</v>
      </c>
      <c r="N1049" s="1" t="s">
        <v>10</v>
      </c>
      <c r="O1049" s="1">
        <v>7</v>
      </c>
    </row>
    <row r="1050" spans="4:15" x14ac:dyDescent="0.3">
      <c r="D1050" s="1">
        <v>43815</v>
      </c>
      <c r="E1050" s="2">
        <v>43629</v>
      </c>
      <c r="F1050" s="1" t="s">
        <v>11</v>
      </c>
      <c r="G1050" s="1">
        <v>45</v>
      </c>
      <c r="H1050" s="9"/>
      <c r="J1050" s="1">
        <v>3828.26</v>
      </c>
      <c r="N1050" s="1" t="s">
        <v>10</v>
      </c>
      <c r="O1050" s="1">
        <v>37.5</v>
      </c>
    </row>
    <row r="1051" spans="4:15" x14ac:dyDescent="0.3">
      <c r="D1051" s="1">
        <v>2054</v>
      </c>
      <c r="E1051" s="2">
        <v>43623</v>
      </c>
      <c r="F1051" s="1" t="s">
        <v>11</v>
      </c>
      <c r="G1051" s="1">
        <v>1</v>
      </c>
      <c r="H1051" s="9"/>
      <c r="J1051" s="1">
        <v>367.84</v>
      </c>
      <c r="N1051" s="1" t="s">
        <v>10</v>
      </c>
      <c r="O1051" s="1">
        <v>21.4</v>
      </c>
    </row>
    <row r="1052" spans="4:15" x14ac:dyDescent="0.3">
      <c r="D1052" s="1">
        <v>50950</v>
      </c>
      <c r="E1052" s="2">
        <v>43829</v>
      </c>
      <c r="F1052" s="1" t="s">
        <v>11</v>
      </c>
      <c r="G1052" s="1">
        <v>35</v>
      </c>
      <c r="H1052" s="9"/>
      <c r="J1052" s="1">
        <v>479.46699999999998</v>
      </c>
      <c r="N1052" s="1" t="s">
        <v>8</v>
      </c>
      <c r="O1052" s="1">
        <v>4.8</v>
      </c>
    </row>
    <row r="1053" spans="4:15" x14ac:dyDescent="0.3">
      <c r="D1053" s="1">
        <v>22434</v>
      </c>
      <c r="E1053" s="2">
        <v>43706</v>
      </c>
      <c r="F1053" s="1" t="s">
        <v>12</v>
      </c>
      <c r="G1053" s="1">
        <v>39</v>
      </c>
      <c r="H1053" s="9"/>
      <c r="J1053" s="1">
        <v>150.59</v>
      </c>
      <c r="N1053" s="1" t="s">
        <v>10</v>
      </c>
      <c r="O1053" s="1">
        <v>4.2</v>
      </c>
    </row>
    <row r="1054" spans="4:15" x14ac:dyDescent="0.3">
      <c r="D1054" s="1">
        <v>54177</v>
      </c>
      <c r="E1054" s="2">
        <v>43489</v>
      </c>
      <c r="F1054" s="1" t="s">
        <v>12</v>
      </c>
      <c r="G1054" s="1">
        <v>12</v>
      </c>
      <c r="H1054" s="9"/>
      <c r="J1054" s="1">
        <v>514.38</v>
      </c>
      <c r="N1054" s="1" t="s">
        <v>10</v>
      </c>
      <c r="O1054" s="1">
        <v>3.2</v>
      </c>
    </row>
    <row r="1055" spans="4:15" x14ac:dyDescent="0.3">
      <c r="D1055" s="1">
        <v>29607</v>
      </c>
      <c r="E1055" s="2">
        <v>43537</v>
      </c>
      <c r="F1055" s="1" t="s">
        <v>14</v>
      </c>
      <c r="G1055" s="1">
        <v>20</v>
      </c>
      <c r="H1055" s="9"/>
      <c r="J1055" s="1">
        <v>257.58999999999997</v>
      </c>
      <c r="N1055" s="1" t="s">
        <v>10</v>
      </c>
      <c r="O1055" s="1">
        <v>5.4</v>
      </c>
    </row>
    <row r="1056" spans="4:15" x14ac:dyDescent="0.3">
      <c r="D1056" s="1">
        <v>12352</v>
      </c>
      <c r="E1056" s="2">
        <v>43547</v>
      </c>
      <c r="F1056" s="1" t="s">
        <v>14</v>
      </c>
      <c r="G1056" s="1">
        <v>5</v>
      </c>
      <c r="H1056" s="9"/>
      <c r="J1056" s="1">
        <v>39.44</v>
      </c>
      <c r="N1056" s="1" t="s">
        <v>10</v>
      </c>
      <c r="O1056" s="1">
        <v>9.1</v>
      </c>
    </row>
    <row r="1057" spans="4:15" x14ac:dyDescent="0.3">
      <c r="D1057" s="1">
        <v>4230</v>
      </c>
      <c r="E1057" s="2">
        <v>43527</v>
      </c>
      <c r="F1057" s="1" t="s">
        <v>12</v>
      </c>
      <c r="G1057" s="1">
        <v>46</v>
      </c>
      <c r="H1057" s="9"/>
      <c r="J1057" s="1">
        <v>2683.9</v>
      </c>
      <c r="N1057" s="1" t="s">
        <v>8</v>
      </c>
      <c r="O1057" s="1">
        <v>9.6</v>
      </c>
    </row>
    <row r="1058" spans="4:15" x14ac:dyDescent="0.3">
      <c r="D1058" s="1">
        <v>31106</v>
      </c>
      <c r="E1058" s="2">
        <v>43511</v>
      </c>
      <c r="F1058" s="1" t="s">
        <v>7</v>
      </c>
      <c r="G1058" s="1">
        <v>7</v>
      </c>
      <c r="H1058" s="9"/>
      <c r="J1058" s="1">
        <v>200.44</v>
      </c>
      <c r="N1058" s="1" t="s">
        <v>10</v>
      </c>
      <c r="O1058" s="1">
        <v>10.6</v>
      </c>
    </row>
    <row r="1059" spans="4:15" x14ac:dyDescent="0.3">
      <c r="D1059" s="1">
        <v>44000</v>
      </c>
      <c r="E1059" s="2">
        <v>43742</v>
      </c>
      <c r="F1059" s="1" t="s">
        <v>11</v>
      </c>
      <c r="G1059" s="1">
        <v>15</v>
      </c>
      <c r="H1059" s="9"/>
      <c r="J1059" s="1">
        <v>538</v>
      </c>
      <c r="N1059" s="1" t="s">
        <v>10</v>
      </c>
      <c r="O1059" s="1">
        <v>20.9</v>
      </c>
    </row>
    <row r="1060" spans="4:15" x14ac:dyDescent="0.3">
      <c r="D1060" s="1">
        <v>37315</v>
      </c>
      <c r="E1060" s="2">
        <v>43621</v>
      </c>
      <c r="F1060" s="1" t="s">
        <v>7</v>
      </c>
      <c r="G1060" s="1">
        <v>43</v>
      </c>
      <c r="H1060" s="9"/>
      <c r="J1060" s="1">
        <v>182.77</v>
      </c>
      <c r="N1060" s="1" t="s">
        <v>10</v>
      </c>
      <c r="O1060" s="1">
        <v>5.5</v>
      </c>
    </row>
    <row r="1061" spans="4:15" x14ac:dyDescent="0.3">
      <c r="D1061" s="1">
        <v>16036</v>
      </c>
      <c r="E1061" s="2">
        <v>43469</v>
      </c>
      <c r="F1061" s="1" t="s">
        <v>14</v>
      </c>
      <c r="G1061" s="1">
        <v>28</v>
      </c>
      <c r="H1061" s="9"/>
      <c r="J1061" s="1">
        <v>181.06540000000001</v>
      </c>
      <c r="N1061" s="1" t="s">
        <v>10</v>
      </c>
      <c r="O1061" s="1">
        <v>9.1</v>
      </c>
    </row>
    <row r="1062" spans="4:15" x14ac:dyDescent="0.3">
      <c r="D1062" s="1">
        <v>53445</v>
      </c>
      <c r="E1062" s="2">
        <v>43762</v>
      </c>
      <c r="F1062" s="1" t="s">
        <v>9</v>
      </c>
      <c r="G1062" s="1">
        <v>8</v>
      </c>
      <c r="H1062" s="9"/>
      <c r="J1062" s="1">
        <v>113.3665</v>
      </c>
      <c r="N1062" s="1" t="s">
        <v>10</v>
      </c>
      <c r="O1062" s="1">
        <v>9.6</v>
      </c>
    </row>
    <row r="1063" spans="4:15" x14ac:dyDescent="0.3">
      <c r="D1063" s="1">
        <v>8167</v>
      </c>
      <c r="E1063" s="2">
        <v>43681</v>
      </c>
      <c r="F1063" s="1" t="s">
        <v>12</v>
      </c>
      <c r="G1063" s="1">
        <v>48</v>
      </c>
      <c r="H1063" s="9"/>
      <c r="J1063" s="1">
        <v>1550.75</v>
      </c>
      <c r="N1063" s="1" t="s">
        <v>10</v>
      </c>
      <c r="O1063" s="1">
        <v>1.3</v>
      </c>
    </row>
    <row r="1064" spans="4:15" x14ac:dyDescent="0.3">
      <c r="D1064" s="1">
        <v>10439</v>
      </c>
      <c r="E1064" s="2">
        <v>43552</v>
      </c>
      <c r="F1064" s="1" t="s">
        <v>11</v>
      </c>
      <c r="G1064" s="1">
        <v>46</v>
      </c>
      <c r="H1064" s="9"/>
      <c r="J1064" s="1">
        <v>240.89</v>
      </c>
      <c r="N1064" s="1" t="s">
        <v>8</v>
      </c>
      <c r="O1064" s="1">
        <v>7.7</v>
      </c>
    </row>
    <row r="1065" spans="4:15" x14ac:dyDescent="0.3">
      <c r="D1065" s="1">
        <v>26310</v>
      </c>
      <c r="E1065" s="2">
        <v>43675</v>
      </c>
      <c r="F1065" s="1" t="s">
        <v>11</v>
      </c>
      <c r="G1065" s="1">
        <v>19</v>
      </c>
      <c r="H1065" s="9"/>
      <c r="J1065" s="1">
        <v>120.56</v>
      </c>
      <c r="N1065" s="1" t="s">
        <v>10</v>
      </c>
      <c r="O1065" s="1">
        <v>5.5</v>
      </c>
    </row>
    <row r="1066" spans="4:15" x14ac:dyDescent="0.3">
      <c r="D1066" s="1">
        <v>33414</v>
      </c>
      <c r="E1066" s="2">
        <v>43505</v>
      </c>
      <c r="F1066" s="1" t="s">
        <v>11</v>
      </c>
      <c r="G1066" s="1">
        <v>9</v>
      </c>
      <c r="H1066" s="9"/>
      <c r="J1066" s="1">
        <v>39.83</v>
      </c>
      <c r="N1066" s="1" t="s">
        <v>10</v>
      </c>
      <c r="O1066" s="1">
        <v>1.3</v>
      </c>
    </row>
    <row r="1067" spans="4:15" x14ac:dyDescent="0.3">
      <c r="D1067" s="1">
        <v>30786</v>
      </c>
      <c r="E1067" s="2">
        <v>43662</v>
      </c>
      <c r="F1067" s="1" t="s">
        <v>14</v>
      </c>
      <c r="G1067" s="1">
        <v>23</v>
      </c>
      <c r="H1067" s="9"/>
      <c r="J1067" s="1">
        <v>70.523700000000005</v>
      </c>
      <c r="N1067" s="1" t="s">
        <v>10</v>
      </c>
      <c r="O1067" s="1">
        <v>1.4</v>
      </c>
    </row>
    <row r="1068" spans="4:15" x14ac:dyDescent="0.3">
      <c r="D1068" s="1">
        <v>46048</v>
      </c>
      <c r="E1068" s="2">
        <v>43810</v>
      </c>
      <c r="F1068" s="1" t="s">
        <v>14</v>
      </c>
      <c r="G1068" s="1">
        <v>10</v>
      </c>
      <c r="H1068" s="9"/>
      <c r="J1068" s="1">
        <v>145.27000000000001</v>
      </c>
      <c r="N1068" s="1" t="s">
        <v>8</v>
      </c>
      <c r="O1068" s="1">
        <v>3.4</v>
      </c>
    </row>
    <row r="1069" spans="4:15" x14ac:dyDescent="0.3">
      <c r="D1069" s="1">
        <v>46979</v>
      </c>
      <c r="E1069" s="2">
        <v>43662</v>
      </c>
      <c r="F1069" s="1" t="s">
        <v>7</v>
      </c>
      <c r="G1069" s="1">
        <v>30</v>
      </c>
      <c r="H1069" s="9"/>
      <c r="J1069" s="1">
        <v>9328.75</v>
      </c>
      <c r="N1069" s="1" t="s">
        <v>13</v>
      </c>
      <c r="O1069" s="1">
        <v>28.4</v>
      </c>
    </row>
    <row r="1070" spans="4:15" x14ac:dyDescent="0.3">
      <c r="D1070" s="1">
        <v>29216</v>
      </c>
      <c r="E1070" s="2">
        <v>43828</v>
      </c>
      <c r="F1070" s="1" t="s">
        <v>12</v>
      </c>
      <c r="G1070" s="1">
        <v>46</v>
      </c>
      <c r="H1070" s="9"/>
      <c r="J1070" s="1">
        <v>2072</v>
      </c>
      <c r="N1070" s="1" t="s">
        <v>10</v>
      </c>
      <c r="O1070" s="1">
        <v>4.3</v>
      </c>
    </row>
    <row r="1071" spans="4:15" x14ac:dyDescent="0.3">
      <c r="D1071" s="1">
        <v>46852</v>
      </c>
      <c r="E1071" s="2">
        <v>43492</v>
      </c>
      <c r="F1071" s="1" t="s">
        <v>11</v>
      </c>
      <c r="G1071" s="1">
        <v>44</v>
      </c>
      <c r="H1071" s="9"/>
      <c r="J1071" s="1">
        <v>235.47</v>
      </c>
      <c r="N1071" s="1" t="s">
        <v>10</v>
      </c>
      <c r="O1071" s="1">
        <v>5.3</v>
      </c>
    </row>
    <row r="1072" spans="4:15" x14ac:dyDescent="0.3">
      <c r="D1072" s="1">
        <v>56514</v>
      </c>
      <c r="E1072" s="2">
        <v>43506</v>
      </c>
      <c r="F1072" s="1" t="s">
        <v>7</v>
      </c>
      <c r="G1072" s="1">
        <v>3</v>
      </c>
      <c r="H1072" s="9"/>
      <c r="J1072" s="1">
        <v>117.7</v>
      </c>
      <c r="N1072" s="1" t="s">
        <v>10</v>
      </c>
      <c r="O1072" s="1">
        <v>12.4</v>
      </c>
    </row>
    <row r="1073" spans="4:15" x14ac:dyDescent="0.3">
      <c r="D1073" s="1">
        <v>33731</v>
      </c>
      <c r="E1073" s="2">
        <v>43746</v>
      </c>
      <c r="F1073" s="1" t="s">
        <v>9</v>
      </c>
      <c r="G1073" s="1">
        <v>32</v>
      </c>
      <c r="H1073" s="9"/>
      <c r="J1073" s="1">
        <v>116.64</v>
      </c>
      <c r="N1073" s="1" t="s">
        <v>10</v>
      </c>
      <c r="O1073" s="1">
        <v>1.7</v>
      </c>
    </row>
    <row r="1074" spans="4:15" x14ac:dyDescent="0.3">
      <c r="D1074" s="1">
        <v>30436</v>
      </c>
      <c r="E1074" s="2">
        <v>43653</v>
      </c>
      <c r="F1074" s="1" t="s">
        <v>7</v>
      </c>
      <c r="G1074" s="1">
        <v>30</v>
      </c>
      <c r="H1074" s="9"/>
      <c r="J1074" s="1">
        <v>129.67330000000001</v>
      </c>
      <c r="N1074" s="1" t="s">
        <v>8</v>
      </c>
      <c r="O1074" s="1">
        <v>7.5</v>
      </c>
    </row>
    <row r="1075" spans="4:15" x14ac:dyDescent="0.3">
      <c r="D1075" s="1">
        <v>10982</v>
      </c>
      <c r="E1075" s="2">
        <v>43809</v>
      </c>
      <c r="F1075" s="1" t="s">
        <v>11</v>
      </c>
      <c r="G1075" s="1">
        <v>29</v>
      </c>
      <c r="H1075" s="9"/>
      <c r="J1075" s="1">
        <v>575.95000000000005</v>
      </c>
      <c r="N1075" s="1" t="s">
        <v>10</v>
      </c>
      <c r="O1075" s="1">
        <v>1.6</v>
      </c>
    </row>
    <row r="1076" spans="4:15" x14ac:dyDescent="0.3">
      <c r="D1076" s="1">
        <v>1701</v>
      </c>
      <c r="E1076" s="2">
        <v>43603</v>
      </c>
      <c r="F1076" s="1" t="s">
        <v>9</v>
      </c>
      <c r="G1076" s="1">
        <v>1</v>
      </c>
      <c r="H1076" s="9"/>
      <c r="J1076" s="1">
        <v>60.57</v>
      </c>
      <c r="N1076" s="1" t="s">
        <v>10</v>
      </c>
      <c r="O1076" s="1">
        <v>15.5</v>
      </c>
    </row>
    <row r="1077" spans="4:15" x14ac:dyDescent="0.3">
      <c r="D1077" s="1">
        <v>22432</v>
      </c>
      <c r="E1077" s="2">
        <v>43797</v>
      </c>
      <c r="F1077" s="1" t="s">
        <v>11</v>
      </c>
      <c r="G1077" s="1">
        <v>45</v>
      </c>
      <c r="H1077" s="9"/>
      <c r="J1077" s="1">
        <v>2919.4094</v>
      </c>
      <c r="N1077" s="1" t="s">
        <v>10</v>
      </c>
      <c r="O1077" s="1">
        <v>21.4</v>
      </c>
    </row>
    <row r="1078" spans="4:15" x14ac:dyDescent="0.3">
      <c r="D1078" s="1">
        <v>22085</v>
      </c>
      <c r="E1078" s="2">
        <v>43533</v>
      </c>
      <c r="F1078" s="1" t="s">
        <v>7</v>
      </c>
      <c r="G1078" s="1">
        <v>41</v>
      </c>
      <c r="H1078" s="9"/>
      <c r="J1078" s="1">
        <v>284.2</v>
      </c>
      <c r="N1078" s="1" t="s">
        <v>10</v>
      </c>
      <c r="O1078" s="1">
        <v>7.9</v>
      </c>
    </row>
    <row r="1079" spans="4:15" x14ac:dyDescent="0.3">
      <c r="D1079" s="1">
        <v>59685</v>
      </c>
      <c r="E1079" s="2">
        <v>43809</v>
      </c>
      <c r="F1079" s="1" t="s">
        <v>12</v>
      </c>
      <c r="G1079" s="1">
        <v>12</v>
      </c>
      <c r="H1079" s="9"/>
      <c r="J1079" s="1">
        <v>540.55999999999995</v>
      </c>
      <c r="N1079" s="1" t="s">
        <v>10</v>
      </c>
      <c r="O1079" s="1">
        <v>5.7</v>
      </c>
    </row>
    <row r="1080" spans="4:15" x14ac:dyDescent="0.3">
      <c r="D1080" s="1">
        <v>40901</v>
      </c>
      <c r="E1080" s="2">
        <v>43675</v>
      </c>
      <c r="F1080" s="1" t="s">
        <v>14</v>
      </c>
      <c r="G1080" s="1">
        <v>40</v>
      </c>
      <c r="H1080" s="9"/>
      <c r="J1080" s="1">
        <v>292.25979999999998</v>
      </c>
      <c r="N1080" s="1" t="s">
        <v>10</v>
      </c>
      <c r="O1080" s="1">
        <v>4.4000000000000004</v>
      </c>
    </row>
    <row r="1081" spans="4:15" x14ac:dyDescent="0.3">
      <c r="D1081" s="1">
        <v>21223</v>
      </c>
      <c r="E1081" s="2">
        <v>43539</v>
      </c>
      <c r="F1081" s="1" t="s">
        <v>11</v>
      </c>
      <c r="G1081" s="1">
        <v>8</v>
      </c>
      <c r="H1081" s="9"/>
      <c r="J1081" s="1">
        <v>465.76</v>
      </c>
      <c r="N1081" s="1" t="s">
        <v>10</v>
      </c>
      <c r="O1081" s="1">
        <v>19.7</v>
      </c>
    </row>
    <row r="1082" spans="4:15" x14ac:dyDescent="0.3">
      <c r="D1082" s="1">
        <v>57093</v>
      </c>
      <c r="E1082" s="2">
        <v>43587</v>
      </c>
      <c r="F1082" s="1" t="s">
        <v>7</v>
      </c>
      <c r="G1082" s="1">
        <v>3</v>
      </c>
      <c r="H1082" s="9"/>
      <c r="J1082" s="1">
        <v>20.3</v>
      </c>
      <c r="N1082" s="1" t="s">
        <v>10</v>
      </c>
      <c r="O1082" s="1">
        <v>3.2</v>
      </c>
    </row>
    <row r="1083" spans="4:15" x14ac:dyDescent="0.3">
      <c r="D1083" s="1">
        <v>55170</v>
      </c>
      <c r="E1083" s="2">
        <v>43729</v>
      </c>
      <c r="F1083" s="1" t="s">
        <v>12</v>
      </c>
      <c r="G1083" s="1">
        <v>22</v>
      </c>
      <c r="H1083" s="9"/>
      <c r="J1083" s="1">
        <v>1054.26</v>
      </c>
      <c r="N1083" s="1" t="s">
        <v>8</v>
      </c>
      <c r="O1083" s="1">
        <v>9.6</v>
      </c>
    </row>
    <row r="1084" spans="4:15" x14ac:dyDescent="0.3">
      <c r="D1084" s="1">
        <v>55239</v>
      </c>
      <c r="E1084" s="2">
        <v>43802</v>
      </c>
      <c r="F1084" s="1" t="s">
        <v>12</v>
      </c>
      <c r="G1084" s="1">
        <v>13</v>
      </c>
      <c r="H1084" s="9"/>
      <c r="J1084" s="1">
        <v>102.38</v>
      </c>
      <c r="N1084" s="1" t="s">
        <v>8</v>
      </c>
      <c r="O1084" s="1">
        <v>5.5</v>
      </c>
    </row>
    <row r="1085" spans="4:15" x14ac:dyDescent="0.3">
      <c r="D1085" s="1">
        <v>11362</v>
      </c>
      <c r="E1085" s="2">
        <v>43718</v>
      </c>
      <c r="F1085" s="1" t="s">
        <v>7</v>
      </c>
      <c r="G1085" s="1">
        <v>25</v>
      </c>
      <c r="H1085" s="9"/>
      <c r="J1085" s="1">
        <v>2576.23</v>
      </c>
      <c r="N1085" s="1" t="s">
        <v>10</v>
      </c>
      <c r="O1085" s="1">
        <v>9.6</v>
      </c>
    </row>
    <row r="1086" spans="4:15" x14ac:dyDescent="0.3">
      <c r="D1086" s="1">
        <v>15712</v>
      </c>
      <c r="E1086" s="2">
        <v>43803</v>
      </c>
      <c r="F1086" s="1" t="s">
        <v>9</v>
      </c>
      <c r="G1086" s="1">
        <v>1</v>
      </c>
      <c r="H1086" s="9"/>
      <c r="J1086" s="1">
        <v>110.1</v>
      </c>
      <c r="N1086" s="1" t="s">
        <v>13</v>
      </c>
      <c r="O1086" s="1">
        <v>57.9</v>
      </c>
    </row>
    <row r="1087" spans="4:15" x14ac:dyDescent="0.3">
      <c r="D1087" s="1">
        <v>43523</v>
      </c>
      <c r="E1087" s="2">
        <v>43608</v>
      </c>
      <c r="F1087" s="1" t="s">
        <v>14</v>
      </c>
      <c r="G1087" s="1">
        <v>50</v>
      </c>
      <c r="H1087" s="9"/>
      <c r="J1087" s="1">
        <v>316.05</v>
      </c>
      <c r="N1087" s="1" t="s">
        <v>10</v>
      </c>
      <c r="O1087" s="1">
        <v>5.8</v>
      </c>
    </row>
    <row r="1088" spans="4:15" x14ac:dyDescent="0.3">
      <c r="D1088" s="1">
        <v>5860</v>
      </c>
      <c r="E1088" s="2">
        <v>43514</v>
      </c>
      <c r="F1088" s="1" t="s">
        <v>11</v>
      </c>
      <c r="G1088" s="1">
        <v>12</v>
      </c>
      <c r="H1088" s="9"/>
      <c r="J1088" s="1">
        <v>60.7</v>
      </c>
      <c r="N1088" s="1" t="s">
        <v>10</v>
      </c>
      <c r="O1088" s="1">
        <v>0.8</v>
      </c>
    </row>
    <row r="1089" spans="4:15" x14ac:dyDescent="0.3">
      <c r="D1089" s="1">
        <v>130</v>
      </c>
      <c r="E1089" s="2">
        <v>43592</v>
      </c>
      <c r="F1089" s="1" t="s">
        <v>9</v>
      </c>
      <c r="G1089" s="1">
        <v>3</v>
      </c>
      <c r="H1089" s="9"/>
      <c r="J1089" s="1">
        <v>494.22</v>
      </c>
      <c r="N1089" s="1" t="s">
        <v>8</v>
      </c>
      <c r="O1089" s="1">
        <v>15</v>
      </c>
    </row>
    <row r="1090" spans="4:15" x14ac:dyDescent="0.3">
      <c r="D1090" s="1">
        <v>33541</v>
      </c>
      <c r="E1090" s="2">
        <v>43635</v>
      </c>
      <c r="F1090" s="1" t="s">
        <v>12</v>
      </c>
      <c r="G1090" s="1">
        <v>43</v>
      </c>
      <c r="H1090" s="9"/>
      <c r="J1090" s="1">
        <v>548.66999999999996</v>
      </c>
      <c r="N1090" s="1" t="s">
        <v>10</v>
      </c>
      <c r="O1090" s="1">
        <v>6.4</v>
      </c>
    </row>
    <row r="1091" spans="4:15" x14ac:dyDescent="0.3">
      <c r="D1091" s="1">
        <v>37895</v>
      </c>
      <c r="E1091" s="2">
        <v>43554</v>
      </c>
      <c r="F1091" s="1" t="s">
        <v>12</v>
      </c>
      <c r="G1091" s="1">
        <v>14</v>
      </c>
      <c r="H1091" s="9"/>
      <c r="J1091" s="1">
        <v>325.98</v>
      </c>
      <c r="N1091" s="1" t="s">
        <v>10</v>
      </c>
      <c r="O1091" s="1">
        <v>8.9</v>
      </c>
    </row>
    <row r="1092" spans="4:15" x14ac:dyDescent="0.3">
      <c r="D1092" s="1">
        <v>46566</v>
      </c>
      <c r="E1092" s="2">
        <v>43564</v>
      </c>
      <c r="F1092" s="1" t="s">
        <v>14</v>
      </c>
      <c r="G1092" s="1">
        <v>49</v>
      </c>
      <c r="H1092" s="9"/>
      <c r="J1092" s="1">
        <v>1642.13</v>
      </c>
      <c r="N1092" s="1" t="s">
        <v>10</v>
      </c>
      <c r="O1092" s="1">
        <v>3.9</v>
      </c>
    </row>
    <row r="1093" spans="4:15" x14ac:dyDescent="0.3">
      <c r="D1093" s="1">
        <v>4705</v>
      </c>
      <c r="E1093" s="2">
        <v>43545</v>
      </c>
      <c r="F1093" s="1" t="s">
        <v>11</v>
      </c>
      <c r="G1093" s="1">
        <v>16</v>
      </c>
      <c r="H1093" s="9"/>
      <c r="J1093" s="1">
        <v>132.52000000000001</v>
      </c>
      <c r="N1093" s="1" t="s">
        <v>10</v>
      </c>
      <c r="O1093" s="1">
        <v>7</v>
      </c>
    </row>
    <row r="1094" spans="4:15" x14ac:dyDescent="0.3">
      <c r="D1094" s="1">
        <v>27780</v>
      </c>
      <c r="E1094" s="2">
        <v>43758</v>
      </c>
      <c r="F1094" s="1" t="s">
        <v>12</v>
      </c>
      <c r="G1094" s="1">
        <v>39</v>
      </c>
      <c r="H1094" s="9"/>
      <c r="J1094" s="1">
        <v>1795.82</v>
      </c>
      <c r="N1094" s="1" t="s">
        <v>10</v>
      </c>
      <c r="O1094" s="1">
        <v>2.1</v>
      </c>
    </row>
    <row r="1095" spans="4:15" x14ac:dyDescent="0.3">
      <c r="D1095" s="1">
        <v>2630</v>
      </c>
      <c r="E1095" s="2">
        <v>43761</v>
      </c>
      <c r="F1095" s="1" t="s">
        <v>7</v>
      </c>
      <c r="G1095" s="1">
        <v>31</v>
      </c>
      <c r="H1095" s="9"/>
      <c r="J1095" s="1">
        <v>156.77000000000001</v>
      </c>
      <c r="N1095" s="1" t="s">
        <v>10</v>
      </c>
      <c r="O1095" s="1">
        <v>1.6</v>
      </c>
    </row>
    <row r="1096" spans="4:15" x14ac:dyDescent="0.3">
      <c r="D1096" s="1">
        <v>50532</v>
      </c>
      <c r="E1096" s="2">
        <v>43691</v>
      </c>
      <c r="F1096" s="1" t="s">
        <v>14</v>
      </c>
      <c r="G1096" s="1">
        <v>10</v>
      </c>
      <c r="H1096" s="9"/>
      <c r="J1096" s="1">
        <v>285.75</v>
      </c>
      <c r="N1096" s="1" t="s">
        <v>10</v>
      </c>
      <c r="O1096" s="1">
        <v>3.2</v>
      </c>
    </row>
    <row r="1097" spans="4:15" x14ac:dyDescent="0.3">
      <c r="D1097" s="1">
        <v>23649</v>
      </c>
      <c r="E1097" s="2">
        <v>43713</v>
      </c>
      <c r="F1097" s="1" t="s">
        <v>11</v>
      </c>
      <c r="G1097" s="1">
        <v>30</v>
      </c>
      <c r="H1097" s="9"/>
      <c r="J1097" s="1">
        <v>4909.08</v>
      </c>
      <c r="N1097" s="1" t="s">
        <v>10</v>
      </c>
      <c r="O1097" s="1">
        <v>4.5</v>
      </c>
    </row>
    <row r="1098" spans="4:15" x14ac:dyDescent="0.3">
      <c r="D1098" s="1">
        <v>1221</v>
      </c>
      <c r="E1098" s="2">
        <v>43573</v>
      </c>
      <c r="F1098" s="1" t="s">
        <v>11</v>
      </c>
      <c r="G1098" s="1">
        <v>16</v>
      </c>
      <c r="H1098" s="9"/>
      <c r="J1098" s="1">
        <v>73.239999999999995</v>
      </c>
      <c r="N1098" s="1" t="s">
        <v>10</v>
      </c>
      <c r="O1098" s="1">
        <v>5.8</v>
      </c>
    </row>
    <row r="1099" spans="4:15" x14ac:dyDescent="0.3">
      <c r="D1099" s="1">
        <v>39686</v>
      </c>
      <c r="E1099" s="2">
        <v>43624</v>
      </c>
      <c r="F1099" s="1" t="s">
        <v>11</v>
      </c>
      <c r="G1099" s="1">
        <v>48</v>
      </c>
      <c r="H1099" s="9"/>
      <c r="J1099" s="1">
        <v>2943.26</v>
      </c>
      <c r="N1099" s="1" t="s">
        <v>10</v>
      </c>
      <c r="O1099" s="1">
        <v>5.6</v>
      </c>
    </row>
    <row r="1100" spans="4:15" x14ac:dyDescent="0.3">
      <c r="D1100" s="1">
        <v>16231</v>
      </c>
      <c r="E1100" s="2">
        <v>43712</v>
      </c>
      <c r="F1100" s="1" t="s">
        <v>7</v>
      </c>
      <c r="G1100" s="1">
        <v>20</v>
      </c>
      <c r="H1100" s="9"/>
      <c r="J1100" s="1">
        <v>2681.83</v>
      </c>
      <c r="N1100" s="1" t="s">
        <v>13</v>
      </c>
      <c r="O1100" s="1">
        <v>55.6</v>
      </c>
    </row>
    <row r="1101" spans="4:15" x14ac:dyDescent="0.3">
      <c r="D1101" s="1">
        <v>45767</v>
      </c>
      <c r="E1101" s="2">
        <v>43656</v>
      </c>
      <c r="F1101" s="1" t="s">
        <v>9</v>
      </c>
      <c r="G1101" s="1">
        <v>49</v>
      </c>
      <c r="H1101" s="9"/>
      <c r="J1101" s="1">
        <v>900.42</v>
      </c>
      <c r="N1101" s="1" t="s">
        <v>8</v>
      </c>
      <c r="O1101" s="1">
        <v>6.7</v>
      </c>
    </row>
    <row r="1102" spans="4:15" x14ac:dyDescent="0.3">
      <c r="D1102" s="1">
        <v>6</v>
      </c>
      <c r="E1102" s="2">
        <v>43515</v>
      </c>
      <c r="F1102" s="1" t="s">
        <v>11</v>
      </c>
      <c r="G1102" s="1">
        <v>2</v>
      </c>
      <c r="H1102" s="9"/>
      <c r="J1102" s="1">
        <v>7.4150999999999998</v>
      </c>
      <c r="N1102" s="1" t="s">
        <v>10</v>
      </c>
      <c r="O1102" s="1">
        <v>2.7</v>
      </c>
    </row>
    <row r="1103" spans="4:15" x14ac:dyDescent="0.3">
      <c r="D1103" s="1">
        <v>37313</v>
      </c>
      <c r="E1103" s="2">
        <v>43648</v>
      </c>
      <c r="F1103" s="1" t="s">
        <v>11</v>
      </c>
      <c r="G1103" s="1">
        <v>17</v>
      </c>
      <c r="H1103" s="9"/>
      <c r="J1103" s="1">
        <v>972</v>
      </c>
      <c r="N1103" s="1" t="s">
        <v>8</v>
      </c>
      <c r="O1103" s="1">
        <v>9.6</v>
      </c>
    </row>
    <row r="1104" spans="4:15" x14ac:dyDescent="0.3">
      <c r="D1104" s="1">
        <v>24039</v>
      </c>
      <c r="E1104" s="2">
        <v>43663</v>
      </c>
      <c r="F1104" s="1" t="s">
        <v>11</v>
      </c>
      <c r="G1104" s="1">
        <v>5</v>
      </c>
      <c r="H1104" s="9"/>
      <c r="J1104" s="1">
        <v>213.10120000000001</v>
      </c>
      <c r="N1104" s="1" t="s">
        <v>10</v>
      </c>
      <c r="O1104" s="1">
        <v>2.1</v>
      </c>
    </row>
    <row r="1105" spans="4:15" x14ac:dyDescent="0.3">
      <c r="D1105" s="1">
        <v>59425</v>
      </c>
      <c r="E1105" s="2">
        <v>43602</v>
      </c>
      <c r="F1105" s="1" t="s">
        <v>14</v>
      </c>
      <c r="G1105" s="1">
        <v>24</v>
      </c>
      <c r="H1105" s="9"/>
      <c r="J1105" s="1">
        <v>2240.7084</v>
      </c>
      <c r="N1105" s="1" t="s">
        <v>10</v>
      </c>
      <c r="O1105" s="1">
        <v>6.6</v>
      </c>
    </row>
    <row r="1106" spans="4:15" x14ac:dyDescent="0.3">
      <c r="D1106" s="1">
        <v>46053</v>
      </c>
      <c r="E1106" s="2">
        <v>43721</v>
      </c>
      <c r="F1106" s="1" t="s">
        <v>9</v>
      </c>
      <c r="G1106" s="1">
        <v>25</v>
      </c>
      <c r="H1106" s="9"/>
      <c r="J1106" s="1">
        <v>1560.95</v>
      </c>
      <c r="N1106" s="1" t="s">
        <v>10</v>
      </c>
      <c r="O1106" s="1">
        <v>3.7</v>
      </c>
    </row>
    <row r="1107" spans="4:15" x14ac:dyDescent="0.3">
      <c r="D1107" s="1">
        <v>41830</v>
      </c>
      <c r="E1107" s="2">
        <v>43512</v>
      </c>
      <c r="F1107" s="1" t="s">
        <v>7</v>
      </c>
      <c r="G1107" s="1">
        <v>42</v>
      </c>
      <c r="H1107" s="9"/>
      <c r="J1107" s="1">
        <v>5736.3555999999999</v>
      </c>
      <c r="N1107" s="1" t="s">
        <v>13</v>
      </c>
      <c r="O1107" s="1">
        <v>28.1</v>
      </c>
    </row>
    <row r="1108" spans="4:15" x14ac:dyDescent="0.3">
      <c r="D1108" s="1">
        <v>15329</v>
      </c>
      <c r="E1108" s="2">
        <v>43582</v>
      </c>
      <c r="F1108" s="1" t="s">
        <v>9</v>
      </c>
      <c r="G1108" s="1">
        <v>34</v>
      </c>
      <c r="H1108" s="9"/>
      <c r="J1108" s="1">
        <v>1085.9100000000001</v>
      </c>
      <c r="N1108" s="1" t="s">
        <v>8</v>
      </c>
      <c r="O1108" s="1">
        <v>2.1</v>
      </c>
    </row>
    <row r="1109" spans="4:15" x14ac:dyDescent="0.3">
      <c r="D1109" s="1">
        <v>11168</v>
      </c>
      <c r="E1109" s="2">
        <v>43759</v>
      </c>
      <c r="F1109" s="1" t="s">
        <v>12</v>
      </c>
      <c r="G1109" s="1">
        <v>35</v>
      </c>
      <c r="H1109" s="9"/>
      <c r="J1109" s="1">
        <v>195.66</v>
      </c>
      <c r="N1109" s="1" t="s">
        <v>10</v>
      </c>
      <c r="O1109" s="1">
        <v>6.1</v>
      </c>
    </row>
    <row r="1110" spans="4:15" x14ac:dyDescent="0.3">
      <c r="D1110" s="1">
        <v>56069</v>
      </c>
      <c r="E1110" s="2">
        <v>43752</v>
      </c>
      <c r="F1110" s="1" t="s">
        <v>7</v>
      </c>
      <c r="G1110" s="1">
        <v>10</v>
      </c>
      <c r="H1110" s="9"/>
      <c r="J1110" s="1">
        <v>59.56</v>
      </c>
      <c r="N1110" s="1" t="s">
        <v>10</v>
      </c>
      <c r="O1110" s="1">
        <v>1.5</v>
      </c>
    </row>
    <row r="1111" spans="4:15" x14ac:dyDescent="0.3">
      <c r="D1111" s="1">
        <v>16164</v>
      </c>
      <c r="E1111" s="2">
        <v>43467</v>
      </c>
      <c r="F1111" s="1" t="s">
        <v>7</v>
      </c>
      <c r="G1111" s="1">
        <v>26</v>
      </c>
      <c r="H1111" s="9"/>
      <c r="J1111" s="1">
        <v>74.239999999999995</v>
      </c>
      <c r="N1111" s="1" t="s">
        <v>10</v>
      </c>
      <c r="O1111" s="1">
        <v>4.5999999999999996</v>
      </c>
    </row>
    <row r="1112" spans="4:15" x14ac:dyDescent="0.3">
      <c r="D1112" s="1">
        <v>58278</v>
      </c>
      <c r="E1112" s="2">
        <v>43718</v>
      </c>
      <c r="F1112" s="1" t="s">
        <v>9</v>
      </c>
      <c r="G1112" s="1">
        <v>37</v>
      </c>
      <c r="H1112" s="9"/>
      <c r="J1112" s="1">
        <v>3758.8</v>
      </c>
      <c r="N1112" s="1" t="s">
        <v>10</v>
      </c>
      <c r="O1112" s="1">
        <v>9.6</v>
      </c>
    </row>
    <row r="1113" spans="4:15" x14ac:dyDescent="0.3">
      <c r="D1113" s="1">
        <v>16036</v>
      </c>
      <c r="E1113" s="2">
        <v>43469</v>
      </c>
      <c r="F1113" s="1" t="s">
        <v>14</v>
      </c>
      <c r="G1113" s="1">
        <v>28</v>
      </c>
      <c r="H1113" s="9"/>
      <c r="J1113" s="1">
        <v>2311.4899999999998</v>
      </c>
      <c r="N1113" s="1" t="s">
        <v>10</v>
      </c>
      <c r="O1113" s="1">
        <v>37.5</v>
      </c>
    </row>
    <row r="1114" spans="4:15" x14ac:dyDescent="0.3">
      <c r="D1114" s="1">
        <v>25635</v>
      </c>
      <c r="E1114" s="2">
        <v>43614</v>
      </c>
      <c r="F1114" s="1" t="s">
        <v>12</v>
      </c>
      <c r="G1114" s="1">
        <v>14</v>
      </c>
      <c r="H1114" s="9"/>
      <c r="J1114" s="1">
        <v>677.39559999999994</v>
      </c>
      <c r="N1114" s="1" t="s">
        <v>8</v>
      </c>
      <c r="O1114" s="1">
        <v>4.9000000000000004</v>
      </c>
    </row>
    <row r="1115" spans="4:15" x14ac:dyDescent="0.3">
      <c r="D1115" s="1">
        <v>56418</v>
      </c>
      <c r="E1115" s="2">
        <v>43567</v>
      </c>
      <c r="F1115" s="1" t="s">
        <v>12</v>
      </c>
      <c r="G1115" s="1">
        <v>47</v>
      </c>
      <c r="H1115" s="9"/>
      <c r="J1115" s="1">
        <v>1726.81</v>
      </c>
      <c r="N1115" s="1" t="s">
        <v>10</v>
      </c>
      <c r="O1115" s="1">
        <v>8.8000000000000007</v>
      </c>
    </row>
    <row r="1116" spans="4:15" x14ac:dyDescent="0.3">
      <c r="D1116" s="1">
        <v>57058</v>
      </c>
      <c r="E1116" s="2">
        <v>43594</v>
      </c>
      <c r="F1116" s="1" t="s">
        <v>14</v>
      </c>
      <c r="G1116" s="1">
        <v>28</v>
      </c>
      <c r="H1116" s="9"/>
      <c r="J1116" s="1">
        <v>219.81</v>
      </c>
      <c r="N1116" s="1" t="s">
        <v>8</v>
      </c>
      <c r="O1116" s="1">
        <v>5.6</v>
      </c>
    </row>
    <row r="1117" spans="4:15" x14ac:dyDescent="0.3">
      <c r="D1117" s="1">
        <v>53698</v>
      </c>
      <c r="E1117" s="2">
        <v>43632</v>
      </c>
      <c r="F1117" s="1" t="s">
        <v>14</v>
      </c>
      <c r="G1117" s="1">
        <v>10</v>
      </c>
      <c r="H1117" s="9"/>
      <c r="J1117" s="1">
        <v>59.2</v>
      </c>
      <c r="N1117" s="1" t="s">
        <v>8</v>
      </c>
      <c r="O1117" s="1">
        <v>0.8</v>
      </c>
    </row>
    <row r="1118" spans="4:15" x14ac:dyDescent="0.3">
      <c r="D1118" s="1">
        <v>44000</v>
      </c>
      <c r="E1118" s="2">
        <v>43742</v>
      </c>
      <c r="F1118" s="1" t="s">
        <v>11</v>
      </c>
      <c r="G1118" s="1">
        <v>19</v>
      </c>
      <c r="H1118" s="9"/>
      <c r="J1118" s="1">
        <v>355.64659999999998</v>
      </c>
      <c r="N1118" s="1" t="s">
        <v>10</v>
      </c>
      <c r="O1118" s="1">
        <v>5.4</v>
      </c>
    </row>
    <row r="1119" spans="4:15" x14ac:dyDescent="0.3">
      <c r="D1119" s="1">
        <v>39266</v>
      </c>
      <c r="E1119" s="2">
        <v>43704</v>
      </c>
      <c r="F1119" s="1" t="s">
        <v>9</v>
      </c>
      <c r="G1119" s="1">
        <v>14</v>
      </c>
      <c r="H1119" s="9"/>
      <c r="J1119" s="1">
        <v>38.96</v>
      </c>
      <c r="N1119" s="1" t="s">
        <v>10</v>
      </c>
      <c r="O1119" s="1">
        <v>0.5</v>
      </c>
    </row>
    <row r="1120" spans="4:15" x14ac:dyDescent="0.3">
      <c r="D1120" s="1">
        <v>22182</v>
      </c>
      <c r="E1120" s="2">
        <v>43713</v>
      </c>
      <c r="F1120" s="1" t="s">
        <v>14</v>
      </c>
      <c r="G1120" s="1">
        <v>9</v>
      </c>
      <c r="H1120" s="9"/>
      <c r="J1120" s="1">
        <v>186.95</v>
      </c>
      <c r="N1120" s="1" t="s">
        <v>10</v>
      </c>
      <c r="O1120" s="1">
        <v>4.3</v>
      </c>
    </row>
    <row r="1121" spans="4:15" x14ac:dyDescent="0.3">
      <c r="D1121" s="1">
        <v>13988</v>
      </c>
      <c r="E1121" s="2">
        <v>43678</v>
      </c>
      <c r="F1121" s="1" t="s">
        <v>11</v>
      </c>
      <c r="G1121" s="1">
        <v>18</v>
      </c>
      <c r="H1121" s="9"/>
      <c r="J1121" s="1">
        <v>252.85</v>
      </c>
      <c r="N1121" s="1" t="s">
        <v>8</v>
      </c>
      <c r="O1121" s="1">
        <v>5.3</v>
      </c>
    </row>
    <row r="1122" spans="4:15" x14ac:dyDescent="0.3">
      <c r="D1122" s="1">
        <v>32610</v>
      </c>
      <c r="E1122" s="2">
        <v>43696</v>
      </c>
      <c r="F1122" s="1" t="s">
        <v>11</v>
      </c>
      <c r="G1122" s="1">
        <v>20</v>
      </c>
      <c r="H1122" s="9"/>
      <c r="J1122" s="1">
        <v>2131.3314</v>
      </c>
      <c r="N1122" s="1" t="s">
        <v>10</v>
      </c>
      <c r="O1122" s="1">
        <v>8.1999999999999993</v>
      </c>
    </row>
    <row r="1123" spans="4:15" x14ac:dyDescent="0.3">
      <c r="D1123" s="1">
        <v>17543</v>
      </c>
      <c r="E1123" s="2">
        <v>43610</v>
      </c>
      <c r="F1123" s="1" t="s">
        <v>12</v>
      </c>
      <c r="G1123" s="1">
        <v>1</v>
      </c>
      <c r="H1123" s="9"/>
      <c r="J1123" s="1">
        <v>16.829999999999998</v>
      </c>
      <c r="N1123" s="1" t="s">
        <v>10</v>
      </c>
      <c r="O1123" s="1">
        <v>10.199999999999999</v>
      </c>
    </row>
    <row r="1124" spans="4:15" x14ac:dyDescent="0.3">
      <c r="D1124" s="1">
        <v>4706</v>
      </c>
      <c r="E1124" s="2">
        <v>43827</v>
      </c>
      <c r="F1124" s="1" t="s">
        <v>11</v>
      </c>
      <c r="G1124" s="1">
        <v>30</v>
      </c>
      <c r="H1124" s="9"/>
      <c r="J1124" s="1">
        <v>2264.87</v>
      </c>
      <c r="N1124" s="1" t="s">
        <v>10</v>
      </c>
      <c r="O1124" s="1">
        <v>21.4</v>
      </c>
    </row>
    <row r="1125" spans="4:15" x14ac:dyDescent="0.3">
      <c r="D1125" s="1">
        <v>13894</v>
      </c>
      <c r="E1125" s="2">
        <v>43565</v>
      </c>
      <c r="F1125" s="1" t="s">
        <v>14</v>
      </c>
      <c r="G1125" s="1">
        <v>31</v>
      </c>
      <c r="H1125" s="9"/>
      <c r="J1125" s="1">
        <v>95.42</v>
      </c>
      <c r="N1125" s="1" t="s">
        <v>10</v>
      </c>
      <c r="O1125" s="1">
        <v>0.9</v>
      </c>
    </row>
    <row r="1126" spans="4:15" x14ac:dyDescent="0.3">
      <c r="D1126" s="1">
        <v>6885</v>
      </c>
      <c r="E1126" s="2">
        <v>43635</v>
      </c>
      <c r="F1126" s="1" t="s">
        <v>7</v>
      </c>
      <c r="G1126" s="1">
        <v>40</v>
      </c>
      <c r="H1126" s="9"/>
      <c r="J1126" s="1">
        <v>941.11</v>
      </c>
      <c r="N1126" s="1" t="s">
        <v>10</v>
      </c>
      <c r="O1126" s="1">
        <v>6.7</v>
      </c>
    </row>
    <row r="1127" spans="4:15" x14ac:dyDescent="0.3">
      <c r="D1127" s="1">
        <v>19652</v>
      </c>
      <c r="E1127" s="2">
        <v>43618</v>
      </c>
      <c r="F1127" s="1" t="s">
        <v>12</v>
      </c>
      <c r="G1127" s="1">
        <v>34</v>
      </c>
      <c r="H1127" s="9"/>
      <c r="J1127" s="1">
        <v>1957.96</v>
      </c>
      <c r="N1127" s="1" t="s">
        <v>10</v>
      </c>
      <c r="O1127" s="1">
        <v>4.3</v>
      </c>
    </row>
    <row r="1128" spans="4:15" x14ac:dyDescent="0.3">
      <c r="D1128" s="1">
        <v>21028</v>
      </c>
      <c r="E1128" s="2">
        <v>43623</v>
      </c>
      <c r="F1128" s="1" t="s">
        <v>12</v>
      </c>
      <c r="G1128" s="1">
        <v>38</v>
      </c>
      <c r="H1128" s="9"/>
      <c r="J1128" s="1">
        <v>468.5102</v>
      </c>
      <c r="N1128" s="1" t="s">
        <v>10</v>
      </c>
      <c r="O1128" s="1">
        <v>7.5</v>
      </c>
    </row>
    <row r="1129" spans="4:15" x14ac:dyDescent="0.3">
      <c r="D1129" s="1">
        <v>47846</v>
      </c>
      <c r="E1129" s="2">
        <v>43688</v>
      </c>
      <c r="F1129" s="1" t="s">
        <v>9</v>
      </c>
      <c r="G1129" s="1">
        <v>5</v>
      </c>
      <c r="H1129" s="9"/>
      <c r="J1129" s="1">
        <v>71.08</v>
      </c>
      <c r="N1129" s="1" t="s">
        <v>10</v>
      </c>
      <c r="O1129" s="1">
        <v>14</v>
      </c>
    </row>
    <row r="1130" spans="4:15" x14ac:dyDescent="0.3">
      <c r="D1130" s="1">
        <v>38661</v>
      </c>
      <c r="E1130" s="2">
        <v>43507</v>
      </c>
      <c r="F1130" s="1" t="s">
        <v>9</v>
      </c>
      <c r="G1130" s="1">
        <v>6</v>
      </c>
      <c r="H1130" s="9"/>
      <c r="J1130" s="1">
        <v>182.3</v>
      </c>
      <c r="N1130" s="1" t="s">
        <v>10</v>
      </c>
      <c r="O1130" s="1">
        <v>1.1000000000000001</v>
      </c>
    </row>
    <row r="1131" spans="4:15" x14ac:dyDescent="0.3">
      <c r="D1131" s="1">
        <v>55458</v>
      </c>
      <c r="E1131" s="2">
        <v>43540</v>
      </c>
      <c r="F1131" s="1" t="s">
        <v>9</v>
      </c>
      <c r="G1131" s="1">
        <v>13</v>
      </c>
      <c r="H1131" s="9"/>
      <c r="J1131" s="1">
        <v>224.94</v>
      </c>
      <c r="N1131" s="1" t="s">
        <v>10</v>
      </c>
      <c r="O1131" s="1">
        <v>8.1999999999999993</v>
      </c>
    </row>
    <row r="1132" spans="4:15" x14ac:dyDescent="0.3">
      <c r="D1132" s="1">
        <v>50977</v>
      </c>
      <c r="E1132" s="2">
        <v>43627</v>
      </c>
      <c r="F1132" s="1" t="s">
        <v>7</v>
      </c>
      <c r="G1132" s="1">
        <v>1</v>
      </c>
      <c r="H1132" s="9"/>
      <c r="J1132" s="1">
        <v>36.479999999999997</v>
      </c>
      <c r="N1132" s="1" t="s">
        <v>8</v>
      </c>
      <c r="O1132" s="1">
        <v>9.6999999999999993</v>
      </c>
    </row>
    <row r="1133" spans="4:15" x14ac:dyDescent="0.3">
      <c r="D1133" s="1">
        <v>38178</v>
      </c>
      <c r="E1133" s="2">
        <v>43706</v>
      </c>
      <c r="F1133" s="1" t="s">
        <v>14</v>
      </c>
      <c r="G1133" s="1">
        <v>32</v>
      </c>
      <c r="H1133" s="9"/>
      <c r="J1133" s="1">
        <v>164.76</v>
      </c>
      <c r="N1133" s="1" t="s">
        <v>10</v>
      </c>
      <c r="O1133" s="1">
        <v>0.5</v>
      </c>
    </row>
    <row r="1134" spans="4:15" x14ac:dyDescent="0.3">
      <c r="D1134" s="1">
        <v>51107</v>
      </c>
      <c r="E1134" s="2">
        <v>43733</v>
      </c>
      <c r="F1134" s="1" t="s">
        <v>11</v>
      </c>
      <c r="G1134" s="1">
        <v>36</v>
      </c>
      <c r="H1134" s="9"/>
      <c r="J1134" s="1">
        <v>826.76</v>
      </c>
      <c r="N1134" s="1" t="s">
        <v>10</v>
      </c>
      <c r="O1134" s="1">
        <v>3.2</v>
      </c>
    </row>
    <row r="1135" spans="4:15" x14ac:dyDescent="0.3">
      <c r="D1135" s="1">
        <v>26919</v>
      </c>
      <c r="E1135" s="2">
        <v>43809</v>
      </c>
      <c r="F1135" s="1" t="s">
        <v>7</v>
      </c>
      <c r="G1135" s="1">
        <v>32</v>
      </c>
      <c r="H1135" s="9"/>
      <c r="J1135" s="1">
        <v>166.14</v>
      </c>
      <c r="N1135" s="1" t="s">
        <v>10</v>
      </c>
      <c r="O1135" s="1">
        <v>8.1</v>
      </c>
    </row>
    <row r="1136" spans="4:15" x14ac:dyDescent="0.3">
      <c r="D1136" s="1">
        <v>32100</v>
      </c>
      <c r="E1136" s="2">
        <v>43608</v>
      </c>
      <c r="F1136" s="1" t="s">
        <v>14</v>
      </c>
      <c r="G1136" s="1">
        <v>29</v>
      </c>
      <c r="H1136" s="9"/>
      <c r="J1136" s="1">
        <v>1181.58</v>
      </c>
      <c r="N1136" s="1" t="s">
        <v>10</v>
      </c>
      <c r="O1136" s="1">
        <v>2.1</v>
      </c>
    </row>
    <row r="1137" spans="4:15" x14ac:dyDescent="0.3">
      <c r="D1137" s="1">
        <v>50017</v>
      </c>
      <c r="E1137" s="2">
        <v>43789</v>
      </c>
      <c r="F1137" s="1" t="s">
        <v>7</v>
      </c>
      <c r="G1137" s="1">
        <v>24</v>
      </c>
      <c r="H1137" s="9"/>
      <c r="J1137" s="1">
        <v>2155.12</v>
      </c>
      <c r="N1137" s="1" t="s">
        <v>10</v>
      </c>
      <c r="O1137" s="1">
        <v>37.5</v>
      </c>
    </row>
    <row r="1138" spans="4:15" x14ac:dyDescent="0.3">
      <c r="D1138" s="1">
        <v>2209</v>
      </c>
      <c r="E1138" s="2">
        <v>43655</v>
      </c>
      <c r="F1138" s="1" t="s">
        <v>9</v>
      </c>
      <c r="G1138" s="1">
        <v>27</v>
      </c>
      <c r="H1138" s="9"/>
      <c r="J1138" s="1">
        <v>10078.040000000001</v>
      </c>
      <c r="N1138" s="1" t="s">
        <v>13</v>
      </c>
      <c r="O1138" s="1">
        <v>63.1</v>
      </c>
    </row>
    <row r="1139" spans="4:15" x14ac:dyDescent="0.3">
      <c r="D1139" s="1">
        <v>57798</v>
      </c>
      <c r="E1139" s="2">
        <v>43723</v>
      </c>
      <c r="F1139" s="1" t="s">
        <v>9</v>
      </c>
      <c r="G1139" s="1">
        <v>20</v>
      </c>
      <c r="H1139" s="9"/>
      <c r="J1139" s="1">
        <v>3264.37</v>
      </c>
      <c r="N1139" s="1" t="s">
        <v>13</v>
      </c>
      <c r="O1139" s="1">
        <v>38.6</v>
      </c>
    </row>
    <row r="1140" spans="4:15" x14ac:dyDescent="0.3">
      <c r="D1140" s="1">
        <v>47682</v>
      </c>
      <c r="E1140" s="2">
        <v>43785</v>
      </c>
      <c r="F1140" s="1" t="s">
        <v>11</v>
      </c>
      <c r="G1140" s="1">
        <v>38</v>
      </c>
      <c r="H1140" s="9"/>
      <c r="J1140" s="1">
        <v>3414.6268</v>
      </c>
      <c r="N1140" s="1" t="s">
        <v>10</v>
      </c>
      <c r="O1140" s="1">
        <v>5.4</v>
      </c>
    </row>
    <row r="1141" spans="4:15" x14ac:dyDescent="0.3">
      <c r="D1141" s="1">
        <v>20642</v>
      </c>
      <c r="E1141" s="2">
        <v>43604</v>
      </c>
      <c r="F1141" s="1" t="s">
        <v>9</v>
      </c>
      <c r="G1141" s="1">
        <v>47</v>
      </c>
      <c r="H1141" s="9"/>
      <c r="J1141" s="1">
        <v>1154.51</v>
      </c>
      <c r="N1141" s="1" t="s">
        <v>13</v>
      </c>
      <c r="O1141" s="1">
        <v>48.2</v>
      </c>
    </row>
    <row r="1142" spans="4:15" x14ac:dyDescent="0.3">
      <c r="D1142" s="1">
        <v>56453</v>
      </c>
      <c r="E1142" s="2">
        <v>43566</v>
      </c>
      <c r="F1142" s="1" t="s">
        <v>12</v>
      </c>
      <c r="G1142" s="1">
        <v>1</v>
      </c>
      <c r="H1142" s="9"/>
      <c r="J1142" s="1">
        <v>2919.66</v>
      </c>
      <c r="N1142" s="1" t="s">
        <v>13</v>
      </c>
      <c r="O1142" s="1">
        <v>31.8</v>
      </c>
    </row>
    <row r="1143" spans="4:15" x14ac:dyDescent="0.3">
      <c r="D1143" s="1">
        <v>59680</v>
      </c>
      <c r="E1143" s="2">
        <v>43634</v>
      </c>
      <c r="F1143" s="1" t="s">
        <v>12</v>
      </c>
      <c r="G1143" s="1">
        <v>15</v>
      </c>
      <c r="H1143" s="9"/>
      <c r="J1143" s="1">
        <v>19.010000000000002</v>
      </c>
      <c r="N1143" s="1" t="s">
        <v>10</v>
      </c>
      <c r="O1143" s="1">
        <v>3.2</v>
      </c>
    </row>
    <row r="1144" spans="4:15" x14ac:dyDescent="0.3">
      <c r="D1144" s="1">
        <v>15651</v>
      </c>
      <c r="E1144" s="2">
        <v>43742</v>
      </c>
      <c r="F1144" s="1" t="s">
        <v>12</v>
      </c>
      <c r="G1144" s="1">
        <v>14</v>
      </c>
      <c r="H1144" s="9"/>
      <c r="J1144" s="1">
        <v>1224.45</v>
      </c>
      <c r="N1144" s="1" t="s">
        <v>10</v>
      </c>
      <c r="O1144" s="1">
        <v>37.5</v>
      </c>
    </row>
    <row r="1145" spans="4:15" x14ac:dyDescent="0.3">
      <c r="D1145" s="1">
        <v>51559</v>
      </c>
      <c r="E1145" s="2">
        <v>43528</v>
      </c>
      <c r="F1145" s="1" t="s">
        <v>7</v>
      </c>
      <c r="G1145" s="1">
        <v>34</v>
      </c>
      <c r="H1145" s="9"/>
      <c r="J1145" s="1">
        <v>881.66</v>
      </c>
      <c r="N1145" s="1" t="s">
        <v>10</v>
      </c>
      <c r="O1145" s="1">
        <v>4.4000000000000004</v>
      </c>
    </row>
    <row r="1146" spans="4:15" x14ac:dyDescent="0.3">
      <c r="D1146" s="1">
        <v>19936</v>
      </c>
      <c r="E1146" s="2">
        <v>43782</v>
      </c>
      <c r="F1146" s="1" t="s">
        <v>12</v>
      </c>
      <c r="G1146" s="1">
        <v>41</v>
      </c>
      <c r="H1146" s="9"/>
      <c r="J1146" s="1">
        <v>1193.26</v>
      </c>
      <c r="N1146" s="1" t="s">
        <v>10</v>
      </c>
      <c r="O1146" s="1">
        <v>2.1</v>
      </c>
    </row>
    <row r="1147" spans="4:15" x14ac:dyDescent="0.3">
      <c r="D1147" s="1">
        <v>26407</v>
      </c>
      <c r="E1147" s="2">
        <v>43635</v>
      </c>
      <c r="F1147" s="1" t="s">
        <v>12</v>
      </c>
      <c r="G1147" s="1">
        <v>34</v>
      </c>
      <c r="H1147" s="9"/>
      <c r="J1147" s="1">
        <v>10188.67</v>
      </c>
      <c r="N1147" s="1" t="s">
        <v>10</v>
      </c>
      <c r="O1147" s="1">
        <v>37.5</v>
      </c>
    </row>
    <row r="1148" spans="4:15" x14ac:dyDescent="0.3">
      <c r="D1148" s="1">
        <v>34182</v>
      </c>
      <c r="E1148" s="2">
        <v>43755</v>
      </c>
      <c r="F1148" s="1" t="s">
        <v>12</v>
      </c>
      <c r="G1148" s="1">
        <v>31</v>
      </c>
      <c r="H1148" s="9"/>
      <c r="J1148" s="1">
        <v>359.88</v>
      </c>
      <c r="N1148" s="1" t="s">
        <v>10</v>
      </c>
      <c r="O1148" s="1">
        <v>8.5</v>
      </c>
    </row>
    <row r="1149" spans="4:15" x14ac:dyDescent="0.3">
      <c r="D1149" s="1">
        <v>54053</v>
      </c>
      <c r="E1149" s="2">
        <v>43509</v>
      </c>
      <c r="F1149" s="1" t="s">
        <v>9</v>
      </c>
      <c r="G1149" s="1">
        <v>34</v>
      </c>
      <c r="H1149" s="9"/>
      <c r="J1149" s="1">
        <v>6028.76</v>
      </c>
      <c r="N1149" s="1" t="s">
        <v>10</v>
      </c>
      <c r="O1149" s="1">
        <v>8.6</v>
      </c>
    </row>
    <row r="1150" spans="4:15" x14ac:dyDescent="0.3">
      <c r="D1150" s="1">
        <v>52320</v>
      </c>
      <c r="E1150" s="2">
        <v>43732</v>
      </c>
      <c r="F1150" s="1" t="s">
        <v>7</v>
      </c>
      <c r="G1150" s="1">
        <v>41</v>
      </c>
      <c r="H1150" s="9"/>
      <c r="J1150" s="1">
        <v>120.48</v>
      </c>
      <c r="N1150" s="1" t="s">
        <v>10</v>
      </c>
      <c r="O1150" s="1">
        <v>1.1000000000000001</v>
      </c>
    </row>
    <row r="1151" spans="4:15" x14ac:dyDescent="0.3">
      <c r="D1151" s="1">
        <v>24613</v>
      </c>
      <c r="E1151" s="2">
        <v>43662</v>
      </c>
      <c r="F1151" s="1" t="s">
        <v>7</v>
      </c>
      <c r="G1151" s="1">
        <v>16</v>
      </c>
      <c r="H1151" s="9"/>
      <c r="J1151" s="1">
        <v>10374.549999999999</v>
      </c>
      <c r="N1151" s="1" t="s">
        <v>10</v>
      </c>
      <c r="O1151" s="1">
        <v>26.2</v>
      </c>
    </row>
    <row r="1152" spans="4:15" x14ac:dyDescent="0.3">
      <c r="D1152" s="1">
        <v>42944</v>
      </c>
      <c r="E1152" s="2">
        <v>43787</v>
      </c>
      <c r="F1152" s="1" t="s">
        <v>12</v>
      </c>
      <c r="G1152" s="1">
        <v>43</v>
      </c>
      <c r="H1152" s="9"/>
      <c r="J1152" s="1">
        <v>10433.09</v>
      </c>
      <c r="N1152" s="1" t="s">
        <v>13</v>
      </c>
      <c r="O1152" s="1">
        <v>68.7</v>
      </c>
    </row>
    <row r="1153" spans="4:15" x14ac:dyDescent="0.3">
      <c r="D1153" s="1">
        <v>57638</v>
      </c>
      <c r="E1153" s="2">
        <v>43577</v>
      </c>
      <c r="F1153" s="1" t="s">
        <v>7</v>
      </c>
      <c r="G1153" s="1">
        <v>49</v>
      </c>
      <c r="H1153" s="9"/>
      <c r="J1153" s="1">
        <v>107.09</v>
      </c>
      <c r="N1153" s="1" t="s">
        <v>10</v>
      </c>
      <c r="O1153" s="1">
        <v>2.7</v>
      </c>
    </row>
    <row r="1154" spans="4:15" x14ac:dyDescent="0.3">
      <c r="D1154" s="1">
        <v>14210</v>
      </c>
      <c r="E1154" s="2">
        <v>43642</v>
      </c>
      <c r="F1154" s="1" t="s">
        <v>11</v>
      </c>
      <c r="G1154" s="1">
        <v>19</v>
      </c>
      <c r="H1154" s="9"/>
      <c r="J1154" s="1">
        <v>724.17</v>
      </c>
      <c r="N1154" s="1" t="s">
        <v>10</v>
      </c>
      <c r="O1154" s="1">
        <v>2.1</v>
      </c>
    </row>
    <row r="1155" spans="4:15" x14ac:dyDescent="0.3">
      <c r="D1155" s="1">
        <v>55655</v>
      </c>
      <c r="E1155" s="2">
        <v>43732</v>
      </c>
      <c r="F1155" s="1" t="s">
        <v>7</v>
      </c>
      <c r="G1155" s="1">
        <v>33</v>
      </c>
      <c r="H1155" s="9"/>
      <c r="J1155" s="1">
        <v>3928.12</v>
      </c>
      <c r="N1155" s="1" t="s">
        <v>10</v>
      </c>
      <c r="O1155" s="1">
        <v>9.6</v>
      </c>
    </row>
    <row r="1156" spans="4:15" x14ac:dyDescent="0.3">
      <c r="D1156" s="1">
        <v>6535</v>
      </c>
      <c r="E1156" s="2">
        <v>43628</v>
      </c>
      <c r="F1156" s="1" t="s">
        <v>12</v>
      </c>
      <c r="G1156" s="1">
        <v>11</v>
      </c>
      <c r="H1156" s="9"/>
      <c r="J1156" s="1">
        <v>334.23</v>
      </c>
      <c r="N1156" s="1" t="s">
        <v>8</v>
      </c>
      <c r="O1156" s="1">
        <v>9.6</v>
      </c>
    </row>
    <row r="1157" spans="4:15" x14ac:dyDescent="0.3">
      <c r="D1157" s="1">
        <v>49953</v>
      </c>
      <c r="E1157" s="2">
        <v>43541</v>
      </c>
      <c r="F1157" s="1" t="s">
        <v>11</v>
      </c>
      <c r="G1157" s="1">
        <v>36</v>
      </c>
      <c r="H1157" s="9"/>
      <c r="J1157" s="1">
        <v>259.08</v>
      </c>
      <c r="N1157" s="1" t="s">
        <v>8</v>
      </c>
      <c r="O1157" s="1">
        <v>7.1</v>
      </c>
    </row>
    <row r="1158" spans="4:15" x14ac:dyDescent="0.3">
      <c r="D1158" s="1">
        <v>43460</v>
      </c>
      <c r="E1158" s="2">
        <v>43627</v>
      </c>
      <c r="F1158" s="1" t="s">
        <v>14</v>
      </c>
      <c r="G1158" s="1">
        <v>2</v>
      </c>
      <c r="H1158" s="9"/>
      <c r="J1158" s="1">
        <v>26.85</v>
      </c>
      <c r="N1158" s="1" t="s">
        <v>10</v>
      </c>
      <c r="O1158" s="1">
        <v>9.6</v>
      </c>
    </row>
    <row r="1159" spans="4:15" x14ac:dyDescent="0.3">
      <c r="D1159" s="1">
        <v>36832</v>
      </c>
      <c r="E1159" s="2">
        <v>43617</v>
      </c>
      <c r="F1159" s="1" t="s">
        <v>7</v>
      </c>
      <c r="G1159" s="1">
        <v>43</v>
      </c>
      <c r="H1159" s="9"/>
      <c r="J1159" s="1">
        <v>570.19000000000005</v>
      </c>
      <c r="N1159" s="1" t="s">
        <v>10</v>
      </c>
      <c r="O1159" s="1">
        <v>1.6</v>
      </c>
    </row>
    <row r="1160" spans="4:15" x14ac:dyDescent="0.3">
      <c r="D1160" s="1">
        <v>43203</v>
      </c>
      <c r="E1160" s="2">
        <v>43509</v>
      </c>
      <c r="F1160" s="1" t="s">
        <v>11</v>
      </c>
      <c r="G1160" s="1">
        <v>32</v>
      </c>
      <c r="H1160" s="9"/>
      <c r="J1160" s="1">
        <v>240.92</v>
      </c>
      <c r="N1160" s="1" t="s">
        <v>10</v>
      </c>
      <c r="O1160" s="1">
        <v>5.6</v>
      </c>
    </row>
    <row r="1161" spans="4:15" x14ac:dyDescent="0.3">
      <c r="D1161" s="1">
        <v>32325</v>
      </c>
      <c r="E1161" s="2">
        <v>43770</v>
      </c>
      <c r="F1161" s="1" t="s">
        <v>12</v>
      </c>
      <c r="G1161" s="1">
        <v>45</v>
      </c>
      <c r="H1161" s="9"/>
      <c r="J1161" s="1">
        <v>1180.99</v>
      </c>
      <c r="N1161" s="1" t="s">
        <v>10</v>
      </c>
      <c r="O1161" s="1">
        <v>8.1</v>
      </c>
    </row>
    <row r="1162" spans="4:15" x14ac:dyDescent="0.3">
      <c r="D1162" s="1">
        <v>22465</v>
      </c>
      <c r="E1162" s="2">
        <v>43667</v>
      </c>
      <c r="F1162" s="1" t="s">
        <v>11</v>
      </c>
      <c r="G1162" s="1">
        <v>4</v>
      </c>
      <c r="H1162" s="9"/>
      <c r="J1162" s="1">
        <v>1200.3</v>
      </c>
      <c r="N1162" s="1" t="s">
        <v>13</v>
      </c>
      <c r="O1162" s="1">
        <v>53.5</v>
      </c>
    </row>
    <row r="1163" spans="4:15" x14ac:dyDescent="0.3">
      <c r="D1163" s="1">
        <v>5095</v>
      </c>
      <c r="E1163" s="2">
        <v>43576</v>
      </c>
      <c r="F1163" s="1" t="s">
        <v>9</v>
      </c>
      <c r="G1163" s="1">
        <v>7</v>
      </c>
      <c r="H1163" s="9"/>
      <c r="J1163" s="1">
        <v>841.74</v>
      </c>
      <c r="N1163" s="1" t="s">
        <v>10</v>
      </c>
      <c r="O1163" s="1">
        <v>9.4</v>
      </c>
    </row>
    <row r="1164" spans="4:15" x14ac:dyDescent="0.3">
      <c r="D1164" s="1">
        <v>21634</v>
      </c>
      <c r="E1164" s="2">
        <v>43766</v>
      </c>
      <c r="F1164" s="1" t="s">
        <v>11</v>
      </c>
      <c r="G1164" s="1">
        <v>8</v>
      </c>
      <c r="H1164" s="9"/>
      <c r="J1164" s="1">
        <v>1724.5510999999999</v>
      </c>
      <c r="N1164" s="1" t="s">
        <v>13</v>
      </c>
      <c r="O1164" s="1">
        <v>72.8</v>
      </c>
    </row>
    <row r="1165" spans="4:15" x14ac:dyDescent="0.3">
      <c r="D1165" s="1">
        <v>38848</v>
      </c>
      <c r="E1165" s="2">
        <v>43815</v>
      </c>
      <c r="F1165" s="1" t="s">
        <v>9</v>
      </c>
      <c r="G1165" s="1">
        <v>6</v>
      </c>
      <c r="H1165" s="9"/>
      <c r="J1165" s="1">
        <v>277.69</v>
      </c>
      <c r="N1165" s="1" t="s">
        <v>10</v>
      </c>
      <c r="O1165" s="1">
        <v>3.2</v>
      </c>
    </row>
    <row r="1166" spans="4:15" x14ac:dyDescent="0.3">
      <c r="D1166" s="1">
        <v>15399</v>
      </c>
      <c r="E1166" s="2">
        <v>43598</v>
      </c>
      <c r="F1166" s="1" t="s">
        <v>12</v>
      </c>
      <c r="G1166" s="1">
        <v>46</v>
      </c>
      <c r="H1166" s="9"/>
      <c r="J1166" s="1">
        <v>2690.53</v>
      </c>
      <c r="N1166" s="1" t="s">
        <v>8</v>
      </c>
      <c r="O1166" s="1">
        <v>5.3</v>
      </c>
    </row>
    <row r="1167" spans="4:15" x14ac:dyDescent="0.3">
      <c r="D1167" s="1">
        <v>37253</v>
      </c>
      <c r="E1167" s="2">
        <v>43709</v>
      </c>
      <c r="F1167" s="1" t="s">
        <v>9</v>
      </c>
      <c r="G1167" s="1">
        <v>46</v>
      </c>
      <c r="H1167" s="9"/>
      <c r="J1167" s="1">
        <v>1267.22</v>
      </c>
      <c r="N1167" s="1" t="s">
        <v>10</v>
      </c>
      <c r="O1167" s="1">
        <v>6.3</v>
      </c>
    </row>
    <row r="1168" spans="4:15" x14ac:dyDescent="0.3">
      <c r="D1168" s="1">
        <v>21729</v>
      </c>
      <c r="E1168" s="2">
        <v>43805</v>
      </c>
      <c r="F1168" s="1" t="s">
        <v>7</v>
      </c>
      <c r="G1168" s="1">
        <v>28</v>
      </c>
      <c r="H1168" s="9"/>
      <c r="J1168" s="1">
        <v>129.44999999999999</v>
      </c>
      <c r="N1168" s="1" t="s">
        <v>10</v>
      </c>
      <c r="O1168" s="1">
        <v>5.7</v>
      </c>
    </row>
    <row r="1169" spans="4:15" x14ac:dyDescent="0.3">
      <c r="D1169" s="1">
        <v>32966</v>
      </c>
      <c r="E1169" s="2">
        <v>43490</v>
      </c>
      <c r="F1169" s="1" t="s">
        <v>7</v>
      </c>
      <c r="G1169" s="1">
        <v>4</v>
      </c>
      <c r="H1169" s="9"/>
      <c r="J1169" s="1">
        <v>1107.664</v>
      </c>
      <c r="N1169" s="1" t="s">
        <v>13</v>
      </c>
      <c r="O1169" s="1">
        <v>30</v>
      </c>
    </row>
    <row r="1170" spans="4:15" x14ac:dyDescent="0.3">
      <c r="D1170" s="1">
        <v>51424</v>
      </c>
      <c r="E1170" s="2">
        <v>43473</v>
      </c>
      <c r="F1170" s="1" t="s">
        <v>11</v>
      </c>
      <c r="G1170" s="1">
        <v>5</v>
      </c>
      <c r="H1170" s="9"/>
      <c r="J1170" s="1">
        <v>95.165800000000004</v>
      </c>
      <c r="N1170" s="1" t="s">
        <v>10</v>
      </c>
      <c r="O1170" s="1">
        <v>7.5</v>
      </c>
    </row>
    <row r="1171" spans="4:15" x14ac:dyDescent="0.3">
      <c r="D1171" s="1">
        <v>8803</v>
      </c>
      <c r="E1171" s="2">
        <v>43819</v>
      </c>
      <c r="F1171" s="1" t="s">
        <v>11</v>
      </c>
      <c r="G1171" s="1">
        <v>17</v>
      </c>
      <c r="H1171" s="9"/>
      <c r="J1171" s="1">
        <v>550.21540000000005</v>
      </c>
      <c r="N1171" s="1" t="s">
        <v>10</v>
      </c>
      <c r="O1171" s="1">
        <v>3.2</v>
      </c>
    </row>
    <row r="1172" spans="4:15" x14ac:dyDescent="0.3">
      <c r="D1172" s="1">
        <v>43713</v>
      </c>
      <c r="E1172" s="2">
        <v>43715</v>
      </c>
      <c r="F1172" s="1" t="s">
        <v>14</v>
      </c>
      <c r="G1172" s="1">
        <v>12</v>
      </c>
      <c r="H1172" s="9"/>
      <c r="J1172" s="1">
        <v>36.8187</v>
      </c>
      <c r="N1172" s="1" t="s">
        <v>10</v>
      </c>
      <c r="O1172" s="1">
        <v>2.6</v>
      </c>
    </row>
    <row r="1173" spans="4:15" x14ac:dyDescent="0.3">
      <c r="D1173" s="1">
        <v>14851</v>
      </c>
      <c r="E1173" s="2">
        <v>43596</v>
      </c>
      <c r="F1173" s="1" t="s">
        <v>11</v>
      </c>
      <c r="G1173" s="1">
        <v>6</v>
      </c>
      <c r="H1173" s="9"/>
      <c r="J1173" s="1">
        <v>3614.65</v>
      </c>
      <c r="N1173" s="1" t="s">
        <v>10</v>
      </c>
      <c r="O1173" s="1">
        <v>26.2</v>
      </c>
    </row>
    <row r="1174" spans="4:15" x14ac:dyDescent="0.3">
      <c r="D1174" s="1">
        <v>8034</v>
      </c>
      <c r="E1174" s="2">
        <v>43483</v>
      </c>
      <c r="F1174" s="1" t="s">
        <v>9</v>
      </c>
      <c r="G1174" s="1">
        <v>31</v>
      </c>
      <c r="H1174" s="9"/>
      <c r="J1174" s="1">
        <v>379.26</v>
      </c>
      <c r="N1174" s="1" t="s">
        <v>10</v>
      </c>
      <c r="O1174" s="1">
        <v>4.3</v>
      </c>
    </row>
    <row r="1175" spans="4:15" x14ac:dyDescent="0.3">
      <c r="D1175" s="1">
        <v>3521</v>
      </c>
      <c r="E1175" s="2">
        <v>43763</v>
      </c>
      <c r="F1175" s="1" t="s">
        <v>7</v>
      </c>
      <c r="G1175" s="1">
        <v>50</v>
      </c>
      <c r="H1175" s="9"/>
      <c r="J1175" s="1">
        <v>218.4</v>
      </c>
      <c r="N1175" s="1" t="s">
        <v>10</v>
      </c>
      <c r="O1175" s="1">
        <v>1</v>
      </c>
    </row>
    <row r="1176" spans="4:15" x14ac:dyDescent="0.3">
      <c r="D1176" s="1">
        <v>40839</v>
      </c>
      <c r="E1176" s="2">
        <v>43555</v>
      </c>
      <c r="F1176" s="1" t="s">
        <v>14</v>
      </c>
      <c r="G1176" s="1">
        <v>23</v>
      </c>
      <c r="H1176" s="9"/>
      <c r="J1176" s="1">
        <v>2923.25</v>
      </c>
      <c r="N1176" s="1" t="s">
        <v>13</v>
      </c>
      <c r="O1176" s="1">
        <v>60.1</v>
      </c>
    </row>
    <row r="1177" spans="4:15" x14ac:dyDescent="0.3">
      <c r="D1177" s="1">
        <v>44071</v>
      </c>
      <c r="E1177" s="2">
        <v>43570</v>
      </c>
      <c r="F1177" s="1" t="s">
        <v>11</v>
      </c>
      <c r="G1177" s="1">
        <v>20</v>
      </c>
      <c r="H1177" s="9"/>
      <c r="J1177" s="1">
        <v>1244.54</v>
      </c>
      <c r="N1177" s="1" t="s">
        <v>10</v>
      </c>
      <c r="O1177" s="1">
        <v>9.6</v>
      </c>
    </row>
    <row r="1178" spans="4:15" x14ac:dyDescent="0.3">
      <c r="D1178" s="1">
        <v>59683</v>
      </c>
      <c r="E1178" s="2">
        <v>43751</v>
      </c>
      <c r="F1178" s="1" t="s">
        <v>11</v>
      </c>
      <c r="G1178" s="1">
        <v>37</v>
      </c>
      <c r="H1178" s="9"/>
      <c r="J1178" s="1">
        <v>204.7552</v>
      </c>
      <c r="N1178" s="1" t="s">
        <v>10</v>
      </c>
      <c r="O1178" s="1">
        <v>5.3</v>
      </c>
    </row>
    <row r="1179" spans="4:15" x14ac:dyDescent="0.3">
      <c r="D1179" s="1">
        <v>17698</v>
      </c>
      <c r="E1179" s="2">
        <v>43598</v>
      </c>
      <c r="F1179" s="1" t="s">
        <v>9</v>
      </c>
      <c r="G1179" s="1">
        <v>43</v>
      </c>
      <c r="H1179" s="9"/>
      <c r="J1179" s="1">
        <v>2015.69</v>
      </c>
      <c r="N1179" s="1" t="s">
        <v>10</v>
      </c>
      <c r="O1179" s="1">
        <v>3.7</v>
      </c>
    </row>
    <row r="1180" spans="4:15" x14ac:dyDescent="0.3">
      <c r="D1180" s="1">
        <v>40901</v>
      </c>
      <c r="E1180" s="2">
        <v>43675</v>
      </c>
      <c r="F1180" s="1" t="s">
        <v>14</v>
      </c>
      <c r="G1180" s="1">
        <v>22</v>
      </c>
      <c r="H1180" s="9"/>
      <c r="J1180" s="1">
        <v>3317.12</v>
      </c>
      <c r="N1180" s="1" t="s">
        <v>8</v>
      </c>
      <c r="O1180" s="1">
        <v>8.6</v>
      </c>
    </row>
    <row r="1181" spans="4:15" x14ac:dyDescent="0.3">
      <c r="D1181" s="1">
        <v>30343</v>
      </c>
      <c r="E1181" s="2">
        <v>43606</v>
      </c>
      <c r="F1181" s="1" t="s">
        <v>12</v>
      </c>
      <c r="G1181" s="1">
        <v>8</v>
      </c>
      <c r="H1181" s="9"/>
      <c r="J1181" s="1">
        <v>44237.23</v>
      </c>
      <c r="N1181" s="1" t="s">
        <v>10</v>
      </c>
      <c r="O1181" s="1">
        <v>26.2</v>
      </c>
    </row>
    <row r="1182" spans="4:15" x14ac:dyDescent="0.3">
      <c r="D1182" s="1">
        <v>30051</v>
      </c>
      <c r="E1182" s="2">
        <v>43544</v>
      </c>
      <c r="F1182" s="1" t="s">
        <v>11</v>
      </c>
      <c r="G1182" s="1">
        <v>42</v>
      </c>
      <c r="H1182" s="9"/>
      <c r="J1182" s="1">
        <v>260.07</v>
      </c>
      <c r="N1182" s="1" t="s">
        <v>10</v>
      </c>
      <c r="O1182" s="1">
        <v>2.4</v>
      </c>
    </row>
    <row r="1183" spans="4:15" x14ac:dyDescent="0.3">
      <c r="D1183" s="1">
        <v>27392</v>
      </c>
      <c r="E1183" s="2">
        <v>43526</v>
      </c>
      <c r="F1183" s="1" t="s">
        <v>7</v>
      </c>
      <c r="G1183" s="1">
        <v>37</v>
      </c>
      <c r="H1183" s="9"/>
      <c r="J1183" s="1">
        <v>6156.62</v>
      </c>
      <c r="N1183" s="1" t="s">
        <v>10</v>
      </c>
      <c r="O1183" s="1">
        <v>15</v>
      </c>
    </row>
    <row r="1184" spans="4:15" x14ac:dyDescent="0.3">
      <c r="D1184" s="1">
        <v>4581</v>
      </c>
      <c r="E1184" s="2">
        <v>43711</v>
      </c>
      <c r="F1184" s="1" t="s">
        <v>11</v>
      </c>
      <c r="G1184" s="1">
        <v>25</v>
      </c>
      <c r="H1184" s="9"/>
      <c r="J1184" s="1">
        <v>2488.1994</v>
      </c>
      <c r="N1184" s="1" t="s">
        <v>10</v>
      </c>
      <c r="O1184" s="1">
        <v>21.4</v>
      </c>
    </row>
    <row r="1185" spans="4:15" x14ac:dyDescent="0.3">
      <c r="D1185" s="1">
        <v>55618</v>
      </c>
      <c r="E1185" s="2">
        <v>43485</v>
      </c>
      <c r="F1185" s="1" t="s">
        <v>14</v>
      </c>
      <c r="G1185" s="1">
        <v>48</v>
      </c>
      <c r="H1185" s="9"/>
      <c r="J1185" s="1">
        <v>1598.83</v>
      </c>
      <c r="N1185" s="1" t="s">
        <v>10</v>
      </c>
      <c r="O1185" s="1">
        <v>1.3</v>
      </c>
    </row>
    <row r="1186" spans="4:15" x14ac:dyDescent="0.3">
      <c r="D1186" s="1">
        <v>18464</v>
      </c>
      <c r="E1186" s="2">
        <v>43552</v>
      </c>
      <c r="F1186" s="1" t="s">
        <v>9</v>
      </c>
      <c r="G1186" s="1">
        <v>31</v>
      </c>
      <c r="H1186" s="9"/>
      <c r="J1186" s="1">
        <v>220.94</v>
      </c>
      <c r="N1186" s="1" t="s">
        <v>10</v>
      </c>
      <c r="O1186" s="1">
        <v>1.4</v>
      </c>
    </row>
    <row r="1187" spans="4:15" x14ac:dyDescent="0.3">
      <c r="D1187" s="1">
        <v>3202</v>
      </c>
      <c r="E1187" s="2">
        <v>43822</v>
      </c>
      <c r="F1187" s="1" t="s">
        <v>7</v>
      </c>
      <c r="G1187" s="1">
        <v>10</v>
      </c>
      <c r="H1187" s="9"/>
      <c r="J1187" s="1">
        <v>593</v>
      </c>
      <c r="N1187" s="1" t="s">
        <v>10</v>
      </c>
      <c r="O1187" s="1">
        <v>5.9</v>
      </c>
    </row>
    <row r="1188" spans="4:15" x14ac:dyDescent="0.3">
      <c r="D1188" s="1">
        <v>30597</v>
      </c>
      <c r="E1188" s="2">
        <v>43682</v>
      </c>
      <c r="F1188" s="1" t="s">
        <v>9</v>
      </c>
      <c r="G1188" s="1">
        <v>42</v>
      </c>
      <c r="H1188" s="9"/>
      <c r="J1188" s="1">
        <v>684.62879999999996</v>
      </c>
      <c r="N1188" s="1" t="s">
        <v>10</v>
      </c>
      <c r="O1188" s="1">
        <v>4.8</v>
      </c>
    </row>
    <row r="1189" spans="4:15" x14ac:dyDescent="0.3">
      <c r="D1189" s="1">
        <v>44486</v>
      </c>
      <c r="E1189" s="2">
        <v>43655</v>
      </c>
      <c r="F1189" s="1" t="s">
        <v>12</v>
      </c>
      <c r="G1189" s="1">
        <v>36</v>
      </c>
      <c r="H1189" s="9"/>
      <c r="J1189" s="1">
        <v>211.97</v>
      </c>
      <c r="N1189" s="1" t="s">
        <v>10</v>
      </c>
      <c r="O1189" s="1">
        <v>5.3</v>
      </c>
    </row>
    <row r="1190" spans="4:15" x14ac:dyDescent="0.3">
      <c r="D1190" s="1">
        <v>53477</v>
      </c>
      <c r="E1190" s="2">
        <v>43590</v>
      </c>
      <c r="F1190" s="1" t="s">
        <v>9</v>
      </c>
      <c r="G1190" s="1">
        <v>28</v>
      </c>
      <c r="H1190" s="9"/>
      <c r="J1190" s="1">
        <v>4792.7012000000004</v>
      </c>
      <c r="N1190" s="1" t="s">
        <v>10</v>
      </c>
      <c r="O1190" s="1">
        <v>21.4</v>
      </c>
    </row>
    <row r="1191" spans="4:15" x14ac:dyDescent="0.3">
      <c r="D1191" s="1">
        <v>49351</v>
      </c>
      <c r="E1191" s="2">
        <v>43554</v>
      </c>
      <c r="F1191" s="1" t="s">
        <v>7</v>
      </c>
      <c r="G1191" s="1">
        <v>27</v>
      </c>
      <c r="H1191" s="9"/>
      <c r="J1191" s="1">
        <v>117.61</v>
      </c>
      <c r="N1191" s="1" t="s">
        <v>10</v>
      </c>
      <c r="O1191" s="1">
        <v>0.9</v>
      </c>
    </row>
    <row r="1192" spans="4:15" x14ac:dyDescent="0.3">
      <c r="D1192" s="1">
        <v>34406</v>
      </c>
      <c r="E1192" s="2">
        <v>43736</v>
      </c>
      <c r="F1192" s="1" t="s">
        <v>14</v>
      </c>
      <c r="G1192" s="1">
        <v>29</v>
      </c>
      <c r="H1192" s="9"/>
      <c r="J1192" s="1">
        <v>152.57</v>
      </c>
      <c r="N1192" s="1" t="s">
        <v>10</v>
      </c>
      <c r="O1192" s="1">
        <v>0.7</v>
      </c>
    </row>
    <row r="1193" spans="4:15" x14ac:dyDescent="0.3">
      <c r="D1193" s="1">
        <v>54339</v>
      </c>
      <c r="E1193" s="2">
        <v>43587</v>
      </c>
      <c r="F1193" s="1" t="s">
        <v>7</v>
      </c>
      <c r="G1193" s="1">
        <v>48</v>
      </c>
      <c r="H1193" s="9"/>
      <c r="J1193" s="1">
        <v>3216.14</v>
      </c>
      <c r="N1193" s="1" t="s">
        <v>8</v>
      </c>
      <c r="O1193" s="1">
        <v>4.3</v>
      </c>
    </row>
    <row r="1194" spans="4:15" x14ac:dyDescent="0.3">
      <c r="D1194" s="1">
        <v>43874</v>
      </c>
      <c r="E1194" s="2">
        <v>43626</v>
      </c>
      <c r="F1194" s="1" t="s">
        <v>9</v>
      </c>
      <c r="G1194" s="1">
        <v>46</v>
      </c>
      <c r="H1194" s="9"/>
      <c r="J1194" s="1">
        <v>164.01</v>
      </c>
      <c r="N1194" s="1" t="s">
        <v>10</v>
      </c>
      <c r="O1194" s="1">
        <v>5.4</v>
      </c>
    </row>
    <row r="1195" spans="4:15" x14ac:dyDescent="0.3">
      <c r="D1195" s="1">
        <v>57280</v>
      </c>
      <c r="E1195" s="2">
        <v>43495</v>
      </c>
      <c r="F1195" s="1" t="s">
        <v>14</v>
      </c>
      <c r="G1195" s="1">
        <v>44</v>
      </c>
      <c r="H1195" s="9"/>
      <c r="J1195" s="1">
        <v>320.83999999999997</v>
      </c>
      <c r="N1195" s="1" t="s">
        <v>8</v>
      </c>
      <c r="O1195" s="1">
        <v>10.8</v>
      </c>
    </row>
    <row r="1196" spans="4:15" x14ac:dyDescent="0.3">
      <c r="D1196" s="1">
        <v>17091</v>
      </c>
      <c r="E1196" s="2">
        <v>43667</v>
      </c>
      <c r="F1196" s="1" t="s">
        <v>14</v>
      </c>
      <c r="G1196" s="1">
        <v>45</v>
      </c>
      <c r="H1196" s="9"/>
      <c r="J1196" s="1">
        <v>2786.6170999999999</v>
      </c>
      <c r="N1196" s="1" t="s">
        <v>10</v>
      </c>
      <c r="O1196" s="1">
        <v>5.6</v>
      </c>
    </row>
    <row r="1197" spans="4:15" x14ac:dyDescent="0.3">
      <c r="D1197" s="1">
        <v>13507</v>
      </c>
      <c r="E1197" s="2">
        <v>43828</v>
      </c>
      <c r="F1197" s="1" t="s">
        <v>14</v>
      </c>
      <c r="G1197" s="1">
        <v>27</v>
      </c>
      <c r="H1197" s="9"/>
      <c r="J1197" s="1">
        <v>188.43</v>
      </c>
      <c r="N1197" s="1" t="s">
        <v>10</v>
      </c>
      <c r="O1197" s="1">
        <v>6.6</v>
      </c>
    </row>
    <row r="1198" spans="4:15" x14ac:dyDescent="0.3">
      <c r="D1198" s="1">
        <v>53378</v>
      </c>
      <c r="E1198" s="2">
        <v>43659</v>
      </c>
      <c r="F1198" s="1" t="s">
        <v>14</v>
      </c>
      <c r="G1198" s="1">
        <v>38</v>
      </c>
      <c r="H1198" s="9"/>
      <c r="J1198" s="1">
        <v>1320.12</v>
      </c>
      <c r="N1198" s="1" t="s">
        <v>10</v>
      </c>
      <c r="O1198" s="1">
        <v>21.4</v>
      </c>
    </row>
    <row r="1199" spans="4:15" x14ac:dyDescent="0.3">
      <c r="D1199" s="1">
        <v>59969</v>
      </c>
      <c r="E1199" s="2">
        <v>43475</v>
      </c>
      <c r="F1199" s="1" t="s">
        <v>9</v>
      </c>
      <c r="G1199" s="1">
        <v>42</v>
      </c>
      <c r="H1199" s="9"/>
      <c r="J1199" s="1">
        <v>468.37</v>
      </c>
      <c r="N1199" s="1" t="s">
        <v>10</v>
      </c>
      <c r="O1199" s="1">
        <v>1.5</v>
      </c>
    </row>
    <row r="1200" spans="4:15" x14ac:dyDescent="0.3">
      <c r="D1200" s="1">
        <v>28387</v>
      </c>
      <c r="E1200" s="2">
        <v>43645</v>
      </c>
      <c r="F1200" s="1" t="s">
        <v>11</v>
      </c>
      <c r="G1200" s="1">
        <v>13</v>
      </c>
      <c r="H1200" s="9"/>
      <c r="J1200" s="1">
        <v>313.45999999999998</v>
      </c>
      <c r="N1200" s="1" t="s">
        <v>10</v>
      </c>
      <c r="O1200" s="1">
        <v>5.9</v>
      </c>
    </row>
    <row r="1201" spans="4:15" x14ac:dyDescent="0.3">
      <c r="D1201" s="1">
        <v>549</v>
      </c>
      <c r="E1201" s="2">
        <v>43658</v>
      </c>
      <c r="F1201" s="1" t="s">
        <v>12</v>
      </c>
      <c r="G1201" s="1">
        <v>5</v>
      </c>
      <c r="H1201" s="9"/>
      <c r="J1201" s="1">
        <v>43.6</v>
      </c>
      <c r="N1201" s="1" t="s">
        <v>10</v>
      </c>
      <c r="O1201" s="1">
        <v>9.4</v>
      </c>
    </row>
    <row r="1202" spans="4:15" x14ac:dyDescent="0.3">
      <c r="D1202" s="1">
        <v>32902</v>
      </c>
      <c r="E1202" s="2">
        <v>43527</v>
      </c>
      <c r="F1202" s="1" t="s">
        <v>9</v>
      </c>
      <c r="G1202" s="1">
        <v>34</v>
      </c>
      <c r="H1202" s="9"/>
      <c r="J1202" s="1">
        <v>155.66</v>
      </c>
      <c r="N1202" s="1" t="s">
        <v>8</v>
      </c>
      <c r="O1202" s="1">
        <v>1.3</v>
      </c>
    </row>
    <row r="1203" spans="4:15" x14ac:dyDescent="0.3">
      <c r="D1203" s="1">
        <v>51940</v>
      </c>
      <c r="E1203" s="2">
        <v>43755</v>
      </c>
      <c r="F1203" s="1" t="s">
        <v>9</v>
      </c>
      <c r="G1203" s="1">
        <v>11</v>
      </c>
      <c r="H1203" s="9"/>
      <c r="J1203" s="1">
        <v>70.09</v>
      </c>
      <c r="N1203" s="1" t="s">
        <v>10</v>
      </c>
      <c r="O1203" s="1">
        <v>4.7</v>
      </c>
    </row>
    <row r="1204" spans="4:15" x14ac:dyDescent="0.3">
      <c r="D1204" s="1">
        <v>31874</v>
      </c>
      <c r="E1204" s="2">
        <v>43723</v>
      </c>
      <c r="F1204" s="1" t="s">
        <v>9</v>
      </c>
      <c r="G1204" s="1">
        <v>39</v>
      </c>
      <c r="H1204" s="9"/>
      <c r="J1204" s="1">
        <v>14171.12</v>
      </c>
      <c r="N1204" s="1" t="s">
        <v>13</v>
      </c>
      <c r="O1204" s="1">
        <v>90.8</v>
      </c>
    </row>
    <row r="1205" spans="4:15" x14ac:dyDescent="0.3">
      <c r="D1205" s="1">
        <v>21478</v>
      </c>
      <c r="E1205" s="2">
        <v>43526</v>
      </c>
      <c r="F1205" s="1" t="s">
        <v>7</v>
      </c>
      <c r="G1205" s="1">
        <v>16</v>
      </c>
      <c r="H1205" s="9"/>
      <c r="J1205" s="1">
        <v>452.68</v>
      </c>
      <c r="N1205" s="1" t="s">
        <v>10</v>
      </c>
      <c r="O1205" s="1">
        <v>9.6</v>
      </c>
    </row>
    <row r="1206" spans="4:15" x14ac:dyDescent="0.3">
      <c r="D1206" s="1">
        <v>48577</v>
      </c>
      <c r="E1206" s="2">
        <v>43654</v>
      </c>
      <c r="F1206" s="1" t="s">
        <v>14</v>
      </c>
      <c r="G1206" s="1">
        <v>6</v>
      </c>
      <c r="H1206" s="9"/>
      <c r="J1206" s="1">
        <v>215.96</v>
      </c>
      <c r="N1206" s="1" t="s">
        <v>10</v>
      </c>
      <c r="O1206" s="1">
        <v>5.4</v>
      </c>
    </row>
    <row r="1207" spans="4:15" x14ac:dyDescent="0.3">
      <c r="D1207" s="1">
        <v>6018</v>
      </c>
      <c r="E1207" s="2">
        <v>43695</v>
      </c>
      <c r="F1207" s="1" t="s">
        <v>7</v>
      </c>
      <c r="G1207" s="1">
        <v>2</v>
      </c>
      <c r="H1207" s="9"/>
      <c r="J1207" s="1">
        <v>132.94999999999999</v>
      </c>
      <c r="N1207" s="1" t="s">
        <v>10</v>
      </c>
      <c r="O1207" s="1">
        <v>14.9</v>
      </c>
    </row>
    <row r="1208" spans="4:15" x14ac:dyDescent="0.3">
      <c r="D1208" s="1">
        <v>38437</v>
      </c>
      <c r="E1208" s="2">
        <v>43593</v>
      </c>
      <c r="F1208" s="1" t="s">
        <v>12</v>
      </c>
      <c r="G1208" s="1">
        <v>17</v>
      </c>
      <c r="H1208" s="9"/>
      <c r="J1208" s="1">
        <v>59.56</v>
      </c>
      <c r="N1208" s="1" t="s">
        <v>10</v>
      </c>
      <c r="O1208" s="1">
        <v>2.5</v>
      </c>
    </row>
    <row r="1209" spans="4:15" x14ac:dyDescent="0.3">
      <c r="D1209" s="1">
        <v>6182</v>
      </c>
      <c r="E1209" s="2">
        <v>43667</v>
      </c>
      <c r="F1209" s="1" t="s">
        <v>7</v>
      </c>
      <c r="G1209" s="1">
        <v>18</v>
      </c>
      <c r="H1209" s="9"/>
      <c r="J1209" s="1">
        <v>139.44</v>
      </c>
      <c r="N1209" s="1" t="s">
        <v>8</v>
      </c>
      <c r="O1209" s="1">
        <v>8.4</v>
      </c>
    </row>
    <row r="1210" spans="4:15" x14ac:dyDescent="0.3">
      <c r="D1210" s="1">
        <v>45825</v>
      </c>
      <c r="E1210" s="2">
        <v>43745</v>
      </c>
      <c r="F1210" s="1" t="s">
        <v>14</v>
      </c>
      <c r="G1210" s="1">
        <v>43</v>
      </c>
      <c r="H1210" s="9"/>
      <c r="J1210" s="1">
        <v>291.70999999999998</v>
      </c>
      <c r="N1210" s="1" t="s">
        <v>10</v>
      </c>
      <c r="O1210" s="1">
        <v>5.5</v>
      </c>
    </row>
    <row r="1211" spans="4:15" x14ac:dyDescent="0.3">
      <c r="D1211" s="1">
        <v>37763</v>
      </c>
      <c r="E1211" s="2">
        <v>43503</v>
      </c>
      <c r="F1211" s="1" t="s">
        <v>11</v>
      </c>
      <c r="G1211" s="1">
        <v>24</v>
      </c>
      <c r="H1211" s="9"/>
      <c r="J1211" s="1">
        <v>1335.28</v>
      </c>
      <c r="N1211" s="1" t="s">
        <v>10</v>
      </c>
      <c r="O1211" s="1">
        <v>2.7</v>
      </c>
    </row>
    <row r="1212" spans="4:15" x14ac:dyDescent="0.3">
      <c r="D1212" s="1">
        <v>13444</v>
      </c>
      <c r="E1212" s="2">
        <v>43469</v>
      </c>
      <c r="F1212" s="1" t="s">
        <v>9</v>
      </c>
      <c r="G1212" s="1">
        <v>33</v>
      </c>
      <c r="H1212" s="9"/>
      <c r="J1212" s="1">
        <v>165.2508</v>
      </c>
      <c r="N1212" s="1" t="s">
        <v>10</v>
      </c>
      <c r="O1212" s="1">
        <v>0.9</v>
      </c>
    </row>
    <row r="1213" spans="4:15" x14ac:dyDescent="0.3">
      <c r="D1213" s="1">
        <v>44386</v>
      </c>
      <c r="E1213" s="2">
        <v>43564</v>
      </c>
      <c r="F1213" s="1" t="s">
        <v>14</v>
      </c>
      <c r="G1213" s="1">
        <v>43</v>
      </c>
      <c r="H1213" s="9"/>
      <c r="J1213" s="1">
        <v>1323.2</v>
      </c>
      <c r="N1213" s="1" t="s">
        <v>10</v>
      </c>
      <c r="O1213" s="1">
        <v>2.1</v>
      </c>
    </row>
    <row r="1214" spans="4:15" x14ac:dyDescent="0.3">
      <c r="D1214" s="1">
        <v>41441</v>
      </c>
      <c r="E1214" s="2">
        <v>43487</v>
      </c>
      <c r="F1214" s="1" t="s">
        <v>14</v>
      </c>
      <c r="G1214" s="1">
        <v>41</v>
      </c>
      <c r="H1214" s="9"/>
      <c r="J1214" s="1">
        <v>236.56</v>
      </c>
      <c r="N1214" s="1" t="s">
        <v>10</v>
      </c>
      <c r="O1214" s="1">
        <v>6.1</v>
      </c>
    </row>
    <row r="1215" spans="4:15" x14ac:dyDescent="0.3">
      <c r="D1215" s="1">
        <v>48423</v>
      </c>
      <c r="E1215" s="2">
        <v>43769</v>
      </c>
      <c r="F1215" s="1" t="s">
        <v>9</v>
      </c>
      <c r="G1215" s="1">
        <v>49</v>
      </c>
      <c r="H1215" s="9"/>
      <c r="J1215" s="1">
        <v>443.1</v>
      </c>
      <c r="N1215" s="1" t="s">
        <v>10</v>
      </c>
      <c r="O1215" s="1">
        <v>8.9</v>
      </c>
    </row>
    <row r="1216" spans="4:15" x14ac:dyDescent="0.3">
      <c r="D1216" s="1">
        <v>43109</v>
      </c>
      <c r="E1216" s="2">
        <v>43820</v>
      </c>
      <c r="F1216" s="1" t="s">
        <v>12</v>
      </c>
      <c r="G1216" s="1">
        <v>19</v>
      </c>
      <c r="H1216" s="9"/>
      <c r="J1216" s="1">
        <v>301.57</v>
      </c>
      <c r="N1216" s="1" t="s">
        <v>10</v>
      </c>
      <c r="O1216" s="1">
        <v>9</v>
      </c>
    </row>
    <row r="1217" spans="4:15" x14ac:dyDescent="0.3">
      <c r="D1217" s="1">
        <v>26021</v>
      </c>
      <c r="E1217" s="2">
        <v>43722</v>
      </c>
      <c r="F1217" s="1" t="s">
        <v>12</v>
      </c>
      <c r="G1217" s="1">
        <v>17</v>
      </c>
      <c r="H1217" s="9"/>
      <c r="J1217" s="1">
        <v>351.63</v>
      </c>
      <c r="N1217" s="1" t="s">
        <v>10</v>
      </c>
      <c r="O1217" s="1">
        <v>5.0999999999999996</v>
      </c>
    </row>
    <row r="1218" spans="4:15" x14ac:dyDescent="0.3">
      <c r="D1218" s="1">
        <v>40838</v>
      </c>
      <c r="E1218" s="2">
        <v>43795</v>
      </c>
      <c r="F1218" s="1" t="s">
        <v>11</v>
      </c>
      <c r="G1218" s="1">
        <v>40</v>
      </c>
      <c r="H1218" s="9"/>
      <c r="J1218" s="1">
        <v>346.64</v>
      </c>
      <c r="N1218" s="1" t="s">
        <v>10</v>
      </c>
      <c r="O1218" s="1">
        <v>8.5</v>
      </c>
    </row>
    <row r="1219" spans="4:15" x14ac:dyDescent="0.3">
      <c r="D1219" s="1">
        <v>48742</v>
      </c>
      <c r="E1219" s="2">
        <v>43572</v>
      </c>
      <c r="F1219" s="1" t="s">
        <v>11</v>
      </c>
      <c r="G1219" s="1">
        <v>42</v>
      </c>
      <c r="H1219" s="9"/>
      <c r="J1219" s="1">
        <v>883.42</v>
      </c>
      <c r="N1219" s="1" t="s">
        <v>10</v>
      </c>
      <c r="O1219" s="1">
        <v>1.6</v>
      </c>
    </row>
    <row r="1220" spans="4:15" x14ac:dyDescent="0.3">
      <c r="D1220" s="1">
        <v>16452</v>
      </c>
      <c r="E1220" s="2">
        <v>43700</v>
      </c>
      <c r="F1220" s="1" t="s">
        <v>14</v>
      </c>
      <c r="G1220" s="1">
        <v>46</v>
      </c>
      <c r="H1220" s="9"/>
      <c r="J1220" s="1">
        <v>143.83000000000001</v>
      </c>
      <c r="N1220" s="1" t="s">
        <v>10</v>
      </c>
      <c r="O1220" s="1">
        <v>1.1000000000000001</v>
      </c>
    </row>
    <row r="1221" spans="4:15" x14ac:dyDescent="0.3">
      <c r="D1221" s="1">
        <v>21509</v>
      </c>
      <c r="E1221" s="2">
        <v>43649</v>
      </c>
      <c r="F1221" s="1" t="s">
        <v>9</v>
      </c>
      <c r="G1221" s="1">
        <v>13</v>
      </c>
      <c r="H1221" s="9"/>
      <c r="J1221" s="1">
        <v>51.29</v>
      </c>
      <c r="N1221" s="1" t="s">
        <v>10</v>
      </c>
      <c r="O1221" s="1">
        <v>0.5</v>
      </c>
    </row>
    <row r="1222" spans="4:15" x14ac:dyDescent="0.3">
      <c r="D1222" s="1">
        <v>33568</v>
      </c>
      <c r="E1222" s="2">
        <v>43667</v>
      </c>
      <c r="F1222" s="1" t="s">
        <v>14</v>
      </c>
      <c r="G1222" s="1">
        <v>23</v>
      </c>
      <c r="H1222" s="9"/>
      <c r="J1222" s="1">
        <v>412.82</v>
      </c>
      <c r="N1222" s="1" t="s">
        <v>8</v>
      </c>
      <c r="O1222" s="1">
        <v>6.2</v>
      </c>
    </row>
    <row r="1223" spans="4:15" x14ac:dyDescent="0.3">
      <c r="D1223" s="1">
        <v>3168</v>
      </c>
      <c r="E1223" s="2">
        <v>43493</v>
      </c>
      <c r="F1223" s="1" t="s">
        <v>7</v>
      </c>
      <c r="G1223" s="1">
        <v>14</v>
      </c>
      <c r="H1223" s="9"/>
      <c r="J1223" s="1">
        <v>86.242000000000004</v>
      </c>
      <c r="N1223" s="1" t="s">
        <v>10</v>
      </c>
      <c r="O1223" s="1">
        <v>4.2</v>
      </c>
    </row>
    <row r="1224" spans="4:15" x14ac:dyDescent="0.3">
      <c r="D1224" s="1">
        <v>45664</v>
      </c>
      <c r="E1224" s="2">
        <v>43625</v>
      </c>
      <c r="F1224" s="1" t="s">
        <v>11</v>
      </c>
      <c r="G1224" s="1">
        <v>24</v>
      </c>
      <c r="H1224" s="9"/>
      <c r="J1224" s="1">
        <v>506.14</v>
      </c>
      <c r="N1224" s="1" t="s">
        <v>10</v>
      </c>
      <c r="O1224" s="1">
        <v>11.2</v>
      </c>
    </row>
    <row r="1225" spans="4:15" x14ac:dyDescent="0.3">
      <c r="D1225" s="1">
        <v>35938</v>
      </c>
      <c r="E1225" s="2">
        <v>43786</v>
      </c>
      <c r="F1225" s="1" t="s">
        <v>11</v>
      </c>
      <c r="G1225" s="1">
        <v>48</v>
      </c>
      <c r="H1225" s="9"/>
      <c r="J1225" s="1">
        <v>672.31309999999996</v>
      </c>
      <c r="N1225" s="1" t="s">
        <v>10</v>
      </c>
      <c r="O1225" s="1">
        <v>10</v>
      </c>
    </row>
    <row r="1226" spans="4:15" x14ac:dyDescent="0.3">
      <c r="D1226" s="1">
        <v>4261</v>
      </c>
      <c r="E1226" s="2">
        <v>43740</v>
      </c>
      <c r="F1226" s="1" t="s">
        <v>12</v>
      </c>
      <c r="G1226" s="1">
        <v>33</v>
      </c>
      <c r="H1226" s="9"/>
      <c r="J1226" s="1">
        <v>209.7</v>
      </c>
      <c r="N1226" s="1" t="s">
        <v>10</v>
      </c>
      <c r="O1226" s="1">
        <v>5.7</v>
      </c>
    </row>
    <row r="1227" spans="4:15" x14ac:dyDescent="0.3">
      <c r="D1227" s="1">
        <v>10053</v>
      </c>
      <c r="E1227" s="2">
        <v>43474</v>
      </c>
      <c r="F1227" s="1" t="s">
        <v>9</v>
      </c>
      <c r="G1227" s="1">
        <v>44</v>
      </c>
      <c r="H1227" s="9"/>
      <c r="J1227" s="1">
        <v>7292.3</v>
      </c>
      <c r="N1227" s="1" t="s">
        <v>13</v>
      </c>
      <c r="O1227" s="1">
        <v>42</v>
      </c>
    </row>
    <row r="1228" spans="4:15" x14ac:dyDescent="0.3">
      <c r="D1228" s="1">
        <v>20995</v>
      </c>
      <c r="E1228" s="2">
        <v>43551</v>
      </c>
      <c r="F1228" s="1" t="s">
        <v>14</v>
      </c>
      <c r="G1228" s="1">
        <v>37</v>
      </c>
      <c r="H1228" s="9"/>
      <c r="J1228" s="1">
        <v>6225.13</v>
      </c>
      <c r="N1228" s="1" t="s">
        <v>13</v>
      </c>
      <c r="O1228" s="1">
        <v>70.900000000000006</v>
      </c>
    </row>
    <row r="1229" spans="4:15" x14ac:dyDescent="0.3">
      <c r="D1229" s="1">
        <v>55431</v>
      </c>
      <c r="E1229" s="2">
        <v>43624</v>
      </c>
      <c r="F1229" s="1" t="s">
        <v>11</v>
      </c>
      <c r="G1229" s="1">
        <v>13</v>
      </c>
      <c r="H1229" s="9"/>
      <c r="J1229" s="1">
        <v>3984.67</v>
      </c>
      <c r="N1229" s="1" t="s">
        <v>10</v>
      </c>
      <c r="O1229" s="1">
        <v>21.4</v>
      </c>
    </row>
    <row r="1230" spans="4:15" x14ac:dyDescent="0.3">
      <c r="D1230" s="1">
        <v>29536</v>
      </c>
      <c r="E1230" s="2">
        <v>43715</v>
      </c>
      <c r="F1230" s="1" t="s">
        <v>14</v>
      </c>
      <c r="G1230" s="1">
        <v>26</v>
      </c>
      <c r="H1230" s="9"/>
      <c r="J1230" s="1">
        <v>1035.1300000000001</v>
      </c>
      <c r="N1230" s="1" t="s">
        <v>10</v>
      </c>
      <c r="O1230" s="1">
        <v>21.4</v>
      </c>
    </row>
    <row r="1231" spans="4:15" x14ac:dyDescent="0.3">
      <c r="D1231" s="1">
        <v>30786</v>
      </c>
      <c r="E1231" s="2">
        <v>43662</v>
      </c>
      <c r="F1231" s="1" t="s">
        <v>14</v>
      </c>
      <c r="G1231" s="1">
        <v>4</v>
      </c>
      <c r="H1231" s="9"/>
      <c r="J1231" s="1">
        <v>77.81</v>
      </c>
      <c r="N1231" s="1" t="s">
        <v>10</v>
      </c>
      <c r="O1231" s="1">
        <v>11.4</v>
      </c>
    </row>
    <row r="1232" spans="4:15" x14ac:dyDescent="0.3">
      <c r="D1232" s="1">
        <v>38182</v>
      </c>
      <c r="E1232" s="2">
        <v>43607</v>
      </c>
      <c r="F1232" s="1" t="s">
        <v>9</v>
      </c>
      <c r="G1232" s="1">
        <v>45</v>
      </c>
      <c r="H1232" s="9"/>
      <c r="J1232" s="1">
        <v>3048.25</v>
      </c>
      <c r="N1232" s="1" t="s">
        <v>10</v>
      </c>
      <c r="O1232" s="1">
        <v>37.5</v>
      </c>
    </row>
    <row r="1233" spans="4:15" x14ac:dyDescent="0.3">
      <c r="D1233" s="1">
        <v>34022</v>
      </c>
      <c r="E1233" s="2">
        <v>43772</v>
      </c>
      <c r="F1233" s="1" t="s">
        <v>11</v>
      </c>
      <c r="G1233" s="1">
        <v>6</v>
      </c>
      <c r="H1233" s="9"/>
      <c r="J1233" s="1">
        <v>46.97</v>
      </c>
      <c r="N1233" s="1" t="s">
        <v>10</v>
      </c>
      <c r="O1233" s="1">
        <v>5.3</v>
      </c>
    </row>
    <row r="1234" spans="4:15" x14ac:dyDescent="0.3">
      <c r="D1234" s="1">
        <v>18849</v>
      </c>
      <c r="E1234" s="2">
        <v>43682</v>
      </c>
      <c r="F1234" s="1" t="s">
        <v>9</v>
      </c>
      <c r="G1234" s="1">
        <v>43</v>
      </c>
      <c r="H1234" s="9"/>
      <c r="J1234" s="1">
        <v>504.9</v>
      </c>
      <c r="N1234" s="1" t="s">
        <v>10</v>
      </c>
      <c r="O1234" s="1">
        <v>5.6</v>
      </c>
    </row>
    <row r="1235" spans="4:15" x14ac:dyDescent="0.3">
      <c r="D1235" s="1">
        <v>18112</v>
      </c>
      <c r="E1235" s="2">
        <v>43540</v>
      </c>
      <c r="F1235" s="1" t="s">
        <v>11</v>
      </c>
      <c r="G1235" s="1">
        <v>13</v>
      </c>
      <c r="H1235" s="9"/>
      <c r="J1235" s="1">
        <v>89.14</v>
      </c>
      <c r="N1235" s="1" t="s">
        <v>10</v>
      </c>
      <c r="O1235" s="1">
        <v>1.4</v>
      </c>
    </row>
    <row r="1236" spans="4:15" x14ac:dyDescent="0.3">
      <c r="D1236" s="1">
        <v>58917</v>
      </c>
      <c r="E1236" s="2">
        <v>43526</v>
      </c>
      <c r="F1236" s="1" t="s">
        <v>9</v>
      </c>
      <c r="G1236" s="1">
        <v>3</v>
      </c>
      <c r="H1236" s="9"/>
      <c r="J1236" s="1">
        <v>67.28</v>
      </c>
      <c r="N1236" s="1" t="s">
        <v>10</v>
      </c>
      <c r="O1236" s="1">
        <v>3.1</v>
      </c>
    </row>
    <row r="1237" spans="4:15" x14ac:dyDescent="0.3">
      <c r="D1237" s="1">
        <v>25793</v>
      </c>
      <c r="E1237" s="2">
        <v>43562</v>
      </c>
      <c r="F1237" s="1" t="s">
        <v>7</v>
      </c>
      <c r="G1237" s="1">
        <v>27</v>
      </c>
      <c r="H1237" s="9"/>
      <c r="J1237" s="1">
        <v>3677.34</v>
      </c>
      <c r="N1237" s="1" t="s">
        <v>10</v>
      </c>
      <c r="O1237" s="1">
        <v>9.6</v>
      </c>
    </row>
    <row r="1238" spans="4:15" x14ac:dyDescent="0.3">
      <c r="D1238" s="1">
        <v>44423</v>
      </c>
      <c r="E1238" s="2">
        <v>43675</v>
      </c>
      <c r="F1238" s="1" t="s">
        <v>12</v>
      </c>
      <c r="G1238" s="1">
        <v>39</v>
      </c>
      <c r="H1238" s="9"/>
      <c r="J1238" s="1">
        <v>266.04000000000002</v>
      </c>
      <c r="N1238" s="1" t="s">
        <v>10</v>
      </c>
      <c r="O1238" s="1">
        <v>5.7</v>
      </c>
    </row>
    <row r="1239" spans="4:15" x14ac:dyDescent="0.3">
      <c r="D1239" s="1">
        <v>1701</v>
      </c>
      <c r="E1239" s="2">
        <v>43603</v>
      </c>
      <c r="F1239" s="1" t="s">
        <v>9</v>
      </c>
      <c r="G1239" s="1">
        <v>49</v>
      </c>
      <c r="H1239" s="9"/>
      <c r="J1239" s="1">
        <v>2190.91</v>
      </c>
      <c r="N1239" s="1" t="s">
        <v>10</v>
      </c>
      <c r="O1239" s="1">
        <v>2.1</v>
      </c>
    </row>
    <row r="1240" spans="4:15" x14ac:dyDescent="0.3">
      <c r="D1240" s="1">
        <v>35713</v>
      </c>
      <c r="E1240" s="2">
        <v>43755</v>
      </c>
      <c r="F1240" s="1" t="s">
        <v>14</v>
      </c>
      <c r="G1240" s="1">
        <v>49</v>
      </c>
      <c r="H1240" s="9"/>
      <c r="J1240" s="1">
        <v>1450.35</v>
      </c>
      <c r="N1240" s="1" t="s">
        <v>10</v>
      </c>
      <c r="O1240" s="1">
        <v>1.6</v>
      </c>
    </row>
    <row r="1241" spans="4:15" x14ac:dyDescent="0.3">
      <c r="D1241" s="1">
        <v>22688</v>
      </c>
      <c r="E1241" s="2">
        <v>43572</v>
      </c>
      <c r="F1241" s="1" t="s">
        <v>14</v>
      </c>
      <c r="G1241" s="1">
        <v>40</v>
      </c>
      <c r="H1241" s="9"/>
      <c r="J1241" s="1">
        <v>2187.37</v>
      </c>
      <c r="N1241" s="1" t="s">
        <v>10</v>
      </c>
      <c r="O1241" s="1">
        <v>6</v>
      </c>
    </row>
    <row r="1242" spans="4:15" x14ac:dyDescent="0.3">
      <c r="D1242" s="1">
        <v>57699</v>
      </c>
      <c r="E1242" s="2">
        <v>43779</v>
      </c>
      <c r="F1242" s="1" t="s">
        <v>7</v>
      </c>
      <c r="G1242" s="1">
        <v>36</v>
      </c>
      <c r="H1242" s="9"/>
      <c r="J1242" s="1">
        <v>2312.0880999999999</v>
      </c>
      <c r="N1242" s="1" t="s">
        <v>10</v>
      </c>
      <c r="O1242" s="1">
        <v>21.4</v>
      </c>
    </row>
    <row r="1243" spans="4:15" x14ac:dyDescent="0.3">
      <c r="D1243" s="1">
        <v>36229</v>
      </c>
      <c r="E1243" s="2">
        <v>43729</v>
      </c>
      <c r="F1243" s="1" t="s">
        <v>11</v>
      </c>
      <c r="G1243" s="1">
        <v>24</v>
      </c>
      <c r="H1243" s="9"/>
      <c r="J1243" s="1">
        <v>3841.65</v>
      </c>
      <c r="N1243" s="1" t="s">
        <v>13</v>
      </c>
      <c r="O1243" s="1">
        <v>46.8</v>
      </c>
    </row>
    <row r="1244" spans="4:15" x14ac:dyDescent="0.3">
      <c r="D1244" s="1">
        <v>13923</v>
      </c>
      <c r="E1244" s="2">
        <v>43654</v>
      </c>
      <c r="F1244" s="1" t="s">
        <v>9</v>
      </c>
      <c r="G1244" s="1">
        <v>28</v>
      </c>
      <c r="H1244" s="9"/>
      <c r="J1244" s="1">
        <v>4635.5609999999997</v>
      </c>
      <c r="N1244" s="1" t="s">
        <v>13</v>
      </c>
      <c r="O1244" s="1">
        <v>16.7</v>
      </c>
    </row>
    <row r="1245" spans="4:15" x14ac:dyDescent="0.3">
      <c r="D1245" s="1">
        <v>40801</v>
      </c>
      <c r="E1245" s="2">
        <v>43647</v>
      </c>
      <c r="F1245" s="1" t="s">
        <v>11</v>
      </c>
      <c r="G1245" s="1">
        <v>20</v>
      </c>
      <c r="H1245" s="9"/>
      <c r="J1245" s="1">
        <v>138.19999999999999</v>
      </c>
      <c r="N1245" s="1" t="s">
        <v>10</v>
      </c>
      <c r="O1245" s="1">
        <v>6.7</v>
      </c>
    </row>
    <row r="1246" spans="4:15" x14ac:dyDescent="0.3">
      <c r="D1246" s="1">
        <v>22663</v>
      </c>
      <c r="E1246" s="2">
        <v>43475</v>
      </c>
      <c r="F1246" s="1" t="s">
        <v>7</v>
      </c>
      <c r="G1246" s="1">
        <v>15</v>
      </c>
      <c r="H1246" s="9"/>
      <c r="J1246" s="1">
        <v>7693.3642</v>
      </c>
      <c r="N1246" s="1" t="s">
        <v>13</v>
      </c>
      <c r="O1246" s="1">
        <v>30.1</v>
      </c>
    </row>
    <row r="1247" spans="4:15" x14ac:dyDescent="0.3">
      <c r="D1247" s="1">
        <v>4800</v>
      </c>
      <c r="E1247" s="2">
        <v>43469</v>
      </c>
      <c r="F1247" s="1" t="s">
        <v>7</v>
      </c>
      <c r="G1247" s="1">
        <v>7</v>
      </c>
      <c r="H1247" s="9"/>
      <c r="J1247" s="1">
        <v>85.4</v>
      </c>
      <c r="N1247" s="1" t="s">
        <v>10</v>
      </c>
      <c r="O1247" s="1">
        <v>2.5</v>
      </c>
    </row>
    <row r="1248" spans="4:15" x14ac:dyDescent="0.3">
      <c r="D1248" s="1">
        <v>16098</v>
      </c>
      <c r="E1248" s="2">
        <v>43667</v>
      </c>
      <c r="F1248" s="1" t="s">
        <v>7</v>
      </c>
      <c r="G1248" s="1">
        <v>44</v>
      </c>
      <c r="H1248" s="9"/>
      <c r="J1248" s="1">
        <v>1072.1300000000001</v>
      </c>
      <c r="N1248" s="1" t="s">
        <v>10</v>
      </c>
      <c r="O1248" s="1">
        <v>3.2</v>
      </c>
    </row>
    <row r="1249" spans="4:15" x14ac:dyDescent="0.3">
      <c r="D1249" s="1">
        <v>17414</v>
      </c>
      <c r="E1249" s="2">
        <v>43645</v>
      </c>
      <c r="F1249" s="1" t="s">
        <v>9</v>
      </c>
      <c r="G1249" s="1">
        <v>32</v>
      </c>
      <c r="H1249" s="9"/>
      <c r="J1249" s="1">
        <v>372.29</v>
      </c>
      <c r="N1249" s="1" t="s">
        <v>10</v>
      </c>
      <c r="O1249" s="1">
        <v>5.4</v>
      </c>
    </row>
    <row r="1250" spans="4:15" x14ac:dyDescent="0.3">
      <c r="D1250" s="1">
        <v>54177</v>
      </c>
      <c r="E1250" s="2">
        <v>43489</v>
      </c>
      <c r="F1250" s="1" t="s">
        <v>12</v>
      </c>
      <c r="G1250" s="1">
        <v>25</v>
      </c>
      <c r="H1250" s="9"/>
      <c r="J1250" s="1">
        <v>170.13</v>
      </c>
      <c r="N1250" s="1" t="s">
        <v>10</v>
      </c>
      <c r="O1250" s="1">
        <v>7.9</v>
      </c>
    </row>
    <row r="1251" spans="4:15" x14ac:dyDescent="0.3">
      <c r="D1251" s="1">
        <v>8294</v>
      </c>
      <c r="E1251" s="2">
        <v>43636</v>
      </c>
      <c r="F1251" s="1" t="s">
        <v>14</v>
      </c>
      <c r="G1251" s="1">
        <v>28</v>
      </c>
      <c r="H1251" s="9"/>
      <c r="J1251" s="1">
        <v>211.4</v>
      </c>
      <c r="N1251" s="1" t="s">
        <v>10</v>
      </c>
      <c r="O1251" s="1">
        <v>5.4</v>
      </c>
    </row>
    <row r="1252" spans="4:15" x14ac:dyDescent="0.3">
      <c r="D1252" s="1">
        <v>19874</v>
      </c>
      <c r="E1252" s="2">
        <v>43624</v>
      </c>
      <c r="F1252" s="1" t="s">
        <v>9</v>
      </c>
      <c r="G1252" s="1">
        <v>31</v>
      </c>
      <c r="H1252" s="9"/>
      <c r="J1252" s="1">
        <v>332.19</v>
      </c>
      <c r="N1252" s="1" t="s">
        <v>10</v>
      </c>
      <c r="O1252" s="1">
        <v>10.1</v>
      </c>
    </row>
    <row r="1253" spans="4:15" x14ac:dyDescent="0.3">
      <c r="D1253" s="1">
        <v>58658</v>
      </c>
      <c r="E1253" s="2">
        <v>43627</v>
      </c>
      <c r="F1253" s="1" t="s">
        <v>14</v>
      </c>
      <c r="G1253" s="1">
        <v>7</v>
      </c>
      <c r="H1253" s="9"/>
      <c r="J1253" s="1">
        <v>945.06</v>
      </c>
      <c r="N1253" s="1" t="s">
        <v>13</v>
      </c>
      <c r="O1253" s="1">
        <v>62.7</v>
      </c>
    </row>
    <row r="1254" spans="4:15" x14ac:dyDescent="0.3">
      <c r="D1254" s="1">
        <v>23618</v>
      </c>
      <c r="E1254" s="2">
        <v>43796</v>
      </c>
      <c r="F1254" s="1" t="s">
        <v>14</v>
      </c>
      <c r="G1254" s="1">
        <v>45</v>
      </c>
      <c r="H1254" s="9"/>
      <c r="J1254" s="1">
        <v>2783.92</v>
      </c>
      <c r="N1254" s="1" t="s">
        <v>10</v>
      </c>
      <c r="O1254" s="1">
        <v>5.6</v>
      </c>
    </row>
    <row r="1255" spans="4:15" x14ac:dyDescent="0.3">
      <c r="D1255" s="1">
        <v>31874</v>
      </c>
      <c r="E1255" s="2">
        <v>43723</v>
      </c>
      <c r="F1255" s="1" t="s">
        <v>9</v>
      </c>
      <c r="G1255" s="1">
        <v>29</v>
      </c>
      <c r="H1255" s="9"/>
      <c r="J1255" s="1">
        <v>344.48649999999998</v>
      </c>
      <c r="N1255" s="1" t="s">
        <v>8</v>
      </c>
      <c r="O1255" s="1">
        <v>3.6</v>
      </c>
    </row>
    <row r="1256" spans="4:15" x14ac:dyDescent="0.3">
      <c r="D1256" s="1">
        <v>21638</v>
      </c>
      <c r="E1256" s="2">
        <v>43571</v>
      </c>
      <c r="F1256" s="1" t="s">
        <v>9</v>
      </c>
      <c r="G1256" s="1">
        <v>13</v>
      </c>
      <c r="H1256" s="9"/>
      <c r="J1256" s="1">
        <v>448.25510000000003</v>
      </c>
      <c r="N1256" s="1" t="s">
        <v>10</v>
      </c>
      <c r="O1256" s="1">
        <v>9.4</v>
      </c>
    </row>
    <row r="1257" spans="4:15" x14ac:dyDescent="0.3">
      <c r="D1257" s="1">
        <v>41063</v>
      </c>
      <c r="E1257" s="2">
        <v>43790</v>
      </c>
      <c r="F1257" s="1" t="s">
        <v>7</v>
      </c>
      <c r="G1257" s="1">
        <v>22</v>
      </c>
      <c r="H1257" s="9"/>
      <c r="J1257" s="1">
        <v>517.84</v>
      </c>
      <c r="N1257" s="1" t="s">
        <v>10</v>
      </c>
      <c r="O1257" s="1">
        <v>9.6</v>
      </c>
    </row>
    <row r="1258" spans="4:15" x14ac:dyDescent="0.3">
      <c r="D1258" s="1">
        <v>44167</v>
      </c>
      <c r="E1258" s="2">
        <v>43494</v>
      </c>
      <c r="F1258" s="1" t="s">
        <v>12</v>
      </c>
      <c r="G1258" s="1">
        <v>23</v>
      </c>
      <c r="H1258" s="9"/>
      <c r="J1258" s="1">
        <v>3417.63</v>
      </c>
      <c r="N1258" s="1" t="s">
        <v>10</v>
      </c>
      <c r="O1258" s="1">
        <v>21.4</v>
      </c>
    </row>
    <row r="1259" spans="4:15" x14ac:dyDescent="0.3">
      <c r="D1259" s="1">
        <v>45346</v>
      </c>
      <c r="E1259" s="2">
        <v>43784</v>
      </c>
      <c r="F1259" s="1" t="s">
        <v>9</v>
      </c>
      <c r="G1259" s="1">
        <v>37</v>
      </c>
      <c r="H1259" s="9"/>
      <c r="J1259" s="1">
        <v>740.6</v>
      </c>
      <c r="N1259" s="1" t="s">
        <v>10</v>
      </c>
      <c r="O1259" s="1">
        <v>6.4</v>
      </c>
    </row>
    <row r="1260" spans="4:15" x14ac:dyDescent="0.3">
      <c r="D1260" s="1">
        <v>4804</v>
      </c>
      <c r="E1260" s="2">
        <v>43491</v>
      </c>
      <c r="F1260" s="1" t="s">
        <v>9</v>
      </c>
      <c r="G1260" s="1">
        <v>13</v>
      </c>
      <c r="H1260" s="9"/>
      <c r="J1260" s="1">
        <v>496.29809999999998</v>
      </c>
      <c r="N1260" s="1" t="s">
        <v>10</v>
      </c>
      <c r="O1260" s="1">
        <v>2.1</v>
      </c>
    </row>
    <row r="1261" spans="4:15" x14ac:dyDescent="0.3">
      <c r="D1261" s="1">
        <v>23555</v>
      </c>
      <c r="E1261" s="2">
        <v>43810</v>
      </c>
      <c r="F1261" s="1" t="s">
        <v>9</v>
      </c>
      <c r="G1261" s="1">
        <v>5</v>
      </c>
      <c r="H1261" s="9"/>
      <c r="J1261" s="1">
        <v>304.36</v>
      </c>
      <c r="N1261" s="1" t="s">
        <v>10</v>
      </c>
      <c r="O1261" s="1">
        <v>9.6</v>
      </c>
    </row>
    <row r="1262" spans="4:15" x14ac:dyDescent="0.3">
      <c r="D1262" s="1">
        <v>51876</v>
      </c>
      <c r="E1262" s="2">
        <v>43530</v>
      </c>
      <c r="F1262" s="1" t="s">
        <v>12</v>
      </c>
      <c r="G1262" s="1">
        <v>2</v>
      </c>
      <c r="H1262" s="9"/>
      <c r="J1262" s="1">
        <v>101.71</v>
      </c>
      <c r="N1262" s="1" t="s">
        <v>10</v>
      </c>
      <c r="O1262" s="1">
        <v>5.4</v>
      </c>
    </row>
    <row r="1263" spans="4:15" x14ac:dyDescent="0.3">
      <c r="D1263" s="1">
        <v>59905</v>
      </c>
      <c r="E1263" s="2">
        <v>43569</v>
      </c>
      <c r="F1263" s="1" t="s">
        <v>9</v>
      </c>
      <c r="G1263" s="1">
        <v>19</v>
      </c>
      <c r="H1263" s="9"/>
      <c r="J1263" s="1">
        <v>170.39</v>
      </c>
      <c r="N1263" s="1" t="s">
        <v>10</v>
      </c>
      <c r="O1263" s="1">
        <v>2.1</v>
      </c>
    </row>
    <row r="1264" spans="4:15" x14ac:dyDescent="0.3">
      <c r="D1264" s="1">
        <v>22085</v>
      </c>
      <c r="E1264" s="2">
        <v>43533</v>
      </c>
      <c r="F1264" s="1" t="s">
        <v>7</v>
      </c>
      <c r="G1264" s="1">
        <v>27</v>
      </c>
      <c r="H1264" s="9"/>
      <c r="J1264" s="1">
        <v>518.98209999999995</v>
      </c>
      <c r="N1264" s="1" t="s">
        <v>10</v>
      </c>
      <c r="O1264" s="1">
        <v>10.1</v>
      </c>
    </row>
    <row r="1265" spans="4:15" x14ac:dyDescent="0.3">
      <c r="D1265" s="1">
        <v>9765</v>
      </c>
      <c r="E1265" s="2">
        <v>43750</v>
      </c>
      <c r="F1265" s="1" t="s">
        <v>7</v>
      </c>
      <c r="G1265" s="1">
        <v>26</v>
      </c>
      <c r="H1265" s="9"/>
      <c r="J1265" s="1">
        <v>3750.99</v>
      </c>
      <c r="N1265" s="1" t="s">
        <v>10</v>
      </c>
      <c r="O1265" s="1">
        <v>13.5</v>
      </c>
    </row>
    <row r="1266" spans="4:15" x14ac:dyDescent="0.3">
      <c r="D1266" s="1">
        <v>52706</v>
      </c>
      <c r="E1266" s="2">
        <v>43655</v>
      </c>
      <c r="F1266" s="1" t="s">
        <v>7</v>
      </c>
      <c r="G1266" s="1">
        <v>34</v>
      </c>
      <c r="H1266" s="9"/>
      <c r="J1266" s="1">
        <v>1114.58</v>
      </c>
      <c r="N1266" s="1" t="s">
        <v>8</v>
      </c>
      <c r="O1266" s="1">
        <v>1.6</v>
      </c>
    </row>
    <row r="1267" spans="4:15" x14ac:dyDescent="0.3">
      <c r="D1267" s="1">
        <v>35554</v>
      </c>
      <c r="E1267" s="2">
        <v>43732</v>
      </c>
      <c r="F1267" s="1" t="s">
        <v>11</v>
      </c>
      <c r="G1267" s="1">
        <v>34</v>
      </c>
      <c r="H1267" s="9"/>
      <c r="J1267" s="1">
        <v>4902.25</v>
      </c>
      <c r="N1267" s="1" t="s">
        <v>13</v>
      </c>
      <c r="O1267" s="1">
        <v>58.6</v>
      </c>
    </row>
    <row r="1268" spans="4:15" x14ac:dyDescent="0.3">
      <c r="D1268" s="1">
        <v>11173</v>
      </c>
      <c r="E1268" s="2">
        <v>43554</v>
      </c>
      <c r="F1268" s="1" t="s">
        <v>12</v>
      </c>
      <c r="G1268" s="1">
        <v>37</v>
      </c>
      <c r="H1268" s="9"/>
      <c r="J1268" s="1">
        <v>237.18</v>
      </c>
      <c r="N1268" s="1" t="s">
        <v>10</v>
      </c>
      <c r="O1268" s="1">
        <v>4.0999999999999996</v>
      </c>
    </row>
    <row r="1269" spans="4:15" x14ac:dyDescent="0.3">
      <c r="D1269" s="1">
        <v>6886</v>
      </c>
      <c r="E1269" s="2">
        <v>43483</v>
      </c>
      <c r="F1269" s="1" t="s">
        <v>9</v>
      </c>
      <c r="G1269" s="1">
        <v>46</v>
      </c>
      <c r="H1269" s="9"/>
      <c r="J1269" s="1">
        <v>8749.4599999999991</v>
      </c>
      <c r="N1269" s="1" t="s">
        <v>10</v>
      </c>
      <c r="O1269" s="1">
        <v>21.4</v>
      </c>
    </row>
    <row r="1270" spans="4:15" x14ac:dyDescent="0.3">
      <c r="D1270" s="1">
        <v>22663</v>
      </c>
      <c r="E1270" s="2">
        <v>43475</v>
      </c>
      <c r="F1270" s="1" t="s">
        <v>7</v>
      </c>
      <c r="G1270" s="1">
        <v>35</v>
      </c>
      <c r="H1270" s="9"/>
      <c r="J1270" s="1">
        <v>10532.13</v>
      </c>
      <c r="N1270" s="1" t="s">
        <v>13</v>
      </c>
      <c r="O1270" s="1">
        <v>61</v>
      </c>
    </row>
    <row r="1271" spans="4:15" x14ac:dyDescent="0.3">
      <c r="D1271" s="1">
        <v>614</v>
      </c>
      <c r="E1271" s="2">
        <v>43799</v>
      </c>
      <c r="F1271" s="1" t="s">
        <v>9</v>
      </c>
      <c r="G1271" s="1">
        <v>41</v>
      </c>
      <c r="H1271" s="9"/>
      <c r="J1271" s="1">
        <v>672.2</v>
      </c>
      <c r="N1271" s="1" t="s">
        <v>10</v>
      </c>
      <c r="O1271" s="1">
        <v>5.4</v>
      </c>
    </row>
    <row r="1272" spans="4:15" x14ac:dyDescent="0.3">
      <c r="D1272" s="1">
        <v>31681</v>
      </c>
      <c r="E1272" s="2">
        <v>43776</v>
      </c>
      <c r="F1272" s="1" t="s">
        <v>11</v>
      </c>
      <c r="G1272" s="1">
        <v>38</v>
      </c>
      <c r="H1272" s="9"/>
      <c r="J1272" s="1">
        <v>226.97</v>
      </c>
      <c r="N1272" s="1" t="s">
        <v>10</v>
      </c>
      <c r="O1272" s="1">
        <v>6.1</v>
      </c>
    </row>
    <row r="1273" spans="4:15" x14ac:dyDescent="0.3">
      <c r="D1273" s="1">
        <v>59878</v>
      </c>
      <c r="E1273" s="2">
        <v>43613</v>
      </c>
      <c r="F1273" s="1" t="s">
        <v>9</v>
      </c>
      <c r="G1273" s="1">
        <v>6</v>
      </c>
      <c r="H1273" s="9"/>
      <c r="J1273" s="1">
        <v>120.27</v>
      </c>
      <c r="N1273" s="1" t="s">
        <v>10</v>
      </c>
      <c r="O1273" s="1">
        <v>9.1</v>
      </c>
    </row>
    <row r="1274" spans="4:15" x14ac:dyDescent="0.3">
      <c r="D1274" s="1">
        <v>41831</v>
      </c>
      <c r="E1274" s="2">
        <v>43667</v>
      </c>
      <c r="F1274" s="1" t="s">
        <v>11</v>
      </c>
      <c r="G1274" s="1">
        <v>38</v>
      </c>
      <c r="H1274" s="9"/>
      <c r="J1274" s="1">
        <v>224.28</v>
      </c>
      <c r="N1274" s="1" t="s">
        <v>10</v>
      </c>
      <c r="O1274" s="1">
        <v>6.1</v>
      </c>
    </row>
    <row r="1275" spans="4:15" x14ac:dyDescent="0.3">
      <c r="D1275" s="1">
        <v>17218</v>
      </c>
      <c r="E1275" s="2">
        <v>43669</v>
      </c>
      <c r="F1275" s="1" t="s">
        <v>12</v>
      </c>
      <c r="G1275" s="1">
        <v>32</v>
      </c>
      <c r="H1275" s="9"/>
      <c r="J1275" s="1">
        <v>168.9</v>
      </c>
      <c r="N1275" s="1" t="s">
        <v>10</v>
      </c>
      <c r="O1275" s="1">
        <v>2.2000000000000002</v>
      </c>
    </row>
    <row r="1276" spans="4:15" x14ac:dyDescent="0.3">
      <c r="D1276" s="1">
        <v>2054</v>
      </c>
      <c r="E1276" s="2">
        <v>43623</v>
      </c>
      <c r="F1276" s="1" t="s">
        <v>11</v>
      </c>
      <c r="G1276" s="1">
        <v>34</v>
      </c>
      <c r="H1276" s="9"/>
      <c r="J1276" s="1">
        <v>883.91629999999998</v>
      </c>
      <c r="N1276" s="1" t="s">
        <v>10</v>
      </c>
      <c r="O1276" s="1">
        <v>8.1</v>
      </c>
    </row>
    <row r="1277" spans="4:15" x14ac:dyDescent="0.3">
      <c r="D1277" s="1">
        <v>48615</v>
      </c>
      <c r="E1277" s="2">
        <v>43802</v>
      </c>
      <c r="F1277" s="1" t="s">
        <v>7</v>
      </c>
      <c r="G1277" s="1">
        <v>4</v>
      </c>
      <c r="H1277" s="9"/>
      <c r="J1277" s="1">
        <v>18.09</v>
      </c>
      <c r="N1277" s="1" t="s">
        <v>10</v>
      </c>
      <c r="O1277" s="1">
        <v>0.5</v>
      </c>
    </row>
    <row r="1278" spans="4:15" x14ac:dyDescent="0.3">
      <c r="D1278" s="1">
        <v>3680</v>
      </c>
      <c r="E1278" s="2">
        <v>43808</v>
      </c>
      <c r="F1278" s="1" t="s">
        <v>11</v>
      </c>
      <c r="G1278" s="1">
        <v>27</v>
      </c>
      <c r="H1278" s="9"/>
      <c r="J1278" s="1">
        <v>190.41</v>
      </c>
      <c r="N1278" s="1" t="s">
        <v>10</v>
      </c>
      <c r="O1278" s="1">
        <v>6.4</v>
      </c>
    </row>
    <row r="1279" spans="4:15" x14ac:dyDescent="0.3">
      <c r="D1279" s="1">
        <v>44737</v>
      </c>
      <c r="E1279" s="2">
        <v>43788</v>
      </c>
      <c r="F1279" s="1" t="s">
        <v>14</v>
      </c>
      <c r="G1279" s="1">
        <v>16</v>
      </c>
      <c r="H1279" s="9"/>
      <c r="J1279" s="1">
        <v>323.28179999999998</v>
      </c>
      <c r="N1279" s="1" t="s">
        <v>10</v>
      </c>
      <c r="O1279" s="1">
        <v>1.1000000000000001</v>
      </c>
    </row>
    <row r="1280" spans="4:15" x14ac:dyDescent="0.3">
      <c r="D1280" s="1">
        <v>56930</v>
      </c>
      <c r="E1280" s="2">
        <v>43694</v>
      </c>
      <c r="F1280" s="1" t="s">
        <v>7</v>
      </c>
      <c r="G1280" s="1">
        <v>10</v>
      </c>
      <c r="H1280" s="9"/>
      <c r="J1280" s="1">
        <v>1056.67</v>
      </c>
      <c r="N1280" s="1" t="s">
        <v>10</v>
      </c>
      <c r="O1280" s="1">
        <v>37.5</v>
      </c>
    </row>
    <row r="1281" spans="4:15" x14ac:dyDescent="0.3">
      <c r="D1281" s="1">
        <v>2688</v>
      </c>
      <c r="E1281" s="2">
        <v>43487</v>
      </c>
      <c r="F1281" s="1" t="s">
        <v>9</v>
      </c>
      <c r="G1281" s="1">
        <v>31</v>
      </c>
      <c r="H1281" s="9"/>
      <c r="J1281" s="1">
        <v>2225.64</v>
      </c>
      <c r="N1281" s="1" t="s">
        <v>10</v>
      </c>
      <c r="O1281" s="1">
        <v>1.3</v>
      </c>
    </row>
    <row r="1282" spans="4:15" x14ac:dyDescent="0.3">
      <c r="D1282" s="1">
        <v>16161</v>
      </c>
      <c r="E1282" s="2">
        <v>43674</v>
      </c>
      <c r="F1282" s="1" t="s">
        <v>14</v>
      </c>
      <c r="G1282" s="1">
        <v>38</v>
      </c>
      <c r="H1282" s="9"/>
      <c r="J1282" s="1">
        <v>161.77000000000001</v>
      </c>
      <c r="N1282" s="1" t="s">
        <v>10</v>
      </c>
      <c r="O1282" s="1">
        <v>0.8</v>
      </c>
    </row>
    <row r="1283" spans="4:15" x14ac:dyDescent="0.3">
      <c r="D1283" s="1">
        <v>18500</v>
      </c>
      <c r="E1283" s="2">
        <v>43506</v>
      </c>
      <c r="F1283" s="1" t="s">
        <v>14</v>
      </c>
      <c r="G1283" s="1">
        <v>44</v>
      </c>
      <c r="H1283" s="9"/>
      <c r="J1283" s="1">
        <v>2683.34</v>
      </c>
      <c r="N1283" s="1" t="s">
        <v>13</v>
      </c>
      <c r="O1283" s="1">
        <v>39.200000000000003</v>
      </c>
    </row>
    <row r="1284" spans="4:15" x14ac:dyDescent="0.3">
      <c r="D1284" s="1">
        <v>10823</v>
      </c>
      <c r="E1284" s="2">
        <v>43628</v>
      </c>
      <c r="F1284" s="1" t="s">
        <v>7</v>
      </c>
      <c r="G1284" s="1">
        <v>3</v>
      </c>
      <c r="H1284" s="9"/>
      <c r="J1284" s="1">
        <v>143.27000000000001</v>
      </c>
      <c r="N1284" s="1" t="s">
        <v>10</v>
      </c>
      <c r="O1284" s="1">
        <v>3.2</v>
      </c>
    </row>
    <row r="1285" spans="4:15" x14ac:dyDescent="0.3">
      <c r="D1285" s="1">
        <v>13991</v>
      </c>
      <c r="E1285" s="2">
        <v>43530</v>
      </c>
      <c r="F1285" s="1" t="s">
        <v>9</v>
      </c>
      <c r="G1285" s="1">
        <v>24</v>
      </c>
      <c r="H1285" s="9"/>
      <c r="J1285" s="1">
        <v>182.65</v>
      </c>
      <c r="N1285" s="1" t="s">
        <v>10</v>
      </c>
      <c r="O1285" s="1">
        <v>2.9</v>
      </c>
    </row>
    <row r="1286" spans="4:15" x14ac:dyDescent="0.3">
      <c r="D1286" s="1">
        <v>1344</v>
      </c>
      <c r="E1286" s="2">
        <v>43570</v>
      </c>
      <c r="F1286" s="1" t="s">
        <v>7</v>
      </c>
      <c r="G1286" s="1">
        <v>15</v>
      </c>
      <c r="H1286" s="9"/>
      <c r="J1286" s="1">
        <v>893.35</v>
      </c>
      <c r="N1286" s="1" t="s">
        <v>10</v>
      </c>
      <c r="O1286" s="1">
        <v>5.6</v>
      </c>
    </row>
    <row r="1287" spans="4:15" x14ac:dyDescent="0.3">
      <c r="D1287" s="1">
        <v>14272</v>
      </c>
      <c r="E1287" s="2">
        <v>43507</v>
      </c>
      <c r="F1287" s="1" t="s">
        <v>14</v>
      </c>
      <c r="G1287" s="1">
        <v>32</v>
      </c>
      <c r="H1287" s="9"/>
      <c r="J1287" s="1">
        <v>2578.66</v>
      </c>
      <c r="N1287" s="1" t="s">
        <v>10</v>
      </c>
      <c r="O1287" s="1">
        <v>4.8</v>
      </c>
    </row>
    <row r="1288" spans="4:15" x14ac:dyDescent="0.3">
      <c r="D1288" s="1">
        <v>41671</v>
      </c>
      <c r="E1288" s="2">
        <v>43802</v>
      </c>
      <c r="F1288" s="1" t="s">
        <v>12</v>
      </c>
      <c r="G1288" s="1">
        <v>49</v>
      </c>
      <c r="H1288" s="9"/>
      <c r="J1288" s="1">
        <v>683.63369999999998</v>
      </c>
      <c r="N1288" s="1" t="s">
        <v>10</v>
      </c>
      <c r="O1288" s="1">
        <v>3.4</v>
      </c>
    </row>
    <row r="1289" spans="4:15" x14ac:dyDescent="0.3">
      <c r="D1289" s="1">
        <v>4896</v>
      </c>
      <c r="E1289" s="2">
        <v>43698</v>
      </c>
      <c r="F1289" s="1" t="s">
        <v>12</v>
      </c>
      <c r="G1289" s="1">
        <v>21</v>
      </c>
      <c r="H1289" s="9"/>
      <c r="J1289" s="1">
        <v>129.79</v>
      </c>
      <c r="N1289" s="1" t="s">
        <v>10</v>
      </c>
      <c r="O1289" s="1">
        <v>6</v>
      </c>
    </row>
    <row r="1290" spans="4:15" x14ac:dyDescent="0.3">
      <c r="D1290" s="1">
        <v>11650</v>
      </c>
      <c r="E1290" s="2">
        <v>43732</v>
      </c>
      <c r="F1290" s="1" t="s">
        <v>11</v>
      </c>
      <c r="G1290" s="1">
        <v>30</v>
      </c>
      <c r="H1290" s="9"/>
      <c r="J1290" s="1">
        <v>260.52999999999997</v>
      </c>
      <c r="N1290" s="1" t="s">
        <v>10</v>
      </c>
      <c r="O1290" s="1">
        <v>2.5</v>
      </c>
    </row>
    <row r="1291" spans="4:15" x14ac:dyDescent="0.3">
      <c r="D1291" s="1">
        <v>25377</v>
      </c>
      <c r="E1291" s="2">
        <v>43795</v>
      </c>
      <c r="F1291" s="1" t="s">
        <v>7</v>
      </c>
      <c r="G1291" s="1">
        <v>3</v>
      </c>
      <c r="H1291" s="9"/>
      <c r="J1291" s="1">
        <v>4647.5600000000004</v>
      </c>
      <c r="N1291" s="1" t="s">
        <v>13</v>
      </c>
      <c r="O1291" s="1">
        <v>31.8</v>
      </c>
    </row>
    <row r="1292" spans="4:15" x14ac:dyDescent="0.3">
      <c r="D1292" s="1">
        <v>43104</v>
      </c>
      <c r="E1292" s="2">
        <v>43766</v>
      </c>
      <c r="F1292" s="1" t="s">
        <v>9</v>
      </c>
      <c r="G1292" s="1">
        <v>50</v>
      </c>
      <c r="H1292" s="9"/>
      <c r="J1292" s="1">
        <v>4973.9164000000001</v>
      </c>
      <c r="N1292" s="1" t="s">
        <v>13</v>
      </c>
      <c r="O1292" s="1">
        <v>15</v>
      </c>
    </row>
    <row r="1293" spans="4:15" x14ac:dyDescent="0.3">
      <c r="D1293" s="1">
        <v>59558</v>
      </c>
      <c r="E1293" s="2">
        <v>43662</v>
      </c>
      <c r="F1293" s="1" t="s">
        <v>11</v>
      </c>
      <c r="G1293" s="1">
        <v>34</v>
      </c>
      <c r="H1293" s="9"/>
      <c r="J1293" s="1">
        <v>101.17919999999999</v>
      </c>
      <c r="N1293" s="1" t="s">
        <v>10</v>
      </c>
      <c r="O1293" s="1">
        <v>0.5</v>
      </c>
    </row>
    <row r="1294" spans="4:15" x14ac:dyDescent="0.3">
      <c r="D1294" s="1">
        <v>57638</v>
      </c>
      <c r="E1294" s="2">
        <v>43577</v>
      </c>
      <c r="F1294" s="1" t="s">
        <v>7</v>
      </c>
      <c r="G1294" s="1">
        <v>35</v>
      </c>
      <c r="H1294" s="9"/>
      <c r="J1294" s="1">
        <v>6142.47</v>
      </c>
      <c r="N1294" s="1" t="s">
        <v>13</v>
      </c>
      <c r="O1294" s="1">
        <v>31.1</v>
      </c>
    </row>
    <row r="1295" spans="4:15" x14ac:dyDescent="0.3">
      <c r="D1295" s="1">
        <v>2912</v>
      </c>
      <c r="E1295" s="2">
        <v>43535</v>
      </c>
      <c r="F1295" s="1" t="s">
        <v>7</v>
      </c>
      <c r="G1295" s="1">
        <v>7</v>
      </c>
      <c r="H1295" s="9"/>
      <c r="J1295" s="1">
        <v>17748.23</v>
      </c>
      <c r="N1295" s="1" t="s">
        <v>13</v>
      </c>
      <c r="O1295" s="1">
        <v>31.8</v>
      </c>
    </row>
    <row r="1296" spans="4:15" x14ac:dyDescent="0.3">
      <c r="D1296" s="1">
        <v>35712</v>
      </c>
      <c r="E1296" s="2">
        <v>43761</v>
      </c>
      <c r="F1296" s="1" t="s">
        <v>9</v>
      </c>
      <c r="G1296" s="1">
        <v>42</v>
      </c>
      <c r="H1296" s="9"/>
      <c r="J1296" s="1">
        <v>4206.3500000000004</v>
      </c>
      <c r="N1296" s="1" t="s">
        <v>10</v>
      </c>
      <c r="O1296" s="1">
        <v>7.7</v>
      </c>
    </row>
    <row r="1297" spans="4:15" x14ac:dyDescent="0.3">
      <c r="D1297" s="1">
        <v>58368</v>
      </c>
      <c r="E1297" s="2">
        <v>43655</v>
      </c>
      <c r="F1297" s="1" t="s">
        <v>9</v>
      </c>
      <c r="G1297" s="1">
        <v>4</v>
      </c>
      <c r="H1297" s="9"/>
      <c r="J1297" s="1">
        <v>15.23</v>
      </c>
      <c r="N1297" s="1" t="s">
        <v>10</v>
      </c>
      <c r="O1297" s="1">
        <v>5.7</v>
      </c>
    </row>
    <row r="1298" spans="4:15" x14ac:dyDescent="0.3">
      <c r="D1298" s="1">
        <v>57570</v>
      </c>
      <c r="E1298" s="2">
        <v>43736</v>
      </c>
      <c r="F1298" s="1" t="s">
        <v>9</v>
      </c>
      <c r="G1298" s="1">
        <v>15</v>
      </c>
      <c r="H1298" s="9"/>
      <c r="J1298" s="1">
        <v>722.5</v>
      </c>
      <c r="N1298" s="1" t="s">
        <v>10</v>
      </c>
      <c r="O1298" s="1">
        <v>7.7</v>
      </c>
    </row>
    <row r="1299" spans="4:15" x14ac:dyDescent="0.3">
      <c r="D1299" s="1">
        <v>19745</v>
      </c>
      <c r="E1299" s="2">
        <v>43817</v>
      </c>
      <c r="F1299" s="1" t="s">
        <v>9</v>
      </c>
      <c r="G1299" s="1">
        <v>29</v>
      </c>
      <c r="H1299" s="9"/>
      <c r="J1299" s="1">
        <v>9240.1</v>
      </c>
      <c r="N1299" s="1" t="s">
        <v>10</v>
      </c>
      <c r="O1299" s="1">
        <v>7.7</v>
      </c>
    </row>
    <row r="1300" spans="4:15" x14ac:dyDescent="0.3">
      <c r="D1300" s="1">
        <v>23174</v>
      </c>
      <c r="E1300" s="2">
        <v>43672</v>
      </c>
      <c r="F1300" s="1" t="s">
        <v>7</v>
      </c>
      <c r="G1300" s="1">
        <v>16</v>
      </c>
      <c r="H1300" s="9"/>
      <c r="J1300" s="1">
        <v>3798.39</v>
      </c>
      <c r="N1300" s="1" t="s">
        <v>13</v>
      </c>
      <c r="O1300" s="1">
        <v>68.7</v>
      </c>
    </row>
    <row r="1301" spans="4:15" x14ac:dyDescent="0.3">
      <c r="D1301" s="1">
        <v>51333</v>
      </c>
      <c r="E1301" s="2">
        <v>43742</v>
      </c>
      <c r="F1301" s="1" t="s">
        <v>11</v>
      </c>
      <c r="G1301" s="1">
        <v>25</v>
      </c>
      <c r="H1301" s="9"/>
      <c r="J1301" s="1">
        <v>253.98</v>
      </c>
      <c r="N1301" s="1" t="s">
        <v>10</v>
      </c>
      <c r="O1301" s="1">
        <v>10.6</v>
      </c>
    </row>
    <row r="1302" spans="4:15" x14ac:dyDescent="0.3">
      <c r="D1302" s="1">
        <v>832</v>
      </c>
      <c r="E1302" s="2">
        <v>43573</v>
      </c>
      <c r="F1302" s="1" t="s">
        <v>7</v>
      </c>
      <c r="G1302" s="1">
        <v>7</v>
      </c>
      <c r="H1302" s="9"/>
      <c r="J1302" s="1">
        <v>57.2</v>
      </c>
      <c r="N1302" s="1" t="s">
        <v>10</v>
      </c>
      <c r="O1302" s="1">
        <v>6.3</v>
      </c>
    </row>
    <row r="1303" spans="4:15" x14ac:dyDescent="0.3">
      <c r="D1303" s="1">
        <v>24775</v>
      </c>
      <c r="E1303" s="2">
        <v>43512</v>
      </c>
      <c r="F1303" s="1" t="s">
        <v>12</v>
      </c>
      <c r="G1303" s="1">
        <v>15</v>
      </c>
      <c r="H1303" s="9"/>
      <c r="J1303" s="1">
        <v>1729.83</v>
      </c>
      <c r="N1303" s="1" t="s">
        <v>13</v>
      </c>
      <c r="O1303" s="1">
        <v>60.2</v>
      </c>
    </row>
    <row r="1304" spans="4:15" x14ac:dyDescent="0.3">
      <c r="D1304" s="1">
        <v>18208</v>
      </c>
      <c r="E1304" s="2">
        <v>43556</v>
      </c>
      <c r="F1304" s="1" t="s">
        <v>11</v>
      </c>
      <c r="G1304" s="1">
        <v>34</v>
      </c>
      <c r="H1304" s="9"/>
      <c r="J1304" s="1">
        <v>211.27</v>
      </c>
      <c r="N1304" s="1" t="s">
        <v>10</v>
      </c>
      <c r="O1304" s="1">
        <v>1.5</v>
      </c>
    </row>
    <row r="1305" spans="4:15" x14ac:dyDescent="0.3">
      <c r="D1305" s="1">
        <v>51140</v>
      </c>
      <c r="E1305" s="2">
        <v>43722</v>
      </c>
      <c r="F1305" s="1" t="s">
        <v>7</v>
      </c>
      <c r="G1305" s="1">
        <v>28</v>
      </c>
      <c r="H1305" s="9"/>
      <c r="J1305" s="1">
        <v>141.25</v>
      </c>
      <c r="N1305" s="1" t="s">
        <v>10</v>
      </c>
      <c r="O1305" s="1">
        <v>5.5</v>
      </c>
    </row>
    <row r="1306" spans="4:15" x14ac:dyDescent="0.3">
      <c r="D1306" s="1">
        <v>28929</v>
      </c>
      <c r="E1306" s="2">
        <v>43747</v>
      </c>
      <c r="F1306" s="1" t="s">
        <v>14</v>
      </c>
      <c r="G1306" s="1">
        <v>37</v>
      </c>
      <c r="H1306" s="9"/>
      <c r="J1306" s="1">
        <v>247.14</v>
      </c>
      <c r="N1306" s="1" t="s">
        <v>10</v>
      </c>
      <c r="O1306" s="1">
        <v>8.8000000000000007</v>
      </c>
    </row>
    <row r="1307" spans="4:15" x14ac:dyDescent="0.3">
      <c r="D1307" s="1">
        <v>8033</v>
      </c>
      <c r="E1307" s="2">
        <v>43579</v>
      </c>
      <c r="F1307" s="1" t="s">
        <v>9</v>
      </c>
      <c r="G1307" s="1">
        <v>27</v>
      </c>
      <c r="H1307" s="9"/>
      <c r="J1307" s="1">
        <v>126.45</v>
      </c>
      <c r="N1307" s="1" t="s">
        <v>10</v>
      </c>
      <c r="O1307" s="1">
        <v>7.4</v>
      </c>
    </row>
    <row r="1308" spans="4:15" x14ac:dyDescent="0.3">
      <c r="D1308" s="1">
        <v>50403</v>
      </c>
      <c r="E1308" s="2">
        <v>43597</v>
      </c>
      <c r="F1308" s="1" t="s">
        <v>11</v>
      </c>
      <c r="G1308" s="1">
        <v>38</v>
      </c>
      <c r="H1308" s="9"/>
      <c r="J1308" s="1">
        <v>283.46440000000001</v>
      </c>
      <c r="N1308" s="1" t="s">
        <v>10</v>
      </c>
      <c r="O1308" s="1">
        <v>6.5</v>
      </c>
    </row>
    <row r="1309" spans="4:15" x14ac:dyDescent="0.3">
      <c r="D1309" s="1">
        <v>59015</v>
      </c>
      <c r="E1309" s="2">
        <v>43611</v>
      </c>
      <c r="F1309" s="1" t="s">
        <v>14</v>
      </c>
      <c r="G1309" s="1">
        <v>32</v>
      </c>
      <c r="H1309" s="9"/>
      <c r="J1309" s="1">
        <v>297.66000000000003</v>
      </c>
      <c r="N1309" s="1" t="s">
        <v>10</v>
      </c>
      <c r="O1309" s="1">
        <v>1</v>
      </c>
    </row>
    <row r="1310" spans="4:15" x14ac:dyDescent="0.3">
      <c r="D1310" s="1">
        <v>41063</v>
      </c>
      <c r="E1310" s="2">
        <v>43790</v>
      </c>
      <c r="F1310" s="1" t="s">
        <v>7</v>
      </c>
      <c r="G1310" s="1">
        <v>10</v>
      </c>
      <c r="H1310" s="9"/>
      <c r="J1310" s="1">
        <v>329.95</v>
      </c>
      <c r="N1310" s="1" t="s">
        <v>10</v>
      </c>
      <c r="O1310" s="1">
        <v>1.1000000000000001</v>
      </c>
    </row>
    <row r="1311" spans="4:15" x14ac:dyDescent="0.3">
      <c r="D1311" s="1">
        <v>17959</v>
      </c>
      <c r="E1311" s="2">
        <v>43717</v>
      </c>
      <c r="F1311" s="1" t="s">
        <v>14</v>
      </c>
      <c r="G1311" s="1">
        <v>21</v>
      </c>
      <c r="H1311" s="9"/>
      <c r="J1311" s="1">
        <v>2979.49</v>
      </c>
      <c r="N1311" s="1" t="s">
        <v>10</v>
      </c>
      <c r="O1311" s="1">
        <v>26.2</v>
      </c>
    </row>
    <row r="1312" spans="4:15" x14ac:dyDescent="0.3">
      <c r="D1312" s="1">
        <v>20003</v>
      </c>
      <c r="E1312" s="2">
        <v>43494</v>
      </c>
      <c r="F1312" s="1" t="s">
        <v>14</v>
      </c>
      <c r="G1312" s="1">
        <v>5</v>
      </c>
      <c r="H1312" s="9"/>
      <c r="J1312" s="1">
        <v>151.91</v>
      </c>
      <c r="N1312" s="1" t="s">
        <v>10</v>
      </c>
      <c r="O1312" s="1">
        <v>1.1000000000000001</v>
      </c>
    </row>
    <row r="1313" spans="4:15" x14ac:dyDescent="0.3">
      <c r="D1313" s="1">
        <v>31523</v>
      </c>
      <c r="E1313" s="2">
        <v>43532</v>
      </c>
      <c r="F1313" s="1" t="s">
        <v>7</v>
      </c>
      <c r="G1313" s="1">
        <v>17</v>
      </c>
      <c r="H1313" s="9"/>
      <c r="J1313" s="1">
        <v>113.2595</v>
      </c>
      <c r="N1313" s="1" t="s">
        <v>10</v>
      </c>
      <c r="O1313" s="1">
        <v>2.9</v>
      </c>
    </row>
    <row r="1314" spans="4:15" x14ac:dyDescent="0.3">
      <c r="D1314" s="1">
        <v>24672</v>
      </c>
      <c r="E1314" s="2">
        <v>43541</v>
      </c>
      <c r="F1314" s="1" t="s">
        <v>14</v>
      </c>
      <c r="G1314" s="1">
        <v>5</v>
      </c>
      <c r="H1314" s="9"/>
      <c r="J1314" s="1">
        <v>47.26</v>
      </c>
      <c r="N1314" s="1" t="s">
        <v>10</v>
      </c>
      <c r="O1314" s="1">
        <v>4.3</v>
      </c>
    </row>
    <row r="1315" spans="4:15" x14ac:dyDescent="0.3">
      <c r="D1315" s="1">
        <v>41921</v>
      </c>
      <c r="E1315" s="2">
        <v>43518</v>
      </c>
      <c r="F1315" s="1" t="s">
        <v>14</v>
      </c>
      <c r="G1315" s="1">
        <v>32</v>
      </c>
      <c r="H1315" s="9"/>
      <c r="J1315" s="1">
        <v>17455.46</v>
      </c>
      <c r="N1315" s="1" t="s">
        <v>13</v>
      </c>
      <c r="O1315" s="1">
        <v>27.8</v>
      </c>
    </row>
    <row r="1316" spans="4:15" x14ac:dyDescent="0.3">
      <c r="D1316" s="1">
        <v>18275</v>
      </c>
      <c r="E1316" s="2">
        <v>43474</v>
      </c>
      <c r="F1316" s="1" t="s">
        <v>7</v>
      </c>
      <c r="G1316" s="1">
        <v>25</v>
      </c>
      <c r="H1316" s="9"/>
      <c r="J1316" s="1">
        <v>345.32</v>
      </c>
      <c r="N1316" s="1" t="s">
        <v>10</v>
      </c>
      <c r="O1316" s="1">
        <v>5.3</v>
      </c>
    </row>
    <row r="1317" spans="4:15" x14ac:dyDescent="0.3">
      <c r="D1317" s="1">
        <v>33729</v>
      </c>
      <c r="E1317" s="2">
        <v>43727</v>
      </c>
      <c r="F1317" s="1" t="s">
        <v>11</v>
      </c>
      <c r="G1317" s="1">
        <v>26</v>
      </c>
      <c r="H1317" s="9"/>
      <c r="J1317" s="1">
        <v>7485.25</v>
      </c>
      <c r="N1317" s="1" t="s">
        <v>10</v>
      </c>
      <c r="O1317" s="1">
        <v>37.5</v>
      </c>
    </row>
    <row r="1318" spans="4:15" x14ac:dyDescent="0.3">
      <c r="D1318" s="1">
        <v>44992</v>
      </c>
      <c r="E1318" s="2">
        <v>43823</v>
      </c>
      <c r="F1318" s="1" t="s">
        <v>12</v>
      </c>
      <c r="G1318" s="1">
        <v>32</v>
      </c>
      <c r="H1318" s="9"/>
      <c r="J1318" s="1">
        <v>7607.96</v>
      </c>
      <c r="N1318" s="1" t="s">
        <v>13</v>
      </c>
      <c r="O1318" s="1">
        <v>74.5</v>
      </c>
    </row>
    <row r="1319" spans="4:15" x14ac:dyDescent="0.3">
      <c r="D1319" s="1">
        <v>40131</v>
      </c>
      <c r="E1319" s="2">
        <v>43587</v>
      </c>
      <c r="F1319" s="1" t="s">
        <v>7</v>
      </c>
      <c r="G1319" s="1">
        <v>24</v>
      </c>
      <c r="H1319" s="9"/>
      <c r="J1319" s="1">
        <v>238.0001</v>
      </c>
      <c r="N1319" s="1" t="s">
        <v>10</v>
      </c>
      <c r="O1319" s="1">
        <v>10.6</v>
      </c>
    </row>
    <row r="1320" spans="4:15" x14ac:dyDescent="0.3">
      <c r="D1320" s="1">
        <v>16711</v>
      </c>
      <c r="E1320" s="2">
        <v>43580</v>
      </c>
      <c r="F1320" s="1" t="s">
        <v>11</v>
      </c>
      <c r="G1320" s="1">
        <v>3</v>
      </c>
      <c r="H1320" s="9"/>
      <c r="J1320" s="1">
        <v>4.24</v>
      </c>
      <c r="N1320" s="1" t="s">
        <v>10</v>
      </c>
      <c r="O1320" s="1">
        <v>0.7</v>
      </c>
    </row>
    <row r="1321" spans="4:15" x14ac:dyDescent="0.3">
      <c r="D1321" s="1">
        <v>2209</v>
      </c>
      <c r="E1321" s="2">
        <v>43655</v>
      </c>
      <c r="F1321" s="1" t="s">
        <v>9</v>
      </c>
      <c r="G1321" s="1">
        <v>13</v>
      </c>
      <c r="H1321" s="9"/>
      <c r="J1321" s="1">
        <v>1354.08</v>
      </c>
      <c r="N1321" s="1" t="s">
        <v>10</v>
      </c>
      <c r="O1321" s="1">
        <v>3.2</v>
      </c>
    </row>
    <row r="1322" spans="4:15" x14ac:dyDescent="0.3">
      <c r="D1322" s="1">
        <v>48868</v>
      </c>
      <c r="E1322" s="2">
        <v>43629</v>
      </c>
      <c r="F1322" s="1" t="s">
        <v>11</v>
      </c>
      <c r="G1322" s="1">
        <v>47</v>
      </c>
      <c r="H1322" s="9"/>
      <c r="J1322" s="1">
        <v>8183.3279000000002</v>
      </c>
      <c r="N1322" s="1" t="s">
        <v>8</v>
      </c>
      <c r="O1322" s="1">
        <v>37.5</v>
      </c>
    </row>
    <row r="1323" spans="4:15" x14ac:dyDescent="0.3">
      <c r="D1323" s="1">
        <v>16390</v>
      </c>
      <c r="E1323" s="2">
        <v>43548</v>
      </c>
      <c r="F1323" s="1" t="s">
        <v>14</v>
      </c>
      <c r="G1323" s="1">
        <v>8</v>
      </c>
      <c r="H1323" s="9"/>
      <c r="J1323" s="1">
        <v>92.426599999999993</v>
      </c>
      <c r="N1323" s="1" t="s">
        <v>10</v>
      </c>
      <c r="O1323" s="1">
        <v>3.6</v>
      </c>
    </row>
    <row r="1324" spans="4:15" x14ac:dyDescent="0.3">
      <c r="D1324" s="1">
        <v>45698</v>
      </c>
      <c r="E1324" s="2">
        <v>43578</v>
      </c>
      <c r="F1324" s="1" t="s">
        <v>9</v>
      </c>
      <c r="G1324" s="1">
        <v>40</v>
      </c>
      <c r="H1324" s="9"/>
      <c r="J1324" s="1">
        <v>7018.14</v>
      </c>
      <c r="N1324" s="1" t="s">
        <v>10</v>
      </c>
      <c r="O1324" s="1">
        <v>21.4</v>
      </c>
    </row>
    <row r="1325" spans="4:15" x14ac:dyDescent="0.3">
      <c r="D1325" s="1">
        <v>29536</v>
      </c>
      <c r="E1325" s="2">
        <v>43715</v>
      </c>
      <c r="F1325" s="1" t="s">
        <v>14</v>
      </c>
      <c r="G1325" s="1">
        <v>5</v>
      </c>
      <c r="H1325" s="9"/>
      <c r="J1325" s="1">
        <v>529.99239999999998</v>
      </c>
      <c r="N1325" s="1" t="s">
        <v>13</v>
      </c>
      <c r="O1325" s="1">
        <v>16.8</v>
      </c>
    </row>
    <row r="1326" spans="4:15" x14ac:dyDescent="0.3">
      <c r="D1326" s="1">
        <v>43751</v>
      </c>
      <c r="E1326" s="2">
        <v>43643</v>
      </c>
      <c r="F1326" s="1" t="s">
        <v>9</v>
      </c>
      <c r="G1326" s="1">
        <v>43</v>
      </c>
      <c r="H1326" s="9"/>
      <c r="J1326" s="1">
        <v>664.94</v>
      </c>
      <c r="N1326" s="1" t="s">
        <v>10</v>
      </c>
      <c r="O1326" s="1">
        <v>4.8</v>
      </c>
    </row>
    <row r="1327" spans="4:15" x14ac:dyDescent="0.3">
      <c r="D1327" s="1">
        <v>20032</v>
      </c>
      <c r="E1327" s="2">
        <v>43774</v>
      </c>
      <c r="F1327" s="1" t="s">
        <v>14</v>
      </c>
      <c r="G1327" s="1">
        <v>8</v>
      </c>
      <c r="H1327" s="9"/>
      <c r="J1327" s="1">
        <v>147</v>
      </c>
      <c r="N1327" s="1" t="s">
        <v>10</v>
      </c>
      <c r="O1327" s="1">
        <v>2.1</v>
      </c>
    </row>
    <row r="1328" spans="4:15" x14ac:dyDescent="0.3">
      <c r="D1328" s="1">
        <v>28868</v>
      </c>
      <c r="E1328" s="2">
        <v>43560</v>
      </c>
      <c r="F1328" s="1" t="s">
        <v>9</v>
      </c>
      <c r="G1328" s="1">
        <v>30</v>
      </c>
      <c r="H1328" s="9"/>
      <c r="J1328" s="1">
        <v>218.8</v>
      </c>
      <c r="N1328" s="1" t="s">
        <v>10</v>
      </c>
      <c r="O1328" s="1">
        <v>9.3000000000000007</v>
      </c>
    </row>
    <row r="1329" spans="4:15" x14ac:dyDescent="0.3">
      <c r="D1329" s="1">
        <v>57537</v>
      </c>
      <c r="E1329" s="2">
        <v>43726</v>
      </c>
      <c r="F1329" s="1" t="s">
        <v>14</v>
      </c>
      <c r="G1329" s="1">
        <v>4</v>
      </c>
      <c r="H1329" s="9"/>
      <c r="J1329" s="1">
        <v>19.61</v>
      </c>
      <c r="N1329" s="1" t="s">
        <v>10</v>
      </c>
      <c r="O1329" s="1">
        <v>3.2</v>
      </c>
    </row>
    <row r="1330" spans="4:15" x14ac:dyDescent="0.3">
      <c r="D1330" s="1">
        <v>59905</v>
      </c>
      <c r="E1330" s="2">
        <v>43569</v>
      </c>
      <c r="F1330" s="1" t="s">
        <v>9</v>
      </c>
      <c r="G1330" s="1">
        <v>5</v>
      </c>
      <c r="H1330" s="9"/>
      <c r="J1330" s="1">
        <v>28.36</v>
      </c>
      <c r="N1330" s="1" t="s">
        <v>8</v>
      </c>
      <c r="O1330" s="1">
        <v>1.3</v>
      </c>
    </row>
    <row r="1331" spans="4:15" x14ac:dyDescent="0.3">
      <c r="D1331" s="1">
        <v>39266</v>
      </c>
      <c r="E1331" s="2">
        <v>43704</v>
      </c>
      <c r="F1331" s="1" t="s">
        <v>9</v>
      </c>
      <c r="G1331" s="1">
        <v>4</v>
      </c>
      <c r="H1331" s="9"/>
      <c r="J1331" s="1">
        <v>68.576300000000003</v>
      </c>
      <c r="N1331" s="1" t="s">
        <v>10</v>
      </c>
      <c r="O1331" s="1">
        <v>1.5</v>
      </c>
    </row>
    <row r="1332" spans="4:15" x14ac:dyDescent="0.3">
      <c r="D1332" s="1">
        <v>3970</v>
      </c>
      <c r="E1332" s="2">
        <v>43550</v>
      </c>
      <c r="F1332" s="1" t="s">
        <v>14</v>
      </c>
      <c r="G1332" s="1">
        <v>39</v>
      </c>
      <c r="H1332" s="9"/>
      <c r="J1332" s="1">
        <v>1105.28</v>
      </c>
      <c r="N1332" s="1" t="s">
        <v>10</v>
      </c>
      <c r="O1332" s="1">
        <v>2.1</v>
      </c>
    </row>
    <row r="1333" spans="4:15" x14ac:dyDescent="0.3">
      <c r="D1333" s="1">
        <v>58564</v>
      </c>
      <c r="E1333" s="2">
        <v>43781</v>
      </c>
      <c r="F1333" s="1" t="s">
        <v>12</v>
      </c>
      <c r="G1333" s="1">
        <v>49</v>
      </c>
      <c r="H1333" s="9"/>
      <c r="J1333" s="1">
        <v>110.24</v>
      </c>
      <c r="N1333" s="1" t="s">
        <v>10</v>
      </c>
      <c r="O1333" s="1">
        <v>2.7</v>
      </c>
    </row>
    <row r="1334" spans="4:15" x14ac:dyDescent="0.3">
      <c r="D1334" s="1">
        <v>54307</v>
      </c>
      <c r="E1334" s="2">
        <v>43472</v>
      </c>
      <c r="F1334" s="1" t="s">
        <v>9</v>
      </c>
      <c r="G1334" s="1">
        <v>14</v>
      </c>
      <c r="H1334" s="9"/>
      <c r="J1334" s="1">
        <v>4119.29</v>
      </c>
      <c r="N1334" s="1" t="s">
        <v>13</v>
      </c>
      <c r="O1334" s="1">
        <v>38.200000000000003</v>
      </c>
    </row>
    <row r="1335" spans="4:15" x14ac:dyDescent="0.3">
      <c r="D1335" s="1">
        <v>23748</v>
      </c>
      <c r="E1335" s="2">
        <v>43687</v>
      </c>
      <c r="F1335" s="1" t="s">
        <v>9</v>
      </c>
      <c r="G1335" s="1">
        <v>26</v>
      </c>
      <c r="H1335" s="9"/>
      <c r="J1335" s="1">
        <v>6594.9664000000002</v>
      </c>
      <c r="N1335" s="1" t="s">
        <v>13</v>
      </c>
      <c r="O1335" s="1">
        <v>30.7</v>
      </c>
    </row>
    <row r="1336" spans="4:15" x14ac:dyDescent="0.3">
      <c r="D1336" s="1">
        <v>38336</v>
      </c>
      <c r="E1336" s="2">
        <v>43743</v>
      </c>
      <c r="F1336" s="1" t="s">
        <v>12</v>
      </c>
      <c r="G1336" s="1">
        <v>31</v>
      </c>
      <c r="H1336" s="9"/>
      <c r="J1336" s="1">
        <v>370.83</v>
      </c>
      <c r="N1336" s="1" t="s">
        <v>10</v>
      </c>
      <c r="O1336" s="1">
        <v>7</v>
      </c>
    </row>
    <row r="1337" spans="4:15" x14ac:dyDescent="0.3">
      <c r="D1337" s="1">
        <v>36418</v>
      </c>
      <c r="E1337" s="2">
        <v>43491</v>
      </c>
      <c r="F1337" s="1" t="s">
        <v>11</v>
      </c>
      <c r="G1337" s="1">
        <v>33</v>
      </c>
      <c r="H1337" s="9"/>
      <c r="J1337" s="1">
        <v>222.47</v>
      </c>
      <c r="N1337" s="1" t="s">
        <v>8</v>
      </c>
      <c r="O1337" s="1">
        <v>7.5</v>
      </c>
    </row>
    <row r="1338" spans="4:15" x14ac:dyDescent="0.3">
      <c r="D1338" s="1">
        <v>54981</v>
      </c>
      <c r="E1338" s="2">
        <v>43506</v>
      </c>
      <c r="F1338" s="1" t="s">
        <v>9</v>
      </c>
      <c r="G1338" s="1">
        <v>31</v>
      </c>
      <c r="H1338" s="9"/>
      <c r="J1338" s="1">
        <v>1096.01</v>
      </c>
      <c r="N1338" s="1" t="s">
        <v>10</v>
      </c>
      <c r="O1338" s="1">
        <v>13.5</v>
      </c>
    </row>
    <row r="1339" spans="4:15" x14ac:dyDescent="0.3">
      <c r="D1339" s="1">
        <v>53156</v>
      </c>
      <c r="E1339" s="2">
        <v>43534</v>
      </c>
      <c r="F1339" s="1" t="s">
        <v>11</v>
      </c>
      <c r="G1339" s="1">
        <v>47</v>
      </c>
      <c r="H1339" s="9"/>
      <c r="J1339" s="1">
        <v>200.02</v>
      </c>
      <c r="N1339" s="1" t="s">
        <v>10</v>
      </c>
      <c r="O1339" s="1">
        <v>1.1000000000000001</v>
      </c>
    </row>
    <row r="1340" spans="4:15" x14ac:dyDescent="0.3">
      <c r="D1340" s="1">
        <v>41760</v>
      </c>
      <c r="E1340" s="2">
        <v>43491</v>
      </c>
      <c r="F1340" s="1" t="s">
        <v>7</v>
      </c>
      <c r="G1340" s="1">
        <v>22</v>
      </c>
      <c r="H1340" s="9"/>
      <c r="J1340" s="1">
        <v>264.7715</v>
      </c>
      <c r="N1340" s="1" t="s">
        <v>10</v>
      </c>
      <c r="O1340" s="1">
        <v>13.4</v>
      </c>
    </row>
    <row r="1341" spans="4:15" x14ac:dyDescent="0.3">
      <c r="D1341" s="1">
        <v>6693</v>
      </c>
      <c r="E1341" s="2">
        <v>43609</v>
      </c>
      <c r="F1341" s="1" t="s">
        <v>12</v>
      </c>
      <c r="G1341" s="1">
        <v>16</v>
      </c>
      <c r="H1341" s="9"/>
      <c r="J1341" s="1">
        <v>43.71</v>
      </c>
      <c r="N1341" s="1" t="s">
        <v>10</v>
      </c>
      <c r="O1341" s="1">
        <v>0.9</v>
      </c>
    </row>
    <row r="1342" spans="4:15" x14ac:dyDescent="0.3">
      <c r="D1342" s="1">
        <v>20807</v>
      </c>
      <c r="E1342" s="2">
        <v>43667</v>
      </c>
      <c r="F1342" s="1" t="s">
        <v>11</v>
      </c>
      <c r="G1342" s="1">
        <v>16</v>
      </c>
      <c r="H1342" s="9"/>
      <c r="J1342" s="1">
        <v>499.63</v>
      </c>
      <c r="N1342" s="1" t="s">
        <v>10</v>
      </c>
      <c r="O1342" s="1">
        <v>3.5</v>
      </c>
    </row>
    <row r="1343" spans="4:15" x14ac:dyDescent="0.3">
      <c r="D1343" s="1">
        <v>25447</v>
      </c>
      <c r="E1343" s="2">
        <v>43608</v>
      </c>
      <c r="F1343" s="1" t="s">
        <v>11</v>
      </c>
      <c r="G1343" s="1">
        <v>18</v>
      </c>
      <c r="H1343" s="9"/>
      <c r="J1343" s="1">
        <v>4738.5600000000004</v>
      </c>
      <c r="N1343" s="1" t="s">
        <v>13</v>
      </c>
      <c r="O1343" s="1">
        <v>57.9</v>
      </c>
    </row>
    <row r="1344" spans="4:15" x14ac:dyDescent="0.3">
      <c r="D1344" s="1">
        <v>48197</v>
      </c>
      <c r="E1344" s="2">
        <v>43590</v>
      </c>
      <c r="F1344" s="1" t="s">
        <v>11</v>
      </c>
      <c r="G1344" s="1">
        <v>32</v>
      </c>
      <c r="H1344" s="9"/>
      <c r="J1344" s="1">
        <v>1372.26</v>
      </c>
      <c r="N1344" s="1" t="s">
        <v>10</v>
      </c>
      <c r="O1344" s="1">
        <v>15.5</v>
      </c>
    </row>
    <row r="1345" spans="4:15" x14ac:dyDescent="0.3">
      <c r="D1345" s="1">
        <v>29921</v>
      </c>
      <c r="E1345" s="2">
        <v>43547</v>
      </c>
      <c r="F1345" s="1" t="s">
        <v>14</v>
      </c>
      <c r="G1345" s="1">
        <v>33</v>
      </c>
      <c r="H1345" s="9"/>
      <c r="J1345" s="1">
        <v>4256.43</v>
      </c>
      <c r="N1345" s="1" t="s">
        <v>10</v>
      </c>
      <c r="O1345" s="1">
        <v>9.6999999999999993</v>
      </c>
    </row>
    <row r="1346" spans="4:15" x14ac:dyDescent="0.3">
      <c r="D1346" s="1">
        <v>37287</v>
      </c>
      <c r="E1346" s="2">
        <v>43770</v>
      </c>
      <c r="F1346" s="1" t="s">
        <v>7</v>
      </c>
      <c r="G1346" s="1">
        <v>45</v>
      </c>
      <c r="H1346" s="9"/>
      <c r="J1346" s="1">
        <v>139.37</v>
      </c>
      <c r="N1346" s="1" t="s">
        <v>10</v>
      </c>
      <c r="O1346" s="1">
        <v>1.7</v>
      </c>
    </row>
    <row r="1347" spans="4:15" x14ac:dyDescent="0.3">
      <c r="D1347" s="1">
        <v>53223</v>
      </c>
      <c r="E1347" s="2">
        <v>43660</v>
      </c>
      <c r="F1347" s="1" t="s">
        <v>7</v>
      </c>
      <c r="G1347" s="1">
        <v>2</v>
      </c>
      <c r="H1347" s="9"/>
      <c r="J1347" s="1">
        <v>14.22</v>
      </c>
      <c r="N1347" s="1" t="s">
        <v>10</v>
      </c>
      <c r="O1347" s="1">
        <v>5.8</v>
      </c>
    </row>
    <row r="1348" spans="4:15" x14ac:dyDescent="0.3">
      <c r="D1348" s="1">
        <v>47815</v>
      </c>
      <c r="E1348" s="2">
        <v>43829</v>
      </c>
      <c r="F1348" s="1" t="s">
        <v>11</v>
      </c>
      <c r="G1348" s="1">
        <v>45</v>
      </c>
      <c r="H1348" s="9"/>
      <c r="J1348" s="1">
        <v>621.63</v>
      </c>
      <c r="N1348" s="1" t="s">
        <v>10</v>
      </c>
      <c r="O1348" s="1">
        <v>7.3</v>
      </c>
    </row>
    <row r="1349" spans="4:15" x14ac:dyDescent="0.3">
      <c r="D1349" s="1">
        <v>55366</v>
      </c>
      <c r="E1349" s="2">
        <v>43748</v>
      </c>
      <c r="F1349" s="1" t="s">
        <v>12</v>
      </c>
      <c r="G1349" s="1">
        <v>7</v>
      </c>
      <c r="H1349" s="9"/>
      <c r="J1349" s="1">
        <v>414.27</v>
      </c>
      <c r="N1349" s="1" t="s">
        <v>10</v>
      </c>
      <c r="O1349" s="1">
        <v>7</v>
      </c>
    </row>
    <row r="1350" spans="4:15" x14ac:dyDescent="0.3">
      <c r="D1350" s="1">
        <v>48643</v>
      </c>
      <c r="E1350" s="2">
        <v>43756</v>
      </c>
      <c r="F1350" s="1" t="s">
        <v>14</v>
      </c>
      <c r="G1350" s="1">
        <v>6</v>
      </c>
      <c r="H1350" s="9"/>
      <c r="J1350" s="1">
        <v>19.309999999999999</v>
      </c>
      <c r="N1350" s="1" t="s">
        <v>10</v>
      </c>
      <c r="O1350" s="1">
        <v>1.1000000000000001</v>
      </c>
    </row>
    <row r="1351" spans="4:15" x14ac:dyDescent="0.3">
      <c r="D1351" s="1">
        <v>8034</v>
      </c>
      <c r="E1351" s="2">
        <v>43483</v>
      </c>
      <c r="F1351" s="1" t="s">
        <v>9</v>
      </c>
      <c r="G1351" s="1">
        <v>36</v>
      </c>
      <c r="H1351" s="9"/>
      <c r="J1351" s="1">
        <v>1718.85</v>
      </c>
      <c r="N1351" s="1" t="s">
        <v>13</v>
      </c>
      <c r="O1351" s="1">
        <v>49.9</v>
      </c>
    </row>
    <row r="1352" spans="4:15" x14ac:dyDescent="0.3">
      <c r="D1352" s="1">
        <v>29991</v>
      </c>
      <c r="E1352" s="2">
        <v>43743</v>
      </c>
      <c r="F1352" s="1" t="s">
        <v>7</v>
      </c>
      <c r="G1352" s="1">
        <v>41</v>
      </c>
      <c r="H1352" s="9"/>
      <c r="J1352" s="1">
        <v>131.72999999999999</v>
      </c>
      <c r="N1352" s="1" t="s">
        <v>10</v>
      </c>
      <c r="O1352" s="1">
        <v>0.5</v>
      </c>
    </row>
    <row r="1353" spans="4:15" x14ac:dyDescent="0.3">
      <c r="D1353" s="1">
        <v>42564</v>
      </c>
      <c r="E1353" s="2">
        <v>43720</v>
      </c>
      <c r="F1353" s="1" t="s">
        <v>7</v>
      </c>
      <c r="G1353" s="1">
        <v>35</v>
      </c>
      <c r="H1353" s="9"/>
      <c r="J1353" s="1">
        <v>7991.68</v>
      </c>
      <c r="N1353" s="1" t="s">
        <v>13</v>
      </c>
      <c r="O1353" s="1">
        <v>25.4</v>
      </c>
    </row>
    <row r="1354" spans="4:15" x14ac:dyDescent="0.3">
      <c r="D1354" s="1">
        <v>49927</v>
      </c>
      <c r="E1354" s="2">
        <v>43666</v>
      </c>
      <c r="F1354" s="1" t="s">
        <v>11</v>
      </c>
      <c r="G1354" s="1">
        <v>26</v>
      </c>
      <c r="H1354" s="9"/>
      <c r="J1354" s="1">
        <v>149.31</v>
      </c>
      <c r="N1354" s="1" t="s">
        <v>10</v>
      </c>
      <c r="O1354" s="1">
        <v>5.3</v>
      </c>
    </row>
    <row r="1355" spans="4:15" x14ac:dyDescent="0.3">
      <c r="D1355" s="1">
        <v>32513</v>
      </c>
      <c r="E1355" s="2">
        <v>43497</v>
      </c>
      <c r="F1355" s="1" t="s">
        <v>7</v>
      </c>
      <c r="G1355" s="1">
        <v>23</v>
      </c>
      <c r="H1355" s="9"/>
      <c r="J1355" s="1">
        <v>4260.96</v>
      </c>
      <c r="N1355" s="1" t="s">
        <v>10</v>
      </c>
      <c r="O1355" s="1">
        <v>21.4</v>
      </c>
    </row>
    <row r="1356" spans="4:15" x14ac:dyDescent="0.3">
      <c r="D1356" s="1">
        <v>4099</v>
      </c>
      <c r="E1356" s="2">
        <v>43697</v>
      </c>
      <c r="F1356" s="1" t="s">
        <v>12</v>
      </c>
      <c r="G1356" s="1">
        <v>42</v>
      </c>
      <c r="H1356" s="9"/>
      <c r="J1356" s="1">
        <v>1809.92</v>
      </c>
      <c r="N1356" s="1" t="s">
        <v>10</v>
      </c>
      <c r="O1356" s="1">
        <v>6.7</v>
      </c>
    </row>
    <row r="1357" spans="4:15" x14ac:dyDescent="0.3">
      <c r="D1357" s="1">
        <v>51489</v>
      </c>
      <c r="E1357" s="2">
        <v>43527</v>
      </c>
      <c r="F1357" s="1" t="s">
        <v>12</v>
      </c>
      <c r="G1357" s="1">
        <v>22</v>
      </c>
      <c r="H1357" s="9"/>
      <c r="J1357" s="1">
        <v>41.6</v>
      </c>
      <c r="N1357" s="1" t="s">
        <v>10</v>
      </c>
      <c r="O1357" s="1">
        <v>1.7</v>
      </c>
    </row>
    <row r="1358" spans="4:15" x14ac:dyDescent="0.3">
      <c r="D1358" s="1">
        <v>17700</v>
      </c>
      <c r="E1358" s="2">
        <v>43765</v>
      </c>
      <c r="F1358" s="1" t="s">
        <v>12</v>
      </c>
      <c r="G1358" s="1">
        <v>20</v>
      </c>
      <c r="H1358" s="9"/>
      <c r="J1358" s="1">
        <v>2467.15</v>
      </c>
      <c r="N1358" s="1" t="s">
        <v>10</v>
      </c>
      <c r="O1358" s="1">
        <v>37.5</v>
      </c>
    </row>
    <row r="1359" spans="4:15" x14ac:dyDescent="0.3">
      <c r="D1359" s="1">
        <v>24576</v>
      </c>
      <c r="E1359" s="2">
        <v>43810</v>
      </c>
      <c r="F1359" s="1" t="s">
        <v>11</v>
      </c>
      <c r="G1359" s="1">
        <v>29</v>
      </c>
      <c r="H1359" s="9"/>
      <c r="J1359" s="1">
        <v>568.23739999999998</v>
      </c>
      <c r="N1359" s="1" t="s">
        <v>10</v>
      </c>
      <c r="O1359" s="1">
        <v>5.0999999999999996</v>
      </c>
    </row>
    <row r="1360" spans="4:15" x14ac:dyDescent="0.3">
      <c r="D1360" s="1">
        <v>1217</v>
      </c>
      <c r="E1360" s="2">
        <v>43580</v>
      </c>
      <c r="F1360" s="1" t="s">
        <v>11</v>
      </c>
      <c r="G1360" s="1">
        <v>25</v>
      </c>
      <c r="H1360" s="9"/>
      <c r="J1360" s="1">
        <v>708.51</v>
      </c>
      <c r="N1360" s="1" t="s">
        <v>10</v>
      </c>
      <c r="O1360" s="1">
        <v>2.1</v>
      </c>
    </row>
    <row r="1361" spans="4:15" x14ac:dyDescent="0.3">
      <c r="D1361" s="1">
        <v>12256</v>
      </c>
      <c r="E1361" s="2">
        <v>43817</v>
      </c>
      <c r="F1361" s="1" t="s">
        <v>14</v>
      </c>
      <c r="G1361" s="1">
        <v>44</v>
      </c>
      <c r="H1361" s="9"/>
      <c r="J1361" s="1">
        <v>126.22790000000001</v>
      </c>
      <c r="N1361" s="1" t="s">
        <v>10</v>
      </c>
      <c r="O1361" s="1">
        <v>0.5</v>
      </c>
    </row>
    <row r="1362" spans="4:15" x14ac:dyDescent="0.3">
      <c r="D1362" s="1">
        <v>37123</v>
      </c>
      <c r="E1362" s="2">
        <v>43513</v>
      </c>
      <c r="F1362" s="1" t="s">
        <v>9</v>
      </c>
      <c r="G1362" s="1">
        <v>50</v>
      </c>
      <c r="H1362" s="9"/>
      <c r="J1362" s="1">
        <v>850.2</v>
      </c>
      <c r="N1362" s="1" t="s">
        <v>13</v>
      </c>
      <c r="O1362" s="1">
        <v>29.7</v>
      </c>
    </row>
    <row r="1363" spans="4:15" x14ac:dyDescent="0.3">
      <c r="D1363" s="1">
        <v>29218</v>
      </c>
      <c r="E1363" s="2">
        <v>43614</v>
      </c>
      <c r="F1363" s="1" t="s">
        <v>7</v>
      </c>
      <c r="G1363" s="1">
        <v>19</v>
      </c>
      <c r="H1363" s="9"/>
      <c r="J1363" s="1">
        <v>1950.63</v>
      </c>
      <c r="N1363" s="1" t="s">
        <v>8</v>
      </c>
      <c r="O1363" s="1">
        <v>42.4</v>
      </c>
    </row>
    <row r="1364" spans="4:15" x14ac:dyDescent="0.3">
      <c r="D1364" s="1">
        <v>53120</v>
      </c>
      <c r="E1364" s="2">
        <v>43602</v>
      </c>
      <c r="F1364" s="1" t="s">
        <v>11</v>
      </c>
      <c r="G1364" s="1">
        <v>5</v>
      </c>
      <c r="H1364" s="9"/>
      <c r="J1364" s="1">
        <v>24.34</v>
      </c>
      <c r="N1364" s="1" t="s">
        <v>10</v>
      </c>
      <c r="O1364" s="1">
        <v>0.9</v>
      </c>
    </row>
    <row r="1365" spans="4:15" x14ac:dyDescent="0.3">
      <c r="D1365" s="1">
        <v>2562</v>
      </c>
      <c r="E1365" s="2">
        <v>43677</v>
      </c>
      <c r="F1365" s="1" t="s">
        <v>12</v>
      </c>
      <c r="G1365" s="1">
        <v>6</v>
      </c>
      <c r="H1365" s="9"/>
      <c r="J1365" s="1">
        <v>83.03</v>
      </c>
      <c r="N1365" s="1" t="s">
        <v>10</v>
      </c>
      <c r="O1365" s="1">
        <v>12</v>
      </c>
    </row>
    <row r="1366" spans="4:15" x14ac:dyDescent="0.3">
      <c r="D1366" s="1">
        <v>9632</v>
      </c>
      <c r="E1366" s="2">
        <v>43480</v>
      </c>
      <c r="F1366" s="1" t="s">
        <v>7</v>
      </c>
      <c r="G1366" s="1">
        <v>33</v>
      </c>
      <c r="H1366" s="9"/>
      <c r="J1366" s="1">
        <v>3887.34</v>
      </c>
      <c r="N1366" s="1" t="s">
        <v>10</v>
      </c>
      <c r="O1366" s="1">
        <v>9.6999999999999993</v>
      </c>
    </row>
    <row r="1367" spans="4:15" x14ac:dyDescent="0.3">
      <c r="D1367" s="1">
        <v>53221</v>
      </c>
      <c r="E1367" s="2">
        <v>43521</v>
      </c>
      <c r="F1367" s="1" t="s">
        <v>11</v>
      </c>
      <c r="G1367" s="1">
        <v>29</v>
      </c>
      <c r="H1367" s="9"/>
      <c r="J1367" s="1">
        <v>463.7808</v>
      </c>
      <c r="N1367" s="1" t="s">
        <v>10</v>
      </c>
      <c r="O1367" s="1">
        <v>4</v>
      </c>
    </row>
    <row r="1368" spans="4:15" x14ac:dyDescent="0.3">
      <c r="D1368" s="1">
        <v>58917</v>
      </c>
      <c r="E1368" s="2">
        <v>43526</v>
      </c>
      <c r="F1368" s="1" t="s">
        <v>9</v>
      </c>
      <c r="G1368" s="1">
        <v>27</v>
      </c>
      <c r="H1368" s="9"/>
      <c r="J1368" s="1">
        <v>15301.278200000001</v>
      </c>
      <c r="N1368" s="1" t="s">
        <v>10</v>
      </c>
      <c r="O1368" s="1">
        <v>26.2</v>
      </c>
    </row>
    <row r="1369" spans="4:15" x14ac:dyDescent="0.3">
      <c r="D1369" s="1">
        <v>17507</v>
      </c>
      <c r="E1369" s="2">
        <v>43628</v>
      </c>
      <c r="F1369" s="1" t="s">
        <v>14</v>
      </c>
      <c r="G1369" s="1">
        <v>22</v>
      </c>
      <c r="H1369" s="9"/>
      <c r="J1369" s="1">
        <v>5770.8</v>
      </c>
      <c r="N1369" s="1" t="s">
        <v>13</v>
      </c>
      <c r="O1369" s="1">
        <v>30</v>
      </c>
    </row>
    <row r="1370" spans="4:15" x14ac:dyDescent="0.3">
      <c r="D1370" s="1">
        <v>14727</v>
      </c>
      <c r="E1370" s="2">
        <v>43665</v>
      </c>
      <c r="F1370" s="1" t="s">
        <v>14</v>
      </c>
      <c r="G1370" s="1">
        <v>50</v>
      </c>
      <c r="H1370" s="9"/>
      <c r="J1370" s="1">
        <v>9129.4</v>
      </c>
      <c r="N1370" s="1" t="s">
        <v>13</v>
      </c>
      <c r="O1370" s="1">
        <v>55.9</v>
      </c>
    </row>
    <row r="1371" spans="4:15" x14ac:dyDescent="0.3">
      <c r="D1371" s="1">
        <v>54214</v>
      </c>
      <c r="E1371" s="2">
        <v>43466</v>
      </c>
      <c r="F1371" s="1" t="s">
        <v>14</v>
      </c>
      <c r="G1371" s="1">
        <v>38</v>
      </c>
      <c r="H1371" s="9"/>
      <c r="J1371" s="1">
        <v>7838.42</v>
      </c>
      <c r="N1371" s="1" t="s">
        <v>8</v>
      </c>
      <c r="O1371" s="1">
        <v>26.2</v>
      </c>
    </row>
    <row r="1372" spans="4:15" x14ac:dyDescent="0.3">
      <c r="D1372" s="1">
        <v>28611</v>
      </c>
      <c r="E1372" s="2">
        <v>43826</v>
      </c>
      <c r="F1372" s="1" t="s">
        <v>7</v>
      </c>
      <c r="G1372" s="1">
        <v>30</v>
      </c>
      <c r="H1372" s="9"/>
      <c r="J1372" s="1">
        <v>16411.21</v>
      </c>
      <c r="N1372" s="1" t="s">
        <v>10</v>
      </c>
      <c r="O1372" s="1">
        <v>21.4</v>
      </c>
    </row>
    <row r="1373" spans="4:15" x14ac:dyDescent="0.3">
      <c r="D1373" s="1">
        <v>47522</v>
      </c>
      <c r="E1373" s="2">
        <v>43761</v>
      </c>
      <c r="F1373" s="1" t="s">
        <v>9</v>
      </c>
      <c r="G1373" s="1">
        <v>5</v>
      </c>
      <c r="H1373" s="9"/>
      <c r="J1373" s="1">
        <v>86.2</v>
      </c>
      <c r="N1373" s="1" t="s">
        <v>10</v>
      </c>
      <c r="O1373" s="1">
        <v>1.5</v>
      </c>
    </row>
    <row r="1374" spans="4:15" x14ac:dyDescent="0.3">
      <c r="D1374" s="1">
        <v>42306</v>
      </c>
      <c r="E1374" s="2">
        <v>43722</v>
      </c>
      <c r="F1374" s="1" t="s">
        <v>9</v>
      </c>
      <c r="G1374" s="1">
        <v>18</v>
      </c>
      <c r="H1374" s="9"/>
      <c r="J1374" s="1">
        <v>50.72</v>
      </c>
      <c r="N1374" s="1" t="s">
        <v>10</v>
      </c>
      <c r="O1374" s="1">
        <v>5.6</v>
      </c>
    </row>
    <row r="1375" spans="4:15" x14ac:dyDescent="0.3">
      <c r="D1375" s="1">
        <v>3328</v>
      </c>
      <c r="E1375" s="2">
        <v>43787</v>
      </c>
      <c r="F1375" s="1" t="s">
        <v>7</v>
      </c>
      <c r="G1375" s="1">
        <v>12</v>
      </c>
      <c r="H1375" s="9"/>
      <c r="J1375" s="1">
        <v>1857.96</v>
      </c>
      <c r="N1375" s="1" t="s">
        <v>13</v>
      </c>
      <c r="O1375" s="1">
        <v>85.8</v>
      </c>
    </row>
    <row r="1376" spans="4:15" x14ac:dyDescent="0.3">
      <c r="D1376" s="1">
        <v>45860</v>
      </c>
      <c r="E1376" s="2">
        <v>43689</v>
      </c>
      <c r="F1376" s="1" t="s">
        <v>7</v>
      </c>
      <c r="G1376" s="1">
        <v>12</v>
      </c>
      <c r="H1376" s="9"/>
      <c r="J1376" s="1">
        <v>74.867900000000006</v>
      </c>
      <c r="N1376" s="1" t="s">
        <v>10</v>
      </c>
      <c r="O1376" s="1">
        <v>1</v>
      </c>
    </row>
    <row r="1377" spans="4:15" x14ac:dyDescent="0.3">
      <c r="D1377" s="1">
        <v>50758</v>
      </c>
      <c r="E1377" s="2">
        <v>43658</v>
      </c>
      <c r="F1377" s="1" t="s">
        <v>14</v>
      </c>
      <c r="G1377" s="1">
        <v>17</v>
      </c>
      <c r="H1377" s="9"/>
      <c r="J1377" s="1">
        <v>137.5</v>
      </c>
      <c r="N1377" s="1" t="s">
        <v>8</v>
      </c>
      <c r="O1377" s="1">
        <v>7.4</v>
      </c>
    </row>
    <row r="1378" spans="4:15" x14ac:dyDescent="0.3">
      <c r="D1378" s="1">
        <v>3297</v>
      </c>
      <c r="E1378" s="2">
        <v>43771</v>
      </c>
      <c r="F1378" s="1" t="s">
        <v>9</v>
      </c>
      <c r="G1378" s="1">
        <v>40</v>
      </c>
      <c r="H1378" s="9"/>
      <c r="J1378" s="1">
        <v>169.809</v>
      </c>
      <c r="N1378" s="1" t="s">
        <v>10</v>
      </c>
      <c r="O1378" s="1">
        <v>8</v>
      </c>
    </row>
    <row r="1379" spans="4:15" x14ac:dyDescent="0.3">
      <c r="D1379" s="1">
        <v>58084</v>
      </c>
      <c r="E1379" s="2">
        <v>43696</v>
      </c>
      <c r="F1379" s="1" t="s">
        <v>14</v>
      </c>
      <c r="G1379" s="1">
        <v>3</v>
      </c>
      <c r="H1379" s="9"/>
      <c r="J1379" s="1">
        <v>23.06</v>
      </c>
      <c r="N1379" s="1" t="s">
        <v>10</v>
      </c>
      <c r="O1379" s="1">
        <v>0.5</v>
      </c>
    </row>
    <row r="1380" spans="4:15" x14ac:dyDescent="0.3">
      <c r="D1380" s="1">
        <v>24098</v>
      </c>
      <c r="E1380" s="2">
        <v>43572</v>
      </c>
      <c r="F1380" s="1" t="s">
        <v>12</v>
      </c>
      <c r="G1380" s="1">
        <v>10</v>
      </c>
      <c r="H1380" s="9"/>
      <c r="J1380" s="1">
        <v>86.231300000000005</v>
      </c>
      <c r="N1380" s="1" t="s">
        <v>10</v>
      </c>
      <c r="O1380" s="1">
        <v>6.2</v>
      </c>
    </row>
    <row r="1381" spans="4:15" x14ac:dyDescent="0.3">
      <c r="D1381" s="1">
        <v>40706</v>
      </c>
      <c r="E1381" s="2">
        <v>43485</v>
      </c>
      <c r="F1381" s="1" t="s">
        <v>14</v>
      </c>
      <c r="G1381" s="1">
        <v>40</v>
      </c>
      <c r="H1381" s="9"/>
      <c r="J1381" s="1">
        <v>118.81</v>
      </c>
      <c r="N1381" s="1" t="s">
        <v>8</v>
      </c>
      <c r="O1381" s="1">
        <v>0.5</v>
      </c>
    </row>
    <row r="1382" spans="4:15" x14ac:dyDescent="0.3">
      <c r="D1382" s="1">
        <v>6501</v>
      </c>
      <c r="E1382" s="2">
        <v>43477</v>
      </c>
      <c r="F1382" s="1" t="s">
        <v>9</v>
      </c>
      <c r="G1382" s="1">
        <v>35</v>
      </c>
      <c r="H1382" s="9"/>
      <c r="J1382" s="1">
        <v>253.58</v>
      </c>
      <c r="N1382" s="1" t="s">
        <v>10</v>
      </c>
      <c r="O1382" s="1">
        <v>7.2</v>
      </c>
    </row>
    <row r="1383" spans="4:15" x14ac:dyDescent="0.3">
      <c r="D1383" s="1">
        <v>21253</v>
      </c>
      <c r="E1383" s="2">
        <v>43572</v>
      </c>
      <c r="F1383" s="1" t="s">
        <v>14</v>
      </c>
      <c r="G1383" s="1">
        <v>5</v>
      </c>
      <c r="H1383" s="9"/>
      <c r="J1383" s="1">
        <v>486.94</v>
      </c>
      <c r="N1383" s="1" t="s">
        <v>10</v>
      </c>
      <c r="O1383" s="1">
        <v>21.4</v>
      </c>
    </row>
    <row r="1384" spans="4:15" x14ac:dyDescent="0.3">
      <c r="D1384" s="1">
        <v>17508</v>
      </c>
      <c r="E1384" s="2">
        <v>43643</v>
      </c>
      <c r="F1384" s="1" t="s">
        <v>7</v>
      </c>
      <c r="G1384" s="1">
        <v>50</v>
      </c>
      <c r="H1384" s="9"/>
      <c r="J1384" s="1">
        <v>106.02</v>
      </c>
      <c r="N1384" s="1" t="s">
        <v>8</v>
      </c>
      <c r="O1384" s="1">
        <v>0.7</v>
      </c>
    </row>
    <row r="1385" spans="4:15" x14ac:dyDescent="0.3">
      <c r="D1385" s="1">
        <v>15236</v>
      </c>
      <c r="E1385" s="2">
        <v>43564</v>
      </c>
      <c r="F1385" s="1" t="s">
        <v>11</v>
      </c>
      <c r="G1385" s="1">
        <v>30</v>
      </c>
      <c r="H1385" s="9"/>
      <c r="J1385" s="1">
        <v>408.09</v>
      </c>
      <c r="N1385" s="1" t="s">
        <v>8</v>
      </c>
      <c r="O1385" s="1">
        <v>6.6</v>
      </c>
    </row>
    <row r="1386" spans="4:15" x14ac:dyDescent="0.3">
      <c r="D1386" s="1">
        <v>40608</v>
      </c>
      <c r="E1386" s="2">
        <v>43696</v>
      </c>
      <c r="F1386" s="1" t="s">
        <v>11</v>
      </c>
      <c r="G1386" s="1">
        <v>39</v>
      </c>
      <c r="H1386" s="9"/>
      <c r="J1386" s="1">
        <v>239.45529999999999</v>
      </c>
      <c r="N1386" s="1" t="s">
        <v>10</v>
      </c>
      <c r="O1386" s="1">
        <v>6.1</v>
      </c>
    </row>
    <row r="1387" spans="4:15" x14ac:dyDescent="0.3">
      <c r="D1387" s="1">
        <v>43488</v>
      </c>
      <c r="E1387" s="2">
        <v>43634</v>
      </c>
      <c r="F1387" s="1" t="s">
        <v>12</v>
      </c>
      <c r="G1387" s="1">
        <v>28</v>
      </c>
      <c r="H1387" s="9"/>
      <c r="J1387" s="1">
        <v>585.63</v>
      </c>
      <c r="N1387" s="1" t="s">
        <v>10</v>
      </c>
      <c r="O1387" s="1">
        <v>7.1</v>
      </c>
    </row>
    <row r="1388" spans="4:15" x14ac:dyDescent="0.3">
      <c r="D1388" s="1">
        <v>46368</v>
      </c>
      <c r="E1388" s="2">
        <v>43579</v>
      </c>
      <c r="F1388" s="1" t="s">
        <v>9</v>
      </c>
      <c r="G1388" s="1">
        <v>48</v>
      </c>
      <c r="H1388" s="9"/>
      <c r="J1388" s="1">
        <v>177.76</v>
      </c>
      <c r="N1388" s="1" t="s">
        <v>10</v>
      </c>
      <c r="O1388" s="1">
        <v>4.2</v>
      </c>
    </row>
    <row r="1389" spans="4:15" x14ac:dyDescent="0.3">
      <c r="D1389" s="1">
        <v>13633</v>
      </c>
      <c r="E1389" s="2">
        <v>43558</v>
      </c>
      <c r="F1389" s="1" t="s">
        <v>11</v>
      </c>
      <c r="G1389" s="1">
        <v>18</v>
      </c>
      <c r="H1389" s="9"/>
      <c r="J1389" s="1">
        <v>2892.61</v>
      </c>
      <c r="N1389" s="1" t="s">
        <v>13</v>
      </c>
      <c r="O1389" s="1">
        <v>61.2</v>
      </c>
    </row>
    <row r="1390" spans="4:15" x14ac:dyDescent="0.3">
      <c r="D1390" s="1">
        <v>293</v>
      </c>
      <c r="E1390" s="2">
        <v>43739</v>
      </c>
      <c r="F1390" s="1" t="s">
        <v>9</v>
      </c>
      <c r="G1390" s="1">
        <v>27</v>
      </c>
      <c r="H1390" s="9"/>
      <c r="J1390" s="1">
        <v>261.69</v>
      </c>
      <c r="N1390" s="1" t="s">
        <v>10</v>
      </c>
      <c r="O1390" s="1">
        <v>3.2</v>
      </c>
    </row>
    <row r="1391" spans="4:15" x14ac:dyDescent="0.3">
      <c r="D1391" s="1">
        <v>2885</v>
      </c>
      <c r="E1391" s="2">
        <v>43726</v>
      </c>
      <c r="F1391" s="1" t="s">
        <v>11</v>
      </c>
      <c r="G1391" s="1">
        <v>29</v>
      </c>
      <c r="H1391" s="9"/>
      <c r="J1391" s="1">
        <v>211.23</v>
      </c>
      <c r="N1391" s="1" t="s">
        <v>10</v>
      </c>
      <c r="O1391" s="1">
        <v>9</v>
      </c>
    </row>
    <row r="1392" spans="4:15" x14ac:dyDescent="0.3">
      <c r="D1392" s="1">
        <v>36229</v>
      </c>
      <c r="E1392" s="2">
        <v>43729</v>
      </c>
      <c r="F1392" s="1" t="s">
        <v>11</v>
      </c>
      <c r="G1392" s="1">
        <v>12</v>
      </c>
      <c r="H1392" s="9"/>
      <c r="J1392" s="1">
        <v>1567.86</v>
      </c>
      <c r="N1392" s="1" t="s">
        <v>10</v>
      </c>
      <c r="O1392" s="1">
        <v>7.6</v>
      </c>
    </row>
    <row r="1393" spans="4:15" x14ac:dyDescent="0.3">
      <c r="D1393" s="1">
        <v>48576</v>
      </c>
      <c r="E1393" s="2">
        <v>43800</v>
      </c>
      <c r="F1393" s="1" t="s">
        <v>11</v>
      </c>
      <c r="G1393" s="1">
        <v>17</v>
      </c>
      <c r="H1393" s="9"/>
      <c r="J1393" s="1">
        <v>497.11130000000003</v>
      </c>
      <c r="N1393" s="1" t="s">
        <v>10</v>
      </c>
      <c r="O1393" s="1">
        <v>1.6</v>
      </c>
    </row>
    <row r="1394" spans="4:15" x14ac:dyDescent="0.3">
      <c r="D1394" s="1">
        <v>52516</v>
      </c>
      <c r="E1394" s="2">
        <v>43469</v>
      </c>
      <c r="F1394" s="1" t="s">
        <v>9</v>
      </c>
      <c r="G1394" s="1">
        <v>50</v>
      </c>
      <c r="H1394" s="9"/>
      <c r="J1394" s="1">
        <v>5309.39</v>
      </c>
      <c r="N1394" s="1" t="s">
        <v>13</v>
      </c>
      <c r="O1394" s="1">
        <v>60.1</v>
      </c>
    </row>
    <row r="1395" spans="4:15" x14ac:dyDescent="0.3">
      <c r="D1395" s="1">
        <v>19143</v>
      </c>
      <c r="E1395" s="2">
        <v>43773</v>
      </c>
      <c r="F1395" s="1" t="s">
        <v>9</v>
      </c>
      <c r="G1395" s="1">
        <v>3</v>
      </c>
      <c r="H1395" s="9"/>
      <c r="J1395" s="1">
        <v>2590.4899999999998</v>
      </c>
      <c r="N1395" s="1" t="s">
        <v>13</v>
      </c>
      <c r="O1395" s="1">
        <v>17.2</v>
      </c>
    </row>
    <row r="1396" spans="4:15" x14ac:dyDescent="0.3">
      <c r="D1396" s="1">
        <v>59781</v>
      </c>
      <c r="E1396" s="2">
        <v>43811</v>
      </c>
      <c r="F1396" s="1" t="s">
        <v>11</v>
      </c>
      <c r="G1396" s="1">
        <v>24</v>
      </c>
      <c r="H1396" s="9"/>
      <c r="J1396" s="1">
        <v>185.24</v>
      </c>
      <c r="N1396" s="1" t="s">
        <v>10</v>
      </c>
      <c r="O1396" s="1">
        <v>11.9</v>
      </c>
    </row>
    <row r="1397" spans="4:15" x14ac:dyDescent="0.3">
      <c r="D1397" s="1">
        <v>3333</v>
      </c>
      <c r="E1397" s="2">
        <v>43723</v>
      </c>
      <c r="F1397" s="1" t="s">
        <v>11</v>
      </c>
      <c r="G1397" s="1">
        <v>42</v>
      </c>
      <c r="H1397" s="9"/>
      <c r="J1397" s="1">
        <v>992.93</v>
      </c>
      <c r="N1397" s="1" t="s">
        <v>10</v>
      </c>
      <c r="O1397" s="1">
        <v>4.8</v>
      </c>
    </row>
    <row r="1398" spans="4:15" x14ac:dyDescent="0.3">
      <c r="D1398" s="1">
        <v>24580</v>
      </c>
      <c r="E1398" s="2">
        <v>43639</v>
      </c>
      <c r="F1398" s="1" t="s">
        <v>9</v>
      </c>
      <c r="G1398" s="1">
        <v>25</v>
      </c>
      <c r="H1398" s="9"/>
      <c r="J1398" s="1">
        <v>1156.9100000000001</v>
      </c>
      <c r="N1398" s="1" t="s">
        <v>10</v>
      </c>
      <c r="O1398" s="1">
        <v>9.6</v>
      </c>
    </row>
    <row r="1399" spans="4:15" x14ac:dyDescent="0.3">
      <c r="D1399" s="1">
        <v>31297</v>
      </c>
      <c r="E1399" s="2">
        <v>43695</v>
      </c>
      <c r="F1399" s="1" t="s">
        <v>7</v>
      </c>
      <c r="G1399" s="1">
        <v>44</v>
      </c>
      <c r="H1399" s="9"/>
      <c r="J1399" s="1">
        <v>1690.13</v>
      </c>
      <c r="N1399" s="1" t="s">
        <v>10</v>
      </c>
      <c r="O1399" s="1">
        <v>5.3</v>
      </c>
    </row>
    <row r="1400" spans="4:15" x14ac:dyDescent="0.3">
      <c r="D1400" s="1">
        <v>1856</v>
      </c>
      <c r="E1400" s="2">
        <v>43543</v>
      </c>
      <c r="F1400" s="1" t="s">
        <v>11</v>
      </c>
      <c r="G1400" s="1">
        <v>43</v>
      </c>
      <c r="H1400" s="9"/>
      <c r="J1400" s="1">
        <v>4680.9146000000001</v>
      </c>
      <c r="N1400" s="1" t="s">
        <v>10</v>
      </c>
      <c r="O1400" s="1">
        <v>8.6</v>
      </c>
    </row>
    <row r="1401" spans="4:15" x14ac:dyDescent="0.3">
      <c r="D1401" s="1">
        <v>293</v>
      </c>
      <c r="E1401" s="2">
        <v>43739</v>
      </c>
      <c r="F1401" s="1" t="s">
        <v>9</v>
      </c>
      <c r="G1401" s="1">
        <v>49</v>
      </c>
      <c r="H1401" s="9"/>
      <c r="J1401" s="1">
        <v>10831.63</v>
      </c>
      <c r="N1401" s="1" t="s">
        <v>13</v>
      </c>
      <c r="O1401" s="1">
        <v>72.8</v>
      </c>
    </row>
    <row r="1402" spans="4:15" x14ac:dyDescent="0.3">
      <c r="D1402" s="1">
        <v>57093</v>
      </c>
      <c r="E1402" s="2">
        <v>43587</v>
      </c>
      <c r="F1402" s="1" t="s">
        <v>7</v>
      </c>
      <c r="G1402" s="1">
        <v>47</v>
      </c>
      <c r="H1402" s="9"/>
      <c r="J1402" s="1">
        <v>796.76</v>
      </c>
      <c r="N1402" s="1" t="s">
        <v>10</v>
      </c>
      <c r="O1402" s="1">
        <v>5.8</v>
      </c>
    </row>
    <row r="1403" spans="4:15" x14ac:dyDescent="0.3">
      <c r="D1403" s="1">
        <v>53984</v>
      </c>
      <c r="E1403" s="2">
        <v>43809</v>
      </c>
      <c r="F1403" s="1" t="s">
        <v>14</v>
      </c>
      <c r="G1403" s="1">
        <v>23</v>
      </c>
      <c r="H1403" s="9"/>
      <c r="J1403" s="1">
        <v>185</v>
      </c>
      <c r="N1403" s="1" t="s">
        <v>10</v>
      </c>
      <c r="O1403" s="1">
        <v>2.1</v>
      </c>
    </row>
    <row r="1404" spans="4:15" x14ac:dyDescent="0.3">
      <c r="D1404" s="1">
        <v>30343</v>
      </c>
      <c r="E1404" s="2">
        <v>43606</v>
      </c>
      <c r="F1404" s="1" t="s">
        <v>12</v>
      </c>
      <c r="G1404" s="1">
        <v>48</v>
      </c>
      <c r="H1404" s="9"/>
      <c r="J1404" s="1">
        <v>1665.37</v>
      </c>
      <c r="N1404" s="1" t="s">
        <v>10</v>
      </c>
      <c r="O1404" s="1">
        <v>9.3000000000000007</v>
      </c>
    </row>
    <row r="1405" spans="4:15" x14ac:dyDescent="0.3">
      <c r="D1405" s="1">
        <v>17862</v>
      </c>
      <c r="E1405" s="2">
        <v>43592</v>
      </c>
      <c r="F1405" s="1" t="s">
        <v>11</v>
      </c>
      <c r="G1405" s="1">
        <v>31</v>
      </c>
      <c r="H1405" s="9"/>
      <c r="J1405" s="1">
        <v>72.63</v>
      </c>
      <c r="N1405" s="1" t="s">
        <v>8</v>
      </c>
      <c r="O1405" s="1">
        <v>0.7</v>
      </c>
    </row>
    <row r="1406" spans="4:15" x14ac:dyDescent="0.3">
      <c r="D1406" s="1">
        <v>35012</v>
      </c>
      <c r="E1406" s="2">
        <v>43624</v>
      </c>
      <c r="F1406" s="1" t="s">
        <v>14</v>
      </c>
      <c r="G1406" s="1">
        <v>11</v>
      </c>
      <c r="H1406" s="9"/>
      <c r="J1406" s="1">
        <v>1894.12</v>
      </c>
      <c r="N1406" s="1" t="s">
        <v>10</v>
      </c>
      <c r="O1406" s="1">
        <v>4.5</v>
      </c>
    </row>
    <row r="1407" spans="4:15" x14ac:dyDescent="0.3">
      <c r="D1407" s="1">
        <v>16897</v>
      </c>
      <c r="E1407" s="2">
        <v>43631</v>
      </c>
      <c r="F1407" s="1" t="s">
        <v>11</v>
      </c>
      <c r="G1407" s="1">
        <v>48</v>
      </c>
      <c r="H1407" s="9"/>
      <c r="J1407" s="1">
        <v>115.24</v>
      </c>
      <c r="N1407" s="1" t="s">
        <v>10</v>
      </c>
      <c r="O1407" s="1">
        <v>1.1000000000000001</v>
      </c>
    </row>
    <row r="1408" spans="4:15" x14ac:dyDescent="0.3">
      <c r="D1408" s="1">
        <v>17061</v>
      </c>
      <c r="E1408" s="2">
        <v>43768</v>
      </c>
      <c r="F1408" s="1" t="s">
        <v>12</v>
      </c>
      <c r="G1408" s="1">
        <v>28</v>
      </c>
      <c r="H1408" s="9"/>
      <c r="J1408" s="1">
        <v>86.17</v>
      </c>
      <c r="N1408" s="1" t="s">
        <v>10</v>
      </c>
      <c r="O1408" s="1">
        <v>0.7</v>
      </c>
    </row>
    <row r="1409" spans="4:15" x14ac:dyDescent="0.3">
      <c r="D1409" s="1">
        <v>33222</v>
      </c>
      <c r="E1409" s="2">
        <v>43635</v>
      </c>
      <c r="F1409" s="1" t="s">
        <v>14</v>
      </c>
      <c r="G1409" s="1">
        <v>48</v>
      </c>
      <c r="H1409" s="9"/>
      <c r="J1409" s="1">
        <v>155.86000000000001</v>
      </c>
      <c r="N1409" s="1" t="s">
        <v>10</v>
      </c>
      <c r="O1409" s="1">
        <v>0.7</v>
      </c>
    </row>
    <row r="1410" spans="4:15" x14ac:dyDescent="0.3">
      <c r="D1410" s="1">
        <v>17797</v>
      </c>
      <c r="E1410" s="2">
        <v>43656</v>
      </c>
      <c r="F1410" s="1" t="s">
        <v>7</v>
      </c>
      <c r="G1410" s="1">
        <v>16</v>
      </c>
      <c r="H1410" s="9"/>
      <c r="J1410" s="1">
        <v>65.83</v>
      </c>
      <c r="N1410" s="1" t="s">
        <v>10</v>
      </c>
      <c r="O1410" s="1">
        <v>2.7</v>
      </c>
    </row>
    <row r="1411" spans="4:15" x14ac:dyDescent="0.3">
      <c r="D1411" s="1">
        <v>9312</v>
      </c>
      <c r="E1411" s="2">
        <v>43603</v>
      </c>
      <c r="F1411" s="1" t="s">
        <v>11</v>
      </c>
      <c r="G1411" s="1">
        <v>43</v>
      </c>
      <c r="H1411" s="9"/>
      <c r="J1411" s="1">
        <v>1241.7885000000001</v>
      </c>
      <c r="N1411" s="1" t="s">
        <v>13</v>
      </c>
      <c r="O1411" s="1">
        <v>15.4</v>
      </c>
    </row>
    <row r="1412" spans="4:15" x14ac:dyDescent="0.3">
      <c r="D1412" s="1">
        <v>37313</v>
      </c>
      <c r="E1412" s="2">
        <v>43648</v>
      </c>
      <c r="F1412" s="1" t="s">
        <v>11</v>
      </c>
      <c r="G1412" s="1">
        <v>44</v>
      </c>
      <c r="H1412" s="9"/>
      <c r="J1412" s="1">
        <v>3535.69</v>
      </c>
      <c r="N1412" s="1" t="s">
        <v>10</v>
      </c>
      <c r="O1412" s="1">
        <v>40.200000000000003</v>
      </c>
    </row>
    <row r="1413" spans="4:15" x14ac:dyDescent="0.3">
      <c r="D1413" s="1">
        <v>23619</v>
      </c>
      <c r="E1413" s="2">
        <v>43820</v>
      </c>
      <c r="F1413" s="1" t="s">
        <v>14</v>
      </c>
      <c r="G1413" s="1">
        <v>45</v>
      </c>
      <c r="H1413" s="9"/>
      <c r="J1413" s="1">
        <v>305.92</v>
      </c>
      <c r="N1413" s="1" t="s">
        <v>10</v>
      </c>
      <c r="O1413" s="1">
        <v>5.6</v>
      </c>
    </row>
    <row r="1414" spans="4:15" x14ac:dyDescent="0.3">
      <c r="D1414" s="1">
        <v>37185</v>
      </c>
      <c r="E1414" s="2">
        <v>43769</v>
      </c>
      <c r="F1414" s="1" t="s">
        <v>9</v>
      </c>
      <c r="G1414" s="1">
        <v>8</v>
      </c>
      <c r="H1414" s="9"/>
      <c r="J1414" s="1">
        <v>24.813300000000002</v>
      </c>
      <c r="N1414" s="1" t="s">
        <v>10</v>
      </c>
      <c r="O1414" s="1">
        <v>2.6</v>
      </c>
    </row>
    <row r="1415" spans="4:15" x14ac:dyDescent="0.3">
      <c r="D1415" s="1">
        <v>59075</v>
      </c>
      <c r="E1415" s="2">
        <v>43521</v>
      </c>
      <c r="F1415" s="1" t="s">
        <v>7</v>
      </c>
      <c r="G1415" s="1">
        <v>4</v>
      </c>
      <c r="H1415" s="9"/>
      <c r="J1415" s="1">
        <v>23.37</v>
      </c>
      <c r="N1415" s="1" t="s">
        <v>10</v>
      </c>
      <c r="O1415" s="1">
        <v>2.6</v>
      </c>
    </row>
    <row r="1416" spans="4:15" x14ac:dyDescent="0.3">
      <c r="D1416" s="1">
        <v>12837</v>
      </c>
      <c r="E1416" s="2">
        <v>43801</v>
      </c>
      <c r="F1416" s="1" t="s">
        <v>14</v>
      </c>
      <c r="G1416" s="1">
        <v>22</v>
      </c>
      <c r="H1416" s="9"/>
      <c r="J1416" s="1">
        <v>70.819999999999993</v>
      </c>
      <c r="N1416" s="1" t="s">
        <v>10</v>
      </c>
      <c r="O1416" s="1">
        <v>1.1000000000000001</v>
      </c>
    </row>
    <row r="1417" spans="4:15" x14ac:dyDescent="0.3">
      <c r="D1417" s="1">
        <v>32994</v>
      </c>
      <c r="E1417" s="2">
        <v>43724</v>
      </c>
      <c r="F1417" s="1" t="s">
        <v>12</v>
      </c>
      <c r="G1417" s="1">
        <v>34</v>
      </c>
      <c r="H1417" s="9"/>
      <c r="J1417" s="1">
        <v>242.26</v>
      </c>
      <c r="N1417" s="1" t="s">
        <v>10</v>
      </c>
      <c r="O1417" s="1">
        <v>9.3000000000000007</v>
      </c>
    </row>
    <row r="1418" spans="4:15" x14ac:dyDescent="0.3">
      <c r="D1418" s="1">
        <v>31042</v>
      </c>
      <c r="E1418" s="2">
        <v>43788</v>
      </c>
      <c r="F1418" s="1" t="s">
        <v>14</v>
      </c>
      <c r="G1418" s="1">
        <v>48</v>
      </c>
      <c r="H1418" s="9"/>
      <c r="J1418" s="1">
        <v>143.94</v>
      </c>
      <c r="N1418" s="1" t="s">
        <v>10</v>
      </c>
      <c r="O1418" s="1">
        <v>1.3</v>
      </c>
    </row>
    <row r="1419" spans="4:15" x14ac:dyDescent="0.3">
      <c r="D1419" s="1">
        <v>47846</v>
      </c>
      <c r="E1419" s="2">
        <v>43688</v>
      </c>
      <c r="F1419" s="1" t="s">
        <v>9</v>
      </c>
      <c r="G1419" s="1">
        <v>25</v>
      </c>
      <c r="H1419" s="9"/>
      <c r="J1419" s="1">
        <v>2861.3726000000001</v>
      </c>
      <c r="N1419" s="1" t="s">
        <v>10</v>
      </c>
      <c r="O1419" s="1">
        <v>15</v>
      </c>
    </row>
    <row r="1420" spans="4:15" x14ac:dyDescent="0.3">
      <c r="D1420" s="1">
        <v>52130</v>
      </c>
      <c r="E1420" s="2">
        <v>43713</v>
      </c>
      <c r="F1420" s="1" t="s">
        <v>7</v>
      </c>
      <c r="G1420" s="1">
        <v>36</v>
      </c>
      <c r="H1420" s="9"/>
      <c r="J1420" s="1">
        <v>1537.11</v>
      </c>
      <c r="N1420" s="1" t="s">
        <v>10</v>
      </c>
      <c r="O1420" s="1">
        <v>20.3</v>
      </c>
    </row>
    <row r="1421" spans="4:15" x14ac:dyDescent="0.3">
      <c r="D1421" s="1">
        <v>39490</v>
      </c>
      <c r="E1421" s="2">
        <v>43689</v>
      </c>
      <c r="F1421" s="1" t="s">
        <v>7</v>
      </c>
      <c r="G1421" s="1">
        <v>38</v>
      </c>
      <c r="H1421" s="9"/>
      <c r="J1421" s="1">
        <v>487.95</v>
      </c>
      <c r="N1421" s="1" t="s">
        <v>10</v>
      </c>
      <c r="O1421" s="1">
        <v>6.2</v>
      </c>
    </row>
    <row r="1422" spans="4:15" x14ac:dyDescent="0.3">
      <c r="D1422" s="1">
        <v>27299</v>
      </c>
      <c r="E1422" s="2">
        <v>43682</v>
      </c>
      <c r="F1422" s="1" t="s">
        <v>12</v>
      </c>
      <c r="G1422" s="1">
        <v>41</v>
      </c>
      <c r="H1422" s="9"/>
      <c r="J1422" s="1">
        <v>858.31</v>
      </c>
      <c r="N1422" s="1" t="s">
        <v>10</v>
      </c>
      <c r="O1422" s="1">
        <v>15.9</v>
      </c>
    </row>
    <row r="1423" spans="4:15" x14ac:dyDescent="0.3">
      <c r="D1423" s="1">
        <v>38532</v>
      </c>
      <c r="E1423" s="2">
        <v>43663</v>
      </c>
      <c r="F1423" s="1" t="s">
        <v>9</v>
      </c>
      <c r="G1423" s="1">
        <v>44</v>
      </c>
      <c r="H1423" s="9"/>
      <c r="J1423" s="1">
        <v>137.19999999999999</v>
      </c>
      <c r="N1423" s="1" t="s">
        <v>10</v>
      </c>
      <c r="O1423" s="1">
        <v>0.7</v>
      </c>
    </row>
    <row r="1424" spans="4:15" x14ac:dyDescent="0.3">
      <c r="D1424" s="1">
        <v>52290</v>
      </c>
      <c r="E1424" s="2">
        <v>43606</v>
      </c>
      <c r="F1424" s="1" t="s">
        <v>7</v>
      </c>
      <c r="G1424" s="1">
        <v>28</v>
      </c>
      <c r="H1424" s="9"/>
      <c r="J1424" s="1">
        <v>1572.95</v>
      </c>
      <c r="N1424" s="1" t="s">
        <v>10</v>
      </c>
      <c r="O1424" s="1">
        <v>5.3</v>
      </c>
    </row>
    <row r="1425" spans="4:15" x14ac:dyDescent="0.3">
      <c r="D1425" s="1">
        <v>59491</v>
      </c>
      <c r="E1425" s="2">
        <v>43548</v>
      </c>
      <c r="F1425" s="1" t="s">
        <v>9</v>
      </c>
      <c r="G1425" s="1">
        <v>6</v>
      </c>
      <c r="H1425" s="9"/>
      <c r="J1425" s="1">
        <v>61.95</v>
      </c>
      <c r="N1425" s="1" t="s">
        <v>10</v>
      </c>
      <c r="O1425" s="1">
        <v>12.3</v>
      </c>
    </row>
    <row r="1426" spans="4:15" x14ac:dyDescent="0.3">
      <c r="D1426" s="1">
        <v>58369</v>
      </c>
      <c r="E1426" s="2">
        <v>43707</v>
      </c>
      <c r="F1426" s="1" t="s">
        <v>9</v>
      </c>
      <c r="G1426" s="1">
        <v>16</v>
      </c>
      <c r="H1426" s="9"/>
      <c r="J1426" s="1">
        <v>2154.77</v>
      </c>
      <c r="N1426" s="1" t="s">
        <v>13</v>
      </c>
      <c r="O1426" s="1">
        <v>60.1</v>
      </c>
    </row>
    <row r="1427" spans="4:15" x14ac:dyDescent="0.3">
      <c r="D1427" s="1">
        <v>8035</v>
      </c>
      <c r="E1427" s="2">
        <v>43525</v>
      </c>
      <c r="F1427" s="1" t="s">
        <v>14</v>
      </c>
      <c r="G1427" s="1">
        <v>7</v>
      </c>
      <c r="H1427" s="9"/>
      <c r="J1427" s="1">
        <v>111.69</v>
      </c>
      <c r="N1427" s="1" t="s">
        <v>10</v>
      </c>
      <c r="O1427" s="1">
        <v>7.2</v>
      </c>
    </row>
    <row r="1428" spans="4:15" x14ac:dyDescent="0.3">
      <c r="D1428" s="1">
        <v>19394</v>
      </c>
      <c r="E1428" s="2">
        <v>43824</v>
      </c>
      <c r="F1428" s="1" t="s">
        <v>14</v>
      </c>
      <c r="G1428" s="1">
        <v>5</v>
      </c>
      <c r="H1428" s="9"/>
      <c r="J1428" s="1">
        <v>576.95000000000005</v>
      </c>
      <c r="N1428" s="1" t="s">
        <v>10</v>
      </c>
      <c r="O1428" s="1">
        <v>9.4</v>
      </c>
    </row>
    <row r="1429" spans="4:15" x14ac:dyDescent="0.3">
      <c r="D1429" s="1">
        <v>24707</v>
      </c>
      <c r="E1429" s="2">
        <v>43534</v>
      </c>
      <c r="F1429" s="1" t="s">
        <v>14</v>
      </c>
      <c r="G1429" s="1">
        <v>14</v>
      </c>
      <c r="H1429" s="9"/>
      <c r="J1429" s="1">
        <v>2098.69</v>
      </c>
      <c r="N1429" s="1" t="s">
        <v>10</v>
      </c>
      <c r="O1429" s="1">
        <v>26.2</v>
      </c>
    </row>
    <row r="1430" spans="4:15" x14ac:dyDescent="0.3">
      <c r="D1430" s="1">
        <v>24677</v>
      </c>
      <c r="E1430" s="2">
        <v>43529</v>
      </c>
      <c r="F1430" s="1" t="s">
        <v>7</v>
      </c>
      <c r="G1430" s="1">
        <v>44</v>
      </c>
      <c r="H1430" s="9"/>
      <c r="J1430" s="1">
        <v>389.91</v>
      </c>
      <c r="N1430" s="1" t="s">
        <v>10</v>
      </c>
      <c r="O1430" s="1">
        <v>2.1</v>
      </c>
    </row>
    <row r="1431" spans="4:15" x14ac:dyDescent="0.3">
      <c r="D1431" s="1">
        <v>16935</v>
      </c>
      <c r="E1431" s="2">
        <v>43814</v>
      </c>
      <c r="F1431" s="1" t="s">
        <v>11</v>
      </c>
      <c r="G1431" s="1">
        <v>3</v>
      </c>
      <c r="H1431" s="9"/>
      <c r="J1431" s="1">
        <v>15.77</v>
      </c>
      <c r="N1431" s="1" t="s">
        <v>10</v>
      </c>
      <c r="O1431" s="1">
        <v>1.3</v>
      </c>
    </row>
    <row r="1432" spans="4:15" x14ac:dyDescent="0.3">
      <c r="D1432" s="1">
        <v>1285</v>
      </c>
      <c r="E1432" s="2">
        <v>43616</v>
      </c>
      <c r="F1432" s="1" t="s">
        <v>12</v>
      </c>
      <c r="G1432" s="1">
        <v>8</v>
      </c>
      <c r="H1432" s="9"/>
      <c r="J1432" s="1">
        <v>1553.87</v>
      </c>
      <c r="N1432" s="1" t="s">
        <v>13</v>
      </c>
      <c r="O1432" s="1">
        <v>74.5</v>
      </c>
    </row>
    <row r="1433" spans="4:15" x14ac:dyDescent="0.3">
      <c r="D1433" s="1">
        <v>49344</v>
      </c>
      <c r="E1433" s="2">
        <v>43829</v>
      </c>
      <c r="F1433" s="1" t="s">
        <v>7</v>
      </c>
      <c r="G1433" s="1">
        <v>31</v>
      </c>
      <c r="H1433" s="9"/>
      <c r="J1433" s="1">
        <v>720.04</v>
      </c>
      <c r="N1433" s="1" t="s">
        <v>10</v>
      </c>
      <c r="O1433" s="1">
        <v>4.3</v>
      </c>
    </row>
    <row r="1434" spans="4:15" x14ac:dyDescent="0.3">
      <c r="D1434" s="1">
        <v>322</v>
      </c>
      <c r="E1434" s="2">
        <v>43542</v>
      </c>
      <c r="F1434" s="1" t="s">
        <v>12</v>
      </c>
      <c r="G1434" s="1">
        <v>46</v>
      </c>
      <c r="H1434" s="9"/>
      <c r="J1434" s="1">
        <v>300.67</v>
      </c>
      <c r="N1434" s="1" t="s">
        <v>10</v>
      </c>
      <c r="O1434" s="1">
        <v>10.8</v>
      </c>
    </row>
    <row r="1435" spans="4:15" x14ac:dyDescent="0.3">
      <c r="D1435" s="1">
        <v>36864</v>
      </c>
      <c r="E1435" s="2">
        <v>43675</v>
      </c>
      <c r="F1435" s="1" t="s">
        <v>7</v>
      </c>
      <c r="G1435" s="1">
        <v>9</v>
      </c>
      <c r="H1435" s="9"/>
      <c r="J1435" s="1">
        <v>59.37</v>
      </c>
      <c r="N1435" s="1" t="s">
        <v>10</v>
      </c>
      <c r="O1435" s="1">
        <v>1</v>
      </c>
    </row>
    <row r="1436" spans="4:15" x14ac:dyDescent="0.3">
      <c r="D1436" s="1">
        <v>33284</v>
      </c>
      <c r="E1436" s="2">
        <v>43555</v>
      </c>
      <c r="F1436" s="1" t="s">
        <v>7</v>
      </c>
      <c r="G1436" s="1">
        <v>21</v>
      </c>
      <c r="H1436" s="9"/>
      <c r="J1436" s="1">
        <v>514.02</v>
      </c>
      <c r="N1436" s="1" t="s">
        <v>10</v>
      </c>
      <c r="O1436" s="1">
        <v>9.6</v>
      </c>
    </row>
    <row r="1437" spans="4:15" x14ac:dyDescent="0.3">
      <c r="D1437" s="1">
        <v>24580</v>
      </c>
      <c r="E1437" s="2">
        <v>43639</v>
      </c>
      <c r="F1437" s="1" t="s">
        <v>9</v>
      </c>
      <c r="G1437" s="1">
        <v>14</v>
      </c>
      <c r="H1437" s="9"/>
      <c r="J1437" s="1">
        <v>38.96</v>
      </c>
      <c r="N1437" s="1" t="s">
        <v>10</v>
      </c>
      <c r="O1437" s="1">
        <v>4.9000000000000004</v>
      </c>
    </row>
    <row r="1438" spans="4:15" x14ac:dyDescent="0.3">
      <c r="D1438" s="1">
        <v>9281</v>
      </c>
      <c r="E1438" s="2">
        <v>43518</v>
      </c>
      <c r="F1438" s="1" t="s">
        <v>12</v>
      </c>
      <c r="G1438" s="1">
        <v>24</v>
      </c>
      <c r="H1438" s="9"/>
      <c r="J1438" s="1">
        <v>73.8</v>
      </c>
      <c r="N1438" s="1" t="s">
        <v>10</v>
      </c>
      <c r="O1438" s="1">
        <v>1</v>
      </c>
    </row>
    <row r="1439" spans="4:15" x14ac:dyDescent="0.3">
      <c r="D1439" s="1">
        <v>2209</v>
      </c>
      <c r="E1439" s="2">
        <v>43655</v>
      </c>
      <c r="F1439" s="1" t="s">
        <v>9</v>
      </c>
      <c r="G1439" s="1">
        <v>42</v>
      </c>
      <c r="H1439" s="9"/>
      <c r="J1439" s="1">
        <v>186.81</v>
      </c>
      <c r="N1439" s="1" t="s">
        <v>10</v>
      </c>
      <c r="O1439" s="1">
        <v>1</v>
      </c>
    </row>
    <row r="1440" spans="4:15" x14ac:dyDescent="0.3">
      <c r="D1440" s="1">
        <v>9573</v>
      </c>
      <c r="E1440" s="2">
        <v>43629</v>
      </c>
      <c r="F1440" s="1" t="s">
        <v>14</v>
      </c>
      <c r="G1440" s="1">
        <v>21</v>
      </c>
      <c r="H1440" s="9"/>
      <c r="J1440" s="1">
        <v>156.49</v>
      </c>
      <c r="N1440" s="1" t="s">
        <v>8</v>
      </c>
      <c r="O1440" s="1">
        <v>1.1000000000000001</v>
      </c>
    </row>
    <row r="1441" spans="4:15" x14ac:dyDescent="0.3">
      <c r="D1441" s="1">
        <v>42177</v>
      </c>
      <c r="E1441" s="2">
        <v>43615</v>
      </c>
      <c r="F1441" s="1" t="s">
        <v>11</v>
      </c>
      <c r="G1441" s="1">
        <v>49</v>
      </c>
      <c r="H1441" s="9"/>
      <c r="J1441" s="1">
        <v>1286.07</v>
      </c>
      <c r="N1441" s="1" t="s">
        <v>10</v>
      </c>
      <c r="O1441" s="1">
        <v>9.1999999999999993</v>
      </c>
    </row>
    <row r="1442" spans="4:15" x14ac:dyDescent="0.3">
      <c r="D1442" s="1">
        <v>46212</v>
      </c>
      <c r="E1442" s="2">
        <v>43720</v>
      </c>
      <c r="F1442" s="1" t="s">
        <v>11</v>
      </c>
      <c r="G1442" s="1">
        <v>43</v>
      </c>
      <c r="H1442" s="9"/>
      <c r="J1442" s="1">
        <v>345.04</v>
      </c>
      <c r="N1442" s="1" t="s">
        <v>8</v>
      </c>
      <c r="O1442" s="1">
        <v>2.7</v>
      </c>
    </row>
    <row r="1443" spans="4:15" x14ac:dyDescent="0.3">
      <c r="D1443" s="1">
        <v>46631</v>
      </c>
      <c r="E1443" s="2">
        <v>43535</v>
      </c>
      <c r="F1443" s="1" t="s">
        <v>11</v>
      </c>
      <c r="G1443" s="1">
        <v>39</v>
      </c>
      <c r="H1443" s="9"/>
      <c r="J1443" s="1">
        <v>996</v>
      </c>
      <c r="N1443" s="1" t="s">
        <v>10</v>
      </c>
      <c r="O1443" s="1">
        <v>18.100000000000001</v>
      </c>
    </row>
    <row r="1444" spans="4:15" x14ac:dyDescent="0.3">
      <c r="D1444" s="1">
        <v>55335</v>
      </c>
      <c r="E1444" s="2">
        <v>43723</v>
      </c>
      <c r="F1444" s="1" t="s">
        <v>11</v>
      </c>
      <c r="G1444" s="1">
        <v>30</v>
      </c>
      <c r="H1444" s="9"/>
      <c r="J1444" s="1">
        <v>9292.1299999999992</v>
      </c>
      <c r="N1444" s="1" t="s">
        <v>13</v>
      </c>
      <c r="O1444" s="1">
        <v>38.200000000000003</v>
      </c>
    </row>
    <row r="1445" spans="4:15" x14ac:dyDescent="0.3">
      <c r="D1445" s="1">
        <v>45476</v>
      </c>
      <c r="E1445" s="2">
        <v>43573</v>
      </c>
      <c r="F1445" s="1" t="s">
        <v>12</v>
      </c>
      <c r="G1445" s="1">
        <v>48</v>
      </c>
      <c r="H1445" s="9"/>
      <c r="J1445" s="1">
        <v>1129.9000000000001</v>
      </c>
      <c r="N1445" s="1" t="s">
        <v>10</v>
      </c>
      <c r="O1445" s="1">
        <v>6.4</v>
      </c>
    </row>
    <row r="1446" spans="4:15" x14ac:dyDescent="0.3">
      <c r="D1446" s="1">
        <v>27265</v>
      </c>
      <c r="E1446" s="2">
        <v>43591</v>
      </c>
      <c r="F1446" s="1" t="s">
        <v>12</v>
      </c>
      <c r="G1446" s="1">
        <v>49</v>
      </c>
      <c r="H1446" s="9"/>
      <c r="J1446" s="1">
        <v>16030.46</v>
      </c>
      <c r="N1446" s="1" t="s">
        <v>10</v>
      </c>
      <c r="O1446" s="1">
        <v>12.5</v>
      </c>
    </row>
    <row r="1447" spans="4:15" x14ac:dyDescent="0.3">
      <c r="D1447" s="1">
        <v>5378</v>
      </c>
      <c r="E1447" s="2">
        <v>43762</v>
      </c>
      <c r="F1447" s="1" t="s">
        <v>12</v>
      </c>
      <c r="G1447" s="1">
        <v>6</v>
      </c>
      <c r="H1447" s="9"/>
      <c r="J1447" s="1">
        <v>58.08</v>
      </c>
      <c r="N1447" s="1" t="s">
        <v>8</v>
      </c>
      <c r="O1447" s="1">
        <v>5.6</v>
      </c>
    </row>
    <row r="1448" spans="4:15" x14ac:dyDescent="0.3">
      <c r="D1448" s="1">
        <v>42437</v>
      </c>
      <c r="E1448" s="2">
        <v>43529</v>
      </c>
      <c r="F1448" s="1" t="s">
        <v>12</v>
      </c>
      <c r="G1448" s="1">
        <v>14</v>
      </c>
      <c r="H1448" s="9"/>
      <c r="J1448" s="1">
        <v>335.82</v>
      </c>
      <c r="N1448" s="1" t="s">
        <v>10</v>
      </c>
      <c r="O1448" s="1">
        <v>9.6</v>
      </c>
    </row>
    <row r="1449" spans="4:15" x14ac:dyDescent="0.3">
      <c r="D1449" s="1">
        <v>15715</v>
      </c>
      <c r="E1449" s="2">
        <v>43753</v>
      </c>
      <c r="F1449" s="1" t="s">
        <v>12</v>
      </c>
      <c r="G1449" s="1">
        <v>43</v>
      </c>
      <c r="H1449" s="9"/>
      <c r="J1449" s="1">
        <v>2272.2948000000001</v>
      </c>
      <c r="N1449" s="1" t="s">
        <v>10</v>
      </c>
      <c r="O1449" s="1">
        <v>6.3</v>
      </c>
    </row>
    <row r="1450" spans="4:15" x14ac:dyDescent="0.3">
      <c r="D1450" s="1">
        <v>52678</v>
      </c>
      <c r="E1450" s="2">
        <v>43675</v>
      </c>
      <c r="F1450" s="1" t="s">
        <v>9</v>
      </c>
      <c r="G1450" s="1">
        <v>3</v>
      </c>
      <c r="H1450" s="9"/>
      <c r="J1450" s="1">
        <v>120.69</v>
      </c>
      <c r="N1450" s="1" t="s">
        <v>13</v>
      </c>
      <c r="O1450" s="1">
        <v>56.7</v>
      </c>
    </row>
    <row r="1451" spans="4:15" x14ac:dyDescent="0.3">
      <c r="D1451" s="1">
        <v>19777</v>
      </c>
      <c r="E1451" s="2">
        <v>43757</v>
      </c>
      <c r="F1451" s="1" t="s">
        <v>11</v>
      </c>
      <c r="G1451" s="1">
        <v>24</v>
      </c>
      <c r="H1451" s="9"/>
      <c r="J1451" s="1">
        <v>3497.56</v>
      </c>
      <c r="N1451" s="1" t="s">
        <v>10</v>
      </c>
      <c r="O1451" s="1">
        <v>8.6</v>
      </c>
    </row>
    <row r="1452" spans="4:15" x14ac:dyDescent="0.3">
      <c r="D1452" s="1">
        <v>51424</v>
      </c>
      <c r="E1452" s="2">
        <v>43473</v>
      </c>
      <c r="F1452" s="1" t="s">
        <v>11</v>
      </c>
      <c r="G1452" s="1">
        <v>48</v>
      </c>
      <c r="H1452" s="9"/>
      <c r="J1452" s="1">
        <v>121.9586</v>
      </c>
      <c r="N1452" s="1" t="s">
        <v>10</v>
      </c>
      <c r="O1452" s="1">
        <v>0.9</v>
      </c>
    </row>
    <row r="1453" spans="4:15" x14ac:dyDescent="0.3">
      <c r="D1453" s="1">
        <v>21605</v>
      </c>
      <c r="E1453" s="2">
        <v>43563</v>
      </c>
      <c r="F1453" s="1" t="s">
        <v>9</v>
      </c>
      <c r="G1453" s="1">
        <v>46</v>
      </c>
      <c r="H1453" s="9"/>
      <c r="J1453" s="1">
        <v>509.84</v>
      </c>
      <c r="N1453" s="1" t="s">
        <v>10</v>
      </c>
      <c r="O1453" s="1">
        <v>5.5</v>
      </c>
    </row>
    <row r="1454" spans="4:15" x14ac:dyDescent="0.3">
      <c r="D1454" s="1">
        <v>11874</v>
      </c>
      <c r="E1454" s="2">
        <v>43717</v>
      </c>
      <c r="F1454" s="1" t="s">
        <v>14</v>
      </c>
      <c r="G1454" s="1">
        <v>1</v>
      </c>
      <c r="H1454" s="9"/>
      <c r="J1454" s="1">
        <v>43.11</v>
      </c>
      <c r="N1454" s="1" t="s">
        <v>10</v>
      </c>
      <c r="O1454" s="1">
        <v>9.3000000000000007</v>
      </c>
    </row>
    <row r="1455" spans="4:15" x14ac:dyDescent="0.3">
      <c r="D1455" s="1">
        <v>7841</v>
      </c>
      <c r="E1455" s="2">
        <v>43605</v>
      </c>
      <c r="F1455" s="1" t="s">
        <v>11</v>
      </c>
      <c r="G1455" s="1">
        <v>17</v>
      </c>
      <c r="H1455" s="9"/>
      <c r="J1455" s="1">
        <v>190.61</v>
      </c>
      <c r="N1455" s="1" t="s">
        <v>10</v>
      </c>
      <c r="O1455" s="1">
        <v>2.2000000000000002</v>
      </c>
    </row>
    <row r="1456" spans="4:15" x14ac:dyDescent="0.3">
      <c r="D1456" s="1">
        <v>29221</v>
      </c>
      <c r="E1456" s="2">
        <v>43614</v>
      </c>
      <c r="F1456" s="1" t="s">
        <v>9</v>
      </c>
      <c r="G1456" s="1">
        <v>41</v>
      </c>
      <c r="H1456" s="9"/>
      <c r="J1456" s="1">
        <v>348.1</v>
      </c>
      <c r="N1456" s="1" t="s">
        <v>10</v>
      </c>
      <c r="O1456" s="1">
        <v>6.2</v>
      </c>
    </row>
    <row r="1457" spans="4:15" x14ac:dyDescent="0.3">
      <c r="D1457" s="1">
        <v>55011</v>
      </c>
      <c r="E1457" s="2">
        <v>43468</v>
      </c>
      <c r="F1457" s="1" t="s">
        <v>12</v>
      </c>
      <c r="G1457" s="1">
        <v>18</v>
      </c>
      <c r="H1457" s="9"/>
      <c r="J1457" s="1">
        <v>59.727400000000003</v>
      </c>
      <c r="N1457" s="1" t="s">
        <v>10</v>
      </c>
      <c r="O1457" s="1">
        <v>0.9</v>
      </c>
    </row>
    <row r="1458" spans="4:15" x14ac:dyDescent="0.3">
      <c r="D1458" s="1">
        <v>37287</v>
      </c>
      <c r="E1458" s="2">
        <v>43770</v>
      </c>
      <c r="F1458" s="1" t="s">
        <v>7</v>
      </c>
      <c r="G1458" s="1">
        <v>18</v>
      </c>
      <c r="H1458" s="9"/>
      <c r="J1458" s="1">
        <v>130.97999999999999</v>
      </c>
      <c r="N1458" s="1" t="s">
        <v>10</v>
      </c>
      <c r="O1458" s="1">
        <v>5.3</v>
      </c>
    </row>
    <row r="1459" spans="4:15" x14ac:dyDescent="0.3">
      <c r="D1459" s="1">
        <v>29282</v>
      </c>
      <c r="E1459" s="2">
        <v>43797</v>
      </c>
      <c r="F1459" s="1" t="s">
        <v>14</v>
      </c>
      <c r="G1459" s="1">
        <v>4</v>
      </c>
      <c r="H1459" s="9"/>
      <c r="J1459" s="1">
        <v>36.668900000000001</v>
      </c>
      <c r="N1459" s="1" t="s">
        <v>10</v>
      </c>
      <c r="O1459" s="1">
        <v>10.199999999999999</v>
      </c>
    </row>
    <row r="1460" spans="4:15" x14ac:dyDescent="0.3">
      <c r="D1460" s="1">
        <v>22951</v>
      </c>
      <c r="E1460" s="2">
        <v>43588</v>
      </c>
      <c r="F1460" s="1" t="s">
        <v>14</v>
      </c>
      <c r="G1460" s="1">
        <v>24</v>
      </c>
      <c r="H1460" s="9"/>
      <c r="J1460" s="1">
        <v>1395.31</v>
      </c>
      <c r="N1460" s="1" t="s">
        <v>10</v>
      </c>
      <c r="O1460" s="1">
        <v>9.6</v>
      </c>
    </row>
    <row r="1461" spans="4:15" x14ac:dyDescent="0.3">
      <c r="D1461" s="1">
        <v>21796</v>
      </c>
      <c r="E1461" s="2">
        <v>43591</v>
      </c>
      <c r="F1461" s="1" t="s">
        <v>7</v>
      </c>
      <c r="G1461" s="1">
        <v>46</v>
      </c>
      <c r="H1461" s="9"/>
      <c r="J1461" s="1">
        <v>5076.76</v>
      </c>
      <c r="N1461" s="1" t="s">
        <v>10</v>
      </c>
      <c r="O1461" s="1">
        <v>21.4</v>
      </c>
    </row>
    <row r="1462" spans="4:15" x14ac:dyDescent="0.3">
      <c r="D1462" s="1">
        <v>56740</v>
      </c>
      <c r="E1462" s="2">
        <v>43754</v>
      </c>
      <c r="F1462" s="1" t="s">
        <v>12</v>
      </c>
      <c r="G1462" s="1">
        <v>33</v>
      </c>
      <c r="H1462" s="9"/>
      <c r="J1462" s="1">
        <v>708.56</v>
      </c>
      <c r="N1462" s="1" t="s">
        <v>10</v>
      </c>
      <c r="O1462" s="1">
        <v>3.9</v>
      </c>
    </row>
    <row r="1463" spans="4:15" x14ac:dyDescent="0.3">
      <c r="D1463" s="1">
        <v>53762</v>
      </c>
      <c r="E1463" s="2">
        <v>43617</v>
      </c>
      <c r="F1463" s="1" t="s">
        <v>12</v>
      </c>
      <c r="G1463" s="1">
        <v>28</v>
      </c>
      <c r="H1463" s="9"/>
      <c r="J1463" s="1">
        <v>145.69</v>
      </c>
      <c r="N1463" s="1" t="s">
        <v>10</v>
      </c>
      <c r="O1463" s="1">
        <v>0.5</v>
      </c>
    </row>
    <row r="1464" spans="4:15" x14ac:dyDescent="0.3">
      <c r="D1464" s="1">
        <v>6018</v>
      </c>
      <c r="E1464" s="2">
        <v>43695</v>
      </c>
      <c r="F1464" s="1" t="s">
        <v>7</v>
      </c>
      <c r="G1464" s="1">
        <v>39</v>
      </c>
      <c r="H1464" s="9"/>
      <c r="J1464" s="1">
        <v>220.52</v>
      </c>
      <c r="N1464" s="1" t="s">
        <v>10</v>
      </c>
      <c r="O1464" s="1">
        <v>2.2000000000000002</v>
      </c>
    </row>
    <row r="1465" spans="4:15" x14ac:dyDescent="0.3">
      <c r="D1465" s="1">
        <v>3810</v>
      </c>
      <c r="E1465" s="2">
        <v>43724</v>
      </c>
      <c r="F1465" s="1" t="s">
        <v>12</v>
      </c>
      <c r="G1465" s="1">
        <v>40</v>
      </c>
      <c r="H1465" s="9"/>
      <c r="J1465" s="1">
        <v>237.39</v>
      </c>
      <c r="N1465" s="1" t="s">
        <v>10</v>
      </c>
      <c r="O1465" s="1">
        <v>52.4</v>
      </c>
    </row>
    <row r="1466" spans="4:15" x14ac:dyDescent="0.3">
      <c r="D1466" s="1">
        <v>22055</v>
      </c>
      <c r="E1466" s="2">
        <v>43731</v>
      </c>
      <c r="F1466" s="1" t="s">
        <v>14</v>
      </c>
      <c r="G1466" s="1">
        <v>40</v>
      </c>
      <c r="H1466" s="9"/>
      <c r="J1466" s="1">
        <v>6577.55</v>
      </c>
      <c r="N1466" s="1" t="s">
        <v>13</v>
      </c>
      <c r="O1466" s="1">
        <v>32.1</v>
      </c>
    </row>
    <row r="1467" spans="4:15" x14ac:dyDescent="0.3">
      <c r="D1467" s="1">
        <v>34662</v>
      </c>
      <c r="E1467" s="2">
        <v>43474</v>
      </c>
      <c r="F1467" s="1" t="s">
        <v>12</v>
      </c>
      <c r="G1467" s="1">
        <v>35</v>
      </c>
      <c r="H1467" s="9"/>
      <c r="J1467" s="1">
        <v>13633.736699999999</v>
      </c>
      <c r="N1467" s="1" t="s">
        <v>13</v>
      </c>
      <c r="O1467" s="1">
        <v>105.9</v>
      </c>
    </row>
    <row r="1468" spans="4:15" x14ac:dyDescent="0.3">
      <c r="D1468" s="1">
        <v>45317</v>
      </c>
      <c r="E1468" s="2">
        <v>43525</v>
      </c>
      <c r="F1468" s="1" t="s">
        <v>7</v>
      </c>
      <c r="G1468" s="1">
        <v>28</v>
      </c>
      <c r="H1468" s="9"/>
      <c r="J1468" s="1">
        <v>1028.3342</v>
      </c>
      <c r="N1468" s="1" t="s">
        <v>10</v>
      </c>
      <c r="O1468" s="1">
        <v>5.4</v>
      </c>
    </row>
    <row r="1469" spans="4:15" x14ac:dyDescent="0.3">
      <c r="D1469" s="1">
        <v>21665</v>
      </c>
      <c r="E1469" s="2">
        <v>43753</v>
      </c>
      <c r="F1469" s="1" t="s">
        <v>9</v>
      </c>
      <c r="G1469" s="1">
        <v>5</v>
      </c>
      <c r="H1469" s="9"/>
      <c r="J1469" s="1">
        <v>508.03</v>
      </c>
      <c r="N1469" s="1" t="s">
        <v>8</v>
      </c>
      <c r="O1469" s="1">
        <v>2.7</v>
      </c>
    </row>
    <row r="1470" spans="4:15" x14ac:dyDescent="0.3">
      <c r="D1470" s="1">
        <v>39654</v>
      </c>
      <c r="E1470" s="2">
        <v>43738</v>
      </c>
      <c r="F1470" s="1" t="s">
        <v>14</v>
      </c>
      <c r="G1470" s="1">
        <v>39</v>
      </c>
      <c r="H1470" s="9"/>
      <c r="J1470" s="1">
        <v>916.08</v>
      </c>
      <c r="N1470" s="1" t="s">
        <v>8</v>
      </c>
      <c r="O1470" s="1">
        <v>3.2</v>
      </c>
    </row>
    <row r="1471" spans="4:15" x14ac:dyDescent="0.3">
      <c r="D1471" s="1">
        <v>5254</v>
      </c>
      <c r="E1471" s="2">
        <v>43671</v>
      </c>
      <c r="F1471" s="1" t="s">
        <v>11</v>
      </c>
      <c r="G1471" s="1">
        <v>31</v>
      </c>
      <c r="H1471" s="9"/>
      <c r="J1471" s="1">
        <v>1856.83</v>
      </c>
      <c r="N1471" s="1" t="s">
        <v>10</v>
      </c>
      <c r="O1471" s="1">
        <v>9.6</v>
      </c>
    </row>
    <row r="1472" spans="4:15" x14ac:dyDescent="0.3">
      <c r="D1472" s="1">
        <v>54023</v>
      </c>
      <c r="E1472" s="2">
        <v>43668</v>
      </c>
      <c r="F1472" s="1" t="s">
        <v>11</v>
      </c>
      <c r="G1472" s="1">
        <v>45</v>
      </c>
      <c r="H1472" s="9"/>
      <c r="J1472" s="1">
        <v>433.99</v>
      </c>
      <c r="N1472" s="1" t="s">
        <v>10</v>
      </c>
      <c r="O1472" s="1">
        <v>6</v>
      </c>
    </row>
    <row r="1473" spans="4:15" x14ac:dyDescent="0.3">
      <c r="D1473" s="1">
        <v>44678</v>
      </c>
      <c r="E1473" s="2">
        <v>43751</v>
      </c>
      <c r="F1473" s="1" t="s">
        <v>7</v>
      </c>
      <c r="G1473" s="1">
        <v>4</v>
      </c>
      <c r="H1473" s="9"/>
      <c r="J1473" s="1">
        <v>8.09</v>
      </c>
      <c r="N1473" s="1" t="s">
        <v>10</v>
      </c>
      <c r="O1473" s="1">
        <v>0.8</v>
      </c>
    </row>
    <row r="1474" spans="4:15" x14ac:dyDescent="0.3">
      <c r="D1474" s="1">
        <v>967</v>
      </c>
      <c r="E1474" s="2">
        <v>43636</v>
      </c>
      <c r="F1474" s="1" t="s">
        <v>14</v>
      </c>
      <c r="G1474" s="1">
        <v>48</v>
      </c>
      <c r="H1474" s="9"/>
      <c r="J1474" s="1">
        <v>12067.65</v>
      </c>
      <c r="N1474" s="1" t="s">
        <v>13</v>
      </c>
      <c r="O1474" s="1">
        <v>34.799999999999997</v>
      </c>
    </row>
    <row r="1475" spans="4:15" x14ac:dyDescent="0.3">
      <c r="D1475" s="1">
        <v>31552</v>
      </c>
      <c r="E1475" s="2">
        <v>43780</v>
      </c>
      <c r="F1475" s="1" t="s">
        <v>9</v>
      </c>
      <c r="G1475" s="1">
        <v>17</v>
      </c>
      <c r="H1475" s="9"/>
      <c r="J1475" s="1">
        <v>404.55</v>
      </c>
      <c r="N1475" s="1" t="s">
        <v>10</v>
      </c>
      <c r="O1475" s="1">
        <v>2.1</v>
      </c>
    </row>
    <row r="1476" spans="4:15" x14ac:dyDescent="0.3">
      <c r="D1476" s="1">
        <v>46243</v>
      </c>
      <c r="E1476" s="2">
        <v>43488</v>
      </c>
      <c r="F1476" s="1" t="s">
        <v>7</v>
      </c>
      <c r="G1476" s="1">
        <v>31</v>
      </c>
      <c r="H1476" s="9"/>
      <c r="J1476" s="1">
        <v>185.1</v>
      </c>
      <c r="N1476" s="1" t="s">
        <v>10</v>
      </c>
      <c r="O1476" s="1">
        <v>1.1000000000000001</v>
      </c>
    </row>
    <row r="1477" spans="4:15" x14ac:dyDescent="0.3">
      <c r="D1477" s="1">
        <v>11239</v>
      </c>
      <c r="E1477" s="2">
        <v>43504</v>
      </c>
      <c r="F1477" s="1" t="s">
        <v>12</v>
      </c>
      <c r="G1477" s="1">
        <v>33</v>
      </c>
      <c r="H1477" s="9"/>
      <c r="J1477" s="1">
        <v>6601.92</v>
      </c>
      <c r="N1477" s="1" t="s">
        <v>13</v>
      </c>
      <c r="O1477" s="1">
        <v>31.3</v>
      </c>
    </row>
    <row r="1478" spans="4:15" x14ac:dyDescent="0.3">
      <c r="D1478" s="1">
        <v>27490</v>
      </c>
      <c r="E1478" s="2">
        <v>43538</v>
      </c>
      <c r="F1478" s="1" t="s">
        <v>11</v>
      </c>
      <c r="G1478" s="1">
        <v>18</v>
      </c>
      <c r="H1478" s="9"/>
      <c r="J1478" s="1">
        <v>654.53</v>
      </c>
      <c r="N1478" s="1" t="s">
        <v>10</v>
      </c>
      <c r="O1478" s="1">
        <v>13.5</v>
      </c>
    </row>
    <row r="1479" spans="4:15" x14ac:dyDescent="0.3">
      <c r="D1479" s="1">
        <v>3845</v>
      </c>
      <c r="E1479" s="2">
        <v>43580</v>
      </c>
      <c r="F1479" s="1" t="s">
        <v>12</v>
      </c>
      <c r="G1479" s="1">
        <v>15</v>
      </c>
      <c r="H1479" s="9"/>
      <c r="J1479" s="1">
        <v>132.58369999999999</v>
      </c>
      <c r="N1479" s="1" t="s">
        <v>10</v>
      </c>
      <c r="O1479" s="1">
        <v>1</v>
      </c>
    </row>
    <row r="1480" spans="4:15" x14ac:dyDescent="0.3">
      <c r="D1480" s="1">
        <v>32192</v>
      </c>
      <c r="E1480" s="2">
        <v>43513</v>
      </c>
      <c r="F1480" s="1" t="s">
        <v>11</v>
      </c>
      <c r="G1480" s="1">
        <v>4</v>
      </c>
      <c r="H1480" s="9"/>
      <c r="J1480" s="1">
        <v>170.4</v>
      </c>
      <c r="N1480" s="1" t="s">
        <v>10</v>
      </c>
      <c r="O1480" s="1">
        <v>2.7</v>
      </c>
    </row>
    <row r="1481" spans="4:15" x14ac:dyDescent="0.3">
      <c r="D1481" s="1">
        <v>1447</v>
      </c>
      <c r="E1481" s="2">
        <v>43752</v>
      </c>
      <c r="F1481" s="1" t="s">
        <v>9</v>
      </c>
      <c r="G1481" s="1">
        <v>40</v>
      </c>
      <c r="H1481" s="9"/>
      <c r="J1481" s="1">
        <v>2285.4899999999998</v>
      </c>
      <c r="N1481" s="1" t="s">
        <v>10</v>
      </c>
      <c r="O1481" s="1">
        <v>9.6</v>
      </c>
    </row>
    <row r="1482" spans="4:15" x14ac:dyDescent="0.3">
      <c r="D1482" s="1">
        <v>5473</v>
      </c>
      <c r="E1482" s="2">
        <v>43548</v>
      </c>
      <c r="F1482" s="1" t="s">
        <v>11</v>
      </c>
      <c r="G1482" s="1">
        <v>42</v>
      </c>
      <c r="H1482" s="9"/>
      <c r="J1482" s="1">
        <v>380.59</v>
      </c>
      <c r="N1482" s="1" t="s">
        <v>10</v>
      </c>
      <c r="O1482" s="1">
        <v>8.9</v>
      </c>
    </row>
    <row r="1483" spans="4:15" x14ac:dyDescent="0.3">
      <c r="D1483" s="1">
        <v>23812</v>
      </c>
      <c r="E1483" s="2">
        <v>43673</v>
      </c>
      <c r="F1483" s="1" t="s">
        <v>12</v>
      </c>
      <c r="G1483" s="1">
        <v>32</v>
      </c>
      <c r="H1483" s="9"/>
      <c r="J1483" s="1">
        <v>6255.0273999999999</v>
      </c>
      <c r="N1483" s="1" t="s">
        <v>13</v>
      </c>
      <c r="O1483" s="1">
        <v>16.7</v>
      </c>
    </row>
    <row r="1484" spans="4:15" x14ac:dyDescent="0.3">
      <c r="D1484" s="1">
        <v>20256</v>
      </c>
      <c r="E1484" s="2">
        <v>43495</v>
      </c>
      <c r="F1484" s="1" t="s">
        <v>7</v>
      </c>
      <c r="G1484" s="1">
        <v>24</v>
      </c>
      <c r="H1484" s="9"/>
      <c r="J1484" s="1">
        <v>548.73</v>
      </c>
      <c r="N1484" s="1" t="s">
        <v>10</v>
      </c>
      <c r="O1484" s="1">
        <v>12.3</v>
      </c>
    </row>
    <row r="1485" spans="4:15" x14ac:dyDescent="0.3">
      <c r="D1485" s="1">
        <v>5858</v>
      </c>
      <c r="E1485" s="2">
        <v>43659</v>
      </c>
      <c r="F1485" s="1" t="s">
        <v>11</v>
      </c>
      <c r="G1485" s="1">
        <v>48</v>
      </c>
      <c r="H1485" s="9"/>
      <c r="J1485" s="1">
        <v>2708.88</v>
      </c>
      <c r="N1485" s="1" t="s">
        <v>10</v>
      </c>
      <c r="O1485" s="1">
        <v>14.6</v>
      </c>
    </row>
    <row r="1486" spans="4:15" x14ac:dyDescent="0.3">
      <c r="D1486" s="1">
        <v>5408</v>
      </c>
      <c r="E1486" s="2">
        <v>43666</v>
      </c>
      <c r="F1486" s="1" t="s">
        <v>7</v>
      </c>
      <c r="G1486" s="1">
        <v>20</v>
      </c>
      <c r="H1486" s="9"/>
      <c r="J1486" s="1">
        <v>95.04</v>
      </c>
      <c r="N1486" s="1" t="s">
        <v>10</v>
      </c>
      <c r="O1486" s="1">
        <v>0.5</v>
      </c>
    </row>
    <row r="1487" spans="4:15" x14ac:dyDescent="0.3">
      <c r="D1487" s="1">
        <v>25637</v>
      </c>
      <c r="E1487" s="2">
        <v>43520</v>
      </c>
      <c r="F1487" s="1" t="s">
        <v>11</v>
      </c>
      <c r="G1487" s="1">
        <v>12</v>
      </c>
      <c r="H1487" s="9"/>
      <c r="J1487" s="1">
        <v>2578.08</v>
      </c>
      <c r="N1487" s="1" t="s">
        <v>13</v>
      </c>
      <c r="O1487" s="1">
        <v>71.3</v>
      </c>
    </row>
    <row r="1488" spans="4:15" x14ac:dyDescent="0.3">
      <c r="D1488" s="1">
        <v>3845</v>
      </c>
      <c r="E1488" s="2">
        <v>43580</v>
      </c>
      <c r="F1488" s="1" t="s">
        <v>12</v>
      </c>
      <c r="G1488" s="1">
        <v>22</v>
      </c>
      <c r="H1488" s="9"/>
      <c r="J1488" s="1">
        <v>509.02</v>
      </c>
      <c r="N1488" s="1" t="s">
        <v>10</v>
      </c>
      <c r="O1488" s="1">
        <v>11.2</v>
      </c>
    </row>
    <row r="1489" spans="4:15" x14ac:dyDescent="0.3">
      <c r="D1489" s="1">
        <v>42469</v>
      </c>
      <c r="E1489" s="2">
        <v>43777</v>
      </c>
      <c r="F1489" s="1" t="s">
        <v>11</v>
      </c>
      <c r="G1489" s="1">
        <v>31</v>
      </c>
      <c r="H1489" s="9"/>
      <c r="J1489" s="1">
        <v>1000.31</v>
      </c>
      <c r="N1489" s="1" t="s">
        <v>10</v>
      </c>
      <c r="O1489" s="1">
        <v>13.5</v>
      </c>
    </row>
    <row r="1490" spans="4:15" x14ac:dyDescent="0.3">
      <c r="D1490" s="1">
        <v>16804</v>
      </c>
      <c r="E1490" s="2">
        <v>43534</v>
      </c>
      <c r="F1490" s="1" t="s">
        <v>9</v>
      </c>
      <c r="G1490" s="1">
        <v>46</v>
      </c>
      <c r="H1490" s="9"/>
      <c r="J1490" s="1">
        <v>2600.46</v>
      </c>
      <c r="N1490" s="1" t="s">
        <v>10</v>
      </c>
      <c r="O1490" s="1">
        <v>14.9</v>
      </c>
    </row>
    <row r="1491" spans="4:15" x14ac:dyDescent="0.3">
      <c r="D1491" s="1">
        <v>42471</v>
      </c>
      <c r="E1491" s="2">
        <v>43533</v>
      </c>
      <c r="F1491" s="1" t="s">
        <v>7</v>
      </c>
      <c r="G1491" s="1">
        <v>23</v>
      </c>
      <c r="H1491" s="9"/>
      <c r="J1491" s="1">
        <v>48.03</v>
      </c>
      <c r="N1491" s="1" t="s">
        <v>10</v>
      </c>
      <c r="O1491" s="1">
        <v>1.7</v>
      </c>
    </row>
    <row r="1492" spans="4:15" x14ac:dyDescent="0.3">
      <c r="D1492" s="1">
        <v>17986</v>
      </c>
      <c r="E1492" s="2">
        <v>43560</v>
      </c>
      <c r="F1492" s="1" t="s">
        <v>11</v>
      </c>
      <c r="G1492" s="1">
        <v>43</v>
      </c>
      <c r="H1492" s="9"/>
      <c r="J1492" s="1">
        <v>93.421700000000001</v>
      </c>
      <c r="N1492" s="1" t="s">
        <v>10</v>
      </c>
      <c r="O1492" s="1">
        <v>1.6</v>
      </c>
    </row>
    <row r="1493" spans="4:15" x14ac:dyDescent="0.3">
      <c r="D1493" s="1">
        <v>31170</v>
      </c>
      <c r="E1493" s="2">
        <v>43491</v>
      </c>
      <c r="F1493" s="1" t="s">
        <v>14</v>
      </c>
      <c r="G1493" s="1">
        <v>32</v>
      </c>
      <c r="H1493" s="9"/>
      <c r="J1493" s="1">
        <v>343.01</v>
      </c>
      <c r="N1493" s="1" t="s">
        <v>10</v>
      </c>
      <c r="O1493" s="1">
        <v>2.1</v>
      </c>
    </row>
    <row r="1494" spans="4:15" x14ac:dyDescent="0.3">
      <c r="D1494" s="1">
        <v>7458</v>
      </c>
      <c r="E1494" s="2">
        <v>43559</v>
      </c>
      <c r="F1494" s="1" t="s">
        <v>12</v>
      </c>
      <c r="G1494" s="1">
        <v>9</v>
      </c>
      <c r="H1494" s="9"/>
      <c r="J1494" s="1">
        <v>360.95</v>
      </c>
      <c r="N1494" s="1" t="s">
        <v>10</v>
      </c>
      <c r="O1494" s="1">
        <v>2.1</v>
      </c>
    </row>
    <row r="1495" spans="4:15" x14ac:dyDescent="0.3">
      <c r="D1495" s="1">
        <v>43364</v>
      </c>
      <c r="E1495" s="2">
        <v>43562</v>
      </c>
      <c r="F1495" s="1" t="s">
        <v>9</v>
      </c>
      <c r="G1495" s="1">
        <v>21</v>
      </c>
      <c r="H1495" s="9"/>
      <c r="J1495" s="1">
        <v>560.89</v>
      </c>
      <c r="N1495" s="1" t="s">
        <v>10</v>
      </c>
      <c r="O1495" s="1">
        <v>7.2</v>
      </c>
    </row>
    <row r="1496" spans="4:15" x14ac:dyDescent="0.3">
      <c r="D1496" s="1">
        <v>53795</v>
      </c>
      <c r="E1496" s="2">
        <v>43494</v>
      </c>
      <c r="F1496" s="1" t="s">
        <v>9</v>
      </c>
      <c r="G1496" s="1">
        <v>40</v>
      </c>
      <c r="H1496" s="9"/>
      <c r="J1496" s="1">
        <v>283.12</v>
      </c>
      <c r="N1496" s="1" t="s">
        <v>8</v>
      </c>
      <c r="O1496" s="1">
        <v>6.7</v>
      </c>
    </row>
    <row r="1497" spans="4:15" x14ac:dyDescent="0.3">
      <c r="D1497" s="1">
        <v>33731</v>
      </c>
      <c r="E1497" s="2">
        <v>43746</v>
      </c>
      <c r="F1497" s="1" t="s">
        <v>9</v>
      </c>
      <c r="G1497" s="1">
        <v>12</v>
      </c>
      <c r="H1497" s="9"/>
      <c r="J1497" s="1">
        <v>148.6</v>
      </c>
      <c r="N1497" s="1" t="s">
        <v>10</v>
      </c>
      <c r="O1497" s="1">
        <v>5.4</v>
      </c>
    </row>
    <row r="1498" spans="4:15" x14ac:dyDescent="0.3">
      <c r="D1498" s="1">
        <v>56676</v>
      </c>
      <c r="E1498" s="2">
        <v>43763</v>
      </c>
      <c r="F1498" s="1" t="s">
        <v>12</v>
      </c>
      <c r="G1498" s="1">
        <v>39</v>
      </c>
      <c r="H1498" s="9"/>
      <c r="J1498" s="1">
        <v>220.9229</v>
      </c>
      <c r="N1498" s="1" t="s">
        <v>10</v>
      </c>
      <c r="O1498" s="1">
        <v>6.1</v>
      </c>
    </row>
    <row r="1499" spans="4:15" x14ac:dyDescent="0.3">
      <c r="D1499" s="1">
        <v>50982</v>
      </c>
      <c r="E1499" s="2">
        <v>43571</v>
      </c>
      <c r="F1499" s="1" t="s">
        <v>9</v>
      </c>
      <c r="G1499" s="1">
        <v>23</v>
      </c>
      <c r="H1499" s="9"/>
      <c r="J1499" s="1">
        <v>92.59</v>
      </c>
      <c r="N1499" s="1" t="s">
        <v>10</v>
      </c>
      <c r="O1499" s="1">
        <v>0.5</v>
      </c>
    </row>
    <row r="1500" spans="4:15" x14ac:dyDescent="0.3">
      <c r="D1500" s="1">
        <v>16197</v>
      </c>
      <c r="E1500" s="2">
        <v>43764</v>
      </c>
      <c r="F1500" s="1" t="s">
        <v>12</v>
      </c>
      <c r="G1500" s="1">
        <v>19</v>
      </c>
      <c r="H1500" s="9"/>
      <c r="J1500" s="1">
        <v>110.94</v>
      </c>
      <c r="N1500" s="1" t="s">
        <v>10</v>
      </c>
      <c r="O1500" s="1">
        <v>6.3</v>
      </c>
    </row>
    <row r="1501" spans="4:15" x14ac:dyDescent="0.3">
      <c r="D1501" s="1">
        <v>42243</v>
      </c>
      <c r="E1501" s="2">
        <v>43535</v>
      </c>
      <c r="F1501" s="1" t="s">
        <v>14</v>
      </c>
      <c r="G1501" s="1">
        <v>19</v>
      </c>
      <c r="H1501" s="9"/>
      <c r="J1501" s="1">
        <v>155.43</v>
      </c>
      <c r="N1501" s="1" t="s">
        <v>10</v>
      </c>
      <c r="O1501" s="1">
        <v>6.4</v>
      </c>
    </row>
    <row r="1502" spans="4:15" x14ac:dyDescent="0.3">
      <c r="D1502" s="1">
        <v>27138</v>
      </c>
      <c r="E1502" s="2">
        <v>43615</v>
      </c>
      <c r="F1502" s="1" t="s">
        <v>9</v>
      </c>
      <c r="G1502" s="1">
        <v>37</v>
      </c>
      <c r="H1502" s="9"/>
      <c r="J1502" s="1">
        <v>2026.76</v>
      </c>
      <c r="N1502" s="1" t="s">
        <v>10</v>
      </c>
      <c r="O1502" s="1">
        <v>9.6</v>
      </c>
    </row>
    <row r="1503" spans="4:15" x14ac:dyDescent="0.3">
      <c r="D1503" s="1">
        <v>35968</v>
      </c>
      <c r="E1503" s="2">
        <v>43527</v>
      </c>
      <c r="F1503" s="1" t="s">
        <v>11</v>
      </c>
      <c r="G1503" s="1">
        <v>21</v>
      </c>
      <c r="H1503" s="9"/>
      <c r="J1503" s="1">
        <v>151.08000000000001</v>
      </c>
      <c r="N1503" s="1" t="s">
        <v>10</v>
      </c>
      <c r="O1503" s="1">
        <v>7.5</v>
      </c>
    </row>
    <row r="1504" spans="4:15" x14ac:dyDescent="0.3">
      <c r="D1504" s="1">
        <v>39808</v>
      </c>
      <c r="E1504" s="2">
        <v>43710</v>
      </c>
      <c r="F1504" s="1" t="s">
        <v>7</v>
      </c>
      <c r="G1504" s="1">
        <v>31</v>
      </c>
      <c r="H1504" s="9"/>
      <c r="J1504" s="1">
        <v>3652.4</v>
      </c>
      <c r="N1504" s="1" t="s">
        <v>10</v>
      </c>
      <c r="O1504" s="1">
        <v>2.7</v>
      </c>
    </row>
    <row r="1505" spans="4:15" x14ac:dyDescent="0.3">
      <c r="D1505" s="1">
        <v>57767</v>
      </c>
      <c r="E1505" s="2">
        <v>43566</v>
      </c>
      <c r="F1505" s="1" t="s">
        <v>12</v>
      </c>
      <c r="G1505" s="1">
        <v>34</v>
      </c>
      <c r="H1505" s="9"/>
      <c r="J1505" s="1">
        <v>3609.87</v>
      </c>
      <c r="N1505" s="1" t="s">
        <v>10</v>
      </c>
      <c r="O1505" s="1">
        <v>9.6</v>
      </c>
    </row>
    <row r="1506" spans="4:15" x14ac:dyDescent="0.3">
      <c r="D1506" s="1">
        <v>24579</v>
      </c>
      <c r="E1506" s="2">
        <v>43787</v>
      </c>
      <c r="F1506" s="1" t="s">
        <v>9</v>
      </c>
      <c r="G1506" s="1">
        <v>45</v>
      </c>
      <c r="H1506" s="9"/>
      <c r="J1506" s="1">
        <v>14896.11</v>
      </c>
      <c r="N1506" s="1" t="s">
        <v>10</v>
      </c>
      <c r="O1506" s="1">
        <v>26.2</v>
      </c>
    </row>
    <row r="1507" spans="4:15" x14ac:dyDescent="0.3">
      <c r="D1507" s="1">
        <v>7751</v>
      </c>
      <c r="E1507" s="2">
        <v>43822</v>
      </c>
      <c r="F1507" s="1" t="s">
        <v>11</v>
      </c>
      <c r="G1507" s="1">
        <v>45</v>
      </c>
      <c r="H1507" s="9"/>
      <c r="J1507" s="1">
        <v>4866.25</v>
      </c>
      <c r="N1507" s="1" t="s">
        <v>13</v>
      </c>
      <c r="O1507" s="1">
        <v>62.3</v>
      </c>
    </row>
    <row r="1508" spans="4:15" x14ac:dyDescent="0.3">
      <c r="D1508" s="1">
        <v>7106</v>
      </c>
      <c r="E1508" s="2">
        <v>43595</v>
      </c>
      <c r="F1508" s="1" t="s">
        <v>7</v>
      </c>
      <c r="G1508" s="1">
        <v>36</v>
      </c>
      <c r="H1508" s="9"/>
      <c r="J1508" s="1">
        <v>1132.54</v>
      </c>
      <c r="N1508" s="1" t="s">
        <v>10</v>
      </c>
      <c r="O1508" s="1">
        <v>21.4</v>
      </c>
    </row>
    <row r="1509" spans="4:15" x14ac:dyDescent="0.3">
      <c r="D1509" s="1">
        <v>43109</v>
      </c>
      <c r="E1509" s="2">
        <v>43820</v>
      </c>
      <c r="F1509" s="1" t="s">
        <v>12</v>
      </c>
      <c r="G1509" s="1">
        <v>10</v>
      </c>
      <c r="H1509" s="9"/>
      <c r="J1509" s="1">
        <v>103.81140000000001</v>
      </c>
      <c r="N1509" s="1" t="s">
        <v>10</v>
      </c>
      <c r="O1509" s="1">
        <v>2.1</v>
      </c>
    </row>
    <row r="1510" spans="4:15" x14ac:dyDescent="0.3">
      <c r="D1510" s="1">
        <v>18596</v>
      </c>
      <c r="E1510" s="2">
        <v>43740</v>
      </c>
      <c r="F1510" s="1" t="s">
        <v>7</v>
      </c>
      <c r="G1510" s="1">
        <v>32</v>
      </c>
      <c r="H1510" s="9"/>
      <c r="J1510" s="1">
        <v>445.98</v>
      </c>
      <c r="N1510" s="1" t="s">
        <v>10</v>
      </c>
      <c r="O1510" s="1">
        <v>0.5</v>
      </c>
    </row>
    <row r="1511" spans="4:15" x14ac:dyDescent="0.3">
      <c r="D1511" s="1">
        <v>41831</v>
      </c>
      <c r="E1511" s="2">
        <v>43667</v>
      </c>
      <c r="F1511" s="1" t="s">
        <v>11</v>
      </c>
      <c r="G1511" s="1">
        <v>43</v>
      </c>
      <c r="H1511" s="9"/>
      <c r="J1511" s="1">
        <v>3681.9663</v>
      </c>
      <c r="N1511" s="1" t="s">
        <v>13</v>
      </c>
      <c r="O1511" s="1">
        <v>32.200000000000003</v>
      </c>
    </row>
    <row r="1512" spans="4:15" x14ac:dyDescent="0.3">
      <c r="D1512" s="1">
        <v>50883</v>
      </c>
      <c r="E1512" s="2">
        <v>43617</v>
      </c>
      <c r="F1512" s="1" t="s">
        <v>7</v>
      </c>
      <c r="G1512" s="1">
        <v>35</v>
      </c>
      <c r="H1512" s="9"/>
      <c r="J1512" s="1">
        <v>7211.71</v>
      </c>
      <c r="N1512" s="1" t="s">
        <v>13</v>
      </c>
      <c r="O1512" s="1">
        <v>32.1</v>
      </c>
    </row>
    <row r="1513" spans="4:15" x14ac:dyDescent="0.3">
      <c r="D1513" s="1">
        <v>38661</v>
      </c>
      <c r="E1513" s="2">
        <v>43507</v>
      </c>
      <c r="F1513" s="1" t="s">
        <v>9</v>
      </c>
      <c r="G1513" s="1">
        <v>48</v>
      </c>
      <c r="H1513" s="9"/>
      <c r="J1513" s="1">
        <v>348.92700000000002</v>
      </c>
      <c r="N1513" s="1" t="s">
        <v>10</v>
      </c>
      <c r="O1513" s="1">
        <v>7.1</v>
      </c>
    </row>
    <row r="1514" spans="4:15" x14ac:dyDescent="0.3">
      <c r="D1514" s="1">
        <v>49889</v>
      </c>
      <c r="E1514" s="2">
        <v>43811</v>
      </c>
      <c r="F1514" s="1" t="s">
        <v>12</v>
      </c>
      <c r="G1514" s="1">
        <v>47</v>
      </c>
      <c r="H1514" s="9"/>
      <c r="J1514" s="1">
        <v>570.80999999999995</v>
      </c>
      <c r="N1514" s="1" t="s">
        <v>10</v>
      </c>
      <c r="O1514" s="1">
        <v>7.7</v>
      </c>
    </row>
    <row r="1515" spans="4:15" x14ac:dyDescent="0.3">
      <c r="D1515" s="1">
        <v>39300</v>
      </c>
      <c r="E1515" s="2">
        <v>43577</v>
      </c>
      <c r="F1515" s="1" t="s">
        <v>9</v>
      </c>
      <c r="G1515" s="1">
        <v>9</v>
      </c>
      <c r="H1515" s="9"/>
      <c r="J1515" s="1">
        <v>47.63</v>
      </c>
      <c r="N1515" s="1" t="s">
        <v>10</v>
      </c>
      <c r="O1515" s="1">
        <v>7.4</v>
      </c>
    </row>
    <row r="1516" spans="4:15" x14ac:dyDescent="0.3">
      <c r="D1516" s="1">
        <v>29573</v>
      </c>
      <c r="E1516" s="2">
        <v>43480</v>
      </c>
      <c r="F1516" s="1" t="s">
        <v>12</v>
      </c>
      <c r="G1516" s="1">
        <v>43</v>
      </c>
      <c r="H1516" s="9"/>
      <c r="J1516" s="1">
        <v>847.66</v>
      </c>
      <c r="N1516" s="1" t="s">
        <v>10</v>
      </c>
      <c r="O1516" s="1">
        <v>10.199999999999999</v>
      </c>
    </row>
    <row r="1517" spans="4:15" x14ac:dyDescent="0.3">
      <c r="D1517" s="1">
        <v>23140</v>
      </c>
      <c r="E1517" s="2">
        <v>43503</v>
      </c>
      <c r="F1517" s="1" t="s">
        <v>9</v>
      </c>
      <c r="G1517" s="1">
        <v>16</v>
      </c>
      <c r="H1517" s="9"/>
      <c r="J1517" s="1">
        <v>124.86</v>
      </c>
      <c r="N1517" s="1" t="s">
        <v>10</v>
      </c>
      <c r="O1517" s="1">
        <v>2.5</v>
      </c>
    </row>
    <row r="1518" spans="4:15" x14ac:dyDescent="0.3">
      <c r="D1518" s="1">
        <v>29505</v>
      </c>
      <c r="E1518" s="2">
        <v>43826</v>
      </c>
      <c r="F1518" s="1" t="s">
        <v>14</v>
      </c>
      <c r="G1518" s="1">
        <v>22</v>
      </c>
      <c r="H1518" s="9"/>
      <c r="J1518" s="1">
        <v>48.37</v>
      </c>
      <c r="N1518" s="1" t="s">
        <v>8</v>
      </c>
      <c r="O1518" s="1">
        <v>0.7</v>
      </c>
    </row>
    <row r="1519" spans="4:15" x14ac:dyDescent="0.3">
      <c r="D1519" s="1">
        <v>20964</v>
      </c>
      <c r="E1519" s="2">
        <v>43554</v>
      </c>
      <c r="F1519" s="1" t="s">
        <v>12</v>
      </c>
      <c r="G1519" s="1">
        <v>11</v>
      </c>
      <c r="H1519" s="9"/>
      <c r="J1519" s="1">
        <v>673.66</v>
      </c>
      <c r="N1519" s="1" t="s">
        <v>10</v>
      </c>
      <c r="O1519" s="1">
        <v>9.6</v>
      </c>
    </row>
    <row r="1520" spans="4:15" x14ac:dyDescent="0.3">
      <c r="D1520" s="1">
        <v>39364</v>
      </c>
      <c r="E1520" s="2">
        <v>43778</v>
      </c>
      <c r="F1520" s="1" t="s">
        <v>9</v>
      </c>
      <c r="G1520" s="1">
        <v>29</v>
      </c>
      <c r="H1520" s="9"/>
      <c r="J1520" s="1">
        <v>2947.78</v>
      </c>
      <c r="N1520" s="1" t="s">
        <v>10</v>
      </c>
      <c r="O1520" s="1">
        <v>42.4</v>
      </c>
    </row>
    <row r="1521" spans="4:15" x14ac:dyDescent="0.3">
      <c r="D1521" s="1">
        <v>7941</v>
      </c>
      <c r="E1521" s="2">
        <v>43547</v>
      </c>
      <c r="F1521" s="1" t="s">
        <v>7</v>
      </c>
      <c r="G1521" s="1">
        <v>50</v>
      </c>
      <c r="H1521" s="9"/>
      <c r="J1521" s="1">
        <v>2992.44</v>
      </c>
      <c r="N1521" s="1" t="s">
        <v>10</v>
      </c>
      <c r="O1521" s="1">
        <v>5.4</v>
      </c>
    </row>
    <row r="1522" spans="4:15" x14ac:dyDescent="0.3">
      <c r="D1522" s="1">
        <v>59329</v>
      </c>
      <c r="E1522" s="2">
        <v>43803</v>
      </c>
      <c r="F1522" s="1" t="s">
        <v>12</v>
      </c>
      <c r="G1522" s="1">
        <v>41</v>
      </c>
      <c r="H1522" s="9"/>
      <c r="J1522" s="1">
        <v>229.23</v>
      </c>
      <c r="N1522" s="1" t="s">
        <v>10</v>
      </c>
      <c r="O1522" s="1">
        <v>7.6</v>
      </c>
    </row>
    <row r="1523" spans="4:15" x14ac:dyDescent="0.3">
      <c r="D1523" s="1">
        <v>50784</v>
      </c>
      <c r="E1523" s="2">
        <v>43505</v>
      </c>
      <c r="F1523" s="1" t="s">
        <v>9</v>
      </c>
      <c r="G1523" s="1">
        <v>20</v>
      </c>
      <c r="H1523" s="9"/>
      <c r="J1523" s="1">
        <v>683.43</v>
      </c>
      <c r="N1523" s="1" t="s">
        <v>10</v>
      </c>
      <c r="O1523" s="1">
        <v>5.9</v>
      </c>
    </row>
    <row r="1524" spans="4:15" x14ac:dyDescent="0.3">
      <c r="D1524" s="1">
        <v>19617</v>
      </c>
      <c r="E1524" s="2">
        <v>43484</v>
      </c>
      <c r="F1524" s="1" t="s">
        <v>7</v>
      </c>
      <c r="G1524" s="1">
        <v>38</v>
      </c>
      <c r="H1524" s="9"/>
      <c r="J1524" s="1">
        <v>1019.1429000000001</v>
      </c>
      <c r="N1524" s="1" t="s">
        <v>10</v>
      </c>
      <c r="O1524" s="1">
        <v>6.7</v>
      </c>
    </row>
    <row r="1525" spans="4:15" x14ac:dyDescent="0.3">
      <c r="D1525" s="1">
        <v>25476</v>
      </c>
      <c r="E1525" s="2">
        <v>43740</v>
      </c>
      <c r="F1525" s="1" t="s">
        <v>11</v>
      </c>
      <c r="G1525" s="1">
        <v>4</v>
      </c>
      <c r="H1525" s="9"/>
      <c r="J1525" s="1">
        <v>14657.89</v>
      </c>
      <c r="N1525" s="1" t="s">
        <v>10</v>
      </c>
      <c r="O1525" s="1">
        <v>26.2</v>
      </c>
    </row>
    <row r="1526" spans="4:15" x14ac:dyDescent="0.3">
      <c r="D1526" s="1">
        <v>55460</v>
      </c>
      <c r="E1526" s="2">
        <v>43611</v>
      </c>
      <c r="F1526" s="1" t="s">
        <v>9</v>
      </c>
      <c r="G1526" s="1">
        <v>49</v>
      </c>
      <c r="H1526" s="9"/>
      <c r="J1526" s="1">
        <v>2081.0100000000002</v>
      </c>
      <c r="N1526" s="1" t="s">
        <v>10</v>
      </c>
      <c r="O1526" s="1">
        <v>4.8</v>
      </c>
    </row>
    <row r="1527" spans="4:15" x14ac:dyDescent="0.3">
      <c r="D1527" s="1">
        <v>23648</v>
      </c>
      <c r="E1527" s="2">
        <v>43732</v>
      </c>
      <c r="F1527" s="1" t="s">
        <v>12</v>
      </c>
      <c r="G1527" s="1">
        <v>44</v>
      </c>
      <c r="H1527" s="9"/>
      <c r="J1527" s="1">
        <v>7241.93</v>
      </c>
      <c r="N1527" s="1" t="s">
        <v>10</v>
      </c>
      <c r="O1527" s="1">
        <v>7</v>
      </c>
    </row>
    <row r="1528" spans="4:15" x14ac:dyDescent="0.3">
      <c r="D1528" s="1">
        <v>5986</v>
      </c>
      <c r="E1528" s="2">
        <v>43576</v>
      </c>
      <c r="F1528" s="1" t="s">
        <v>9</v>
      </c>
      <c r="G1528" s="1">
        <v>41</v>
      </c>
      <c r="H1528" s="9"/>
      <c r="J1528" s="1">
        <v>219.61</v>
      </c>
      <c r="N1528" s="1" t="s">
        <v>10</v>
      </c>
      <c r="O1528" s="1">
        <v>5.3</v>
      </c>
    </row>
    <row r="1529" spans="4:15" x14ac:dyDescent="0.3">
      <c r="D1529" s="1">
        <v>37445</v>
      </c>
      <c r="E1529" s="2">
        <v>43513</v>
      </c>
      <c r="F1529" s="1" t="s">
        <v>9</v>
      </c>
      <c r="G1529" s="1">
        <v>37</v>
      </c>
      <c r="H1529" s="9"/>
      <c r="J1529" s="1">
        <v>2332.85</v>
      </c>
      <c r="N1529" s="1" t="s">
        <v>10</v>
      </c>
      <c r="O1529" s="1">
        <v>3.7</v>
      </c>
    </row>
    <row r="1530" spans="4:15" x14ac:dyDescent="0.3">
      <c r="D1530" s="1">
        <v>24579</v>
      </c>
      <c r="E1530" s="2">
        <v>43787</v>
      </c>
      <c r="F1530" s="1" t="s">
        <v>9</v>
      </c>
      <c r="G1530" s="1">
        <v>40</v>
      </c>
      <c r="H1530" s="9"/>
      <c r="J1530" s="1">
        <v>500.23</v>
      </c>
      <c r="N1530" s="1" t="s">
        <v>10</v>
      </c>
      <c r="O1530" s="1">
        <v>5.3</v>
      </c>
    </row>
    <row r="1531" spans="4:15" x14ac:dyDescent="0.3">
      <c r="D1531" s="1">
        <v>1925</v>
      </c>
      <c r="E1531" s="2">
        <v>43528</v>
      </c>
      <c r="F1531" s="1" t="s">
        <v>12</v>
      </c>
      <c r="G1531" s="1">
        <v>40</v>
      </c>
      <c r="H1531" s="9"/>
      <c r="J1531" s="1">
        <v>973.51</v>
      </c>
      <c r="N1531" s="1" t="s">
        <v>10</v>
      </c>
      <c r="O1531" s="1">
        <v>2.1</v>
      </c>
    </row>
    <row r="1532" spans="4:15" x14ac:dyDescent="0.3">
      <c r="D1532" s="1">
        <v>57570</v>
      </c>
      <c r="E1532" s="2">
        <v>43736</v>
      </c>
      <c r="F1532" s="1" t="s">
        <v>9</v>
      </c>
      <c r="G1532" s="1">
        <v>27</v>
      </c>
      <c r="H1532" s="9"/>
      <c r="J1532" s="1">
        <v>1950.65</v>
      </c>
      <c r="N1532" s="1" t="s">
        <v>13</v>
      </c>
      <c r="O1532" s="1">
        <v>28.6</v>
      </c>
    </row>
    <row r="1533" spans="4:15" x14ac:dyDescent="0.3">
      <c r="D1533" s="1">
        <v>17831</v>
      </c>
      <c r="E1533" s="2">
        <v>43763</v>
      </c>
      <c r="F1533" s="1" t="s">
        <v>12</v>
      </c>
      <c r="G1533" s="1">
        <v>38</v>
      </c>
      <c r="H1533" s="9"/>
      <c r="J1533" s="1">
        <v>278.64</v>
      </c>
      <c r="N1533" s="1" t="s">
        <v>8</v>
      </c>
      <c r="O1533" s="1">
        <v>5.7</v>
      </c>
    </row>
    <row r="1534" spans="4:15" x14ac:dyDescent="0.3">
      <c r="D1534" s="1">
        <v>48128</v>
      </c>
      <c r="E1534" s="2">
        <v>43566</v>
      </c>
      <c r="F1534" s="1" t="s">
        <v>14</v>
      </c>
      <c r="G1534" s="1">
        <v>5</v>
      </c>
      <c r="H1534" s="9"/>
      <c r="J1534" s="1">
        <v>2782.47</v>
      </c>
      <c r="N1534" s="1" t="s">
        <v>8</v>
      </c>
      <c r="O1534" s="1">
        <v>26.2</v>
      </c>
    </row>
    <row r="1535" spans="4:15" x14ac:dyDescent="0.3">
      <c r="D1535" s="1">
        <v>10567</v>
      </c>
      <c r="E1535" s="2">
        <v>43553</v>
      </c>
      <c r="F1535" s="1" t="s">
        <v>9</v>
      </c>
      <c r="G1535" s="1">
        <v>10</v>
      </c>
      <c r="H1535" s="9"/>
      <c r="J1535" s="1">
        <v>1188.78</v>
      </c>
      <c r="N1535" s="1" t="s">
        <v>13</v>
      </c>
      <c r="O1535" s="1">
        <v>46.8</v>
      </c>
    </row>
    <row r="1536" spans="4:15" x14ac:dyDescent="0.3">
      <c r="D1536" s="1">
        <v>47846</v>
      </c>
      <c r="E1536" s="2">
        <v>43688</v>
      </c>
      <c r="F1536" s="1" t="s">
        <v>9</v>
      </c>
      <c r="G1536" s="1">
        <v>50</v>
      </c>
      <c r="H1536" s="9"/>
      <c r="J1536" s="1">
        <v>5899.79</v>
      </c>
      <c r="N1536" s="1" t="s">
        <v>10</v>
      </c>
      <c r="O1536" s="1">
        <v>15</v>
      </c>
    </row>
    <row r="1537" spans="4:15" x14ac:dyDescent="0.3">
      <c r="D1537" s="1">
        <v>46404</v>
      </c>
      <c r="E1537" s="2">
        <v>43528</v>
      </c>
      <c r="F1537" s="1" t="s">
        <v>12</v>
      </c>
      <c r="G1537" s="1">
        <v>50</v>
      </c>
      <c r="H1537" s="9"/>
      <c r="J1537" s="1">
        <v>2006.69</v>
      </c>
      <c r="N1537" s="1" t="s">
        <v>10</v>
      </c>
      <c r="O1537" s="1">
        <v>2.7</v>
      </c>
    </row>
    <row r="1538" spans="4:15" x14ac:dyDescent="0.3">
      <c r="D1538" s="1">
        <v>29411</v>
      </c>
      <c r="E1538" s="2">
        <v>43561</v>
      </c>
      <c r="F1538" s="1" t="s">
        <v>9</v>
      </c>
      <c r="G1538" s="1">
        <v>33</v>
      </c>
      <c r="H1538" s="9"/>
      <c r="J1538" s="1">
        <v>580.20000000000005</v>
      </c>
      <c r="N1538" s="1" t="s">
        <v>10</v>
      </c>
      <c r="O1538" s="1">
        <v>1.5</v>
      </c>
    </row>
    <row r="1539" spans="4:15" x14ac:dyDescent="0.3">
      <c r="D1539" s="1">
        <v>50950</v>
      </c>
      <c r="E1539" s="2">
        <v>43829</v>
      </c>
      <c r="F1539" s="1" t="s">
        <v>11</v>
      </c>
      <c r="G1539" s="1">
        <v>6</v>
      </c>
      <c r="H1539" s="9"/>
      <c r="J1539" s="1">
        <v>418.5</v>
      </c>
      <c r="N1539" s="1" t="s">
        <v>13</v>
      </c>
      <c r="O1539" s="1">
        <v>32.1</v>
      </c>
    </row>
    <row r="1540" spans="4:15" x14ac:dyDescent="0.3">
      <c r="D1540" s="1">
        <v>18592</v>
      </c>
      <c r="E1540" s="2">
        <v>43738</v>
      </c>
      <c r="F1540" s="1" t="s">
        <v>12</v>
      </c>
      <c r="G1540" s="1">
        <v>2</v>
      </c>
      <c r="H1540" s="9"/>
      <c r="J1540" s="1">
        <v>27.52</v>
      </c>
      <c r="N1540" s="1" t="s">
        <v>10</v>
      </c>
      <c r="O1540" s="1">
        <v>3.6</v>
      </c>
    </row>
    <row r="1541" spans="4:15" x14ac:dyDescent="0.3">
      <c r="D1541" s="1">
        <v>57698</v>
      </c>
      <c r="E1541" s="2">
        <v>43470</v>
      </c>
      <c r="F1541" s="1" t="s">
        <v>12</v>
      </c>
      <c r="G1541" s="1">
        <v>10</v>
      </c>
      <c r="H1541" s="9"/>
      <c r="J1541" s="1">
        <v>92.02</v>
      </c>
      <c r="N1541" s="1" t="s">
        <v>10</v>
      </c>
      <c r="O1541" s="1">
        <v>9.9</v>
      </c>
    </row>
    <row r="1542" spans="4:15" x14ac:dyDescent="0.3">
      <c r="D1542" s="1">
        <v>28453</v>
      </c>
      <c r="E1542" s="2">
        <v>43827</v>
      </c>
      <c r="F1542" s="1" t="s">
        <v>12</v>
      </c>
      <c r="G1542" s="1">
        <v>26</v>
      </c>
      <c r="H1542" s="9"/>
      <c r="J1542" s="1">
        <v>599.23</v>
      </c>
      <c r="N1542" s="1" t="s">
        <v>10</v>
      </c>
      <c r="O1542" s="1">
        <v>15</v>
      </c>
    </row>
    <row r="1543" spans="4:15" x14ac:dyDescent="0.3">
      <c r="D1543" s="1">
        <v>25314</v>
      </c>
      <c r="E1543" s="2">
        <v>43519</v>
      </c>
      <c r="F1543" s="1" t="s">
        <v>9</v>
      </c>
      <c r="G1543" s="1">
        <v>43</v>
      </c>
      <c r="H1543" s="9"/>
      <c r="J1543" s="1">
        <v>8217.08</v>
      </c>
      <c r="N1543" s="1" t="s">
        <v>10</v>
      </c>
      <c r="O1543" s="1">
        <v>5.4</v>
      </c>
    </row>
    <row r="1544" spans="4:15" x14ac:dyDescent="0.3">
      <c r="D1544" s="1">
        <v>15142</v>
      </c>
      <c r="E1544" s="2">
        <v>43559</v>
      </c>
      <c r="F1544" s="1" t="s">
        <v>11</v>
      </c>
      <c r="G1544" s="1">
        <v>21</v>
      </c>
      <c r="H1544" s="9"/>
      <c r="J1544" s="1">
        <v>353.34</v>
      </c>
      <c r="N1544" s="1" t="s">
        <v>10</v>
      </c>
      <c r="O1544" s="1">
        <v>11.7</v>
      </c>
    </row>
    <row r="1545" spans="4:15" x14ac:dyDescent="0.3">
      <c r="D1545" s="1">
        <v>30310</v>
      </c>
      <c r="E1545" s="2">
        <v>43581</v>
      </c>
      <c r="F1545" s="1" t="s">
        <v>14</v>
      </c>
      <c r="G1545" s="1">
        <v>21</v>
      </c>
      <c r="H1545" s="9"/>
      <c r="J1545" s="1">
        <v>2165.71</v>
      </c>
      <c r="N1545" s="1" t="s">
        <v>10</v>
      </c>
      <c r="O1545" s="1">
        <v>9.4</v>
      </c>
    </row>
    <row r="1546" spans="4:15" x14ac:dyDescent="0.3">
      <c r="D1546" s="1">
        <v>38336</v>
      </c>
      <c r="E1546" s="2">
        <v>43743</v>
      </c>
      <c r="F1546" s="1" t="s">
        <v>12</v>
      </c>
      <c r="G1546" s="1">
        <v>14</v>
      </c>
      <c r="H1546" s="9"/>
      <c r="J1546" s="1">
        <v>98.17</v>
      </c>
      <c r="N1546" s="1" t="s">
        <v>10</v>
      </c>
      <c r="O1546" s="1">
        <v>3.2</v>
      </c>
    </row>
    <row r="1547" spans="4:15" x14ac:dyDescent="0.3">
      <c r="D1547" s="1">
        <v>11683</v>
      </c>
      <c r="E1547" s="2">
        <v>43502</v>
      </c>
      <c r="F1547" s="1" t="s">
        <v>11</v>
      </c>
      <c r="G1547" s="1">
        <v>28</v>
      </c>
      <c r="H1547" s="9"/>
      <c r="J1547" s="1">
        <v>1765.9398000000001</v>
      </c>
      <c r="N1547" s="1" t="s">
        <v>10</v>
      </c>
      <c r="O1547" s="1">
        <v>6.4</v>
      </c>
    </row>
    <row r="1548" spans="4:15" x14ac:dyDescent="0.3">
      <c r="D1548" s="1">
        <v>20194</v>
      </c>
      <c r="E1548" s="2">
        <v>43537</v>
      </c>
      <c r="F1548" s="1" t="s">
        <v>9</v>
      </c>
      <c r="G1548" s="1">
        <v>10</v>
      </c>
      <c r="H1548" s="9"/>
      <c r="J1548" s="1">
        <v>207.89</v>
      </c>
      <c r="N1548" s="1" t="s">
        <v>10</v>
      </c>
      <c r="O1548" s="1">
        <v>7.1</v>
      </c>
    </row>
    <row r="1549" spans="4:15" x14ac:dyDescent="0.3">
      <c r="D1549" s="1">
        <v>5986</v>
      </c>
      <c r="E1549" s="2">
        <v>43576</v>
      </c>
      <c r="F1549" s="1" t="s">
        <v>9</v>
      </c>
      <c r="G1549" s="1">
        <v>48</v>
      </c>
      <c r="H1549" s="9"/>
      <c r="J1549" s="1">
        <v>5945.11</v>
      </c>
      <c r="N1549" s="1" t="s">
        <v>10</v>
      </c>
      <c r="O1549" s="1">
        <v>4.3</v>
      </c>
    </row>
    <row r="1550" spans="4:15" x14ac:dyDescent="0.3">
      <c r="D1550" s="1">
        <v>33893</v>
      </c>
      <c r="E1550" s="2">
        <v>43728</v>
      </c>
      <c r="F1550" s="1" t="s">
        <v>11</v>
      </c>
      <c r="G1550" s="1">
        <v>6</v>
      </c>
      <c r="H1550" s="9"/>
      <c r="J1550" s="1">
        <v>248.46</v>
      </c>
      <c r="N1550" s="1" t="s">
        <v>10</v>
      </c>
      <c r="O1550" s="1">
        <v>15.8</v>
      </c>
    </row>
    <row r="1551" spans="4:15" x14ac:dyDescent="0.3">
      <c r="D1551" s="1">
        <v>6785</v>
      </c>
      <c r="E1551" s="2">
        <v>43591</v>
      </c>
      <c r="F1551" s="1" t="s">
        <v>14</v>
      </c>
      <c r="G1551" s="1">
        <v>7</v>
      </c>
      <c r="H1551" s="9"/>
      <c r="J1551" s="1">
        <v>194.01</v>
      </c>
      <c r="N1551" s="1" t="s">
        <v>10</v>
      </c>
      <c r="O1551" s="1">
        <v>9.6</v>
      </c>
    </row>
    <row r="1552" spans="4:15" x14ac:dyDescent="0.3">
      <c r="D1552" s="1">
        <v>54791</v>
      </c>
      <c r="E1552" s="2">
        <v>43819</v>
      </c>
      <c r="F1552" s="1" t="s">
        <v>9</v>
      </c>
      <c r="G1552" s="1">
        <v>45</v>
      </c>
      <c r="H1552" s="9"/>
      <c r="J1552" s="1">
        <v>4456.59</v>
      </c>
      <c r="N1552" s="1" t="s">
        <v>13</v>
      </c>
      <c r="O1552" s="1">
        <v>32.1</v>
      </c>
    </row>
    <row r="1553" spans="4:15" x14ac:dyDescent="0.3">
      <c r="D1553" s="1">
        <v>12837</v>
      </c>
      <c r="E1553" s="2">
        <v>43801</v>
      </c>
      <c r="F1553" s="1" t="s">
        <v>14</v>
      </c>
      <c r="G1553" s="1">
        <v>50</v>
      </c>
      <c r="H1553" s="9"/>
      <c r="J1553" s="1">
        <v>1177.22</v>
      </c>
      <c r="N1553" s="1" t="s">
        <v>10</v>
      </c>
      <c r="O1553" s="1">
        <v>2.1</v>
      </c>
    </row>
    <row r="1554" spans="4:15" x14ac:dyDescent="0.3">
      <c r="D1554" s="1">
        <v>58435</v>
      </c>
      <c r="E1554" s="2">
        <v>43592</v>
      </c>
      <c r="F1554" s="1" t="s">
        <v>7</v>
      </c>
      <c r="G1554" s="1">
        <v>11</v>
      </c>
      <c r="H1554" s="9"/>
      <c r="J1554" s="1">
        <v>292.58080000000001</v>
      </c>
      <c r="N1554" s="1" t="s">
        <v>10</v>
      </c>
      <c r="O1554" s="1">
        <v>16.2</v>
      </c>
    </row>
    <row r="1555" spans="4:15" x14ac:dyDescent="0.3">
      <c r="D1555" s="1">
        <v>59425</v>
      </c>
      <c r="E1555" s="2">
        <v>43602</v>
      </c>
      <c r="F1555" s="1" t="s">
        <v>14</v>
      </c>
      <c r="G1555" s="1">
        <v>46</v>
      </c>
      <c r="H1555" s="9"/>
      <c r="J1555" s="1">
        <v>1834</v>
      </c>
      <c r="N1555" s="1" t="s">
        <v>10</v>
      </c>
      <c r="O1555" s="1">
        <v>5.4</v>
      </c>
    </row>
    <row r="1556" spans="4:15" x14ac:dyDescent="0.3">
      <c r="D1556" s="1">
        <v>3524</v>
      </c>
      <c r="E1556" s="2">
        <v>43587</v>
      </c>
      <c r="F1556" s="1" t="s">
        <v>9</v>
      </c>
      <c r="G1556" s="1">
        <v>21</v>
      </c>
      <c r="H1556" s="9"/>
      <c r="J1556" s="1">
        <v>457.23</v>
      </c>
      <c r="N1556" s="1" t="s">
        <v>10</v>
      </c>
      <c r="O1556" s="1">
        <v>9.6999999999999993</v>
      </c>
    </row>
    <row r="1557" spans="4:15" x14ac:dyDescent="0.3">
      <c r="D1557" s="1">
        <v>33378</v>
      </c>
      <c r="E1557" s="2">
        <v>43582</v>
      </c>
      <c r="F1557" s="1" t="s">
        <v>9</v>
      </c>
      <c r="G1557" s="1">
        <v>25</v>
      </c>
      <c r="H1557" s="9"/>
      <c r="J1557" s="1">
        <v>1011.54</v>
      </c>
      <c r="N1557" s="1" t="s">
        <v>10</v>
      </c>
      <c r="O1557" s="1">
        <v>10.5</v>
      </c>
    </row>
    <row r="1558" spans="4:15" x14ac:dyDescent="0.3">
      <c r="D1558" s="1">
        <v>56384</v>
      </c>
      <c r="E1558" s="2">
        <v>43677</v>
      </c>
      <c r="F1558" s="1" t="s">
        <v>12</v>
      </c>
      <c r="G1558" s="1">
        <v>29</v>
      </c>
      <c r="H1558" s="9"/>
      <c r="J1558" s="1">
        <v>6569.09</v>
      </c>
      <c r="N1558" s="1" t="s">
        <v>13</v>
      </c>
      <c r="O1558" s="1">
        <v>74.5</v>
      </c>
    </row>
    <row r="1559" spans="4:15" x14ac:dyDescent="0.3">
      <c r="D1559" s="1">
        <v>48576</v>
      </c>
      <c r="E1559" s="2">
        <v>43800</v>
      </c>
      <c r="F1559" s="1" t="s">
        <v>11</v>
      </c>
      <c r="G1559" s="1">
        <v>47</v>
      </c>
      <c r="H1559" s="9"/>
      <c r="J1559" s="1">
        <v>338.85</v>
      </c>
      <c r="N1559" s="1" t="s">
        <v>10</v>
      </c>
      <c r="O1559" s="1">
        <v>8</v>
      </c>
    </row>
    <row r="1560" spans="4:15" x14ac:dyDescent="0.3">
      <c r="D1560" s="1">
        <v>26469</v>
      </c>
      <c r="E1560" s="2">
        <v>43676</v>
      </c>
      <c r="F1560" s="1" t="s">
        <v>14</v>
      </c>
      <c r="G1560" s="1">
        <v>50</v>
      </c>
      <c r="H1560" s="9"/>
      <c r="J1560" s="1">
        <v>374.51069999999999</v>
      </c>
      <c r="N1560" s="1" t="s">
        <v>10</v>
      </c>
      <c r="O1560" s="1">
        <v>7.4</v>
      </c>
    </row>
    <row r="1561" spans="4:15" x14ac:dyDescent="0.3">
      <c r="D1561" s="1">
        <v>43493</v>
      </c>
      <c r="E1561" s="2">
        <v>43595</v>
      </c>
      <c r="F1561" s="1" t="s">
        <v>9</v>
      </c>
      <c r="G1561" s="1">
        <v>14</v>
      </c>
      <c r="H1561" s="9"/>
      <c r="J1561" s="1">
        <v>76.61</v>
      </c>
      <c r="N1561" s="1" t="s">
        <v>10</v>
      </c>
      <c r="O1561" s="1">
        <v>5</v>
      </c>
    </row>
    <row r="1562" spans="4:15" x14ac:dyDescent="0.3">
      <c r="D1562" s="1">
        <v>20932</v>
      </c>
      <c r="E1562" s="2">
        <v>43675</v>
      </c>
      <c r="F1562" s="1" t="s">
        <v>9</v>
      </c>
      <c r="G1562" s="1">
        <v>38</v>
      </c>
      <c r="H1562" s="9"/>
      <c r="J1562" s="1">
        <v>131.88999999999999</v>
      </c>
      <c r="N1562" s="1" t="s">
        <v>10</v>
      </c>
      <c r="O1562" s="1">
        <v>2</v>
      </c>
    </row>
    <row r="1563" spans="4:15" x14ac:dyDescent="0.3">
      <c r="D1563" s="1">
        <v>13575</v>
      </c>
      <c r="E1563" s="2">
        <v>43706</v>
      </c>
      <c r="F1563" s="1" t="s">
        <v>12</v>
      </c>
      <c r="G1563" s="1">
        <v>15</v>
      </c>
      <c r="H1563" s="9"/>
      <c r="J1563" s="1">
        <v>113.53</v>
      </c>
      <c r="N1563" s="1" t="s">
        <v>8</v>
      </c>
      <c r="O1563" s="1">
        <v>8.8000000000000007</v>
      </c>
    </row>
    <row r="1564" spans="4:15" x14ac:dyDescent="0.3">
      <c r="D1564" s="1">
        <v>16132</v>
      </c>
      <c r="E1564" s="2">
        <v>43765</v>
      </c>
      <c r="F1564" s="1" t="s">
        <v>14</v>
      </c>
      <c r="G1564" s="1">
        <v>26</v>
      </c>
      <c r="H1564" s="9"/>
      <c r="J1564" s="1">
        <v>556.36</v>
      </c>
      <c r="N1564" s="1" t="s">
        <v>10</v>
      </c>
      <c r="O1564" s="1">
        <v>3.2</v>
      </c>
    </row>
    <row r="1565" spans="4:15" x14ac:dyDescent="0.3">
      <c r="D1565" s="1">
        <v>29926</v>
      </c>
      <c r="E1565" s="2">
        <v>43546</v>
      </c>
      <c r="F1565" s="1" t="s">
        <v>14</v>
      </c>
      <c r="G1565" s="1">
        <v>9</v>
      </c>
      <c r="H1565" s="9"/>
      <c r="J1565" s="1">
        <v>21.62</v>
      </c>
      <c r="N1565" s="1" t="s">
        <v>10</v>
      </c>
      <c r="O1565" s="1">
        <v>1.6</v>
      </c>
    </row>
    <row r="1566" spans="4:15" x14ac:dyDescent="0.3">
      <c r="D1566" s="1">
        <v>57152</v>
      </c>
      <c r="E1566" s="2">
        <v>43711</v>
      </c>
      <c r="F1566" s="1" t="s">
        <v>7</v>
      </c>
      <c r="G1566" s="1">
        <v>6</v>
      </c>
      <c r="H1566" s="9"/>
      <c r="J1566" s="1">
        <v>24.49</v>
      </c>
      <c r="N1566" s="1" t="s">
        <v>10</v>
      </c>
      <c r="O1566" s="1">
        <v>1.6</v>
      </c>
    </row>
    <row r="1567" spans="4:15" x14ac:dyDescent="0.3">
      <c r="D1567" s="1">
        <v>21827</v>
      </c>
      <c r="E1567" s="2">
        <v>43778</v>
      </c>
      <c r="F1567" s="1" t="s">
        <v>11</v>
      </c>
      <c r="G1567" s="1">
        <v>21</v>
      </c>
      <c r="H1567" s="9"/>
      <c r="J1567" s="1">
        <v>1670.23</v>
      </c>
      <c r="N1567" s="1" t="s">
        <v>8</v>
      </c>
      <c r="O1567" s="1">
        <v>4.3</v>
      </c>
    </row>
    <row r="1568" spans="4:15" x14ac:dyDescent="0.3">
      <c r="D1568" s="1">
        <v>7458</v>
      </c>
      <c r="E1568" s="2">
        <v>43559</v>
      </c>
      <c r="F1568" s="1" t="s">
        <v>12</v>
      </c>
      <c r="G1568" s="1">
        <v>16</v>
      </c>
      <c r="H1568" s="9"/>
      <c r="J1568" s="1">
        <v>242.69</v>
      </c>
      <c r="N1568" s="1" t="s">
        <v>10</v>
      </c>
      <c r="O1568" s="1">
        <v>7.7</v>
      </c>
    </row>
    <row r="1569" spans="4:15" x14ac:dyDescent="0.3">
      <c r="D1569" s="1">
        <v>17698</v>
      </c>
      <c r="E1569" s="2">
        <v>43598</v>
      </c>
      <c r="F1569" s="1" t="s">
        <v>9</v>
      </c>
      <c r="G1569" s="1">
        <v>40</v>
      </c>
      <c r="H1569" s="9"/>
      <c r="J1569" s="1">
        <v>652.05999999999995</v>
      </c>
      <c r="N1569" s="1" t="s">
        <v>10</v>
      </c>
      <c r="O1569" s="1">
        <v>11.7</v>
      </c>
    </row>
    <row r="1570" spans="4:15" x14ac:dyDescent="0.3">
      <c r="D1570" s="1">
        <v>51970</v>
      </c>
      <c r="E1570" s="2">
        <v>43475</v>
      </c>
      <c r="F1570" s="1" t="s">
        <v>11</v>
      </c>
      <c r="G1570" s="1">
        <v>1</v>
      </c>
      <c r="H1570" s="9"/>
      <c r="J1570" s="1">
        <v>183.73</v>
      </c>
      <c r="N1570" s="1" t="s">
        <v>13</v>
      </c>
      <c r="O1570" s="1">
        <v>60.1</v>
      </c>
    </row>
    <row r="1571" spans="4:15" x14ac:dyDescent="0.3">
      <c r="D1571" s="1">
        <v>22373</v>
      </c>
      <c r="E1571" s="2">
        <v>43552</v>
      </c>
      <c r="F1571" s="1" t="s">
        <v>9</v>
      </c>
      <c r="G1571" s="1">
        <v>26</v>
      </c>
      <c r="H1571" s="9"/>
      <c r="J1571" s="1">
        <v>249.34209999999999</v>
      </c>
      <c r="N1571" s="1" t="s">
        <v>8</v>
      </c>
      <c r="O1571" s="1">
        <v>8.9</v>
      </c>
    </row>
    <row r="1572" spans="4:15" x14ac:dyDescent="0.3">
      <c r="D1572" s="1">
        <v>41063</v>
      </c>
      <c r="E1572" s="2">
        <v>43790</v>
      </c>
      <c r="F1572" s="1" t="s">
        <v>7</v>
      </c>
      <c r="G1572" s="1">
        <v>26</v>
      </c>
      <c r="H1572" s="9"/>
      <c r="J1572" s="1">
        <v>2045.2</v>
      </c>
      <c r="N1572" s="1" t="s">
        <v>10</v>
      </c>
      <c r="O1572" s="1">
        <v>1.3</v>
      </c>
    </row>
    <row r="1573" spans="4:15" x14ac:dyDescent="0.3">
      <c r="D1573" s="1">
        <v>8007</v>
      </c>
      <c r="E1573" s="2">
        <v>43506</v>
      </c>
      <c r="F1573" s="1" t="s">
        <v>7</v>
      </c>
      <c r="G1573" s="1">
        <v>5</v>
      </c>
      <c r="H1573" s="9"/>
      <c r="J1573" s="1">
        <v>878</v>
      </c>
      <c r="N1573" s="1" t="s">
        <v>10</v>
      </c>
      <c r="O1573" s="1">
        <v>9.6</v>
      </c>
    </row>
    <row r="1574" spans="4:15" x14ac:dyDescent="0.3">
      <c r="D1574" s="1">
        <v>12005</v>
      </c>
      <c r="E1574" s="2">
        <v>43640</v>
      </c>
      <c r="F1574" s="1" t="s">
        <v>11</v>
      </c>
      <c r="G1574" s="1">
        <v>4</v>
      </c>
      <c r="H1574" s="9"/>
      <c r="J1574" s="1">
        <v>1777.12</v>
      </c>
      <c r="N1574" s="1" t="s">
        <v>10</v>
      </c>
      <c r="O1574" s="1">
        <v>12.2</v>
      </c>
    </row>
    <row r="1575" spans="4:15" x14ac:dyDescent="0.3">
      <c r="D1575" s="1">
        <v>28742</v>
      </c>
      <c r="E1575" s="2">
        <v>43584</v>
      </c>
      <c r="F1575" s="1" t="s">
        <v>7</v>
      </c>
      <c r="G1575" s="1">
        <v>35</v>
      </c>
      <c r="H1575" s="9"/>
      <c r="J1575" s="1">
        <v>629.07000000000005</v>
      </c>
      <c r="N1575" s="1" t="s">
        <v>10</v>
      </c>
      <c r="O1575" s="1">
        <v>6.7</v>
      </c>
    </row>
    <row r="1576" spans="4:15" x14ac:dyDescent="0.3">
      <c r="D1576" s="1">
        <v>51620</v>
      </c>
      <c r="E1576" s="2">
        <v>43532</v>
      </c>
      <c r="F1576" s="1" t="s">
        <v>14</v>
      </c>
      <c r="G1576" s="1">
        <v>12</v>
      </c>
      <c r="H1576" s="9"/>
      <c r="J1576" s="1">
        <v>186.15</v>
      </c>
      <c r="N1576" s="1" t="s">
        <v>10</v>
      </c>
      <c r="O1576" s="1">
        <v>4.8</v>
      </c>
    </row>
    <row r="1577" spans="4:15" x14ac:dyDescent="0.3">
      <c r="D1577" s="1">
        <v>39555</v>
      </c>
      <c r="E1577" s="2">
        <v>43712</v>
      </c>
      <c r="F1577" s="1" t="s">
        <v>7</v>
      </c>
      <c r="G1577" s="1">
        <v>38</v>
      </c>
      <c r="H1577" s="9"/>
      <c r="J1577" s="1">
        <v>1190.42</v>
      </c>
      <c r="N1577" s="1" t="s">
        <v>10</v>
      </c>
      <c r="O1577" s="1">
        <v>8.8000000000000007</v>
      </c>
    </row>
    <row r="1578" spans="4:15" x14ac:dyDescent="0.3">
      <c r="D1578" s="1">
        <v>17634</v>
      </c>
      <c r="E1578" s="2">
        <v>43667</v>
      </c>
      <c r="F1578" s="1" t="s">
        <v>9</v>
      </c>
      <c r="G1578" s="1">
        <v>5</v>
      </c>
      <c r="H1578" s="9"/>
      <c r="J1578" s="1">
        <v>523.29999999999995</v>
      </c>
      <c r="N1578" s="1" t="s">
        <v>13</v>
      </c>
      <c r="O1578" s="1">
        <v>44.9</v>
      </c>
    </row>
    <row r="1579" spans="4:15" x14ac:dyDescent="0.3">
      <c r="D1579" s="1">
        <v>28738</v>
      </c>
      <c r="E1579" s="2">
        <v>43687</v>
      </c>
      <c r="F1579" s="1" t="s">
        <v>14</v>
      </c>
      <c r="G1579" s="1">
        <v>2</v>
      </c>
      <c r="H1579" s="9"/>
      <c r="J1579" s="1">
        <v>25.19</v>
      </c>
      <c r="N1579" s="1" t="s">
        <v>10</v>
      </c>
      <c r="O1579" s="1">
        <v>6.6</v>
      </c>
    </row>
    <row r="1580" spans="4:15" x14ac:dyDescent="0.3">
      <c r="D1580" s="1">
        <v>8679</v>
      </c>
      <c r="E1580" s="2">
        <v>43591</v>
      </c>
      <c r="F1580" s="1" t="s">
        <v>14</v>
      </c>
      <c r="G1580" s="1">
        <v>46</v>
      </c>
      <c r="H1580" s="9"/>
      <c r="J1580" s="1">
        <v>477.28</v>
      </c>
      <c r="N1580" s="1" t="s">
        <v>10</v>
      </c>
      <c r="O1580" s="1">
        <v>2.2999999999999998</v>
      </c>
    </row>
    <row r="1581" spans="4:15" x14ac:dyDescent="0.3">
      <c r="D1581" s="1">
        <v>52003</v>
      </c>
      <c r="E1581" s="2">
        <v>43513</v>
      </c>
      <c r="F1581" s="1" t="s">
        <v>7</v>
      </c>
      <c r="G1581" s="1">
        <v>11</v>
      </c>
      <c r="H1581" s="9"/>
      <c r="J1581" s="1">
        <v>2016.1</v>
      </c>
      <c r="N1581" s="1" t="s">
        <v>13</v>
      </c>
      <c r="O1581" s="1">
        <v>117.9</v>
      </c>
    </row>
    <row r="1582" spans="4:15" x14ac:dyDescent="0.3">
      <c r="D1582" s="1">
        <v>24775</v>
      </c>
      <c r="E1582" s="2">
        <v>43512</v>
      </c>
      <c r="F1582" s="1" t="s">
        <v>12</v>
      </c>
      <c r="G1582" s="1">
        <v>6</v>
      </c>
      <c r="H1582" s="9"/>
      <c r="J1582" s="1">
        <v>102.9447</v>
      </c>
      <c r="N1582" s="1" t="s">
        <v>10</v>
      </c>
      <c r="O1582" s="1">
        <v>61.4</v>
      </c>
    </row>
    <row r="1583" spans="4:15" x14ac:dyDescent="0.3">
      <c r="D1583" s="1">
        <v>12711</v>
      </c>
      <c r="E1583" s="2">
        <v>43514</v>
      </c>
      <c r="F1583" s="1" t="s">
        <v>12</v>
      </c>
      <c r="G1583" s="1">
        <v>32</v>
      </c>
      <c r="H1583" s="9"/>
      <c r="J1583" s="1">
        <v>1590.79</v>
      </c>
      <c r="N1583" s="1" t="s">
        <v>10</v>
      </c>
      <c r="O1583" s="1">
        <v>9.6</v>
      </c>
    </row>
    <row r="1584" spans="4:15" x14ac:dyDescent="0.3">
      <c r="D1584" s="1">
        <v>32356</v>
      </c>
      <c r="E1584" s="2">
        <v>43748</v>
      </c>
      <c r="F1584" s="1" t="s">
        <v>11</v>
      </c>
      <c r="G1584" s="1">
        <v>12</v>
      </c>
      <c r="H1584" s="9"/>
      <c r="J1584" s="1">
        <v>822.2</v>
      </c>
      <c r="N1584" s="1" t="s">
        <v>10</v>
      </c>
      <c r="O1584" s="1">
        <v>21.4</v>
      </c>
    </row>
    <row r="1585" spans="4:15" x14ac:dyDescent="0.3">
      <c r="D1585" s="1">
        <v>44422</v>
      </c>
      <c r="E1585" s="2">
        <v>43568</v>
      </c>
      <c r="F1585" s="1" t="s">
        <v>14</v>
      </c>
      <c r="G1585" s="1">
        <v>36</v>
      </c>
      <c r="H1585" s="9"/>
      <c r="J1585" s="1">
        <v>335.8</v>
      </c>
      <c r="N1585" s="1" t="s">
        <v>10</v>
      </c>
      <c r="O1585" s="1">
        <v>3.2</v>
      </c>
    </row>
    <row r="1586" spans="4:15" x14ac:dyDescent="0.3">
      <c r="D1586" s="1">
        <v>22563</v>
      </c>
      <c r="E1586" s="2">
        <v>43605</v>
      </c>
      <c r="F1586" s="1" t="s">
        <v>12</v>
      </c>
      <c r="G1586" s="1">
        <v>32</v>
      </c>
      <c r="H1586" s="9"/>
      <c r="J1586" s="1">
        <v>269.12</v>
      </c>
      <c r="N1586" s="1" t="s">
        <v>10</v>
      </c>
      <c r="O1586" s="1">
        <v>3.9</v>
      </c>
    </row>
    <row r="1587" spans="4:15" x14ac:dyDescent="0.3">
      <c r="D1587" s="1">
        <v>42945</v>
      </c>
      <c r="E1587" s="2">
        <v>43828</v>
      </c>
      <c r="F1587" s="1" t="s">
        <v>11</v>
      </c>
      <c r="G1587" s="1">
        <v>45</v>
      </c>
      <c r="H1587" s="9"/>
      <c r="J1587" s="1">
        <v>191.21</v>
      </c>
      <c r="N1587" s="1" t="s">
        <v>10</v>
      </c>
      <c r="O1587" s="1">
        <v>5.5</v>
      </c>
    </row>
    <row r="1588" spans="4:15" x14ac:dyDescent="0.3">
      <c r="D1588" s="1">
        <v>51269</v>
      </c>
      <c r="E1588" s="2">
        <v>43476</v>
      </c>
      <c r="F1588" s="1" t="s">
        <v>9</v>
      </c>
      <c r="G1588" s="1">
        <v>2</v>
      </c>
      <c r="H1588" s="9"/>
      <c r="J1588" s="1">
        <v>22.544899999999998</v>
      </c>
      <c r="N1588" s="1" t="s">
        <v>10</v>
      </c>
      <c r="O1588" s="1">
        <v>3.2</v>
      </c>
    </row>
    <row r="1589" spans="4:15" x14ac:dyDescent="0.3">
      <c r="D1589" s="1">
        <v>55431</v>
      </c>
      <c r="E1589" s="2">
        <v>43624</v>
      </c>
      <c r="F1589" s="1" t="s">
        <v>11</v>
      </c>
      <c r="G1589" s="1">
        <v>39</v>
      </c>
      <c r="H1589" s="9"/>
      <c r="J1589" s="1">
        <v>66.28</v>
      </c>
      <c r="N1589" s="1" t="s">
        <v>10</v>
      </c>
      <c r="O1589" s="1">
        <v>1.4</v>
      </c>
    </row>
    <row r="1590" spans="4:15" x14ac:dyDescent="0.3">
      <c r="D1590" s="1">
        <v>28544</v>
      </c>
      <c r="E1590" s="2">
        <v>43705</v>
      </c>
      <c r="F1590" s="1" t="s">
        <v>12</v>
      </c>
      <c r="G1590" s="1">
        <v>24</v>
      </c>
      <c r="H1590" s="9"/>
      <c r="J1590" s="1">
        <v>73.3</v>
      </c>
      <c r="N1590" s="1" t="s">
        <v>10</v>
      </c>
      <c r="O1590" s="1">
        <v>1.6</v>
      </c>
    </row>
    <row r="1591" spans="4:15" x14ac:dyDescent="0.3">
      <c r="D1591" s="1">
        <v>5858</v>
      </c>
      <c r="E1591" s="2">
        <v>43659</v>
      </c>
      <c r="F1591" s="1" t="s">
        <v>11</v>
      </c>
      <c r="G1591" s="1">
        <v>29</v>
      </c>
      <c r="H1591" s="9"/>
      <c r="J1591" s="1">
        <v>5759.07</v>
      </c>
      <c r="N1591" s="1" t="s">
        <v>10</v>
      </c>
      <c r="O1591" s="1">
        <v>9.6</v>
      </c>
    </row>
    <row r="1592" spans="4:15" x14ac:dyDescent="0.3">
      <c r="D1592" s="1">
        <v>40611</v>
      </c>
      <c r="E1592" s="2">
        <v>43552</v>
      </c>
      <c r="F1592" s="1" t="s">
        <v>11</v>
      </c>
      <c r="G1592" s="1">
        <v>43</v>
      </c>
      <c r="H1592" s="9"/>
      <c r="J1592" s="1">
        <v>1506.04</v>
      </c>
      <c r="N1592" s="1" t="s">
        <v>10</v>
      </c>
      <c r="O1592" s="1">
        <v>3.5</v>
      </c>
    </row>
    <row r="1593" spans="4:15" x14ac:dyDescent="0.3">
      <c r="D1593" s="1">
        <v>16164</v>
      </c>
      <c r="E1593" s="2">
        <v>43467</v>
      </c>
      <c r="F1593" s="1" t="s">
        <v>7</v>
      </c>
      <c r="G1593" s="1">
        <v>22</v>
      </c>
      <c r="H1593" s="9"/>
      <c r="J1593" s="1">
        <v>3588.2878000000001</v>
      </c>
      <c r="N1593" s="1" t="s">
        <v>10</v>
      </c>
      <c r="O1593" s="1">
        <v>21.4</v>
      </c>
    </row>
    <row r="1594" spans="4:15" x14ac:dyDescent="0.3">
      <c r="D1594" s="1">
        <v>24386</v>
      </c>
      <c r="E1594" s="2">
        <v>43642</v>
      </c>
      <c r="F1594" s="1" t="s">
        <v>9</v>
      </c>
      <c r="G1594" s="1">
        <v>41</v>
      </c>
      <c r="H1594" s="9"/>
      <c r="J1594" s="1">
        <v>4554.47</v>
      </c>
      <c r="N1594" s="1" t="s">
        <v>10</v>
      </c>
      <c r="O1594" s="1">
        <v>7.7</v>
      </c>
    </row>
    <row r="1595" spans="4:15" x14ac:dyDescent="0.3">
      <c r="D1595" s="1">
        <v>46212</v>
      </c>
      <c r="E1595" s="2">
        <v>43720</v>
      </c>
      <c r="F1595" s="1" t="s">
        <v>11</v>
      </c>
      <c r="G1595" s="1">
        <v>7</v>
      </c>
      <c r="H1595" s="9"/>
      <c r="J1595" s="1">
        <v>4149.33</v>
      </c>
      <c r="N1595" s="1" t="s">
        <v>13</v>
      </c>
      <c r="O1595" s="1">
        <v>48.9</v>
      </c>
    </row>
    <row r="1596" spans="4:15" x14ac:dyDescent="0.3">
      <c r="D1596" s="1">
        <v>26469</v>
      </c>
      <c r="E1596" s="2">
        <v>43676</v>
      </c>
      <c r="F1596" s="1" t="s">
        <v>14</v>
      </c>
      <c r="G1596" s="1">
        <v>4</v>
      </c>
      <c r="H1596" s="9"/>
      <c r="J1596" s="1">
        <v>7924.94</v>
      </c>
      <c r="N1596" s="1" t="s">
        <v>10</v>
      </c>
      <c r="O1596" s="1">
        <v>21.4</v>
      </c>
    </row>
    <row r="1597" spans="4:15" x14ac:dyDescent="0.3">
      <c r="D1597" s="1">
        <v>25542</v>
      </c>
      <c r="E1597" s="2">
        <v>43829</v>
      </c>
      <c r="F1597" s="1" t="s">
        <v>7</v>
      </c>
      <c r="G1597" s="1">
        <v>37</v>
      </c>
      <c r="H1597" s="9"/>
      <c r="J1597" s="1">
        <v>275.48</v>
      </c>
      <c r="N1597" s="1" t="s">
        <v>8</v>
      </c>
      <c r="O1597" s="1">
        <v>4.5</v>
      </c>
    </row>
    <row r="1598" spans="4:15" x14ac:dyDescent="0.3">
      <c r="D1598" s="1">
        <v>22752</v>
      </c>
      <c r="E1598" s="2">
        <v>43806</v>
      </c>
      <c r="F1598" s="1" t="s">
        <v>7</v>
      </c>
      <c r="G1598" s="1">
        <v>2</v>
      </c>
      <c r="H1598" s="9"/>
      <c r="J1598" s="1">
        <v>255.47</v>
      </c>
      <c r="N1598" s="1" t="s">
        <v>10</v>
      </c>
      <c r="O1598" s="1">
        <v>37.5</v>
      </c>
    </row>
    <row r="1599" spans="4:15" x14ac:dyDescent="0.3">
      <c r="D1599" s="1">
        <v>51140</v>
      </c>
      <c r="E1599" s="2">
        <v>43722</v>
      </c>
      <c r="F1599" s="1" t="s">
        <v>7</v>
      </c>
      <c r="G1599" s="1">
        <v>3</v>
      </c>
      <c r="H1599" s="9"/>
      <c r="J1599" s="1">
        <v>421.94</v>
      </c>
      <c r="N1599" s="1" t="s">
        <v>10</v>
      </c>
      <c r="O1599" s="1">
        <v>26.2</v>
      </c>
    </row>
    <row r="1600" spans="4:15" x14ac:dyDescent="0.3">
      <c r="D1600" s="1">
        <v>34659</v>
      </c>
      <c r="E1600" s="2">
        <v>43788</v>
      </c>
      <c r="F1600" s="1" t="s">
        <v>9</v>
      </c>
      <c r="G1600" s="1">
        <v>42</v>
      </c>
      <c r="H1600" s="9"/>
      <c r="J1600" s="1">
        <v>277.58999999999997</v>
      </c>
      <c r="N1600" s="1" t="s">
        <v>10</v>
      </c>
      <c r="O1600" s="1">
        <v>5.3</v>
      </c>
    </row>
    <row r="1601" spans="4:15" x14ac:dyDescent="0.3">
      <c r="D1601" s="1">
        <v>9350</v>
      </c>
      <c r="E1601" s="2">
        <v>43769</v>
      </c>
      <c r="F1601" s="1" t="s">
        <v>12</v>
      </c>
      <c r="G1601" s="1">
        <v>13</v>
      </c>
      <c r="H1601" s="9"/>
      <c r="J1601" s="1">
        <v>1857.4558</v>
      </c>
      <c r="N1601" s="1" t="s">
        <v>13</v>
      </c>
      <c r="O1601" s="1">
        <v>57.2</v>
      </c>
    </row>
    <row r="1602" spans="4:15" x14ac:dyDescent="0.3">
      <c r="D1602" s="1">
        <v>49634</v>
      </c>
      <c r="E1602" s="2">
        <v>43547</v>
      </c>
      <c r="F1602" s="1" t="s">
        <v>11</v>
      </c>
      <c r="G1602" s="1">
        <v>45</v>
      </c>
      <c r="H1602" s="9"/>
      <c r="J1602" s="1">
        <v>141.57169999999999</v>
      </c>
      <c r="N1602" s="1" t="s">
        <v>10</v>
      </c>
      <c r="O1602" s="1">
        <v>1.6</v>
      </c>
    </row>
    <row r="1603" spans="4:15" x14ac:dyDescent="0.3">
      <c r="D1603" s="1">
        <v>38884</v>
      </c>
      <c r="E1603" s="2">
        <v>43694</v>
      </c>
      <c r="F1603" s="1" t="s">
        <v>9</v>
      </c>
      <c r="G1603" s="1">
        <v>47</v>
      </c>
      <c r="H1603" s="9"/>
      <c r="J1603" s="1">
        <v>273.92</v>
      </c>
      <c r="N1603" s="1" t="s">
        <v>10</v>
      </c>
      <c r="O1603" s="1">
        <v>6.1</v>
      </c>
    </row>
    <row r="1604" spans="4:15" x14ac:dyDescent="0.3">
      <c r="D1604" s="1">
        <v>54534</v>
      </c>
      <c r="E1604" s="2">
        <v>43543</v>
      </c>
      <c r="F1604" s="1" t="s">
        <v>11</v>
      </c>
      <c r="G1604" s="1">
        <v>16</v>
      </c>
      <c r="H1604" s="9"/>
      <c r="J1604" s="1">
        <v>133.44</v>
      </c>
      <c r="N1604" s="1" t="s">
        <v>10</v>
      </c>
      <c r="O1604" s="1">
        <v>6.4</v>
      </c>
    </row>
    <row r="1605" spans="4:15" x14ac:dyDescent="0.3">
      <c r="D1605" s="1">
        <v>29218</v>
      </c>
      <c r="E1605" s="2">
        <v>43614</v>
      </c>
      <c r="F1605" s="1" t="s">
        <v>7</v>
      </c>
      <c r="G1605" s="1">
        <v>13</v>
      </c>
      <c r="H1605" s="9"/>
      <c r="J1605" s="1">
        <v>2410.6799999999998</v>
      </c>
      <c r="N1605" s="1" t="s">
        <v>10</v>
      </c>
      <c r="O1605" s="1">
        <v>9.6</v>
      </c>
    </row>
    <row r="1606" spans="4:15" x14ac:dyDescent="0.3">
      <c r="D1606" s="1">
        <v>1991</v>
      </c>
      <c r="E1606" s="2">
        <v>43714</v>
      </c>
      <c r="F1606" s="1" t="s">
        <v>11</v>
      </c>
      <c r="G1606" s="1">
        <v>37</v>
      </c>
      <c r="H1606" s="9"/>
      <c r="J1606" s="1">
        <v>15390.7</v>
      </c>
      <c r="N1606" s="1" t="s">
        <v>13</v>
      </c>
      <c r="O1606" s="1">
        <v>12.9</v>
      </c>
    </row>
    <row r="1607" spans="4:15" x14ac:dyDescent="0.3">
      <c r="D1607" s="1">
        <v>53477</v>
      </c>
      <c r="E1607" s="2">
        <v>43590</v>
      </c>
      <c r="F1607" s="1" t="s">
        <v>9</v>
      </c>
      <c r="G1607" s="1">
        <v>27</v>
      </c>
      <c r="H1607" s="9"/>
      <c r="J1607" s="1">
        <v>8733.27</v>
      </c>
      <c r="N1607" s="1" t="s">
        <v>13</v>
      </c>
      <c r="O1607" s="1">
        <v>69.3</v>
      </c>
    </row>
    <row r="1608" spans="4:15" x14ac:dyDescent="0.3">
      <c r="D1608" s="1">
        <v>24261</v>
      </c>
      <c r="E1608" s="2">
        <v>43725</v>
      </c>
      <c r="F1608" s="1" t="s">
        <v>12</v>
      </c>
      <c r="G1608" s="1">
        <v>28</v>
      </c>
      <c r="H1608" s="9"/>
      <c r="J1608" s="1">
        <v>1012.51</v>
      </c>
      <c r="N1608" s="1" t="s">
        <v>10</v>
      </c>
      <c r="O1608" s="1">
        <v>9.4</v>
      </c>
    </row>
    <row r="1609" spans="4:15" x14ac:dyDescent="0.3">
      <c r="D1609" s="1">
        <v>8289</v>
      </c>
      <c r="E1609" s="2">
        <v>43766</v>
      </c>
      <c r="F1609" s="1" t="s">
        <v>7</v>
      </c>
      <c r="G1609" s="1">
        <v>38</v>
      </c>
      <c r="H1609" s="9"/>
      <c r="J1609" s="1">
        <v>612.83000000000004</v>
      </c>
      <c r="N1609" s="1" t="s">
        <v>10</v>
      </c>
      <c r="O1609" s="1">
        <v>7.7</v>
      </c>
    </row>
    <row r="1610" spans="4:15" x14ac:dyDescent="0.3">
      <c r="D1610" s="1">
        <v>46243</v>
      </c>
      <c r="E1610" s="2">
        <v>43488</v>
      </c>
      <c r="F1610" s="1" t="s">
        <v>7</v>
      </c>
      <c r="G1610" s="1">
        <v>1</v>
      </c>
      <c r="H1610" s="9"/>
      <c r="J1610" s="1">
        <v>3.8841000000000001</v>
      </c>
      <c r="N1610" s="1" t="s">
        <v>10</v>
      </c>
      <c r="O1610" s="1">
        <v>0.7</v>
      </c>
    </row>
    <row r="1611" spans="4:15" x14ac:dyDescent="0.3">
      <c r="D1611" s="1">
        <v>4391</v>
      </c>
      <c r="E1611" s="2">
        <v>43512</v>
      </c>
      <c r="F1611" s="1" t="s">
        <v>9</v>
      </c>
      <c r="G1611" s="1">
        <v>20</v>
      </c>
      <c r="H1611" s="9"/>
      <c r="J1611" s="1">
        <v>2773.9</v>
      </c>
      <c r="N1611" s="1" t="s">
        <v>10</v>
      </c>
      <c r="O1611" s="1">
        <v>4.2</v>
      </c>
    </row>
    <row r="1612" spans="4:15" x14ac:dyDescent="0.3">
      <c r="D1612" s="1">
        <v>18596</v>
      </c>
      <c r="E1612" s="2">
        <v>43740</v>
      </c>
      <c r="F1612" s="1" t="s">
        <v>7</v>
      </c>
      <c r="G1612" s="1">
        <v>42</v>
      </c>
      <c r="H1612" s="9"/>
      <c r="J1612" s="1">
        <v>5261.93</v>
      </c>
      <c r="N1612" s="1" t="s">
        <v>13</v>
      </c>
      <c r="O1612" s="1">
        <v>32.1</v>
      </c>
    </row>
    <row r="1613" spans="4:15" x14ac:dyDescent="0.3">
      <c r="D1613" s="1">
        <v>36644</v>
      </c>
      <c r="E1613" s="2">
        <v>43598</v>
      </c>
      <c r="F1613" s="1" t="s">
        <v>9</v>
      </c>
      <c r="G1613" s="1">
        <v>24</v>
      </c>
      <c r="H1613" s="9"/>
      <c r="J1613" s="1">
        <v>2459.1999999999998</v>
      </c>
      <c r="N1613" s="1" t="s">
        <v>10</v>
      </c>
      <c r="O1613" s="1">
        <v>21.4</v>
      </c>
    </row>
    <row r="1614" spans="4:15" x14ac:dyDescent="0.3">
      <c r="D1614" s="1">
        <v>25666</v>
      </c>
      <c r="E1614" s="2">
        <v>43710</v>
      </c>
      <c r="F1614" s="1" t="s">
        <v>12</v>
      </c>
      <c r="G1614" s="1">
        <v>23</v>
      </c>
      <c r="H1614" s="9"/>
      <c r="J1614" s="1">
        <v>278.29000000000002</v>
      </c>
      <c r="N1614" s="1" t="s">
        <v>10</v>
      </c>
      <c r="O1614" s="1">
        <v>5.0999999999999996</v>
      </c>
    </row>
    <row r="1615" spans="4:15" x14ac:dyDescent="0.3">
      <c r="D1615" s="1">
        <v>27909</v>
      </c>
      <c r="E1615" s="2">
        <v>43502</v>
      </c>
      <c r="F1615" s="1" t="s">
        <v>12</v>
      </c>
      <c r="G1615" s="1">
        <v>1</v>
      </c>
      <c r="H1615" s="9"/>
      <c r="J1615" s="1">
        <v>66.62</v>
      </c>
      <c r="N1615" s="1" t="s">
        <v>10</v>
      </c>
      <c r="O1615" s="1">
        <v>11.5</v>
      </c>
    </row>
    <row r="1616" spans="4:15" x14ac:dyDescent="0.3">
      <c r="D1616" s="1">
        <v>52197</v>
      </c>
      <c r="E1616" s="2">
        <v>43681</v>
      </c>
      <c r="F1616" s="1" t="s">
        <v>12</v>
      </c>
      <c r="G1616" s="1">
        <v>23</v>
      </c>
      <c r="H1616" s="9"/>
      <c r="J1616" s="1">
        <v>98.375799999999998</v>
      </c>
      <c r="N1616" s="1" t="s">
        <v>10</v>
      </c>
      <c r="O1616" s="1">
        <v>2.1</v>
      </c>
    </row>
    <row r="1617" spans="4:15" x14ac:dyDescent="0.3">
      <c r="D1617" s="1">
        <v>46852</v>
      </c>
      <c r="E1617" s="2">
        <v>43492</v>
      </c>
      <c r="F1617" s="1" t="s">
        <v>11</v>
      </c>
      <c r="G1617" s="1">
        <v>46</v>
      </c>
      <c r="H1617" s="9"/>
      <c r="J1617" s="1">
        <v>1703.32</v>
      </c>
      <c r="N1617" s="1" t="s">
        <v>8</v>
      </c>
      <c r="O1617" s="1">
        <v>8.1</v>
      </c>
    </row>
    <row r="1618" spans="4:15" x14ac:dyDescent="0.3">
      <c r="D1618" s="1">
        <v>54307</v>
      </c>
      <c r="E1618" s="2">
        <v>43472</v>
      </c>
      <c r="F1618" s="1" t="s">
        <v>9</v>
      </c>
      <c r="G1618" s="1">
        <v>15</v>
      </c>
      <c r="H1618" s="9"/>
      <c r="J1618" s="1">
        <v>260.57</v>
      </c>
      <c r="N1618" s="1" t="s">
        <v>10</v>
      </c>
      <c r="O1618" s="1">
        <v>14.5</v>
      </c>
    </row>
    <row r="1619" spans="4:15" x14ac:dyDescent="0.3">
      <c r="D1619" s="1">
        <v>27078</v>
      </c>
      <c r="E1619" s="2">
        <v>43689</v>
      </c>
      <c r="F1619" s="1" t="s">
        <v>11</v>
      </c>
      <c r="G1619" s="1">
        <v>22</v>
      </c>
      <c r="H1619" s="9"/>
      <c r="J1619" s="1">
        <v>163.11080000000001</v>
      </c>
      <c r="N1619" s="1" t="s">
        <v>10</v>
      </c>
      <c r="O1619" s="1">
        <v>6.3</v>
      </c>
    </row>
    <row r="1620" spans="4:15" x14ac:dyDescent="0.3">
      <c r="D1620" s="1">
        <v>28387</v>
      </c>
      <c r="E1620" s="2">
        <v>43645</v>
      </c>
      <c r="F1620" s="1" t="s">
        <v>11</v>
      </c>
      <c r="G1620" s="1">
        <v>37</v>
      </c>
      <c r="H1620" s="9"/>
      <c r="J1620" s="1">
        <v>3437.88</v>
      </c>
      <c r="N1620" s="1" t="s">
        <v>10</v>
      </c>
      <c r="O1620" s="1">
        <v>21.4</v>
      </c>
    </row>
    <row r="1621" spans="4:15" x14ac:dyDescent="0.3">
      <c r="D1621" s="1">
        <v>27201</v>
      </c>
      <c r="E1621" s="2">
        <v>43671</v>
      </c>
      <c r="F1621" s="1" t="s">
        <v>9</v>
      </c>
      <c r="G1621" s="1">
        <v>45</v>
      </c>
      <c r="H1621" s="9"/>
      <c r="J1621" s="1">
        <v>3745.107</v>
      </c>
      <c r="N1621" s="1" t="s">
        <v>13</v>
      </c>
      <c r="O1621" s="1">
        <v>95.6</v>
      </c>
    </row>
    <row r="1622" spans="4:15" x14ac:dyDescent="0.3">
      <c r="D1622" s="1">
        <v>6757</v>
      </c>
      <c r="E1622" s="2">
        <v>43496</v>
      </c>
      <c r="F1622" s="1" t="s">
        <v>14</v>
      </c>
      <c r="G1622" s="1">
        <v>27</v>
      </c>
      <c r="H1622" s="9"/>
      <c r="J1622" s="1">
        <v>930.66</v>
      </c>
      <c r="N1622" s="1" t="s">
        <v>10</v>
      </c>
      <c r="O1622" s="1">
        <v>8.8000000000000007</v>
      </c>
    </row>
    <row r="1623" spans="4:15" x14ac:dyDescent="0.3">
      <c r="D1623" s="1">
        <v>1185</v>
      </c>
      <c r="E1623" s="2">
        <v>43700</v>
      </c>
      <c r="F1623" s="1" t="s">
        <v>7</v>
      </c>
      <c r="G1623" s="1">
        <v>7</v>
      </c>
      <c r="H1623" s="9"/>
      <c r="J1623" s="1">
        <v>401.01</v>
      </c>
      <c r="N1623" s="1" t="s">
        <v>10</v>
      </c>
      <c r="O1623" s="1">
        <v>15.3</v>
      </c>
    </row>
    <row r="1624" spans="4:15" x14ac:dyDescent="0.3">
      <c r="D1624" s="1">
        <v>19361</v>
      </c>
      <c r="E1624" s="2">
        <v>43731</v>
      </c>
      <c r="F1624" s="1" t="s">
        <v>7</v>
      </c>
      <c r="G1624" s="1">
        <v>21</v>
      </c>
      <c r="H1624" s="9"/>
      <c r="J1624" s="1">
        <v>844.07</v>
      </c>
      <c r="N1624" s="1" t="s">
        <v>10</v>
      </c>
      <c r="O1624" s="1">
        <v>3.2</v>
      </c>
    </row>
    <row r="1625" spans="4:15" x14ac:dyDescent="0.3">
      <c r="D1625" s="1">
        <v>46787</v>
      </c>
      <c r="E1625" s="2">
        <v>43553</v>
      </c>
      <c r="F1625" s="1" t="s">
        <v>14</v>
      </c>
      <c r="G1625" s="1">
        <v>32</v>
      </c>
      <c r="H1625" s="9"/>
      <c r="J1625" s="1">
        <v>741.69</v>
      </c>
      <c r="N1625" s="1" t="s">
        <v>10</v>
      </c>
      <c r="O1625" s="1">
        <v>9.6</v>
      </c>
    </row>
    <row r="1626" spans="4:15" x14ac:dyDescent="0.3">
      <c r="D1626" s="1">
        <v>43493</v>
      </c>
      <c r="E1626" s="2">
        <v>43595</v>
      </c>
      <c r="F1626" s="1" t="s">
        <v>9</v>
      </c>
      <c r="G1626" s="1">
        <v>37</v>
      </c>
      <c r="H1626" s="9"/>
      <c r="J1626" s="1">
        <v>1818.98</v>
      </c>
      <c r="N1626" s="1" t="s">
        <v>10</v>
      </c>
      <c r="O1626" s="1">
        <v>5.4</v>
      </c>
    </row>
    <row r="1627" spans="4:15" x14ac:dyDescent="0.3">
      <c r="D1627" s="1">
        <v>37634</v>
      </c>
      <c r="E1627" s="2">
        <v>43606</v>
      </c>
      <c r="F1627" s="1" t="s">
        <v>14</v>
      </c>
      <c r="G1627" s="1">
        <v>32</v>
      </c>
      <c r="H1627" s="9"/>
      <c r="J1627" s="1">
        <v>393.95</v>
      </c>
      <c r="N1627" s="1" t="s">
        <v>10</v>
      </c>
      <c r="O1627" s="1">
        <v>5.0999999999999996</v>
      </c>
    </row>
    <row r="1628" spans="4:15" x14ac:dyDescent="0.3">
      <c r="D1628" s="1">
        <v>56740</v>
      </c>
      <c r="E1628" s="2">
        <v>43754</v>
      </c>
      <c r="F1628" s="1" t="s">
        <v>7</v>
      </c>
      <c r="G1628" s="1">
        <v>29</v>
      </c>
      <c r="H1628" s="9"/>
      <c r="J1628" s="1">
        <v>25162.45</v>
      </c>
      <c r="N1628" s="1" t="s">
        <v>10</v>
      </c>
      <c r="O1628" s="1">
        <v>26.2</v>
      </c>
    </row>
    <row r="1629" spans="4:15" x14ac:dyDescent="0.3">
      <c r="D1629" s="1">
        <v>18368</v>
      </c>
      <c r="E1629" s="2">
        <v>43799</v>
      </c>
      <c r="F1629" s="1" t="s">
        <v>11</v>
      </c>
      <c r="G1629" s="1">
        <v>3</v>
      </c>
      <c r="H1629" s="9"/>
      <c r="J1629" s="1">
        <v>6390.67</v>
      </c>
      <c r="N1629" s="1" t="s">
        <v>13</v>
      </c>
      <c r="O1629" s="1">
        <v>15.7</v>
      </c>
    </row>
    <row r="1630" spans="4:15" x14ac:dyDescent="0.3">
      <c r="D1630" s="1">
        <v>50181</v>
      </c>
      <c r="E1630" s="2">
        <v>43615</v>
      </c>
      <c r="F1630" s="1" t="s">
        <v>9</v>
      </c>
      <c r="G1630" s="1">
        <v>2</v>
      </c>
      <c r="H1630" s="9"/>
      <c r="J1630" s="1">
        <v>310.01</v>
      </c>
      <c r="N1630" s="1" t="s">
        <v>13</v>
      </c>
      <c r="O1630" s="1">
        <v>30.6</v>
      </c>
    </row>
    <row r="1631" spans="4:15" x14ac:dyDescent="0.3">
      <c r="D1631" s="1">
        <v>37063</v>
      </c>
      <c r="E1631" s="2">
        <v>43808</v>
      </c>
      <c r="F1631" s="1" t="s">
        <v>11</v>
      </c>
      <c r="G1631" s="1">
        <v>50</v>
      </c>
      <c r="H1631" s="9"/>
      <c r="J1631" s="1">
        <v>983.33</v>
      </c>
      <c r="N1631" s="1" t="s">
        <v>10</v>
      </c>
      <c r="O1631" s="1">
        <v>9.6</v>
      </c>
    </row>
    <row r="1632" spans="4:15" x14ac:dyDescent="0.3">
      <c r="D1632" s="1">
        <v>56740</v>
      </c>
      <c r="E1632" s="2">
        <v>43754</v>
      </c>
      <c r="F1632" s="1" t="s">
        <v>7</v>
      </c>
      <c r="G1632" s="1">
        <v>6</v>
      </c>
      <c r="H1632" s="9"/>
      <c r="J1632" s="1">
        <v>36.69</v>
      </c>
      <c r="N1632" s="1" t="s">
        <v>10</v>
      </c>
      <c r="O1632" s="1">
        <v>3.2</v>
      </c>
    </row>
    <row r="1633" spans="4:15" x14ac:dyDescent="0.3">
      <c r="D1633" s="1">
        <v>21729</v>
      </c>
      <c r="E1633" s="2">
        <v>43805</v>
      </c>
      <c r="F1633" s="1" t="s">
        <v>7</v>
      </c>
      <c r="G1633" s="1">
        <v>14</v>
      </c>
      <c r="H1633" s="9"/>
      <c r="J1633" s="1">
        <v>1158.4462000000001</v>
      </c>
      <c r="N1633" s="1" t="s">
        <v>10</v>
      </c>
      <c r="O1633" s="1">
        <v>51.6</v>
      </c>
    </row>
    <row r="1634" spans="4:15" x14ac:dyDescent="0.3">
      <c r="D1634" s="1">
        <v>16518</v>
      </c>
      <c r="E1634" s="2">
        <v>43737</v>
      </c>
      <c r="F1634" s="1" t="s">
        <v>12</v>
      </c>
      <c r="G1634" s="1">
        <v>36</v>
      </c>
      <c r="H1634" s="9"/>
      <c r="J1634" s="1">
        <v>2812.95</v>
      </c>
      <c r="N1634" s="1" t="s">
        <v>10</v>
      </c>
      <c r="O1634" s="1">
        <v>1.1000000000000001</v>
      </c>
    </row>
    <row r="1635" spans="4:15" x14ac:dyDescent="0.3">
      <c r="D1635" s="1">
        <v>15937</v>
      </c>
      <c r="E1635" s="2">
        <v>43775</v>
      </c>
      <c r="F1635" s="1" t="s">
        <v>7</v>
      </c>
      <c r="G1635" s="1">
        <v>32</v>
      </c>
      <c r="H1635" s="9"/>
      <c r="J1635" s="1">
        <v>333.24</v>
      </c>
      <c r="N1635" s="1" t="s">
        <v>10</v>
      </c>
      <c r="O1635" s="1">
        <v>2.1</v>
      </c>
    </row>
    <row r="1636" spans="4:15" x14ac:dyDescent="0.3">
      <c r="D1636" s="1">
        <v>3654</v>
      </c>
      <c r="E1636" s="2">
        <v>43618</v>
      </c>
      <c r="F1636" s="1" t="s">
        <v>7</v>
      </c>
      <c r="G1636" s="1">
        <v>41</v>
      </c>
      <c r="H1636" s="9"/>
      <c r="J1636" s="1">
        <v>102.43</v>
      </c>
      <c r="N1636" s="1" t="s">
        <v>10</v>
      </c>
      <c r="O1636" s="1">
        <v>5.7</v>
      </c>
    </row>
    <row r="1637" spans="4:15" x14ac:dyDescent="0.3">
      <c r="D1637" s="1">
        <v>55494</v>
      </c>
      <c r="E1637" s="2">
        <v>43641</v>
      </c>
      <c r="F1637" s="1" t="s">
        <v>11</v>
      </c>
      <c r="G1637" s="1">
        <v>4</v>
      </c>
      <c r="H1637" s="9"/>
      <c r="J1637" s="1">
        <v>61.87</v>
      </c>
      <c r="N1637" s="1" t="s">
        <v>8</v>
      </c>
      <c r="O1637" s="1">
        <v>5.0999999999999996</v>
      </c>
    </row>
    <row r="1638" spans="4:15" x14ac:dyDescent="0.3">
      <c r="D1638" s="1">
        <v>8070</v>
      </c>
      <c r="E1638" s="2">
        <v>43492</v>
      </c>
      <c r="F1638" s="1" t="s">
        <v>14</v>
      </c>
      <c r="G1638" s="1">
        <v>14</v>
      </c>
      <c r="H1638" s="9"/>
      <c r="J1638" s="1">
        <v>666.31</v>
      </c>
      <c r="N1638" s="1" t="s">
        <v>10</v>
      </c>
      <c r="O1638" s="1">
        <v>9.6</v>
      </c>
    </row>
    <row r="1639" spans="4:15" x14ac:dyDescent="0.3">
      <c r="D1639" s="1">
        <v>16161</v>
      </c>
      <c r="E1639" s="2">
        <v>43674</v>
      </c>
      <c r="F1639" s="1" t="s">
        <v>14</v>
      </c>
      <c r="G1639" s="1">
        <v>49</v>
      </c>
      <c r="H1639" s="9"/>
      <c r="J1639" s="1">
        <v>2881.18</v>
      </c>
      <c r="N1639" s="1" t="s">
        <v>10</v>
      </c>
      <c r="O1639" s="1">
        <v>4.5</v>
      </c>
    </row>
    <row r="1640" spans="4:15" x14ac:dyDescent="0.3">
      <c r="D1640" s="1">
        <v>20292</v>
      </c>
      <c r="E1640" s="2">
        <v>43777</v>
      </c>
      <c r="F1640" s="1" t="s">
        <v>14</v>
      </c>
      <c r="G1640" s="1">
        <v>5</v>
      </c>
      <c r="H1640" s="9"/>
      <c r="J1640" s="1">
        <v>125.33</v>
      </c>
      <c r="N1640" s="1" t="s">
        <v>10</v>
      </c>
      <c r="O1640" s="1">
        <v>4.3</v>
      </c>
    </row>
    <row r="1641" spans="4:15" x14ac:dyDescent="0.3">
      <c r="D1641" s="1">
        <v>8609</v>
      </c>
      <c r="E1641" s="2">
        <v>43569</v>
      </c>
      <c r="F1641" s="1" t="s">
        <v>12</v>
      </c>
      <c r="G1641" s="1">
        <v>4</v>
      </c>
      <c r="H1641" s="9"/>
      <c r="J1641" s="1">
        <v>77.040000000000006</v>
      </c>
      <c r="N1641" s="1" t="s">
        <v>10</v>
      </c>
      <c r="O1641" s="1">
        <v>2.7</v>
      </c>
    </row>
    <row r="1642" spans="4:15" x14ac:dyDescent="0.3">
      <c r="D1642" s="1">
        <v>13572</v>
      </c>
      <c r="E1642" s="2">
        <v>43602</v>
      </c>
      <c r="F1642" s="1" t="s">
        <v>12</v>
      </c>
      <c r="G1642" s="1">
        <v>7</v>
      </c>
      <c r="H1642" s="9"/>
      <c r="J1642" s="1">
        <v>42.92</v>
      </c>
      <c r="N1642" s="1" t="s">
        <v>10</v>
      </c>
      <c r="O1642" s="1">
        <v>5.5</v>
      </c>
    </row>
    <row r="1643" spans="4:15" x14ac:dyDescent="0.3">
      <c r="D1643" s="1">
        <v>57600</v>
      </c>
      <c r="E1643" s="2">
        <v>43780</v>
      </c>
      <c r="F1643" s="1" t="s">
        <v>12</v>
      </c>
      <c r="G1643" s="1">
        <v>44</v>
      </c>
      <c r="H1643" s="9"/>
      <c r="J1643" s="1">
        <v>200.03</v>
      </c>
      <c r="N1643" s="1" t="s">
        <v>10</v>
      </c>
      <c r="O1643" s="1">
        <v>0.5</v>
      </c>
    </row>
    <row r="1644" spans="4:15" x14ac:dyDescent="0.3">
      <c r="D1644" s="1">
        <v>12931</v>
      </c>
      <c r="E1644" s="2">
        <v>43579</v>
      </c>
      <c r="F1644" s="1" t="s">
        <v>14</v>
      </c>
      <c r="G1644" s="1">
        <v>11</v>
      </c>
      <c r="H1644" s="9"/>
      <c r="J1644" s="1">
        <v>699.69</v>
      </c>
      <c r="N1644" s="1" t="s">
        <v>10</v>
      </c>
      <c r="O1644" s="1">
        <v>10.4</v>
      </c>
    </row>
    <row r="1645" spans="4:15" x14ac:dyDescent="0.3">
      <c r="D1645" s="1">
        <v>46534</v>
      </c>
      <c r="E1645" s="2">
        <v>43741</v>
      </c>
      <c r="F1645" s="1" t="s">
        <v>9</v>
      </c>
      <c r="G1645" s="1">
        <v>13</v>
      </c>
      <c r="H1645" s="9"/>
      <c r="J1645" s="1">
        <v>1435.2</v>
      </c>
      <c r="N1645" s="1" t="s">
        <v>10</v>
      </c>
      <c r="O1645" s="1">
        <v>21.4</v>
      </c>
    </row>
    <row r="1646" spans="4:15" x14ac:dyDescent="0.3">
      <c r="D1646" s="1">
        <v>27841</v>
      </c>
      <c r="E1646" s="2">
        <v>43724</v>
      </c>
      <c r="F1646" s="1" t="s">
        <v>9</v>
      </c>
      <c r="G1646" s="1">
        <v>33</v>
      </c>
      <c r="H1646" s="9"/>
      <c r="J1646" s="1">
        <v>72.599999999999994</v>
      </c>
      <c r="N1646" s="1" t="s">
        <v>10</v>
      </c>
      <c r="O1646" s="1">
        <v>0.7</v>
      </c>
    </row>
    <row r="1647" spans="4:15" x14ac:dyDescent="0.3">
      <c r="D1647" s="1">
        <v>47686</v>
      </c>
      <c r="E1647" s="2">
        <v>43749</v>
      </c>
      <c r="F1647" s="1" t="s">
        <v>11</v>
      </c>
      <c r="G1647" s="1">
        <v>48</v>
      </c>
      <c r="H1647" s="9"/>
      <c r="J1647" s="1">
        <v>192.23</v>
      </c>
      <c r="N1647" s="1" t="s">
        <v>10</v>
      </c>
      <c r="O1647" s="1">
        <v>1.3</v>
      </c>
    </row>
    <row r="1648" spans="4:15" x14ac:dyDescent="0.3">
      <c r="D1648" s="1">
        <v>54791</v>
      </c>
      <c r="E1648" s="2">
        <v>43819</v>
      </c>
      <c r="F1648" s="1" t="s">
        <v>9</v>
      </c>
      <c r="G1648" s="1">
        <v>42</v>
      </c>
      <c r="H1648" s="9"/>
      <c r="J1648" s="1">
        <v>4572.4799999999996</v>
      </c>
      <c r="N1648" s="1" t="s">
        <v>10</v>
      </c>
      <c r="O1648" s="1">
        <v>37.5</v>
      </c>
    </row>
    <row r="1649" spans="4:15" x14ac:dyDescent="0.3">
      <c r="D1649" s="1">
        <v>39075</v>
      </c>
      <c r="E1649" s="2">
        <v>43514</v>
      </c>
      <c r="F1649" s="1" t="s">
        <v>11</v>
      </c>
      <c r="G1649" s="1">
        <v>50</v>
      </c>
      <c r="H1649" s="9"/>
      <c r="J1649" s="1">
        <v>548.19000000000005</v>
      </c>
      <c r="N1649" s="1" t="s">
        <v>10</v>
      </c>
      <c r="O1649" s="1">
        <v>1.1000000000000001</v>
      </c>
    </row>
    <row r="1650" spans="4:15" x14ac:dyDescent="0.3">
      <c r="D1650" s="1">
        <v>9024</v>
      </c>
      <c r="E1650" s="2">
        <v>43618</v>
      </c>
      <c r="F1650" s="1" t="s">
        <v>14</v>
      </c>
      <c r="G1650" s="1">
        <v>2</v>
      </c>
      <c r="H1650" s="9"/>
      <c r="J1650" s="1">
        <v>12.968400000000001</v>
      </c>
      <c r="N1650" s="1" t="s">
        <v>10</v>
      </c>
      <c r="O1650" s="1">
        <v>1</v>
      </c>
    </row>
    <row r="1651" spans="4:15" x14ac:dyDescent="0.3">
      <c r="D1651" s="1">
        <v>44037</v>
      </c>
      <c r="E1651" s="2">
        <v>43644</v>
      </c>
      <c r="F1651" s="1" t="s">
        <v>9</v>
      </c>
      <c r="G1651" s="1">
        <v>39</v>
      </c>
      <c r="H1651" s="9"/>
      <c r="J1651" s="1">
        <v>894.04</v>
      </c>
      <c r="N1651" s="1" t="s">
        <v>10</v>
      </c>
      <c r="O1651" s="1">
        <v>5.4</v>
      </c>
    </row>
    <row r="1652" spans="4:15" x14ac:dyDescent="0.3">
      <c r="D1652" s="1">
        <v>7042</v>
      </c>
      <c r="E1652" s="2">
        <v>43472</v>
      </c>
      <c r="F1652" s="1" t="s">
        <v>14</v>
      </c>
      <c r="G1652" s="1">
        <v>4</v>
      </c>
      <c r="H1652" s="9"/>
      <c r="J1652" s="1">
        <v>1271.0145</v>
      </c>
      <c r="N1652" s="1" t="s">
        <v>13</v>
      </c>
      <c r="O1652" s="1">
        <v>91.6</v>
      </c>
    </row>
    <row r="1653" spans="4:15" x14ac:dyDescent="0.3">
      <c r="D1653" s="1">
        <v>26919</v>
      </c>
      <c r="E1653" s="2">
        <v>43809</v>
      </c>
      <c r="F1653" s="1" t="s">
        <v>7</v>
      </c>
      <c r="G1653" s="1">
        <v>12</v>
      </c>
      <c r="H1653" s="9"/>
      <c r="J1653" s="1">
        <v>3781.98</v>
      </c>
      <c r="N1653" s="1" t="s">
        <v>10</v>
      </c>
      <c r="O1653" s="1">
        <v>26.2</v>
      </c>
    </row>
    <row r="1654" spans="4:15" x14ac:dyDescent="0.3">
      <c r="D1654" s="1">
        <v>4800</v>
      </c>
      <c r="E1654" s="2">
        <v>43469</v>
      </c>
      <c r="F1654" s="1" t="s">
        <v>7</v>
      </c>
      <c r="G1654" s="1">
        <v>17</v>
      </c>
      <c r="H1654" s="9"/>
      <c r="J1654" s="1">
        <v>95.5</v>
      </c>
      <c r="N1654" s="1" t="s">
        <v>10</v>
      </c>
      <c r="O1654" s="1">
        <v>0.5</v>
      </c>
    </row>
    <row r="1655" spans="4:15" x14ac:dyDescent="0.3">
      <c r="D1655" s="1">
        <v>10470</v>
      </c>
      <c r="E1655" s="2">
        <v>43589</v>
      </c>
      <c r="F1655" s="1" t="s">
        <v>7</v>
      </c>
      <c r="G1655" s="1">
        <v>40</v>
      </c>
      <c r="H1655" s="9"/>
      <c r="J1655" s="1">
        <v>1880.4501</v>
      </c>
      <c r="N1655" s="1" t="s">
        <v>8</v>
      </c>
      <c r="O1655" s="1">
        <v>3.7</v>
      </c>
    </row>
    <row r="1656" spans="4:15" x14ac:dyDescent="0.3">
      <c r="D1656" s="1">
        <v>13031</v>
      </c>
      <c r="E1656" s="2">
        <v>43803</v>
      </c>
      <c r="F1656" s="1" t="s">
        <v>7</v>
      </c>
      <c r="G1656" s="1">
        <v>34</v>
      </c>
      <c r="H1656" s="9"/>
      <c r="J1656" s="1">
        <v>224.76</v>
      </c>
      <c r="N1656" s="1" t="s">
        <v>10</v>
      </c>
      <c r="O1656" s="1">
        <v>7.9</v>
      </c>
    </row>
    <row r="1657" spans="4:15" x14ac:dyDescent="0.3">
      <c r="D1657" s="1">
        <v>11398</v>
      </c>
      <c r="E1657" s="2">
        <v>43683</v>
      </c>
      <c r="F1657" s="1" t="s">
        <v>9</v>
      </c>
      <c r="G1657" s="1">
        <v>26</v>
      </c>
      <c r="H1657" s="9"/>
      <c r="J1657" s="1">
        <v>86.55</v>
      </c>
      <c r="N1657" s="1" t="s">
        <v>10</v>
      </c>
      <c r="O1657" s="1">
        <v>0.9</v>
      </c>
    </row>
    <row r="1658" spans="4:15" x14ac:dyDescent="0.3">
      <c r="D1658" s="1">
        <v>8231</v>
      </c>
      <c r="E1658" s="2">
        <v>43756</v>
      </c>
      <c r="F1658" s="1" t="s">
        <v>12</v>
      </c>
      <c r="G1658" s="1">
        <v>27</v>
      </c>
      <c r="H1658" s="9"/>
      <c r="J1658" s="1">
        <v>85</v>
      </c>
      <c r="N1658" s="1" t="s">
        <v>10</v>
      </c>
      <c r="O1658" s="1">
        <v>0.5</v>
      </c>
    </row>
    <row r="1659" spans="4:15" x14ac:dyDescent="0.3">
      <c r="D1659" s="1">
        <v>26818</v>
      </c>
      <c r="E1659" s="2">
        <v>43472</v>
      </c>
      <c r="F1659" s="1" t="s">
        <v>11</v>
      </c>
      <c r="G1659" s="1">
        <v>5</v>
      </c>
      <c r="H1659" s="9"/>
      <c r="J1659" s="1">
        <v>83.88</v>
      </c>
      <c r="N1659" s="1" t="s">
        <v>8</v>
      </c>
      <c r="O1659" s="1">
        <v>5.3</v>
      </c>
    </row>
    <row r="1660" spans="4:15" x14ac:dyDescent="0.3">
      <c r="D1660" s="1">
        <v>4738</v>
      </c>
      <c r="E1660" s="2">
        <v>43562</v>
      </c>
      <c r="F1660" s="1" t="s">
        <v>9</v>
      </c>
      <c r="G1660" s="1">
        <v>2</v>
      </c>
      <c r="H1660" s="9"/>
      <c r="J1660" s="1">
        <v>11.12</v>
      </c>
      <c r="N1660" s="1" t="s">
        <v>10</v>
      </c>
      <c r="O1660" s="1">
        <v>0.7</v>
      </c>
    </row>
    <row r="1661" spans="4:15" x14ac:dyDescent="0.3">
      <c r="D1661" s="1">
        <v>19361</v>
      </c>
      <c r="E1661" s="2">
        <v>43731</v>
      </c>
      <c r="F1661" s="1" t="s">
        <v>7</v>
      </c>
      <c r="G1661" s="1">
        <v>43</v>
      </c>
      <c r="H1661" s="9"/>
      <c r="J1661" s="1">
        <v>390.11</v>
      </c>
      <c r="N1661" s="1" t="s">
        <v>10</v>
      </c>
      <c r="O1661" s="1">
        <v>5.5</v>
      </c>
    </row>
    <row r="1662" spans="4:15" x14ac:dyDescent="0.3">
      <c r="D1662" s="1">
        <v>42400</v>
      </c>
      <c r="E1662" s="2">
        <v>43686</v>
      </c>
      <c r="F1662" s="1" t="s">
        <v>7</v>
      </c>
      <c r="G1662" s="1">
        <v>41</v>
      </c>
      <c r="H1662" s="9"/>
      <c r="J1662" s="1">
        <v>459.33</v>
      </c>
      <c r="N1662" s="1" t="s">
        <v>10</v>
      </c>
      <c r="O1662" s="1">
        <v>7</v>
      </c>
    </row>
    <row r="1663" spans="4:15" x14ac:dyDescent="0.3">
      <c r="D1663" s="1">
        <v>28129</v>
      </c>
      <c r="E1663" s="2">
        <v>43490</v>
      </c>
      <c r="F1663" s="1" t="s">
        <v>14</v>
      </c>
      <c r="G1663" s="1">
        <v>5</v>
      </c>
      <c r="H1663" s="9"/>
      <c r="J1663" s="1">
        <v>114.93</v>
      </c>
      <c r="N1663" s="1" t="s">
        <v>10</v>
      </c>
      <c r="O1663" s="1">
        <v>6.3</v>
      </c>
    </row>
    <row r="1664" spans="4:15" x14ac:dyDescent="0.3">
      <c r="D1664" s="1">
        <v>21344</v>
      </c>
      <c r="E1664" s="2">
        <v>43808</v>
      </c>
      <c r="F1664" s="1" t="s">
        <v>7</v>
      </c>
      <c r="G1664" s="1">
        <v>48</v>
      </c>
      <c r="H1664" s="9"/>
      <c r="J1664" s="1">
        <v>2152.2600000000002</v>
      </c>
      <c r="N1664" s="1" t="s">
        <v>10</v>
      </c>
      <c r="O1664" s="1">
        <v>9.3000000000000007</v>
      </c>
    </row>
    <row r="1665" spans="4:15" x14ac:dyDescent="0.3">
      <c r="D1665" s="1">
        <v>30469</v>
      </c>
      <c r="E1665" s="2">
        <v>43824</v>
      </c>
      <c r="F1665" s="1" t="s">
        <v>11</v>
      </c>
      <c r="G1665" s="1">
        <v>46</v>
      </c>
      <c r="H1665" s="9"/>
      <c r="J1665" s="1">
        <v>325.5582</v>
      </c>
      <c r="N1665" s="1" t="s">
        <v>10</v>
      </c>
      <c r="O1665" s="1">
        <v>2.5</v>
      </c>
    </row>
    <row r="1666" spans="4:15" x14ac:dyDescent="0.3">
      <c r="D1666" s="1">
        <v>27265</v>
      </c>
      <c r="E1666" s="2">
        <v>43591</v>
      </c>
      <c r="F1666" s="1" t="s">
        <v>12</v>
      </c>
      <c r="G1666" s="1">
        <v>36</v>
      </c>
      <c r="H1666" s="9"/>
      <c r="J1666" s="1">
        <v>5978.3</v>
      </c>
      <c r="N1666" s="1" t="s">
        <v>8</v>
      </c>
      <c r="O1666" s="1">
        <v>21.4</v>
      </c>
    </row>
    <row r="1667" spans="4:15" x14ac:dyDescent="0.3">
      <c r="D1667" s="1">
        <v>612</v>
      </c>
      <c r="E1667" s="2">
        <v>43758</v>
      </c>
      <c r="F1667" s="1" t="s">
        <v>14</v>
      </c>
      <c r="G1667" s="1">
        <v>43</v>
      </c>
      <c r="H1667" s="9"/>
      <c r="J1667" s="1">
        <v>2708.26</v>
      </c>
      <c r="N1667" s="1" t="s">
        <v>10</v>
      </c>
      <c r="O1667" s="1">
        <v>2.7</v>
      </c>
    </row>
    <row r="1668" spans="4:15" x14ac:dyDescent="0.3">
      <c r="D1668" s="1">
        <v>8801</v>
      </c>
      <c r="E1668" s="2">
        <v>43687</v>
      </c>
      <c r="F1668" s="1" t="s">
        <v>7</v>
      </c>
      <c r="G1668" s="1">
        <v>32</v>
      </c>
      <c r="H1668" s="9"/>
      <c r="J1668" s="1">
        <v>2774.5956000000001</v>
      </c>
      <c r="N1668" s="1" t="s">
        <v>8</v>
      </c>
      <c r="O1668" s="1">
        <v>51.6</v>
      </c>
    </row>
    <row r="1669" spans="4:15" x14ac:dyDescent="0.3">
      <c r="D1669" s="1">
        <v>50308</v>
      </c>
      <c r="E1669" s="2">
        <v>43756</v>
      </c>
      <c r="F1669" s="1" t="s">
        <v>7</v>
      </c>
      <c r="G1669" s="1">
        <v>19</v>
      </c>
      <c r="H1669" s="9"/>
      <c r="J1669" s="1">
        <v>92.53</v>
      </c>
      <c r="N1669" s="1" t="s">
        <v>10</v>
      </c>
      <c r="O1669" s="1">
        <v>0.5</v>
      </c>
    </row>
    <row r="1670" spans="4:15" x14ac:dyDescent="0.3">
      <c r="D1670" s="1">
        <v>26853</v>
      </c>
      <c r="E1670" s="2">
        <v>43628</v>
      </c>
      <c r="F1670" s="1" t="s">
        <v>7</v>
      </c>
      <c r="G1670" s="1">
        <v>21</v>
      </c>
      <c r="H1670" s="9"/>
      <c r="J1670" s="1">
        <v>68.95</v>
      </c>
      <c r="N1670" s="1" t="s">
        <v>10</v>
      </c>
      <c r="O1670" s="1">
        <v>6.8</v>
      </c>
    </row>
    <row r="1671" spans="4:15" x14ac:dyDescent="0.3">
      <c r="D1671" s="1">
        <v>17543</v>
      </c>
      <c r="E1671" s="2">
        <v>43610</v>
      </c>
      <c r="F1671" s="1" t="s">
        <v>12</v>
      </c>
      <c r="G1671" s="1">
        <v>35</v>
      </c>
      <c r="H1671" s="9"/>
      <c r="J1671" s="1">
        <v>1114.6600000000001</v>
      </c>
      <c r="N1671" s="1" t="s">
        <v>10</v>
      </c>
      <c r="O1671" s="1">
        <v>18.3</v>
      </c>
    </row>
    <row r="1672" spans="4:15" x14ac:dyDescent="0.3">
      <c r="D1672" s="1">
        <v>55458</v>
      </c>
      <c r="E1672" s="2">
        <v>43540</v>
      </c>
      <c r="F1672" s="1" t="s">
        <v>9</v>
      </c>
      <c r="G1672" s="1">
        <v>32</v>
      </c>
      <c r="H1672" s="9"/>
      <c r="J1672" s="1">
        <v>123.88</v>
      </c>
      <c r="N1672" s="1" t="s">
        <v>10</v>
      </c>
      <c r="O1672" s="1">
        <v>7.3</v>
      </c>
    </row>
    <row r="1673" spans="4:15" x14ac:dyDescent="0.3">
      <c r="D1673" s="1">
        <v>11782</v>
      </c>
      <c r="E1673" s="2">
        <v>43674</v>
      </c>
      <c r="F1673" s="1" t="s">
        <v>7</v>
      </c>
      <c r="G1673" s="1">
        <v>27</v>
      </c>
      <c r="H1673" s="9"/>
      <c r="J1673" s="1">
        <v>1649.71</v>
      </c>
      <c r="N1673" s="1" t="s">
        <v>10</v>
      </c>
      <c r="O1673" s="1">
        <v>15</v>
      </c>
    </row>
    <row r="1674" spans="4:15" x14ac:dyDescent="0.3">
      <c r="D1674" s="1">
        <v>17152</v>
      </c>
      <c r="E1674" s="2">
        <v>43536</v>
      </c>
      <c r="F1674" s="1" t="s">
        <v>9</v>
      </c>
      <c r="G1674" s="1">
        <v>32</v>
      </c>
      <c r="H1674" s="9"/>
      <c r="J1674" s="1">
        <v>253</v>
      </c>
      <c r="N1674" s="1" t="s">
        <v>10</v>
      </c>
      <c r="O1674" s="1">
        <v>10.4</v>
      </c>
    </row>
    <row r="1675" spans="4:15" x14ac:dyDescent="0.3">
      <c r="D1675" s="1">
        <v>29536</v>
      </c>
      <c r="E1675" s="2">
        <v>43715</v>
      </c>
      <c r="F1675" s="1" t="s">
        <v>14</v>
      </c>
      <c r="G1675" s="1">
        <v>11</v>
      </c>
      <c r="H1675" s="9"/>
      <c r="J1675" s="1">
        <v>2657.38</v>
      </c>
      <c r="N1675" s="1" t="s">
        <v>13</v>
      </c>
      <c r="O1675" s="1">
        <v>69.2</v>
      </c>
    </row>
    <row r="1676" spans="4:15" x14ac:dyDescent="0.3">
      <c r="D1676" s="1">
        <v>31523</v>
      </c>
      <c r="E1676" s="2">
        <v>43532</v>
      </c>
      <c r="F1676" s="1" t="s">
        <v>7</v>
      </c>
      <c r="G1676" s="1">
        <v>19</v>
      </c>
      <c r="H1676" s="9"/>
      <c r="J1676" s="1">
        <v>191.88310000000001</v>
      </c>
      <c r="N1676" s="1" t="s">
        <v>10</v>
      </c>
      <c r="O1676" s="1">
        <v>8.9</v>
      </c>
    </row>
    <row r="1677" spans="4:15" x14ac:dyDescent="0.3">
      <c r="D1677" s="1">
        <v>14372</v>
      </c>
      <c r="E1677" s="2">
        <v>43761</v>
      </c>
      <c r="F1677" s="1" t="s">
        <v>12</v>
      </c>
      <c r="G1677" s="1">
        <v>34</v>
      </c>
      <c r="H1677" s="9"/>
      <c r="J1677" s="1">
        <v>5725.15</v>
      </c>
      <c r="N1677" s="1" t="s">
        <v>13</v>
      </c>
      <c r="O1677" s="1">
        <v>64.7</v>
      </c>
    </row>
    <row r="1678" spans="4:15" x14ac:dyDescent="0.3">
      <c r="D1678" s="1">
        <v>34148</v>
      </c>
      <c r="E1678" s="2">
        <v>43698</v>
      </c>
      <c r="F1678" s="1" t="s">
        <v>12</v>
      </c>
      <c r="G1678" s="1">
        <v>33</v>
      </c>
      <c r="H1678" s="9"/>
      <c r="J1678" s="1">
        <v>146.37</v>
      </c>
      <c r="N1678" s="1" t="s">
        <v>10</v>
      </c>
      <c r="O1678" s="1">
        <v>1.1000000000000001</v>
      </c>
    </row>
    <row r="1679" spans="4:15" x14ac:dyDescent="0.3">
      <c r="D1679" s="1">
        <v>13346</v>
      </c>
      <c r="E1679" s="2">
        <v>43784</v>
      </c>
      <c r="F1679" s="1" t="s">
        <v>7</v>
      </c>
      <c r="G1679" s="1">
        <v>44</v>
      </c>
      <c r="H1679" s="9"/>
      <c r="J1679" s="1">
        <v>287.12</v>
      </c>
      <c r="N1679" s="1" t="s">
        <v>10</v>
      </c>
      <c r="O1679" s="1">
        <v>9.5</v>
      </c>
    </row>
    <row r="1680" spans="4:15" x14ac:dyDescent="0.3">
      <c r="D1680" s="1">
        <v>18851</v>
      </c>
      <c r="E1680" s="2">
        <v>43815</v>
      </c>
      <c r="F1680" s="1" t="s">
        <v>12</v>
      </c>
      <c r="G1680" s="1">
        <v>32</v>
      </c>
      <c r="H1680" s="9"/>
      <c r="J1680" s="1">
        <v>218.5</v>
      </c>
      <c r="N1680" s="1" t="s">
        <v>8</v>
      </c>
      <c r="O1680" s="1">
        <v>11.1</v>
      </c>
    </row>
    <row r="1681" spans="4:15" x14ac:dyDescent="0.3">
      <c r="D1681" s="1">
        <v>15616</v>
      </c>
      <c r="E1681" s="2">
        <v>43547</v>
      </c>
      <c r="F1681" s="1" t="s">
        <v>12</v>
      </c>
      <c r="G1681" s="1">
        <v>12</v>
      </c>
      <c r="H1681" s="9"/>
      <c r="J1681" s="1">
        <v>413.78</v>
      </c>
      <c r="N1681" s="1" t="s">
        <v>8</v>
      </c>
      <c r="O1681" s="1">
        <v>7</v>
      </c>
    </row>
    <row r="1682" spans="4:15" x14ac:dyDescent="0.3">
      <c r="D1682" s="1">
        <v>15782</v>
      </c>
      <c r="E1682" s="2">
        <v>43554</v>
      </c>
      <c r="F1682" s="1" t="s">
        <v>9</v>
      </c>
      <c r="G1682" s="1">
        <v>35</v>
      </c>
      <c r="H1682" s="9"/>
      <c r="J1682" s="1">
        <v>2503.4148</v>
      </c>
      <c r="N1682" s="1" t="s">
        <v>10</v>
      </c>
      <c r="O1682" s="1">
        <v>73.8</v>
      </c>
    </row>
    <row r="1683" spans="4:15" x14ac:dyDescent="0.3">
      <c r="D1683" s="1">
        <v>32067</v>
      </c>
      <c r="E1683" s="2">
        <v>43536</v>
      </c>
      <c r="F1683" s="1" t="s">
        <v>9</v>
      </c>
      <c r="G1683" s="1">
        <v>27</v>
      </c>
      <c r="H1683" s="9"/>
      <c r="J1683" s="1">
        <v>3053.66</v>
      </c>
      <c r="N1683" s="1" t="s">
        <v>10</v>
      </c>
      <c r="O1683" s="1">
        <v>8.1999999999999993</v>
      </c>
    </row>
    <row r="1684" spans="4:15" x14ac:dyDescent="0.3">
      <c r="D1684" s="1">
        <v>18373</v>
      </c>
      <c r="E1684" s="2">
        <v>43567</v>
      </c>
      <c r="F1684" s="1" t="s">
        <v>12</v>
      </c>
      <c r="G1684" s="1">
        <v>35</v>
      </c>
      <c r="H1684" s="9"/>
      <c r="J1684" s="1">
        <v>7070.82</v>
      </c>
      <c r="N1684" s="1" t="s">
        <v>10</v>
      </c>
      <c r="O1684" s="1">
        <v>1.1000000000000001</v>
      </c>
    </row>
    <row r="1685" spans="4:15" x14ac:dyDescent="0.3">
      <c r="D1685" s="1">
        <v>57058</v>
      </c>
      <c r="E1685" s="2">
        <v>43594</v>
      </c>
      <c r="F1685" s="1" t="s">
        <v>14</v>
      </c>
      <c r="G1685" s="1">
        <v>27</v>
      </c>
      <c r="H1685" s="9"/>
      <c r="J1685" s="1">
        <v>1047.5899999999999</v>
      </c>
      <c r="N1685" s="1" t="s">
        <v>10</v>
      </c>
      <c r="O1685" s="1">
        <v>9.6999999999999993</v>
      </c>
    </row>
    <row r="1686" spans="4:15" x14ac:dyDescent="0.3">
      <c r="D1686" s="1">
        <v>24613</v>
      </c>
      <c r="E1686" s="2">
        <v>43662</v>
      </c>
      <c r="F1686" s="1" t="s">
        <v>7</v>
      </c>
      <c r="G1686" s="1">
        <v>36</v>
      </c>
      <c r="H1686" s="9"/>
      <c r="J1686" s="1">
        <v>264.07</v>
      </c>
      <c r="N1686" s="1" t="s">
        <v>10</v>
      </c>
      <c r="O1686" s="1">
        <v>7.1</v>
      </c>
    </row>
    <row r="1687" spans="4:15" x14ac:dyDescent="0.3">
      <c r="D1687" s="1">
        <v>19617</v>
      </c>
      <c r="E1687" s="2">
        <v>43484</v>
      </c>
      <c r="F1687" s="1" t="s">
        <v>7</v>
      </c>
      <c r="G1687" s="1">
        <v>3</v>
      </c>
      <c r="H1687" s="9"/>
      <c r="J1687" s="1">
        <v>184.0009</v>
      </c>
      <c r="N1687" s="1" t="s">
        <v>10</v>
      </c>
      <c r="O1687" s="1">
        <v>9.6</v>
      </c>
    </row>
    <row r="1688" spans="4:15" x14ac:dyDescent="0.3">
      <c r="D1688" s="1">
        <v>40289</v>
      </c>
      <c r="E1688" s="2">
        <v>43795</v>
      </c>
      <c r="F1688" s="1" t="s">
        <v>11</v>
      </c>
      <c r="G1688" s="1">
        <v>26</v>
      </c>
      <c r="H1688" s="9"/>
      <c r="J1688" s="1">
        <v>83.56</v>
      </c>
      <c r="N1688" s="1" t="s">
        <v>10</v>
      </c>
      <c r="O1688" s="1">
        <v>1.1000000000000001</v>
      </c>
    </row>
    <row r="1689" spans="4:15" x14ac:dyDescent="0.3">
      <c r="D1689" s="1">
        <v>38817</v>
      </c>
      <c r="E1689" s="2">
        <v>43605</v>
      </c>
      <c r="F1689" s="1" t="s">
        <v>11</v>
      </c>
      <c r="G1689" s="1">
        <v>1</v>
      </c>
      <c r="H1689" s="9"/>
      <c r="J1689" s="1">
        <v>10.38</v>
      </c>
      <c r="N1689" s="1" t="s">
        <v>10</v>
      </c>
      <c r="O1689" s="1">
        <v>4.9000000000000004</v>
      </c>
    </row>
    <row r="1690" spans="4:15" x14ac:dyDescent="0.3">
      <c r="D1690" s="1">
        <v>11808</v>
      </c>
      <c r="E1690" s="2">
        <v>43677</v>
      </c>
      <c r="F1690" s="1" t="s">
        <v>11</v>
      </c>
      <c r="G1690" s="1">
        <v>1</v>
      </c>
      <c r="H1690" s="9"/>
      <c r="J1690" s="1">
        <v>158.72999999999999</v>
      </c>
      <c r="N1690" s="1" t="s">
        <v>13</v>
      </c>
      <c r="O1690" s="1">
        <v>42</v>
      </c>
    </row>
    <row r="1691" spans="4:15" x14ac:dyDescent="0.3">
      <c r="D1691" s="1">
        <v>2023</v>
      </c>
      <c r="E1691" s="2">
        <v>43590</v>
      </c>
      <c r="F1691" s="1" t="s">
        <v>7</v>
      </c>
      <c r="G1691" s="1">
        <v>50</v>
      </c>
      <c r="H1691" s="9"/>
      <c r="J1691" s="1">
        <v>263.82990000000001</v>
      </c>
      <c r="N1691" s="1" t="s">
        <v>10</v>
      </c>
      <c r="O1691" s="1">
        <v>5.9</v>
      </c>
    </row>
    <row r="1692" spans="4:15" x14ac:dyDescent="0.3">
      <c r="D1692" s="1">
        <v>12551</v>
      </c>
      <c r="E1692" s="2">
        <v>43627</v>
      </c>
      <c r="F1692" s="1" t="s">
        <v>7</v>
      </c>
      <c r="G1692" s="1">
        <v>46</v>
      </c>
      <c r="H1692" s="9"/>
      <c r="J1692" s="1">
        <v>5374.8811999999998</v>
      </c>
      <c r="N1692" s="1" t="s">
        <v>10</v>
      </c>
      <c r="O1692" s="1">
        <v>5.6</v>
      </c>
    </row>
    <row r="1693" spans="4:15" x14ac:dyDescent="0.3">
      <c r="D1693" s="1">
        <v>51175</v>
      </c>
      <c r="E1693" s="2">
        <v>43691</v>
      </c>
      <c r="F1693" s="1" t="s">
        <v>9</v>
      </c>
      <c r="G1693" s="1">
        <v>3</v>
      </c>
      <c r="H1693" s="9"/>
      <c r="J1693" s="1">
        <v>2286.52</v>
      </c>
      <c r="N1693" s="1" t="s">
        <v>10</v>
      </c>
      <c r="O1693" s="1">
        <v>26.2</v>
      </c>
    </row>
    <row r="1694" spans="4:15" x14ac:dyDescent="0.3">
      <c r="D1694" s="1">
        <v>38912</v>
      </c>
      <c r="E1694" s="2">
        <v>43766</v>
      </c>
      <c r="F1694" s="1" t="s">
        <v>7</v>
      </c>
      <c r="G1694" s="1">
        <v>46</v>
      </c>
      <c r="H1694" s="9"/>
      <c r="J1694" s="1">
        <v>7430.02</v>
      </c>
      <c r="N1694" s="1" t="s">
        <v>10</v>
      </c>
      <c r="O1694" s="1">
        <v>4.3</v>
      </c>
    </row>
    <row r="1695" spans="4:15" x14ac:dyDescent="0.3">
      <c r="D1695" s="1">
        <v>42246</v>
      </c>
      <c r="E1695" s="2">
        <v>43581</v>
      </c>
      <c r="F1695" s="1" t="s">
        <v>11</v>
      </c>
      <c r="G1695" s="1">
        <v>40</v>
      </c>
      <c r="H1695" s="9"/>
      <c r="J1695" s="1">
        <v>3274.6</v>
      </c>
      <c r="N1695" s="1" t="s">
        <v>10</v>
      </c>
      <c r="O1695" s="1">
        <v>4.3</v>
      </c>
    </row>
    <row r="1696" spans="4:15" x14ac:dyDescent="0.3">
      <c r="D1696" s="1">
        <v>44261</v>
      </c>
      <c r="E1696" s="2">
        <v>43547</v>
      </c>
      <c r="F1696" s="1" t="s">
        <v>9</v>
      </c>
      <c r="G1696" s="1">
        <v>31</v>
      </c>
      <c r="H1696" s="9"/>
      <c r="J1696" s="1">
        <v>13978.54</v>
      </c>
      <c r="N1696" s="1" t="s">
        <v>8</v>
      </c>
      <c r="O1696" s="1">
        <v>21.4</v>
      </c>
    </row>
    <row r="1697" spans="4:15" x14ac:dyDescent="0.3">
      <c r="D1697" s="1">
        <v>31232</v>
      </c>
      <c r="E1697" s="2">
        <v>43706</v>
      </c>
      <c r="F1697" s="1" t="s">
        <v>9</v>
      </c>
      <c r="G1697" s="1">
        <v>9</v>
      </c>
      <c r="H1697" s="9"/>
      <c r="J1697" s="1">
        <v>2828.1705000000002</v>
      </c>
      <c r="N1697" s="1" t="s">
        <v>13</v>
      </c>
      <c r="O1697" s="1">
        <v>66.099999999999994</v>
      </c>
    </row>
    <row r="1698" spans="4:15" x14ac:dyDescent="0.3">
      <c r="D1698" s="1">
        <v>25985</v>
      </c>
      <c r="E1698" s="2">
        <v>43710</v>
      </c>
      <c r="F1698" s="1" t="s">
        <v>7</v>
      </c>
      <c r="G1698" s="1">
        <v>50</v>
      </c>
      <c r="H1698" s="9"/>
      <c r="J1698" s="1">
        <v>246.77</v>
      </c>
      <c r="N1698" s="1" t="s">
        <v>10</v>
      </c>
      <c r="O1698" s="1">
        <v>3.3</v>
      </c>
    </row>
    <row r="1699" spans="4:15" x14ac:dyDescent="0.3">
      <c r="D1699" s="1">
        <v>26535</v>
      </c>
      <c r="E1699" s="2">
        <v>43544</v>
      </c>
      <c r="F1699" s="1" t="s">
        <v>11</v>
      </c>
      <c r="G1699" s="1">
        <v>33</v>
      </c>
      <c r="H1699" s="9"/>
      <c r="J1699" s="1">
        <v>151.62</v>
      </c>
      <c r="N1699" s="1" t="s">
        <v>10</v>
      </c>
      <c r="O1699" s="1">
        <v>5.6</v>
      </c>
    </row>
    <row r="1700" spans="4:15" x14ac:dyDescent="0.3">
      <c r="D1700" s="1">
        <v>21792</v>
      </c>
      <c r="E1700" s="2">
        <v>43733</v>
      </c>
      <c r="F1700" s="1" t="s">
        <v>11</v>
      </c>
      <c r="G1700" s="1">
        <v>26</v>
      </c>
      <c r="H1700" s="9"/>
      <c r="J1700" s="1">
        <v>388.15320000000003</v>
      </c>
      <c r="N1700" s="1" t="s">
        <v>10</v>
      </c>
      <c r="O1700" s="1">
        <v>6.9</v>
      </c>
    </row>
    <row r="1701" spans="4:15" x14ac:dyDescent="0.3">
      <c r="D1701" s="1">
        <v>12418</v>
      </c>
      <c r="E1701" s="2">
        <v>43513</v>
      </c>
      <c r="F1701" s="1" t="s">
        <v>11</v>
      </c>
      <c r="G1701" s="1">
        <v>38</v>
      </c>
      <c r="H1701" s="9"/>
      <c r="J1701" s="1">
        <v>319.94</v>
      </c>
      <c r="N1701" s="1" t="s">
        <v>10</v>
      </c>
      <c r="O1701" s="1">
        <v>7</v>
      </c>
    </row>
    <row r="1702" spans="4:15" x14ac:dyDescent="0.3">
      <c r="D1702" s="1">
        <v>2052</v>
      </c>
      <c r="E1702" s="2">
        <v>43567</v>
      </c>
      <c r="F1702" s="1" t="s">
        <v>9</v>
      </c>
      <c r="G1702" s="1">
        <v>23</v>
      </c>
      <c r="H1702" s="9"/>
      <c r="J1702" s="1">
        <v>115.4851</v>
      </c>
      <c r="N1702" s="1" t="s">
        <v>10</v>
      </c>
      <c r="O1702" s="1">
        <v>5.7</v>
      </c>
    </row>
    <row r="1703" spans="4:15" x14ac:dyDescent="0.3">
      <c r="D1703" s="1">
        <v>44679</v>
      </c>
      <c r="E1703" s="2">
        <v>43619</v>
      </c>
      <c r="F1703" s="1" t="s">
        <v>14</v>
      </c>
      <c r="G1703" s="1">
        <v>35</v>
      </c>
      <c r="H1703" s="9"/>
      <c r="J1703" s="1">
        <v>2144.52</v>
      </c>
      <c r="N1703" s="1" t="s">
        <v>10</v>
      </c>
      <c r="O1703" s="1">
        <v>13.1</v>
      </c>
    </row>
    <row r="1704" spans="4:15" x14ac:dyDescent="0.3">
      <c r="D1704" s="1">
        <v>57894</v>
      </c>
      <c r="E1704" s="2">
        <v>43558</v>
      </c>
      <c r="F1704" s="1" t="s">
        <v>7</v>
      </c>
      <c r="G1704" s="1">
        <v>47</v>
      </c>
      <c r="H1704" s="9"/>
      <c r="J1704" s="1">
        <v>14318.75</v>
      </c>
      <c r="N1704" s="1" t="s">
        <v>13</v>
      </c>
      <c r="O1704" s="1">
        <v>28.4</v>
      </c>
    </row>
    <row r="1705" spans="4:15" x14ac:dyDescent="0.3">
      <c r="D1705" s="1">
        <v>50471</v>
      </c>
      <c r="E1705" s="2">
        <v>43467</v>
      </c>
      <c r="F1705" s="1" t="s">
        <v>7</v>
      </c>
      <c r="G1705" s="1">
        <v>25</v>
      </c>
      <c r="H1705" s="9"/>
      <c r="J1705" s="1">
        <v>6269.4</v>
      </c>
      <c r="N1705" s="1" t="s">
        <v>13</v>
      </c>
      <c r="O1705" s="1">
        <v>30.1</v>
      </c>
    </row>
    <row r="1706" spans="4:15" x14ac:dyDescent="0.3">
      <c r="D1706" s="1">
        <v>39876</v>
      </c>
      <c r="E1706" s="2">
        <v>43568</v>
      </c>
      <c r="F1706" s="1" t="s">
        <v>9</v>
      </c>
      <c r="G1706" s="1">
        <v>43</v>
      </c>
      <c r="H1706" s="9"/>
      <c r="J1706" s="1">
        <v>17408.71</v>
      </c>
      <c r="N1706" s="1" t="s">
        <v>10</v>
      </c>
      <c r="O1706" s="1">
        <v>21.4</v>
      </c>
    </row>
    <row r="1707" spans="4:15" x14ac:dyDescent="0.3">
      <c r="D1707" s="1">
        <v>39652</v>
      </c>
      <c r="E1707" s="2">
        <v>43589</v>
      </c>
      <c r="F1707" s="1" t="s">
        <v>7</v>
      </c>
      <c r="G1707" s="1">
        <v>5</v>
      </c>
      <c r="H1707" s="9"/>
      <c r="J1707" s="1">
        <v>15.63</v>
      </c>
      <c r="N1707" s="1" t="s">
        <v>10</v>
      </c>
      <c r="O1707" s="1">
        <v>0.5</v>
      </c>
    </row>
    <row r="1708" spans="4:15" x14ac:dyDescent="0.3">
      <c r="D1708" s="1">
        <v>1826</v>
      </c>
      <c r="E1708" s="2">
        <v>43570</v>
      </c>
      <c r="F1708" s="1" t="s">
        <v>11</v>
      </c>
      <c r="G1708" s="1">
        <v>5</v>
      </c>
      <c r="H1708" s="9"/>
      <c r="J1708" s="1">
        <v>30.302399999999999</v>
      </c>
      <c r="N1708" s="1" t="s">
        <v>10</v>
      </c>
      <c r="O1708" s="1">
        <v>5.0999999999999996</v>
      </c>
    </row>
    <row r="1709" spans="4:15" x14ac:dyDescent="0.3">
      <c r="D1709" s="1">
        <v>20579</v>
      </c>
      <c r="E1709" s="2">
        <v>43739</v>
      </c>
      <c r="F1709" s="1" t="s">
        <v>14</v>
      </c>
      <c r="G1709" s="1">
        <v>16</v>
      </c>
      <c r="H1709" s="9"/>
      <c r="J1709" s="1">
        <v>1534.47</v>
      </c>
      <c r="N1709" s="1" t="s">
        <v>10</v>
      </c>
      <c r="O1709" s="1">
        <v>9.6</v>
      </c>
    </row>
    <row r="1710" spans="4:15" x14ac:dyDescent="0.3">
      <c r="D1710" s="1">
        <v>49927</v>
      </c>
      <c r="E1710" s="2">
        <v>43666</v>
      </c>
      <c r="F1710" s="1" t="s">
        <v>11</v>
      </c>
      <c r="G1710" s="1">
        <v>28</v>
      </c>
      <c r="H1710" s="9"/>
      <c r="J1710" s="1">
        <v>213.49</v>
      </c>
      <c r="N1710" s="1" t="s">
        <v>10</v>
      </c>
      <c r="O1710" s="1">
        <v>4.3</v>
      </c>
    </row>
    <row r="1711" spans="4:15" x14ac:dyDescent="0.3">
      <c r="D1711" s="1">
        <v>39877</v>
      </c>
      <c r="E1711" s="2">
        <v>43693</v>
      </c>
      <c r="F1711" s="1" t="s">
        <v>12</v>
      </c>
      <c r="G1711" s="1">
        <v>41</v>
      </c>
      <c r="H1711" s="9"/>
      <c r="J1711" s="1">
        <v>97.24</v>
      </c>
      <c r="N1711" s="1" t="s">
        <v>10</v>
      </c>
      <c r="O1711" s="1">
        <v>0.8</v>
      </c>
    </row>
    <row r="1712" spans="4:15" x14ac:dyDescent="0.3">
      <c r="D1712" s="1">
        <v>24390</v>
      </c>
      <c r="E1712" s="2">
        <v>43622</v>
      </c>
      <c r="F1712" s="1" t="s">
        <v>7</v>
      </c>
      <c r="G1712" s="1">
        <v>2</v>
      </c>
      <c r="H1712" s="9"/>
      <c r="J1712" s="1">
        <v>115.21</v>
      </c>
      <c r="N1712" s="1" t="s">
        <v>8</v>
      </c>
      <c r="O1712" s="1">
        <v>7</v>
      </c>
    </row>
    <row r="1713" spans="4:15" x14ac:dyDescent="0.3">
      <c r="D1713" s="1">
        <v>2022</v>
      </c>
      <c r="E1713" s="2">
        <v>43538</v>
      </c>
      <c r="F1713" s="1" t="s">
        <v>12</v>
      </c>
      <c r="G1713" s="1">
        <v>45</v>
      </c>
      <c r="H1713" s="9"/>
      <c r="J1713" s="1">
        <v>199.49</v>
      </c>
      <c r="N1713" s="1" t="s">
        <v>10</v>
      </c>
      <c r="O1713" s="1">
        <v>5.5</v>
      </c>
    </row>
    <row r="1714" spans="4:15" x14ac:dyDescent="0.3">
      <c r="D1714" s="1">
        <v>39266</v>
      </c>
      <c r="E1714" s="2">
        <v>43704</v>
      </c>
      <c r="F1714" s="1" t="s">
        <v>9</v>
      </c>
      <c r="G1714" s="1">
        <v>16</v>
      </c>
      <c r="H1714" s="9"/>
      <c r="J1714" s="1">
        <v>1049.95</v>
      </c>
      <c r="N1714" s="1" t="s">
        <v>10</v>
      </c>
      <c r="O1714" s="1">
        <v>52.4</v>
      </c>
    </row>
    <row r="1715" spans="4:15" x14ac:dyDescent="0.3">
      <c r="D1715" s="1">
        <v>15781</v>
      </c>
      <c r="E1715" s="2">
        <v>43711</v>
      </c>
      <c r="F1715" s="1" t="s">
        <v>9</v>
      </c>
      <c r="G1715" s="1">
        <v>29</v>
      </c>
      <c r="H1715" s="9"/>
      <c r="J1715" s="1">
        <v>882.23</v>
      </c>
      <c r="N1715" s="1" t="s">
        <v>10</v>
      </c>
      <c r="O1715" s="1">
        <v>4.3</v>
      </c>
    </row>
    <row r="1716" spans="4:15" x14ac:dyDescent="0.3">
      <c r="D1716" s="1">
        <v>4896</v>
      </c>
      <c r="E1716" s="2">
        <v>43698</v>
      </c>
      <c r="F1716" s="1" t="s">
        <v>12</v>
      </c>
      <c r="G1716" s="1">
        <v>10</v>
      </c>
      <c r="H1716" s="9"/>
      <c r="J1716" s="1">
        <v>1166.1609000000001</v>
      </c>
      <c r="N1716" s="1" t="s">
        <v>8</v>
      </c>
      <c r="O1716" s="1">
        <v>6.4</v>
      </c>
    </row>
    <row r="1717" spans="4:15" x14ac:dyDescent="0.3">
      <c r="D1717" s="1">
        <v>40289</v>
      </c>
      <c r="E1717" s="2">
        <v>43795</v>
      </c>
      <c r="F1717" s="1" t="s">
        <v>11</v>
      </c>
      <c r="G1717" s="1">
        <v>4</v>
      </c>
      <c r="H1717" s="9"/>
      <c r="J1717" s="1">
        <v>45.76</v>
      </c>
      <c r="N1717" s="1" t="s">
        <v>10</v>
      </c>
      <c r="O1717" s="1">
        <v>2.4</v>
      </c>
    </row>
    <row r="1718" spans="4:15" x14ac:dyDescent="0.3">
      <c r="D1718" s="1">
        <v>46048</v>
      </c>
      <c r="E1718" s="2">
        <v>43810</v>
      </c>
      <c r="F1718" s="1" t="s">
        <v>14</v>
      </c>
      <c r="G1718" s="1">
        <v>35</v>
      </c>
      <c r="H1718" s="9"/>
      <c r="J1718" s="1">
        <v>478.56</v>
      </c>
      <c r="N1718" s="1" t="s">
        <v>10</v>
      </c>
      <c r="O1718" s="1">
        <v>4.8</v>
      </c>
    </row>
    <row r="1719" spans="4:15" x14ac:dyDescent="0.3">
      <c r="D1719" s="1">
        <v>26726</v>
      </c>
      <c r="E1719" s="2">
        <v>43826</v>
      </c>
      <c r="F1719" s="1" t="s">
        <v>9</v>
      </c>
      <c r="G1719" s="1">
        <v>37</v>
      </c>
      <c r="H1719" s="9"/>
      <c r="J1719" s="1">
        <v>185.2277</v>
      </c>
      <c r="N1719" s="1" t="s">
        <v>10</v>
      </c>
      <c r="O1719" s="1">
        <v>5.5</v>
      </c>
    </row>
    <row r="1720" spans="4:15" x14ac:dyDescent="0.3">
      <c r="D1720" s="1">
        <v>30597</v>
      </c>
      <c r="E1720" s="2">
        <v>43682</v>
      </c>
      <c r="F1720" s="1" t="s">
        <v>9</v>
      </c>
      <c r="G1720" s="1">
        <v>18</v>
      </c>
      <c r="H1720" s="9"/>
      <c r="J1720" s="1">
        <v>99.53</v>
      </c>
      <c r="N1720" s="1" t="s">
        <v>10</v>
      </c>
      <c r="O1720" s="1">
        <v>2.2000000000000002</v>
      </c>
    </row>
    <row r="1721" spans="4:15" x14ac:dyDescent="0.3">
      <c r="D1721" s="1">
        <v>26691</v>
      </c>
      <c r="E1721" s="2">
        <v>43680</v>
      </c>
      <c r="F1721" s="1" t="s">
        <v>11</v>
      </c>
      <c r="G1721" s="1">
        <v>37</v>
      </c>
      <c r="H1721" s="9"/>
      <c r="J1721" s="1">
        <v>289.36</v>
      </c>
      <c r="N1721" s="1" t="s">
        <v>10</v>
      </c>
      <c r="O1721" s="1">
        <v>6.6</v>
      </c>
    </row>
    <row r="1722" spans="4:15" x14ac:dyDescent="0.3">
      <c r="D1722" s="1">
        <v>52516</v>
      </c>
      <c r="E1722" s="2">
        <v>43469</v>
      </c>
      <c r="F1722" s="1" t="s">
        <v>9</v>
      </c>
      <c r="G1722" s="1">
        <v>19</v>
      </c>
      <c r="H1722" s="9"/>
      <c r="J1722" s="1">
        <v>205.86</v>
      </c>
      <c r="N1722" s="1" t="s">
        <v>8</v>
      </c>
      <c r="O1722" s="1">
        <v>5</v>
      </c>
    </row>
    <row r="1723" spans="4:15" x14ac:dyDescent="0.3">
      <c r="D1723" s="1">
        <v>21634</v>
      </c>
      <c r="E1723" s="2">
        <v>43766</v>
      </c>
      <c r="F1723" s="1" t="s">
        <v>11</v>
      </c>
      <c r="G1723" s="1">
        <v>1</v>
      </c>
      <c r="H1723" s="9"/>
      <c r="J1723" s="1">
        <v>2082.81</v>
      </c>
      <c r="N1723" s="1" t="s">
        <v>10</v>
      </c>
      <c r="O1723" s="1">
        <v>15</v>
      </c>
    </row>
    <row r="1724" spans="4:15" x14ac:dyDescent="0.3">
      <c r="D1724" s="1">
        <v>28165</v>
      </c>
      <c r="E1724" s="2">
        <v>43655</v>
      </c>
      <c r="F1724" s="1" t="s">
        <v>11</v>
      </c>
      <c r="G1724" s="1">
        <v>2</v>
      </c>
      <c r="H1724" s="9"/>
      <c r="J1724" s="1">
        <v>26.71</v>
      </c>
      <c r="N1724" s="1" t="s">
        <v>10</v>
      </c>
      <c r="O1724" s="1">
        <v>3.2</v>
      </c>
    </row>
    <row r="1725" spans="4:15" x14ac:dyDescent="0.3">
      <c r="D1725" s="1">
        <v>6529</v>
      </c>
      <c r="E1725" s="2">
        <v>43795</v>
      </c>
      <c r="F1725" s="1" t="s">
        <v>14</v>
      </c>
      <c r="G1725" s="1">
        <v>35</v>
      </c>
      <c r="H1725" s="9"/>
      <c r="J1725" s="1">
        <v>95.99</v>
      </c>
      <c r="N1725" s="1" t="s">
        <v>10</v>
      </c>
      <c r="O1725" s="1">
        <v>0.9</v>
      </c>
    </row>
    <row r="1726" spans="4:15" x14ac:dyDescent="0.3">
      <c r="D1726" s="1">
        <v>48067</v>
      </c>
      <c r="E1726" s="2">
        <v>43645</v>
      </c>
      <c r="F1726" s="1" t="s">
        <v>7</v>
      </c>
      <c r="G1726" s="1">
        <v>24</v>
      </c>
      <c r="H1726" s="9"/>
      <c r="J1726" s="1">
        <v>4291.7</v>
      </c>
      <c r="N1726" s="1" t="s">
        <v>8</v>
      </c>
      <c r="O1726" s="1">
        <v>9.6</v>
      </c>
    </row>
    <row r="1727" spans="4:15" x14ac:dyDescent="0.3">
      <c r="D1727" s="1">
        <v>11269</v>
      </c>
      <c r="E1727" s="2">
        <v>43611</v>
      </c>
      <c r="F1727" s="1" t="s">
        <v>7</v>
      </c>
      <c r="G1727" s="1">
        <v>1</v>
      </c>
      <c r="H1727" s="9"/>
      <c r="J1727" s="1">
        <v>50.3</v>
      </c>
      <c r="N1727" s="1" t="s">
        <v>10</v>
      </c>
      <c r="O1727" s="1">
        <v>21.4</v>
      </c>
    </row>
    <row r="1728" spans="4:15" x14ac:dyDescent="0.3">
      <c r="D1728" s="1">
        <v>36101</v>
      </c>
      <c r="E1728" s="2">
        <v>43697</v>
      </c>
      <c r="F1728" s="1" t="s">
        <v>9</v>
      </c>
      <c r="G1728" s="1">
        <v>3</v>
      </c>
      <c r="H1728" s="9"/>
      <c r="J1728" s="1">
        <v>477.27</v>
      </c>
      <c r="N1728" s="1" t="s">
        <v>13</v>
      </c>
      <c r="O1728" s="1">
        <v>57.2</v>
      </c>
    </row>
    <row r="1729" spans="4:15" x14ac:dyDescent="0.3">
      <c r="D1729" s="1">
        <v>47591</v>
      </c>
      <c r="E1729" s="2">
        <v>43466</v>
      </c>
      <c r="F1729" s="1" t="s">
        <v>12</v>
      </c>
      <c r="G1729" s="1">
        <v>27</v>
      </c>
      <c r="H1729" s="9"/>
      <c r="J1729" s="1">
        <v>298.95999999999998</v>
      </c>
      <c r="N1729" s="1" t="s">
        <v>10</v>
      </c>
      <c r="O1729" s="1">
        <v>7.4</v>
      </c>
    </row>
    <row r="1730" spans="4:15" x14ac:dyDescent="0.3">
      <c r="D1730" s="1">
        <v>38498</v>
      </c>
      <c r="E1730" s="2">
        <v>43582</v>
      </c>
      <c r="F1730" s="1" t="s">
        <v>12</v>
      </c>
      <c r="G1730" s="1">
        <v>30</v>
      </c>
      <c r="H1730" s="9"/>
      <c r="J1730" s="1">
        <v>3525.81</v>
      </c>
      <c r="N1730" s="1" t="s">
        <v>10</v>
      </c>
      <c r="O1730" s="1">
        <v>2.1</v>
      </c>
    </row>
    <row r="1731" spans="4:15" x14ac:dyDescent="0.3">
      <c r="D1731" s="1">
        <v>21827</v>
      </c>
      <c r="E1731" s="2">
        <v>43778</v>
      </c>
      <c r="F1731" s="1" t="s">
        <v>11</v>
      </c>
      <c r="G1731" s="1">
        <v>25</v>
      </c>
      <c r="H1731" s="9"/>
      <c r="J1731" s="1">
        <v>1446.4</v>
      </c>
      <c r="N1731" s="1" t="s">
        <v>10</v>
      </c>
      <c r="O1731" s="1">
        <v>14.1</v>
      </c>
    </row>
    <row r="1732" spans="4:15" x14ac:dyDescent="0.3">
      <c r="D1732" s="1">
        <v>481</v>
      </c>
      <c r="E1732" s="2">
        <v>43745</v>
      </c>
      <c r="F1732" s="1" t="s">
        <v>9</v>
      </c>
      <c r="G1732" s="1">
        <v>44</v>
      </c>
      <c r="H1732" s="9"/>
      <c r="J1732" s="1">
        <v>4825.03</v>
      </c>
      <c r="N1732" s="1" t="s">
        <v>10</v>
      </c>
      <c r="O1732" s="1">
        <v>5.6</v>
      </c>
    </row>
    <row r="1733" spans="4:15" x14ac:dyDescent="0.3">
      <c r="D1733" s="1">
        <v>19745</v>
      </c>
      <c r="E1733" s="2">
        <v>43817</v>
      </c>
      <c r="F1733" s="1" t="s">
        <v>9</v>
      </c>
      <c r="G1733" s="1">
        <v>2</v>
      </c>
      <c r="H1733" s="9"/>
      <c r="J1733" s="1">
        <v>68.44</v>
      </c>
      <c r="N1733" s="1" t="s">
        <v>10</v>
      </c>
      <c r="O1733" s="1">
        <v>2.1</v>
      </c>
    </row>
    <row r="1734" spans="4:15" x14ac:dyDescent="0.3">
      <c r="D1734" s="1">
        <v>57600</v>
      </c>
      <c r="E1734" s="2">
        <v>43780</v>
      </c>
      <c r="F1734" s="1" t="s">
        <v>12</v>
      </c>
      <c r="G1734" s="1">
        <v>32</v>
      </c>
      <c r="H1734" s="9"/>
      <c r="J1734" s="1">
        <v>2013.87</v>
      </c>
      <c r="N1734" s="1" t="s">
        <v>10</v>
      </c>
      <c r="O1734" s="1">
        <v>11</v>
      </c>
    </row>
    <row r="1735" spans="4:15" x14ac:dyDescent="0.3">
      <c r="D1735" s="1">
        <v>31297</v>
      </c>
      <c r="E1735" s="2">
        <v>43695</v>
      </c>
      <c r="F1735" s="1" t="s">
        <v>7</v>
      </c>
      <c r="G1735" s="1">
        <v>39</v>
      </c>
      <c r="H1735" s="9"/>
      <c r="J1735" s="1">
        <v>727.55</v>
      </c>
      <c r="N1735" s="1" t="s">
        <v>10</v>
      </c>
      <c r="O1735" s="1">
        <v>9.3000000000000007</v>
      </c>
    </row>
    <row r="1736" spans="4:15" x14ac:dyDescent="0.3">
      <c r="D1736" s="1">
        <v>54115</v>
      </c>
      <c r="E1736" s="2">
        <v>43471</v>
      </c>
      <c r="F1736" s="1" t="s">
        <v>7</v>
      </c>
      <c r="G1736" s="1">
        <v>39</v>
      </c>
      <c r="H1736" s="9"/>
      <c r="J1736" s="1">
        <v>210.91</v>
      </c>
      <c r="N1736" s="1" t="s">
        <v>10</v>
      </c>
      <c r="O1736" s="1">
        <v>5.3</v>
      </c>
    </row>
    <row r="1737" spans="4:15" x14ac:dyDescent="0.3">
      <c r="D1737" s="1">
        <v>58181</v>
      </c>
      <c r="E1737" s="2">
        <v>43745</v>
      </c>
      <c r="F1737" s="1" t="s">
        <v>11</v>
      </c>
      <c r="G1737" s="1">
        <v>5</v>
      </c>
      <c r="H1737" s="9"/>
      <c r="J1737" s="1">
        <v>38.9801</v>
      </c>
      <c r="N1737" s="1" t="s">
        <v>10</v>
      </c>
      <c r="O1737" s="1">
        <v>7.7</v>
      </c>
    </row>
    <row r="1738" spans="4:15" x14ac:dyDescent="0.3">
      <c r="D1738" s="1">
        <v>18917</v>
      </c>
      <c r="E1738" s="2">
        <v>43588</v>
      </c>
      <c r="F1738" s="1" t="s">
        <v>12</v>
      </c>
      <c r="G1738" s="1">
        <v>14</v>
      </c>
      <c r="H1738" s="9"/>
      <c r="J1738" s="1">
        <v>30.84</v>
      </c>
      <c r="N1738" s="1" t="s">
        <v>10</v>
      </c>
      <c r="O1738" s="1">
        <v>1.6</v>
      </c>
    </row>
    <row r="1739" spans="4:15" x14ac:dyDescent="0.3">
      <c r="D1739" s="1">
        <v>10951</v>
      </c>
      <c r="E1739" s="2">
        <v>43775</v>
      </c>
      <c r="F1739" s="1" t="s">
        <v>11</v>
      </c>
      <c r="G1739" s="1">
        <v>14</v>
      </c>
      <c r="H1739" s="9"/>
      <c r="J1739" s="1">
        <v>724.85</v>
      </c>
      <c r="N1739" s="1" t="s">
        <v>10</v>
      </c>
      <c r="O1739" s="1">
        <v>23.8</v>
      </c>
    </row>
    <row r="1740" spans="4:15" x14ac:dyDescent="0.3">
      <c r="D1740" s="1">
        <v>9473</v>
      </c>
      <c r="E1740" s="2">
        <v>43749</v>
      </c>
      <c r="F1740" s="1" t="s">
        <v>11</v>
      </c>
      <c r="G1740" s="1">
        <v>3</v>
      </c>
      <c r="H1740" s="9"/>
      <c r="J1740" s="1">
        <v>34.19</v>
      </c>
      <c r="N1740" s="1" t="s">
        <v>10</v>
      </c>
      <c r="O1740" s="1">
        <v>9.6</v>
      </c>
    </row>
    <row r="1741" spans="4:15" x14ac:dyDescent="0.3">
      <c r="D1741" s="1">
        <v>25443</v>
      </c>
      <c r="E1741" s="2">
        <v>43730</v>
      </c>
      <c r="F1741" s="1" t="s">
        <v>14</v>
      </c>
      <c r="G1741" s="1">
        <v>33</v>
      </c>
      <c r="H1741" s="9"/>
      <c r="J1741" s="1">
        <v>610.16</v>
      </c>
      <c r="N1741" s="1" t="s">
        <v>10</v>
      </c>
      <c r="O1741" s="1">
        <v>12.1</v>
      </c>
    </row>
    <row r="1742" spans="4:15" x14ac:dyDescent="0.3">
      <c r="D1742" s="1">
        <v>13923</v>
      </c>
      <c r="E1742" s="2">
        <v>43654</v>
      </c>
      <c r="F1742" s="1" t="s">
        <v>9</v>
      </c>
      <c r="G1742" s="1">
        <v>39</v>
      </c>
      <c r="H1742" s="9"/>
      <c r="J1742" s="1">
        <v>235.5</v>
      </c>
      <c r="N1742" s="1" t="s">
        <v>10</v>
      </c>
      <c r="O1742" s="1">
        <v>52.4</v>
      </c>
    </row>
    <row r="1743" spans="4:15" x14ac:dyDescent="0.3">
      <c r="D1743" s="1">
        <v>18757</v>
      </c>
      <c r="E1743" s="2">
        <v>43607</v>
      </c>
      <c r="F1743" s="1" t="s">
        <v>7</v>
      </c>
      <c r="G1743" s="1">
        <v>5</v>
      </c>
      <c r="H1743" s="9"/>
      <c r="J1743" s="1">
        <v>42.69</v>
      </c>
      <c r="N1743" s="1" t="s">
        <v>10</v>
      </c>
      <c r="O1743" s="1">
        <v>10.6</v>
      </c>
    </row>
    <row r="1744" spans="4:15" x14ac:dyDescent="0.3">
      <c r="D1744" s="1">
        <v>19653</v>
      </c>
      <c r="E1744" s="2">
        <v>43719</v>
      </c>
      <c r="F1744" s="1" t="s">
        <v>11</v>
      </c>
      <c r="G1744" s="1">
        <v>34</v>
      </c>
      <c r="H1744" s="9"/>
      <c r="J1744" s="1">
        <v>134.2422</v>
      </c>
      <c r="N1744" s="1" t="s">
        <v>10</v>
      </c>
      <c r="O1744" s="1">
        <v>5.9</v>
      </c>
    </row>
    <row r="1745" spans="4:15" x14ac:dyDescent="0.3">
      <c r="D1745" s="1">
        <v>21860</v>
      </c>
      <c r="E1745" s="2">
        <v>43583</v>
      </c>
      <c r="F1745" s="1" t="s">
        <v>12</v>
      </c>
      <c r="G1745" s="1">
        <v>9</v>
      </c>
      <c r="H1745" s="9"/>
      <c r="J1745" s="1">
        <v>78.86</v>
      </c>
      <c r="N1745" s="1" t="s">
        <v>8</v>
      </c>
      <c r="O1745" s="1">
        <v>4.3</v>
      </c>
    </row>
    <row r="1746" spans="4:15" x14ac:dyDescent="0.3">
      <c r="D1746" s="1">
        <v>59015</v>
      </c>
      <c r="E1746" s="2">
        <v>43611</v>
      </c>
      <c r="F1746" s="1" t="s">
        <v>14</v>
      </c>
      <c r="G1746" s="1">
        <v>32</v>
      </c>
      <c r="H1746" s="9"/>
      <c r="J1746" s="1">
        <v>1778.69</v>
      </c>
      <c r="N1746" s="1" t="s">
        <v>10</v>
      </c>
      <c r="O1746" s="1">
        <v>6.2</v>
      </c>
    </row>
    <row r="1747" spans="4:15" x14ac:dyDescent="0.3">
      <c r="D1747" s="1">
        <v>18464</v>
      </c>
      <c r="E1747" s="2">
        <v>43552</v>
      </c>
      <c r="F1747" s="1" t="s">
        <v>9</v>
      </c>
      <c r="G1747" s="1">
        <v>41</v>
      </c>
      <c r="H1747" s="9"/>
      <c r="J1747" s="1">
        <v>86.18</v>
      </c>
      <c r="N1747" s="1" t="s">
        <v>10</v>
      </c>
      <c r="O1747" s="1">
        <v>0.8</v>
      </c>
    </row>
    <row r="1748" spans="4:15" x14ac:dyDescent="0.3">
      <c r="D1748" s="1">
        <v>39876</v>
      </c>
      <c r="E1748" s="2">
        <v>43568</v>
      </c>
      <c r="F1748" s="1" t="s">
        <v>9</v>
      </c>
      <c r="G1748" s="1">
        <v>41</v>
      </c>
      <c r="H1748" s="9"/>
      <c r="J1748" s="1">
        <v>5350.93</v>
      </c>
      <c r="N1748" s="1" t="s">
        <v>13</v>
      </c>
      <c r="O1748" s="1">
        <v>55.6</v>
      </c>
    </row>
    <row r="1749" spans="4:15" x14ac:dyDescent="0.3">
      <c r="D1749" s="1">
        <v>36833</v>
      </c>
      <c r="E1749" s="2">
        <v>43657</v>
      </c>
      <c r="F1749" s="1" t="s">
        <v>7</v>
      </c>
      <c r="G1749" s="1">
        <v>25</v>
      </c>
      <c r="H1749" s="9"/>
      <c r="J1749" s="1">
        <v>197.22</v>
      </c>
      <c r="N1749" s="1" t="s">
        <v>10</v>
      </c>
      <c r="O1749" s="1">
        <v>7.8</v>
      </c>
    </row>
    <row r="1750" spans="4:15" x14ac:dyDescent="0.3">
      <c r="D1750" s="1">
        <v>51205</v>
      </c>
      <c r="E1750" s="2">
        <v>43809</v>
      </c>
      <c r="F1750" s="1" t="s">
        <v>9</v>
      </c>
      <c r="G1750" s="1">
        <v>5</v>
      </c>
      <c r="H1750" s="9"/>
      <c r="J1750" s="1">
        <v>241.52</v>
      </c>
      <c r="N1750" s="1" t="s">
        <v>10</v>
      </c>
      <c r="O1750" s="1">
        <v>10.5</v>
      </c>
    </row>
    <row r="1751" spans="4:15" x14ac:dyDescent="0.3">
      <c r="D1751" s="1">
        <v>34086</v>
      </c>
      <c r="E1751" s="2">
        <v>43584</v>
      </c>
      <c r="F1751" s="1" t="s">
        <v>9</v>
      </c>
      <c r="G1751" s="1">
        <v>41</v>
      </c>
      <c r="H1751" s="9"/>
      <c r="J1751" s="1">
        <v>2409.5473999999999</v>
      </c>
      <c r="N1751" s="1" t="s">
        <v>10</v>
      </c>
      <c r="O1751" s="1">
        <v>2.7</v>
      </c>
    </row>
    <row r="1752" spans="4:15" x14ac:dyDescent="0.3">
      <c r="D1752" s="1">
        <v>52068</v>
      </c>
      <c r="E1752" s="2">
        <v>43477</v>
      </c>
      <c r="F1752" s="1" t="s">
        <v>11</v>
      </c>
      <c r="G1752" s="1">
        <v>21</v>
      </c>
      <c r="H1752" s="9"/>
      <c r="J1752" s="1">
        <v>1302.73</v>
      </c>
      <c r="N1752" s="1" t="s">
        <v>13</v>
      </c>
      <c r="O1752" s="1">
        <v>39.200000000000003</v>
      </c>
    </row>
    <row r="1753" spans="4:15" x14ac:dyDescent="0.3">
      <c r="D1753" s="1">
        <v>4578</v>
      </c>
      <c r="E1753" s="2">
        <v>43720</v>
      </c>
      <c r="F1753" s="1" t="s">
        <v>7</v>
      </c>
      <c r="G1753" s="1">
        <v>15</v>
      </c>
      <c r="H1753" s="9"/>
      <c r="J1753" s="1">
        <v>315.29000000000002</v>
      </c>
      <c r="N1753" s="1" t="s">
        <v>10</v>
      </c>
      <c r="O1753" s="1">
        <v>7.1</v>
      </c>
    </row>
    <row r="1754" spans="4:15" x14ac:dyDescent="0.3">
      <c r="D1754" s="1">
        <v>8231</v>
      </c>
      <c r="E1754" s="2">
        <v>43756</v>
      </c>
      <c r="F1754" s="1" t="s">
        <v>12</v>
      </c>
      <c r="G1754" s="1">
        <v>5</v>
      </c>
      <c r="H1754" s="9"/>
      <c r="J1754" s="1">
        <v>117.73</v>
      </c>
      <c r="N1754" s="1" t="s">
        <v>10</v>
      </c>
      <c r="O1754" s="1">
        <v>11.2</v>
      </c>
    </row>
    <row r="1755" spans="4:15" x14ac:dyDescent="0.3">
      <c r="D1755" s="1">
        <v>44992</v>
      </c>
      <c r="E1755" s="2">
        <v>43823</v>
      </c>
      <c r="F1755" s="1" t="s">
        <v>12</v>
      </c>
      <c r="G1755" s="1">
        <v>32</v>
      </c>
      <c r="H1755" s="9"/>
      <c r="J1755" s="1">
        <v>1790.68</v>
      </c>
      <c r="N1755" s="1" t="s">
        <v>10</v>
      </c>
      <c r="O1755" s="1">
        <v>10.9</v>
      </c>
    </row>
    <row r="1756" spans="4:15" x14ac:dyDescent="0.3">
      <c r="D1756" s="1">
        <v>44679</v>
      </c>
      <c r="E1756" s="2">
        <v>43619</v>
      </c>
      <c r="F1756" s="1" t="s">
        <v>14</v>
      </c>
      <c r="G1756" s="1">
        <v>22</v>
      </c>
      <c r="H1756" s="9"/>
      <c r="J1756" s="1">
        <v>136.4357</v>
      </c>
      <c r="N1756" s="1" t="s">
        <v>10</v>
      </c>
      <c r="O1756" s="1">
        <v>1.6</v>
      </c>
    </row>
    <row r="1757" spans="4:15" x14ac:dyDescent="0.3">
      <c r="D1757" s="1">
        <v>43494</v>
      </c>
      <c r="E1757" s="2">
        <v>43467</v>
      </c>
      <c r="F1757" s="1" t="s">
        <v>14</v>
      </c>
      <c r="G1757" s="1">
        <v>2</v>
      </c>
      <c r="H1757" s="9"/>
      <c r="J1757" s="1">
        <v>3925.06</v>
      </c>
      <c r="N1757" s="1" t="s">
        <v>10</v>
      </c>
      <c r="O1757" s="1">
        <v>15</v>
      </c>
    </row>
    <row r="1758" spans="4:15" x14ac:dyDescent="0.3">
      <c r="D1758" s="1">
        <v>26661</v>
      </c>
      <c r="E1758" s="2">
        <v>43818</v>
      </c>
      <c r="F1758" s="1" t="s">
        <v>14</v>
      </c>
      <c r="G1758" s="1">
        <v>31</v>
      </c>
      <c r="H1758" s="9"/>
      <c r="J1758" s="1">
        <v>1896.28</v>
      </c>
      <c r="N1758" s="1" t="s">
        <v>10</v>
      </c>
      <c r="O1758" s="1">
        <v>5.3</v>
      </c>
    </row>
    <row r="1759" spans="4:15" x14ac:dyDescent="0.3">
      <c r="D1759" s="1">
        <v>194</v>
      </c>
      <c r="E1759" s="2">
        <v>43559</v>
      </c>
      <c r="F1759" s="1" t="s">
        <v>14</v>
      </c>
      <c r="G1759" s="1">
        <v>49</v>
      </c>
      <c r="H1759" s="9"/>
      <c r="J1759" s="1">
        <v>352.06</v>
      </c>
      <c r="N1759" s="1" t="s">
        <v>10</v>
      </c>
      <c r="O1759" s="1">
        <v>8.5</v>
      </c>
    </row>
    <row r="1760" spans="4:15" x14ac:dyDescent="0.3">
      <c r="D1760" s="1">
        <v>27201</v>
      </c>
      <c r="E1760" s="2">
        <v>43671</v>
      </c>
      <c r="F1760" s="1" t="s">
        <v>9</v>
      </c>
      <c r="G1760" s="1">
        <v>10</v>
      </c>
      <c r="H1760" s="9"/>
      <c r="J1760" s="1">
        <v>5410.87</v>
      </c>
      <c r="N1760" s="1" t="s">
        <v>13</v>
      </c>
      <c r="O1760" s="1">
        <v>27.8</v>
      </c>
    </row>
    <row r="1761" spans="4:15" x14ac:dyDescent="0.3">
      <c r="D1761" s="1">
        <v>5409</v>
      </c>
      <c r="E1761" s="2">
        <v>43472</v>
      </c>
      <c r="F1761" s="1" t="s">
        <v>7</v>
      </c>
      <c r="G1761" s="1">
        <v>11</v>
      </c>
      <c r="H1761" s="9"/>
      <c r="J1761" s="1">
        <v>52.33</v>
      </c>
      <c r="N1761" s="1" t="s">
        <v>10</v>
      </c>
      <c r="O1761" s="1">
        <v>3.2</v>
      </c>
    </row>
    <row r="1762" spans="4:15" x14ac:dyDescent="0.3">
      <c r="D1762" s="1">
        <v>51556</v>
      </c>
      <c r="E1762" s="2">
        <v>43765</v>
      </c>
      <c r="F1762" s="1" t="s">
        <v>9</v>
      </c>
      <c r="G1762" s="1">
        <v>10</v>
      </c>
      <c r="H1762" s="9"/>
      <c r="J1762" s="1">
        <v>48.89</v>
      </c>
      <c r="N1762" s="1" t="s">
        <v>8</v>
      </c>
      <c r="O1762" s="1">
        <v>4.5</v>
      </c>
    </row>
    <row r="1763" spans="4:15" x14ac:dyDescent="0.3">
      <c r="D1763" s="1">
        <v>8388</v>
      </c>
      <c r="E1763" s="2">
        <v>43518</v>
      </c>
      <c r="F1763" s="1" t="s">
        <v>7</v>
      </c>
      <c r="G1763" s="1">
        <v>42</v>
      </c>
      <c r="H1763" s="9"/>
      <c r="J1763" s="1">
        <v>309.12</v>
      </c>
      <c r="N1763" s="1" t="s">
        <v>10</v>
      </c>
      <c r="O1763" s="1">
        <v>1.7</v>
      </c>
    </row>
    <row r="1764" spans="4:15" x14ac:dyDescent="0.3">
      <c r="D1764" s="1">
        <v>44099</v>
      </c>
      <c r="E1764" s="2">
        <v>43536</v>
      </c>
      <c r="F1764" s="1" t="s">
        <v>14</v>
      </c>
      <c r="G1764" s="1">
        <v>19</v>
      </c>
      <c r="H1764" s="9"/>
      <c r="J1764" s="1">
        <v>86.47</v>
      </c>
      <c r="N1764" s="1" t="s">
        <v>10</v>
      </c>
      <c r="O1764" s="1">
        <v>5.8</v>
      </c>
    </row>
    <row r="1765" spans="4:15" x14ac:dyDescent="0.3">
      <c r="D1765" s="1">
        <v>57152</v>
      </c>
      <c r="E1765" s="2">
        <v>43711</v>
      </c>
      <c r="F1765" s="1" t="s">
        <v>7</v>
      </c>
      <c r="G1765" s="1">
        <v>18</v>
      </c>
      <c r="H1765" s="9"/>
      <c r="J1765" s="1">
        <v>290.87950000000001</v>
      </c>
      <c r="N1765" s="1" t="s">
        <v>10</v>
      </c>
      <c r="O1765" s="1">
        <v>1.5</v>
      </c>
    </row>
    <row r="1766" spans="4:15" x14ac:dyDescent="0.3">
      <c r="D1766" s="1">
        <v>25442</v>
      </c>
      <c r="E1766" s="2">
        <v>43469</v>
      </c>
      <c r="F1766" s="1" t="s">
        <v>9</v>
      </c>
      <c r="G1766" s="1">
        <v>40</v>
      </c>
      <c r="H1766" s="9"/>
      <c r="J1766" s="1">
        <v>485.76</v>
      </c>
      <c r="N1766" s="1" t="s">
        <v>10</v>
      </c>
      <c r="O1766" s="1">
        <v>5.4</v>
      </c>
    </row>
    <row r="1767" spans="4:15" x14ac:dyDescent="0.3">
      <c r="D1767" s="1">
        <v>5699</v>
      </c>
      <c r="E1767" s="2">
        <v>43675</v>
      </c>
      <c r="F1767" s="1" t="s">
        <v>7</v>
      </c>
      <c r="G1767" s="1">
        <v>41</v>
      </c>
      <c r="H1767" s="9"/>
      <c r="J1767" s="1">
        <v>614.05999999999995</v>
      </c>
      <c r="N1767" s="1" t="s">
        <v>8</v>
      </c>
      <c r="O1767" s="1">
        <v>8.1999999999999993</v>
      </c>
    </row>
    <row r="1768" spans="4:15" x14ac:dyDescent="0.3">
      <c r="D1768" s="1">
        <v>21478</v>
      </c>
      <c r="E1768" s="2">
        <v>43526</v>
      </c>
      <c r="F1768" s="1" t="s">
        <v>7</v>
      </c>
      <c r="G1768" s="1">
        <v>33</v>
      </c>
      <c r="H1768" s="9"/>
      <c r="J1768" s="1">
        <v>1714.36</v>
      </c>
      <c r="N1768" s="1" t="s">
        <v>10</v>
      </c>
      <c r="O1768" s="1">
        <v>6.2</v>
      </c>
    </row>
    <row r="1769" spans="4:15" x14ac:dyDescent="0.3">
      <c r="D1769" s="1">
        <v>15104</v>
      </c>
      <c r="E1769" s="2">
        <v>43553</v>
      </c>
      <c r="F1769" s="1" t="s">
        <v>14</v>
      </c>
      <c r="G1769" s="1">
        <v>23</v>
      </c>
      <c r="H1769" s="9"/>
      <c r="J1769" s="1">
        <v>117.09</v>
      </c>
      <c r="N1769" s="1" t="s">
        <v>10</v>
      </c>
      <c r="O1769" s="1">
        <v>1.6</v>
      </c>
    </row>
    <row r="1770" spans="4:15" x14ac:dyDescent="0.3">
      <c r="D1770" s="1">
        <v>33479</v>
      </c>
      <c r="E1770" s="2">
        <v>43726</v>
      </c>
      <c r="F1770" s="1" t="s">
        <v>12</v>
      </c>
      <c r="G1770" s="1">
        <v>27</v>
      </c>
      <c r="H1770" s="9"/>
      <c r="J1770" s="1">
        <v>251.93</v>
      </c>
      <c r="N1770" s="1" t="s">
        <v>10</v>
      </c>
      <c r="O1770" s="1">
        <v>5.5</v>
      </c>
    </row>
    <row r="1771" spans="4:15" x14ac:dyDescent="0.3">
      <c r="D1771" s="1">
        <v>20450</v>
      </c>
      <c r="E1771" s="2">
        <v>43806</v>
      </c>
      <c r="F1771" s="1" t="s">
        <v>12</v>
      </c>
      <c r="G1771" s="1">
        <v>26</v>
      </c>
      <c r="H1771" s="9"/>
      <c r="J1771" s="1">
        <v>7360.05</v>
      </c>
      <c r="N1771" s="1" t="s">
        <v>13</v>
      </c>
      <c r="O1771" s="1">
        <v>71.3</v>
      </c>
    </row>
    <row r="1772" spans="4:15" x14ac:dyDescent="0.3">
      <c r="D1772" s="1">
        <v>33793</v>
      </c>
      <c r="E1772" s="2">
        <v>43643</v>
      </c>
      <c r="F1772" s="1" t="s">
        <v>12</v>
      </c>
      <c r="G1772" s="1">
        <v>17</v>
      </c>
      <c r="H1772" s="9"/>
      <c r="J1772" s="1">
        <v>286.31</v>
      </c>
      <c r="N1772" s="1" t="s">
        <v>10</v>
      </c>
      <c r="O1772" s="1">
        <v>16.100000000000001</v>
      </c>
    </row>
    <row r="1773" spans="4:15" x14ac:dyDescent="0.3">
      <c r="D1773" s="1">
        <v>4261</v>
      </c>
      <c r="E1773" s="2">
        <v>43740</v>
      </c>
      <c r="F1773" s="1" t="s">
        <v>12</v>
      </c>
      <c r="G1773" s="1">
        <v>32</v>
      </c>
      <c r="H1773" s="9"/>
      <c r="J1773" s="1">
        <v>9882.49</v>
      </c>
      <c r="N1773" s="1" t="s">
        <v>10</v>
      </c>
      <c r="O1773" s="1">
        <v>26.2</v>
      </c>
    </row>
    <row r="1774" spans="4:15" x14ac:dyDescent="0.3">
      <c r="D1774" s="1">
        <v>29223</v>
      </c>
      <c r="E1774" s="2">
        <v>43484</v>
      </c>
      <c r="F1774" s="1" t="s">
        <v>9</v>
      </c>
      <c r="G1774" s="1">
        <v>48</v>
      </c>
      <c r="H1774" s="9"/>
      <c r="J1774" s="1">
        <v>26430.2</v>
      </c>
      <c r="N1774" s="1" t="s">
        <v>13</v>
      </c>
      <c r="O1774" s="1">
        <v>27.8</v>
      </c>
    </row>
    <row r="1775" spans="4:15" x14ac:dyDescent="0.3">
      <c r="D1775" s="1">
        <v>23268</v>
      </c>
      <c r="E1775" s="2">
        <v>43480</v>
      </c>
      <c r="F1775" s="1" t="s">
        <v>9</v>
      </c>
      <c r="G1775" s="1">
        <v>5</v>
      </c>
      <c r="H1775" s="9"/>
      <c r="J1775" s="1">
        <v>273.18</v>
      </c>
      <c r="N1775" s="1" t="s">
        <v>10</v>
      </c>
      <c r="O1775" s="1">
        <v>6.2</v>
      </c>
    </row>
    <row r="1776" spans="4:15" x14ac:dyDescent="0.3">
      <c r="D1776" s="1">
        <v>10470</v>
      </c>
      <c r="E1776" s="2">
        <v>43589</v>
      </c>
      <c r="F1776" s="1" t="s">
        <v>7</v>
      </c>
      <c r="G1776" s="1">
        <v>8</v>
      </c>
      <c r="H1776" s="9"/>
      <c r="J1776" s="1">
        <v>146.87</v>
      </c>
      <c r="N1776" s="1" t="s">
        <v>10</v>
      </c>
      <c r="O1776" s="1">
        <v>14.1</v>
      </c>
    </row>
    <row r="1777" spans="4:15" x14ac:dyDescent="0.3">
      <c r="D1777" s="1">
        <v>14212</v>
      </c>
      <c r="E1777" s="2">
        <v>43511</v>
      </c>
      <c r="F1777" s="1" t="s">
        <v>12</v>
      </c>
      <c r="G1777" s="1">
        <v>4</v>
      </c>
      <c r="H1777" s="9"/>
      <c r="J1777" s="1">
        <v>33.36</v>
      </c>
      <c r="N1777" s="1" t="s">
        <v>10</v>
      </c>
      <c r="O1777" s="1">
        <v>5.6</v>
      </c>
    </row>
    <row r="1778" spans="4:15" x14ac:dyDescent="0.3">
      <c r="D1778" s="1">
        <v>11396</v>
      </c>
      <c r="E1778" s="2">
        <v>43667</v>
      </c>
      <c r="F1778" s="1" t="s">
        <v>12</v>
      </c>
      <c r="G1778" s="1">
        <v>42</v>
      </c>
      <c r="H1778" s="9"/>
      <c r="J1778" s="1">
        <v>13129.221</v>
      </c>
      <c r="N1778" s="1" t="s">
        <v>10</v>
      </c>
      <c r="O1778" s="1">
        <v>21.4</v>
      </c>
    </row>
    <row r="1779" spans="4:15" x14ac:dyDescent="0.3">
      <c r="D1779" s="1">
        <v>19972</v>
      </c>
      <c r="E1779" s="2">
        <v>43632</v>
      </c>
      <c r="F1779" s="1" t="s">
        <v>12</v>
      </c>
      <c r="G1779" s="1">
        <v>6</v>
      </c>
      <c r="H1779" s="9"/>
      <c r="J1779" s="1">
        <v>104.7102</v>
      </c>
      <c r="N1779" s="1" t="s">
        <v>10</v>
      </c>
      <c r="O1779" s="1">
        <v>9.6</v>
      </c>
    </row>
    <row r="1780" spans="4:15" x14ac:dyDescent="0.3">
      <c r="D1780" s="1">
        <v>43488</v>
      </c>
      <c r="E1780" s="2">
        <v>43634</v>
      </c>
      <c r="F1780" s="1" t="s">
        <v>12</v>
      </c>
      <c r="G1780" s="1">
        <v>46</v>
      </c>
      <c r="H1780" s="9"/>
      <c r="J1780" s="1">
        <v>2264.33</v>
      </c>
      <c r="N1780" s="1" t="s">
        <v>10</v>
      </c>
      <c r="O1780" s="1">
        <v>4.8</v>
      </c>
    </row>
    <row r="1781" spans="4:15" x14ac:dyDescent="0.3">
      <c r="D1781" s="1">
        <v>18464</v>
      </c>
      <c r="E1781" s="2">
        <v>43552</v>
      </c>
      <c r="F1781" s="1" t="s">
        <v>9</v>
      </c>
      <c r="G1781" s="1">
        <v>27</v>
      </c>
      <c r="H1781" s="9"/>
      <c r="J1781" s="1">
        <v>5234.29</v>
      </c>
      <c r="N1781" s="1" t="s">
        <v>13</v>
      </c>
      <c r="O1781" s="1">
        <v>59.1</v>
      </c>
    </row>
    <row r="1782" spans="4:15" x14ac:dyDescent="0.3">
      <c r="D1782" s="1">
        <v>18661</v>
      </c>
      <c r="E1782" s="2">
        <v>43716</v>
      </c>
      <c r="F1782" s="1" t="s">
        <v>7</v>
      </c>
      <c r="G1782" s="1">
        <v>12</v>
      </c>
      <c r="H1782" s="9"/>
      <c r="J1782" s="1">
        <v>1291.58</v>
      </c>
      <c r="N1782" s="1" t="s">
        <v>13</v>
      </c>
      <c r="O1782" s="1">
        <v>62.3</v>
      </c>
    </row>
    <row r="1783" spans="4:15" x14ac:dyDescent="0.3">
      <c r="D1783" s="1">
        <v>36354</v>
      </c>
      <c r="E1783" s="2">
        <v>43621</v>
      </c>
      <c r="F1783" s="1" t="s">
        <v>14</v>
      </c>
      <c r="G1783" s="1">
        <v>13</v>
      </c>
      <c r="H1783" s="9"/>
      <c r="J1783" s="1">
        <v>4887.08</v>
      </c>
      <c r="N1783" s="1" t="s">
        <v>10</v>
      </c>
      <c r="O1783" s="1">
        <v>21.4</v>
      </c>
    </row>
    <row r="1784" spans="4:15" x14ac:dyDescent="0.3">
      <c r="D1784" s="1">
        <v>801</v>
      </c>
      <c r="E1784" s="2">
        <v>43512</v>
      </c>
      <c r="F1784" s="1" t="s">
        <v>12</v>
      </c>
      <c r="G1784" s="1">
        <v>20</v>
      </c>
      <c r="H1784" s="9"/>
      <c r="J1784" s="1">
        <v>64.040000000000006</v>
      </c>
      <c r="N1784" s="1" t="s">
        <v>10</v>
      </c>
      <c r="O1784" s="1">
        <v>3.7</v>
      </c>
    </row>
    <row r="1785" spans="4:15" x14ac:dyDescent="0.3">
      <c r="D1785" s="1">
        <v>51813</v>
      </c>
      <c r="E1785" s="2">
        <v>43820</v>
      </c>
      <c r="F1785" s="1" t="s">
        <v>11</v>
      </c>
      <c r="G1785" s="1">
        <v>13</v>
      </c>
      <c r="H1785" s="9"/>
      <c r="J1785" s="1">
        <v>1487.48</v>
      </c>
      <c r="N1785" s="1" t="s">
        <v>10</v>
      </c>
      <c r="O1785" s="1">
        <v>37.5</v>
      </c>
    </row>
    <row r="1786" spans="4:15" x14ac:dyDescent="0.3">
      <c r="D1786" s="1">
        <v>32640</v>
      </c>
      <c r="E1786" s="2">
        <v>43723</v>
      </c>
      <c r="F1786" s="1" t="s">
        <v>9</v>
      </c>
      <c r="G1786" s="1">
        <v>12</v>
      </c>
      <c r="H1786" s="9"/>
      <c r="J1786" s="1">
        <v>173.46</v>
      </c>
      <c r="N1786" s="1" t="s">
        <v>8</v>
      </c>
      <c r="O1786" s="1">
        <v>6.9</v>
      </c>
    </row>
    <row r="1787" spans="4:15" x14ac:dyDescent="0.3">
      <c r="D1787" s="1">
        <v>52130</v>
      </c>
      <c r="E1787" s="2">
        <v>43713</v>
      </c>
      <c r="F1787" s="1" t="s">
        <v>7</v>
      </c>
      <c r="G1787" s="1">
        <v>13</v>
      </c>
      <c r="H1787" s="9"/>
      <c r="J1787" s="1">
        <v>67.760000000000005</v>
      </c>
      <c r="N1787" s="1" t="s">
        <v>10</v>
      </c>
      <c r="O1787" s="1">
        <v>5.7</v>
      </c>
    </row>
    <row r="1788" spans="4:15" x14ac:dyDescent="0.3">
      <c r="D1788" s="1">
        <v>52068</v>
      </c>
      <c r="E1788" s="2">
        <v>43477</v>
      </c>
      <c r="F1788" s="1" t="s">
        <v>11</v>
      </c>
      <c r="G1788" s="1">
        <v>47</v>
      </c>
      <c r="H1788" s="9"/>
      <c r="J1788" s="1">
        <v>26279.1</v>
      </c>
      <c r="N1788" s="1" t="s">
        <v>13</v>
      </c>
      <c r="O1788" s="1">
        <v>17.8</v>
      </c>
    </row>
    <row r="1789" spans="4:15" x14ac:dyDescent="0.3">
      <c r="D1789" s="1">
        <v>34852</v>
      </c>
      <c r="E1789" s="2">
        <v>43713</v>
      </c>
      <c r="F1789" s="1" t="s">
        <v>7</v>
      </c>
      <c r="G1789" s="1">
        <v>26</v>
      </c>
      <c r="H1789" s="9"/>
      <c r="J1789" s="1">
        <v>57.71</v>
      </c>
      <c r="N1789" s="1" t="s">
        <v>10</v>
      </c>
      <c r="O1789" s="1">
        <v>1.6</v>
      </c>
    </row>
    <row r="1790" spans="4:15" x14ac:dyDescent="0.3">
      <c r="D1790" s="1">
        <v>33184</v>
      </c>
      <c r="E1790" s="2">
        <v>43508</v>
      </c>
      <c r="F1790" s="1" t="s">
        <v>11</v>
      </c>
      <c r="G1790" s="1">
        <v>1</v>
      </c>
      <c r="H1790" s="9"/>
      <c r="J1790" s="1">
        <v>1877.09</v>
      </c>
      <c r="N1790" s="1" t="s">
        <v>10</v>
      </c>
      <c r="O1790" s="1">
        <v>21.4</v>
      </c>
    </row>
    <row r="1791" spans="4:15" x14ac:dyDescent="0.3">
      <c r="D1791" s="1">
        <v>23297</v>
      </c>
      <c r="E1791" s="2">
        <v>43648</v>
      </c>
      <c r="F1791" s="1" t="s">
        <v>12</v>
      </c>
      <c r="G1791" s="1">
        <v>34</v>
      </c>
      <c r="H1791" s="9"/>
      <c r="J1791" s="1">
        <v>5573.39</v>
      </c>
      <c r="N1791" s="1" t="s">
        <v>10</v>
      </c>
      <c r="O1791" s="1">
        <v>7.6</v>
      </c>
    </row>
    <row r="1792" spans="4:15" x14ac:dyDescent="0.3">
      <c r="D1792" s="1">
        <v>19936</v>
      </c>
      <c r="E1792" s="2">
        <v>43782</v>
      </c>
      <c r="F1792" s="1" t="s">
        <v>12</v>
      </c>
      <c r="G1792" s="1">
        <v>19</v>
      </c>
      <c r="H1792" s="9"/>
      <c r="J1792" s="1">
        <v>39.32</v>
      </c>
      <c r="N1792" s="1" t="s">
        <v>10</v>
      </c>
      <c r="O1792" s="1">
        <v>1.6</v>
      </c>
    </row>
    <row r="1793" spans="4:15" x14ac:dyDescent="0.3">
      <c r="D1793" s="1">
        <v>36160</v>
      </c>
      <c r="E1793" s="2">
        <v>43791</v>
      </c>
      <c r="F1793" s="1" t="s">
        <v>7</v>
      </c>
      <c r="G1793" s="1">
        <v>12</v>
      </c>
      <c r="H1793" s="9"/>
      <c r="J1793" s="1">
        <v>2374.21</v>
      </c>
      <c r="N1793" s="1" t="s">
        <v>8</v>
      </c>
      <c r="O1793" s="1">
        <v>9.6</v>
      </c>
    </row>
    <row r="1794" spans="4:15" x14ac:dyDescent="0.3">
      <c r="D1794" s="1">
        <v>4996</v>
      </c>
      <c r="E1794" s="2">
        <v>43721</v>
      </c>
      <c r="F1794" s="1" t="s">
        <v>14</v>
      </c>
      <c r="G1794" s="1">
        <v>30</v>
      </c>
      <c r="H1794" s="9"/>
      <c r="J1794" s="1">
        <v>4607.2</v>
      </c>
      <c r="N1794" s="1" t="s">
        <v>10</v>
      </c>
      <c r="O1794" s="1">
        <v>21.4</v>
      </c>
    </row>
    <row r="1795" spans="4:15" x14ac:dyDescent="0.3">
      <c r="D1795" s="1">
        <v>15044</v>
      </c>
      <c r="E1795" s="2">
        <v>43530</v>
      </c>
      <c r="F1795" s="1" t="s">
        <v>7</v>
      </c>
      <c r="G1795" s="1">
        <v>42</v>
      </c>
      <c r="H1795" s="9"/>
      <c r="J1795" s="1">
        <v>1799.31</v>
      </c>
      <c r="N1795" s="1" t="s">
        <v>10</v>
      </c>
      <c r="O1795" s="1">
        <v>11</v>
      </c>
    </row>
    <row r="1796" spans="4:15" x14ac:dyDescent="0.3">
      <c r="D1796" s="1">
        <v>16518</v>
      </c>
      <c r="E1796" s="2">
        <v>43737</v>
      </c>
      <c r="F1796" s="1" t="s">
        <v>12</v>
      </c>
      <c r="G1796" s="1">
        <v>4</v>
      </c>
      <c r="H1796" s="9"/>
      <c r="J1796" s="1">
        <v>85.91</v>
      </c>
      <c r="N1796" s="1" t="s">
        <v>10</v>
      </c>
      <c r="O1796" s="1">
        <v>5.6</v>
      </c>
    </row>
    <row r="1797" spans="4:15" x14ac:dyDescent="0.3">
      <c r="D1797" s="1">
        <v>27300</v>
      </c>
      <c r="E1797" s="2">
        <v>43738</v>
      </c>
      <c r="F1797" s="1" t="s">
        <v>11</v>
      </c>
      <c r="G1797" s="1">
        <v>50</v>
      </c>
      <c r="H1797" s="9"/>
      <c r="J1797" s="1">
        <v>3566.42</v>
      </c>
      <c r="N1797" s="1" t="s">
        <v>10</v>
      </c>
      <c r="O1797" s="1">
        <v>4.3</v>
      </c>
    </row>
    <row r="1798" spans="4:15" x14ac:dyDescent="0.3">
      <c r="D1798" s="1">
        <v>30147</v>
      </c>
      <c r="E1798" s="2">
        <v>43633</v>
      </c>
      <c r="F1798" s="1" t="s">
        <v>11</v>
      </c>
      <c r="G1798" s="1">
        <v>37</v>
      </c>
      <c r="H1798" s="9"/>
      <c r="J1798" s="1">
        <v>791.95</v>
      </c>
      <c r="N1798" s="1" t="s">
        <v>10</v>
      </c>
      <c r="O1798" s="1">
        <v>11.2</v>
      </c>
    </row>
    <row r="1799" spans="4:15" x14ac:dyDescent="0.3">
      <c r="D1799" s="1">
        <v>55494</v>
      </c>
      <c r="E1799" s="2">
        <v>43641</v>
      </c>
      <c r="F1799" s="1" t="s">
        <v>11</v>
      </c>
      <c r="G1799" s="1">
        <v>49</v>
      </c>
      <c r="H1799" s="9"/>
      <c r="J1799" s="1">
        <v>583.03</v>
      </c>
      <c r="N1799" s="1" t="s">
        <v>10</v>
      </c>
      <c r="O1799" s="1">
        <v>6.2</v>
      </c>
    </row>
    <row r="1800" spans="4:15" x14ac:dyDescent="0.3">
      <c r="D1800" s="1">
        <v>35811</v>
      </c>
      <c r="E1800" s="2">
        <v>43467</v>
      </c>
      <c r="F1800" s="1" t="s">
        <v>12</v>
      </c>
      <c r="G1800" s="1">
        <v>6</v>
      </c>
      <c r="H1800" s="9"/>
      <c r="J1800" s="1">
        <v>11.12</v>
      </c>
      <c r="N1800" s="1" t="s">
        <v>10</v>
      </c>
      <c r="O1800" s="1">
        <v>0.7</v>
      </c>
    </row>
    <row r="1801" spans="4:15" x14ac:dyDescent="0.3">
      <c r="D1801" s="1">
        <v>18466</v>
      </c>
      <c r="E1801" s="2">
        <v>43606</v>
      </c>
      <c r="F1801" s="1" t="s">
        <v>7</v>
      </c>
      <c r="G1801" s="1">
        <v>25</v>
      </c>
      <c r="H1801" s="9"/>
      <c r="J1801" s="1">
        <v>289.07119999999998</v>
      </c>
      <c r="N1801" s="1" t="s">
        <v>10</v>
      </c>
      <c r="O1801" s="1">
        <v>5.6</v>
      </c>
    </row>
    <row r="1802" spans="4:15" x14ac:dyDescent="0.3">
      <c r="D1802" s="1">
        <v>2147</v>
      </c>
      <c r="E1802" s="2">
        <v>43713</v>
      </c>
      <c r="F1802" s="1" t="s">
        <v>11</v>
      </c>
      <c r="G1802" s="1">
        <v>15</v>
      </c>
      <c r="H1802" s="9"/>
      <c r="J1802" s="1">
        <v>647.46</v>
      </c>
      <c r="N1802" s="1" t="s">
        <v>8</v>
      </c>
      <c r="O1802" s="1">
        <v>5.7</v>
      </c>
    </row>
    <row r="1803" spans="4:15" x14ac:dyDescent="0.3">
      <c r="D1803" s="1">
        <v>25825</v>
      </c>
      <c r="E1803" s="2">
        <v>43665</v>
      </c>
      <c r="F1803" s="1" t="s">
        <v>11</v>
      </c>
      <c r="G1803" s="1">
        <v>27</v>
      </c>
      <c r="H1803" s="9"/>
      <c r="J1803" s="1">
        <v>170.83</v>
      </c>
      <c r="N1803" s="1" t="s">
        <v>10</v>
      </c>
      <c r="O1803" s="1">
        <v>2.4</v>
      </c>
    </row>
    <row r="1804" spans="4:15" x14ac:dyDescent="0.3">
      <c r="D1804" s="1">
        <v>54180</v>
      </c>
      <c r="E1804" s="2">
        <v>43760</v>
      </c>
      <c r="F1804" s="1" t="s">
        <v>12</v>
      </c>
      <c r="G1804" s="1">
        <v>43</v>
      </c>
      <c r="H1804" s="9"/>
      <c r="J1804" s="1">
        <v>977.96929999999998</v>
      </c>
      <c r="N1804" s="1" t="s">
        <v>10</v>
      </c>
      <c r="O1804" s="1">
        <v>9.6</v>
      </c>
    </row>
    <row r="1805" spans="4:15" x14ac:dyDescent="0.3">
      <c r="D1805" s="1">
        <v>58722</v>
      </c>
      <c r="E1805" s="2">
        <v>43749</v>
      </c>
      <c r="F1805" s="1" t="s">
        <v>12</v>
      </c>
      <c r="G1805" s="1">
        <v>45</v>
      </c>
      <c r="H1805" s="9"/>
      <c r="J1805" s="1">
        <v>4325.9672</v>
      </c>
      <c r="N1805" s="1" t="s">
        <v>13</v>
      </c>
      <c r="O1805" s="1">
        <v>44.9</v>
      </c>
    </row>
    <row r="1806" spans="4:15" x14ac:dyDescent="0.3">
      <c r="D1806" s="1">
        <v>55716</v>
      </c>
      <c r="E1806" s="2">
        <v>43760</v>
      </c>
      <c r="F1806" s="1" t="s">
        <v>9</v>
      </c>
      <c r="G1806" s="1">
        <v>9</v>
      </c>
      <c r="H1806" s="9"/>
      <c r="J1806" s="1">
        <v>15692.14</v>
      </c>
      <c r="N1806" s="1" t="s">
        <v>10</v>
      </c>
      <c r="O1806" s="1">
        <v>26.2</v>
      </c>
    </row>
    <row r="1807" spans="4:15" x14ac:dyDescent="0.3">
      <c r="D1807" s="1">
        <v>16098</v>
      </c>
      <c r="E1807" s="2">
        <v>43667</v>
      </c>
      <c r="F1807" s="1" t="s">
        <v>7</v>
      </c>
      <c r="G1807" s="1">
        <v>31</v>
      </c>
      <c r="H1807" s="9"/>
      <c r="J1807" s="1">
        <v>514.05999999999995</v>
      </c>
      <c r="N1807" s="1" t="s">
        <v>10</v>
      </c>
      <c r="O1807" s="1">
        <v>9.6</v>
      </c>
    </row>
    <row r="1808" spans="4:15" x14ac:dyDescent="0.3">
      <c r="D1808" s="1">
        <v>23616</v>
      </c>
      <c r="E1808" s="2">
        <v>43705</v>
      </c>
      <c r="F1808" s="1" t="s">
        <v>11</v>
      </c>
      <c r="G1808" s="1">
        <v>47</v>
      </c>
      <c r="H1808" s="9"/>
      <c r="J1808" s="1">
        <v>9910.7099999999991</v>
      </c>
      <c r="N1808" s="1" t="s">
        <v>10</v>
      </c>
      <c r="O1808" s="1">
        <v>26.2</v>
      </c>
    </row>
    <row r="1809" spans="4:15" x14ac:dyDescent="0.3">
      <c r="D1809" s="1">
        <v>46726</v>
      </c>
      <c r="E1809" s="2">
        <v>43651</v>
      </c>
      <c r="F1809" s="1" t="s">
        <v>11</v>
      </c>
      <c r="G1809" s="1">
        <v>10</v>
      </c>
      <c r="H1809" s="9"/>
      <c r="J1809" s="1">
        <v>53.13</v>
      </c>
      <c r="N1809" s="1" t="s">
        <v>10</v>
      </c>
      <c r="O1809" s="1">
        <v>1.6</v>
      </c>
    </row>
    <row r="1810" spans="4:15" x14ac:dyDescent="0.3">
      <c r="D1810" s="1">
        <v>2240</v>
      </c>
      <c r="E1810" s="2">
        <v>43529</v>
      </c>
      <c r="F1810" s="1" t="s">
        <v>11</v>
      </c>
      <c r="G1810" s="1">
        <v>17</v>
      </c>
      <c r="H1810" s="9"/>
      <c r="J1810" s="1">
        <v>199.04</v>
      </c>
      <c r="N1810" s="1" t="s">
        <v>10</v>
      </c>
      <c r="O1810" s="1">
        <v>5.5</v>
      </c>
    </row>
    <row r="1811" spans="4:15" x14ac:dyDescent="0.3">
      <c r="D1811" s="1">
        <v>11044</v>
      </c>
      <c r="E1811" s="2">
        <v>43640</v>
      </c>
      <c r="F1811" s="1" t="s">
        <v>14</v>
      </c>
      <c r="G1811" s="1">
        <v>3</v>
      </c>
      <c r="H1811" s="9"/>
      <c r="J1811" s="1">
        <v>15.5</v>
      </c>
      <c r="N1811" s="1" t="s">
        <v>10</v>
      </c>
      <c r="O1811" s="1">
        <v>5.4</v>
      </c>
    </row>
    <row r="1812" spans="4:15" x14ac:dyDescent="0.3">
      <c r="D1812" s="1">
        <v>21410</v>
      </c>
      <c r="E1812" s="2">
        <v>43586</v>
      </c>
      <c r="F1812" s="1" t="s">
        <v>12</v>
      </c>
      <c r="G1812" s="1">
        <v>16</v>
      </c>
      <c r="H1812" s="9"/>
      <c r="J1812" s="1">
        <v>2248.6999999999998</v>
      </c>
      <c r="N1812" s="1" t="s">
        <v>8</v>
      </c>
      <c r="O1812" s="1">
        <v>26.2</v>
      </c>
    </row>
    <row r="1813" spans="4:15" x14ac:dyDescent="0.3">
      <c r="D1813" s="1">
        <v>5986</v>
      </c>
      <c r="E1813" s="2">
        <v>43576</v>
      </c>
      <c r="F1813" s="1" t="s">
        <v>9</v>
      </c>
      <c r="G1813" s="1">
        <v>20</v>
      </c>
      <c r="H1813" s="9"/>
      <c r="J1813" s="1">
        <v>1093.0585000000001</v>
      </c>
      <c r="N1813" s="1" t="s">
        <v>13</v>
      </c>
      <c r="O1813" s="1">
        <v>15.2</v>
      </c>
    </row>
    <row r="1814" spans="4:15" x14ac:dyDescent="0.3">
      <c r="D1814" s="1">
        <v>26407</v>
      </c>
      <c r="E1814" s="2">
        <v>43635</v>
      </c>
      <c r="F1814" s="1" t="s">
        <v>12</v>
      </c>
      <c r="G1814" s="1">
        <v>16</v>
      </c>
      <c r="H1814" s="9"/>
      <c r="J1814" s="1">
        <v>2124.69</v>
      </c>
      <c r="N1814" s="1" t="s">
        <v>10</v>
      </c>
      <c r="O1814" s="1">
        <v>9.6</v>
      </c>
    </row>
    <row r="1815" spans="4:15" x14ac:dyDescent="0.3">
      <c r="D1815" s="1">
        <v>25478</v>
      </c>
      <c r="E1815" s="2">
        <v>43579</v>
      </c>
      <c r="F1815" s="1" t="s">
        <v>12</v>
      </c>
      <c r="G1815" s="1">
        <v>50</v>
      </c>
      <c r="H1815" s="9"/>
      <c r="J1815" s="1">
        <v>306.83319999999998</v>
      </c>
      <c r="N1815" s="1" t="s">
        <v>10</v>
      </c>
      <c r="O1815" s="1">
        <v>1.9</v>
      </c>
    </row>
    <row r="1816" spans="4:15" x14ac:dyDescent="0.3">
      <c r="D1816" s="1">
        <v>30720</v>
      </c>
      <c r="E1816" s="2">
        <v>43735</v>
      </c>
      <c r="F1816" s="1" t="s">
        <v>7</v>
      </c>
      <c r="G1816" s="1">
        <v>5</v>
      </c>
      <c r="H1816" s="9"/>
      <c r="J1816" s="1">
        <v>35.06</v>
      </c>
      <c r="N1816" s="1" t="s">
        <v>10</v>
      </c>
      <c r="O1816" s="1">
        <v>5.4</v>
      </c>
    </row>
    <row r="1817" spans="4:15" x14ac:dyDescent="0.3">
      <c r="D1817" s="1">
        <v>33445</v>
      </c>
      <c r="E1817" s="2">
        <v>43679</v>
      </c>
      <c r="F1817" s="1" t="s">
        <v>7</v>
      </c>
      <c r="G1817" s="1">
        <v>18</v>
      </c>
      <c r="H1817" s="9"/>
      <c r="J1817" s="1">
        <v>1901.35</v>
      </c>
      <c r="N1817" s="1" t="s">
        <v>13</v>
      </c>
      <c r="O1817" s="1">
        <v>38.299999999999997</v>
      </c>
    </row>
    <row r="1818" spans="4:15" x14ac:dyDescent="0.3">
      <c r="D1818" s="1">
        <v>929</v>
      </c>
      <c r="E1818" s="2">
        <v>43739</v>
      </c>
      <c r="F1818" s="1" t="s">
        <v>9</v>
      </c>
      <c r="G1818" s="1">
        <v>21</v>
      </c>
      <c r="H1818" s="9"/>
      <c r="J1818" s="1">
        <v>243.6</v>
      </c>
      <c r="N1818" s="1" t="s">
        <v>10</v>
      </c>
      <c r="O1818" s="1">
        <v>7</v>
      </c>
    </row>
    <row r="1819" spans="4:15" x14ac:dyDescent="0.3">
      <c r="D1819" s="1">
        <v>36512</v>
      </c>
      <c r="E1819" s="2">
        <v>43552</v>
      </c>
      <c r="F1819" s="1" t="s">
        <v>11</v>
      </c>
      <c r="G1819" s="1">
        <v>30</v>
      </c>
      <c r="H1819" s="9"/>
      <c r="J1819" s="1">
        <v>11142.63</v>
      </c>
      <c r="N1819" s="1" t="s">
        <v>13</v>
      </c>
      <c r="O1819" s="1">
        <v>63</v>
      </c>
    </row>
    <row r="1820" spans="4:15" x14ac:dyDescent="0.3">
      <c r="D1820" s="1">
        <v>42596</v>
      </c>
      <c r="E1820" s="2">
        <v>43691</v>
      </c>
      <c r="F1820" s="1" t="s">
        <v>14</v>
      </c>
      <c r="G1820" s="1">
        <v>9</v>
      </c>
      <c r="H1820" s="9"/>
      <c r="J1820" s="1">
        <v>55.37</v>
      </c>
      <c r="N1820" s="1" t="s">
        <v>10</v>
      </c>
      <c r="O1820" s="1">
        <v>0.7</v>
      </c>
    </row>
    <row r="1821" spans="4:15" x14ac:dyDescent="0.3">
      <c r="D1821" s="1">
        <v>58051</v>
      </c>
      <c r="E1821" s="2">
        <v>43544</v>
      </c>
      <c r="F1821" s="1" t="s">
        <v>9</v>
      </c>
      <c r="G1821" s="1">
        <v>6</v>
      </c>
      <c r="H1821" s="9"/>
      <c r="J1821" s="1">
        <v>274.56200000000001</v>
      </c>
      <c r="N1821" s="1" t="s">
        <v>10</v>
      </c>
      <c r="O1821" s="1">
        <v>7.6</v>
      </c>
    </row>
    <row r="1822" spans="4:15" x14ac:dyDescent="0.3">
      <c r="D1822" s="1">
        <v>43555</v>
      </c>
      <c r="E1822" s="2">
        <v>43649</v>
      </c>
      <c r="F1822" s="1" t="s">
        <v>14</v>
      </c>
      <c r="G1822" s="1">
        <v>34</v>
      </c>
      <c r="H1822" s="9"/>
      <c r="J1822" s="1">
        <v>46.59</v>
      </c>
      <c r="N1822" s="1" t="s">
        <v>10</v>
      </c>
      <c r="O1822" s="1">
        <v>0.7</v>
      </c>
    </row>
    <row r="1823" spans="4:15" x14ac:dyDescent="0.3">
      <c r="D1823" s="1">
        <v>5890</v>
      </c>
      <c r="E1823" s="2">
        <v>43772</v>
      </c>
      <c r="F1823" s="1" t="s">
        <v>9</v>
      </c>
      <c r="G1823" s="1">
        <v>42</v>
      </c>
      <c r="H1823" s="9"/>
      <c r="J1823" s="1">
        <v>870.48</v>
      </c>
      <c r="N1823" s="1" t="s">
        <v>8</v>
      </c>
      <c r="O1823" s="1">
        <v>1.1000000000000001</v>
      </c>
    </row>
    <row r="1824" spans="4:15" x14ac:dyDescent="0.3">
      <c r="D1824" s="1">
        <v>13570</v>
      </c>
      <c r="E1824" s="2">
        <v>43801</v>
      </c>
      <c r="F1824" s="1" t="s">
        <v>11</v>
      </c>
      <c r="G1824" s="1">
        <v>42</v>
      </c>
      <c r="H1824" s="9"/>
      <c r="J1824" s="1">
        <v>4363.2</v>
      </c>
      <c r="N1824" s="1" t="s">
        <v>10</v>
      </c>
      <c r="O1824" s="1">
        <v>9.6</v>
      </c>
    </row>
    <row r="1825" spans="4:15" x14ac:dyDescent="0.3">
      <c r="D1825" s="1">
        <v>40065</v>
      </c>
      <c r="E1825" s="2">
        <v>43512</v>
      </c>
      <c r="F1825" s="1" t="s">
        <v>9</v>
      </c>
      <c r="G1825" s="1">
        <v>49</v>
      </c>
      <c r="H1825" s="9"/>
      <c r="J1825" s="1">
        <v>22620.94</v>
      </c>
      <c r="N1825" s="1" t="s">
        <v>10</v>
      </c>
      <c r="O1825" s="1">
        <v>26.2</v>
      </c>
    </row>
    <row r="1826" spans="4:15" x14ac:dyDescent="0.3">
      <c r="D1826" s="1">
        <v>51489</v>
      </c>
      <c r="E1826" s="2">
        <v>43527</v>
      </c>
      <c r="F1826" s="1" t="s">
        <v>12</v>
      </c>
      <c r="G1826" s="1">
        <v>5</v>
      </c>
      <c r="H1826" s="9"/>
      <c r="J1826" s="1">
        <v>34.979999999999997</v>
      </c>
      <c r="N1826" s="1" t="s">
        <v>10</v>
      </c>
      <c r="O1826" s="1">
        <v>8.1</v>
      </c>
    </row>
    <row r="1827" spans="4:15" x14ac:dyDescent="0.3">
      <c r="D1827" s="1">
        <v>45317</v>
      </c>
      <c r="E1827" s="2">
        <v>43525</v>
      </c>
      <c r="F1827" s="1" t="s">
        <v>7</v>
      </c>
      <c r="G1827" s="1">
        <v>36</v>
      </c>
      <c r="H1827" s="9"/>
      <c r="J1827" s="1">
        <v>1536.47</v>
      </c>
      <c r="N1827" s="1" t="s">
        <v>10</v>
      </c>
      <c r="O1827" s="1">
        <v>2.1</v>
      </c>
    </row>
    <row r="1828" spans="4:15" x14ac:dyDescent="0.3">
      <c r="D1828" s="1">
        <v>41120</v>
      </c>
      <c r="E1828" s="2">
        <v>43653</v>
      </c>
      <c r="F1828" s="1" t="s">
        <v>7</v>
      </c>
      <c r="G1828" s="1">
        <v>13</v>
      </c>
      <c r="H1828" s="9"/>
      <c r="J1828" s="1">
        <v>46.41</v>
      </c>
      <c r="N1828" s="1" t="s">
        <v>10</v>
      </c>
      <c r="O1828" s="1">
        <v>1.1000000000000001</v>
      </c>
    </row>
    <row r="1829" spans="4:15" x14ac:dyDescent="0.3">
      <c r="D1829" s="1">
        <v>25473</v>
      </c>
      <c r="E1829" s="2">
        <v>43752</v>
      </c>
      <c r="F1829" s="1" t="s">
        <v>9</v>
      </c>
      <c r="G1829" s="1">
        <v>20</v>
      </c>
      <c r="H1829" s="9"/>
      <c r="J1829" s="1">
        <v>849.92</v>
      </c>
      <c r="N1829" s="1" t="s">
        <v>10</v>
      </c>
      <c r="O1829" s="1">
        <v>18.7</v>
      </c>
    </row>
    <row r="1830" spans="4:15" x14ac:dyDescent="0.3">
      <c r="D1830" s="1">
        <v>31552</v>
      </c>
      <c r="E1830" s="2">
        <v>43780</v>
      </c>
      <c r="F1830" s="1" t="s">
        <v>9</v>
      </c>
      <c r="G1830" s="1">
        <v>24</v>
      </c>
      <c r="H1830" s="9"/>
      <c r="J1830" s="1">
        <v>782.93</v>
      </c>
      <c r="N1830" s="1" t="s">
        <v>10</v>
      </c>
      <c r="O1830" s="1">
        <v>2.1</v>
      </c>
    </row>
    <row r="1831" spans="4:15" x14ac:dyDescent="0.3">
      <c r="D1831" s="1">
        <v>16807</v>
      </c>
      <c r="E1831" s="2">
        <v>43479</v>
      </c>
      <c r="F1831" s="1" t="s">
        <v>14</v>
      </c>
      <c r="G1831" s="1">
        <v>30</v>
      </c>
      <c r="H1831" s="9"/>
      <c r="J1831" s="1">
        <v>230.96</v>
      </c>
      <c r="N1831" s="1" t="s">
        <v>10</v>
      </c>
      <c r="O1831" s="1">
        <v>1.8</v>
      </c>
    </row>
    <row r="1832" spans="4:15" x14ac:dyDescent="0.3">
      <c r="D1832" s="1">
        <v>40098</v>
      </c>
      <c r="E1832" s="2">
        <v>43500</v>
      </c>
      <c r="F1832" s="1" t="s">
        <v>7</v>
      </c>
      <c r="G1832" s="1">
        <v>46</v>
      </c>
      <c r="H1832" s="9"/>
      <c r="J1832" s="1">
        <v>596.36</v>
      </c>
      <c r="N1832" s="1" t="s">
        <v>10</v>
      </c>
      <c r="O1832" s="1">
        <v>7.7</v>
      </c>
    </row>
    <row r="1833" spans="4:15" x14ac:dyDescent="0.3">
      <c r="D1833" s="1">
        <v>26982</v>
      </c>
      <c r="E1833" s="2">
        <v>43583</v>
      </c>
      <c r="F1833" s="1" t="s">
        <v>11</v>
      </c>
      <c r="G1833" s="1">
        <v>37</v>
      </c>
      <c r="H1833" s="9"/>
      <c r="J1833" s="1">
        <v>2123.5300000000002</v>
      </c>
      <c r="N1833" s="1" t="s">
        <v>8</v>
      </c>
      <c r="O1833" s="1">
        <v>15.3</v>
      </c>
    </row>
    <row r="1834" spans="4:15" x14ac:dyDescent="0.3">
      <c r="D1834" s="1">
        <v>21191</v>
      </c>
      <c r="E1834" s="2">
        <v>43783</v>
      </c>
      <c r="F1834" s="1" t="s">
        <v>9</v>
      </c>
      <c r="G1834" s="1">
        <v>48</v>
      </c>
      <c r="H1834" s="9"/>
      <c r="J1834" s="1">
        <v>7742.34</v>
      </c>
      <c r="N1834" s="1" t="s">
        <v>10</v>
      </c>
      <c r="O1834" s="1">
        <v>15</v>
      </c>
    </row>
    <row r="1835" spans="4:15" x14ac:dyDescent="0.3">
      <c r="D1835" s="1">
        <v>2688</v>
      </c>
      <c r="E1835" s="2">
        <v>43487</v>
      </c>
      <c r="F1835" s="1" t="s">
        <v>9</v>
      </c>
      <c r="G1835" s="1">
        <v>11</v>
      </c>
      <c r="H1835" s="9"/>
      <c r="J1835" s="1">
        <v>1668.596</v>
      </c>
      <c r="N1835" s="1" t="s">
        <v>10</v>
      </c>
      <c r="O1835" s="1">
        <v>4.2</v>
      </c>
    </row>
    <row r="1836" spans="4:15" x14ac:dyDescent="0.3">
      <c r="D1836" s="1">
        <v>10688</v>
      </c>
      <c r="E1836" s="2">
        <v>43597</v>
      </c>
      <c r="F1836" s="1" t="s">
        <v>14</v>
      </c>
      <c r="G1836" s="1">
        <v>14</v>
      </c>
      <c r="H1836" s="9"/>
      <c r="J1836" s="1">
        <v>662.15880000000004</v>
      </c>
      <c r="N1836" s="1" t="s">
        <v>10</v>
      </c>
      <c r="O1836" s="1">
        <v>36.6</v>
      </c>
    </row>
    <row r="1837" spans="4:15" x14ac:dyDescent="0.3">
      <c r="D1837" s="1">
        <v>5697</v>
      </c>
      <c r="E1837" s="2">
        <v>43742</v>
      </c>
      <c r="F1837" s="1" t="s">
        <v>12</v>
      </c>
      <c r="G1837" s="1">
        <v>31</v>
      </c>
      <c r="H1837" s="9"/>
      <c r="J1837" s="1">
        <v>397.7</v>
      </c>
      <c r="N1837" s="1" t="s">
        <v>10</v>
      </c>
      <c r="O1837" s="1">
        <v>5.4</v>
      </c>
    </row>
    <row r="1838" spans="4:15" x14ac:dyDescent="0.3">
      <c r="D1838" s="1">
        <v>59204</v>
      </c>
      <c r="E1838" s="2">
        <v>43524</v>
      </c>
      <c r="F1838" s="1" t="s">
        <v>14</v>
      </c>
      <c r="G1838" s="1">
        <v>25</v>
      </c>
      <c r="H1838" s="9"/>
      <c r="J1838" s="1">
        <v>162.37</v>
      </c>
      <c r="N1838" s="1" t="s">
        <v>10</v>
      </c>
      <c r="O1838" s="1">
        <v>6</v>
      </c>
    </row>
    <row r="1839" spans="4:15" x14ac:dyDescent="0.3">
      <c r="D1839" s="1">
        <v>55651</v>
      </c>
      <c r="E1839" s="2">
        <v>43531</v>
      </c>
      <c r="F1839" s="1" t="s">
        <v>14</v>
      </c>
      <c r="G1839" s="1">
        <v>2</v>
      </c>
      <c r="H1839" s="9"/>
      <c r="J1839" s="1">
        <v>85.53</v>
      </c>
      <c r="N1839" s="1" t="s">
        <v>10</v>
      </c>
      <c r="O1839" s="1">
        <v>21.4</v>
      </c>
    </row>
    <row r="1840" spans="4:15" x14ac:dyDescent="0.3">
      <c r="D1840" s="1">
        <v>23649</v>
      </c>
      <c r="E1840" s="2">
        <v>43713</v>
      </c>
      <c r="F1840" s="1" t="s">
        <v>11</v>
      </c>
      <c r="G1840" s="1">
        <v>42</v>
      </c>
      <c r="H1840" s="9"/>
      <c r="J1840" s="1">
        <v>4859.8599999999997</v>
      </c>
      <c r="N1840" s="1" t="s">
        <v>10</v>
      </c>
      <c r="O1840" s="1">
        <v>8.6</v>
      </c>
    </row>
    <row r="1841" spans="4:15" x14ac:dyDescent="0.3">
      <c r="D1841" s="1">
        <v>32903</v>
      </c>
      <c r="E1841" s="2">
        <v>43672</v>
      </c>
      <c r="F1841" s="1" t="s">
        <v>7</v>
      </c>
      <c r="G1841" s="1">
        <v>31</v>
      </c>
      <c r="H1841" s="9"/>
      <c r="J1841" s="1">
        <v>486.4</v>
      </c>
      <c r="N1841" s="1" t="s">
        <v>10</v>
      </c>
      <c r="O1841" s="1">
        <v>9.4</v>
      </c>
    </row>
    <row r="1842" spans="4:15" x14ac:dyDescent="0.3">
      <c r="D1842" s="1">
        <v>53990</v>
      </c>
      <c r="E1842" s="2">
        <v>43770</v>
      </c>
      <c r="F1842" s="1" t="s">
        <v>11</v>
      </c>
      <c r="G1842" s="1">
        <v>44</v>
      </c>
      <c r="H1842" s="9"/>
      <c r="J1842" s="1">
        <v>4562.4066999999995</v>
      </c>
      <c r="N1842" s="1" t="s">
        <v>10</v>
      </c>
      <c r="O1842" s="1">
        <v>2.7</v>
      </c>
    </row>
    <row r="1843" spans="4:15" x14ac:dyDescent="0.3">
      <c r="D1843" s="1">
        <v>52518</v>
      </c>
      <c r="E1843" s="2">
        <v>43558</v>
      </c>
      <c r="F1843" s="1" t="s">
        <v>12</v>
      </c>
      <c r="G1843" s="1">
        <v>8</v>
      </c>
      <c r="H1843" s="9"/>
      <c r="J1843" s="1">
        <v>180.82</v>
      </c>
      <c r="N1843" s="1" t="s">
        <v>10</v>
      </c>
      <c r="O1843" s="1">
        <v>4.3</v>
      </c>
    </row>
    <row r="1844" spans="4:15" x14ac:dyDescent="0.3">
      <c r="D1844" s="1">
        <v>53536</v>
      </c>
      <c r="E1844" s="2">
        <v>43768</v>
      </c>
      <c r="F1844" s="1" t="s">
        <v>9</v>
      </c>
      <c r="G1844" s="1">
        <v>35</v>
      </c>
      <c r="H1844" s="9"/>
      <c r="J1844" s="1">
        <v>790.4</v>
      </c>
      <c r="N1844" s="1" t="s">
        <v>10</v>
      </c>
      <c r="O1844" s="1">
        <v>8.1</v>
      </c>
    </row>
    <row r="1845" spans="4:15" x14ac:dyDescent="0.3">
      <c r="D1845" s="1">
        <v>55526</v>
      </c>
      <c r="E1845" s="2">
        <v>43648</v>
      </c>
      <c r="F1845" s="1" t="s">
        <v>9</v>
      </c>
      <c r="G1845" s="1">
        <v>23</v>
      </c>
      <c r="H1845" s="9"/>
      <c r="J1845" s="1">
        <v>476.33</v>
      </c>
      <c r="N1845" s="1" t="s">
        <v>10</v>
      </c>
      <c r="O1845" s="1">
        <v>9.6999999999999993</v>
      </c>
    </row>
    <row r="1846" spans="4:15" x14ac:dyDescent="0.3">
      <c r="D1846" s="1">
        <v>3845</v>
      </c>
      <c r="E1846" s="2">
        <v>43580</v>
      </c>
      <c r="F1846" s="1" t="s">
        <v>12</v>
      </c>
      <c r="G1846" s="1">
        <v>9</v>
      </c>
      <c r="H1846" s="9"/>
      <c r="J1846" s="1">
        <v>3278.7689</v>
      </c>
      <c r="N1846" s="1" t="s">
        <v>10</v>
      </c>
      <c r="O1846" s="1">
        <v>21.4</v>
      </c>
    </row>
    <row r="1847" spans="4:15" x14ac:dyDescent="0.3">
      <c r="D1847" s="1">
        <v>3650</v>
      </c>
      <c r="E1847" s="2">
        <v>43612</v>
      </c>
      <c r="F1847" s="1" t="s">
        <v>11</v>
      </c>
      <c r="G1847" s="1">
        <v>36</v>
      </c>
      <c r="H1847" s="9"/>
      <c r="J1847" s="1">
        <v>149.75</v>
      </c>
      <c r="N1847" s="1" t="s">
        <v>8</v>
      </c>
      <c r="O1847" s="1">
        <v>5.9</v>
      </c>
    </row>
    <row r="1848" spans="4:15" x14ac:dyDescent="0.3">
      <c r="D1848" s="1">
        <v>17414</v>
      </c>
      <c r="E1848" s="2">
        <v>43645</v>
      </c>
      <c r="F1848" s="1" t="s">
        <v>9</v>
      </c>
      <c r="G1848" s="1">
        <v>39</v>
      </c>
      <c r="H1848" s="9"/>
      <c r="J1848" s="1">
        <v>4018.31</v>
      </c>
      <c r="N1848" s="1" t="s">
        <v>10</v>
      </c>
      <c r="O1848" s="1">
        <v>21.4</v>
      </c>
    </row>
    <row r="1849" spans="4:15" x14ac:dyDescent="0.3">
      <c r="D1849" s="1">
        <v>42758</v>
      </c>
      <c r="E1849" s="2">
        <v>43779</v>
      </c>
      <c r="F1849" s="1" t="s">
        <v>12</v>
      </c>
      <c r="G1849" s="1">
        <v>12</v>
      </c>
      <c r="H1849" s="9"/>
      <c r="J1849" s="1">
        <v>1893.62</v>
      </c>
      <c r="N1849" s="1" t="s">
        <v>10</v>
      </c>
      <c r="O1849" s="1">
        <v>4.3</v>
      </c>
    </row>
    <row r="1850" spans="4:15" x14ac:dyDescent="0.3">
      <c r="D1850" s="1">
        <v>23268</v>
      </c>
      <c r="E1850" s="2">
        <v>43480</v>
      </c>
      <c r="F1850" s="1" t="s">
        <v>9</v>
      </c>
      <c r="G1850" s="1">
        <v>14</v>
      </c>
      <c r="H1850" s="9"/>
      <c r="J1850" s="1">
        <v>54.41</v>
      </c>
      <c r="N1850" s="1" t="s">
        <v>8</v>
      </c>
      <c r="O1850" s="1">
        <v>2.4</v>
      </c>
    </row>
    <row r="1851" spans="4:15" x14ac:dyDescent="0.3">
      <c r="D1851" s="1">
        <v>56802</v>
      </c>
      <c r="E1851" s="2">
        <v>43614</v>
      </c>
      <c r="F1851" s="1" t="s">
        <v>9</v>
      </c>
      <c r="G1851" s="1">
        <v>50</v>
      </c>
      <c r="H1851" s="9"/>
      <c r="J1851" s="1">
        <v>83.67</v>
      </c>
      <c r="N1851" s="1" t="s">
        <v>10</v>
      </c>
      <c r="O1851" s="1">
        <v>1.1000000000000001</v>
      </c>
    </row>
    <row r="1852" spans="4:15" x14ac:dyDescent="0.3">
      <c r="D1852" s="1">
        <v>41378</v>
      </c>
      <c r="E1852" s="2">
        <v>43767</v>
      </c>
      <c r="F1852" s="1" t="s">
        <v>11</v>
      </c>
      <c r="G1852" s="1">
        <v>42</v>
      </c>
      <c r="H1852" s="9"/>
      <c r="J1852" s="1">
        <v>1352.66</v>
      </c>
      <c r="N1852" s="1" t="s">
        <v>10</v>
      </c>
      <c r="O1852" s="1">
        <v>2.1</v>
      </c>
    </row>
    <row r="1853" spans="4:15" x14ac:dyDescent="0.3">
      <c r="D1853" s="1">
        <v>47042</v>
      </c>
      <c r="E1853" s="2">
        <v>43526</v>
      </c>
      <c r="F1853" s="1" t="s">
        <v>12</v>
      </c>
      <c r="G1853" s="1">
        <v>45</v>
      </c>
      <c r="H1853" s="9"/>
      <c r="J1853" s="1">
        <v>1471.65</v>
      </c>
      <c r="N1853" s="1" t="s">
        <v>10</v>
      </c>
      <c r="O1853" s="1">
        <v>3.5</v>
      </c>
    </row>
    <row r="1854" spans="4:15" x14ac:dyDescent="0.3">
      <c r="D1854" s="1">
        <v>48801</v>
      </c>
      <c r="E1854" s="2">
        <v>43751</v>
      </c>
      <c r="F1854" s="1" t="s">
        <v>9</v>
      </c>
      <c r="G1854" s="1">
        <v>43</v>
      </c>
      <c r="H1854" s="9"/>
      <c r="J1854" s="1">
        <v>2554.7399999999998</v>
      </c>
      <c r="N1854" s="1" t="s">
        <v>10</v>
      </c>
      <c r="O1854" s="1">
        <v>11.9</v>
      </c>
    </row>
    <row r="1855" spans="4:15" x14ac:dyDescent="0.3">
      <c r="D1855" s="1">
        <v>38723</v>
      </c>
      <c r="E1855" s="2">
        <v>43728</v>
      </c>
      <c r="F1855" s="1" t="s">
        <v>12</v>
      </c>
      <c r="G1855" s="1">
        <v>9</v>
      </c>
      <c r="H1855" s="9"/>
      <c r="J1855" s="1">
        <v>181.12</v>
      </c>
      <c r="N1855" s="1" t="s">
        <v>10</v>
      </c>
      <c r="O1855" s="1">
        <v>4.3</v>
      </c>
    </row>
    <row r="1856" spans="4:15" x14ac:dyDescent="0.3">
      <c r="D1856" s="1">
        <v>29280</v>
      </c>
      <c r="E1856" s="2">
        <v>43552</v>
      </c>
      <c r="F1856" s="1" t="s">
        <v>14</v>
      </c>
      <c r="G1856" s="1">
        <v>19</v>
      </c>
      <c r="H1856" s="9"/>
      <c r="J1856" s="1">
        <v>255.03</v>
      </c>
      <c r="N1856" s="1" t="s">
        <v>10</v>
      </c>
      <c r="O1856" s="1">
        <v>8.5</v>
      </c>
    </row>
    <row r="1857" spans="4:15" x14ac:dyDescent="0.3">
      <c r="D1857" s="1">
        <v>11684</v>
      </c>
      <c r="E1857" s="2">
        <v>43673</v>
      </c>
      <c r="F1857" s="1" t="s">
        <v>9</v>
      </c>
      <c r="G1857" s="1">
        <v>8</v>
      </c>
      <c r="H1857" s="9"/>
      <c r="J1857" s="1">
        <v>1255.6500000000001</v>
      </c>
      <c r="N1857" s="1" t="s">
        <v>10</v>
      </c>
      <c r="O1857" s="1">
        <v>26.2</v>
      </c>
    </row>
    <row r="1858" spans="4:15" x14ac:dyDescent="0.3">
      <c r="D1858" s="1">
        <v>42374</v>
      </c>
      <c r="E1858" s="2">
        <v>43663</v>
      </c>
      <c r="F1858" s="1" t="s">
        <v>12</v>
      </c>
      <c r="G1858" s="1">
        <v>21</v>
      </c>
      <c r="H1858" s="9"/>
      <c r="J1858" s="1">
        <v>219.69</v>
      </c>
      <c r="N1858" s="1" t="s">
        <v>8</v>
      </c>
      <c r="O1858" s="1">
        <v>2.1</v>
      </c>
    </row>
    <row r="1859" spans="4:15" x14ac:dyDescent="0.3">
      <c r="D1859" s="1">
        <v>19782</v>
      </c>
      <c r="E1859" s="2">
        <v>43756</v>
      </c>
      <c r="F1859" s="1" t="s">
        <v>7</v>
      </c>
      <c r="G1859" s="1">
        <v>18</v>
      </c>
      <c r="H1859" s="9"/>
      <c r="J1859" s="1">
        <v>35.53</v>
      </c>
      <c r="N1859" s="1" t="s">
        <v>10</v>
      </c>
      <c r="O1859" s="1">
        <v>0.8</v>
      </c>
    </row>
    <row r="1860" spans="4:15" x14ac:dyDescent="0.3">
      <c r="D1860" s="1">
        <v>19745</v>
      </c>
      <c r="E1860" s="2">
        <v>43817</v>
      </c>
      <c r="F1860" s="1" t="s">
        <v>9</v>
      </c>
      <c r="G1860" s="1">
        <v>50</v>
      </c>
      <c r="H1860" s="9"/>
      <c r="J1860" s="1">
        <v>891.31</v>
      </c>
      <c r="N1860" s="1" t="s">
        <v>10</v>
      </c>
      <c r="O1860" s="1">
        <v>1.5</v>
      </c>
    </row>
    <row r="1861" spans="4:15" x14ac:dyDescent="0.3">
      <c r="D1861" s="1">
        <v>23363</v>
      </c>
      <c r="E1861" s="2">
        <v>43614</v>
      </c>
      <c r="F1861" s="1" t="s">
        <v>7</v>
      </c>
      <c r="G1861" s="1">
        <v>46</v>
      </c>
      <c r="H1861" s="9"/>
      <c r="J1861" s="1">
        <v>258.73669999999998</v>
      </c>
      <c r="N1861" s="1" t="s">
        <v>10</v>
      </c>
      <c r="O1861" s="1">
        <v>5.3</v>
      </c>
    </row>
    <row r="1862" spans="4:15" x14ac:dyDescent="0.3">
      <c r="D1862" s="1">
        <v>18661</v>
      </c>
      <c r="E1862" s="2">
        <v>43716</v>
      </c>
      <c r="F1862" s="1" t="s">
        <v>7</v>
      </c>
      <c r="G1862" s="1">
        <v>11</v>
      </c>
      <c r="H1862" s="9"/>
      <c r="J1862" s="1">
        <v>2801.38</v>
      </c>
      <c r="N1862" s="1" t="s">
        <v>13</v>
      </c>
      <c r="O1862" s="1">
        <v>66.099999999999994</v>
      </c>
    </row>
    <row r="1863" spans="4:15" x14ac:dyDescent="0.3">
      <c r="D1863" s="1">
        <v>30499</v>
      </c>
      <c r="E1863" s="2">
        <v>43768</v>
      </c>
      <c r="F1863" s="1" t="s">
        <v>9</v>
      </c>
      <c r="G1863" s="1">
        <v>33</v>
      </c>
      <c r="H1863" s="9"/>
      <c r="J1863" s="1">
        <v>213.59</v>
      </c>
      <c r="N1863" s="1" t="s">
        <v>10</v>
      </c>
      <c r="O1863" s="1">
        <v>1.3</v>
      </c>
    </row>
    <row r="1864" spans="4:15" x14ac:dyDescent="0.3">
      <c r="D1864" s="1">
        <v>28390</v>
      </c>
      <c r="E1864" s="2">
        <v>43502</v>
      </c>
      <c r="F1864" s="1" t="s">
        <v>9</v>
      </c>
      <c r="G1864" s="1">
        <v>44</v>
      </c>
      <c r="H1864" s="9"/>
      <c r="J1864" s="1">
        <v>866.45</v>
      </c>
      <c r="N1864" s="1" t="s">
        <v>10</v>
      </c>
      <c r="O1864" s="1">
        <v>7.1</v>
      </c>
    </row>
    <row r="1865" spans="4:15" x14ac:dyDescent="0.3">
      <c r="D1865" s="1">
        <v>53536</v>
      </c>
      <c r="E1865" s="2">
        <v>43768</v>
      </c>
      <c r="F1865" s="1" t="s">
        <v>9</v>
      </c>
      <c r="G1865" s="1">
        <v>5</v>
      </c>
      <c r="H1865" s="9"/>
      <c r="J1865" s="1">
        <v>1086.48</v>
      </c>
      <c r="N1865" s="1" t="s">
        <v>13</v>
      </c>
      <c r="O1865" s="1">
        <v>60.1</v>
      </c>
    </row>
    <row r="1866" spans="4:15" x14ac:dyDescent="0.3">
      <c r="D1866" s="1">
        <v>21382</v>
      </c>
      <c r="E1866" s="2">
        <v>43476</v>
      </c>
      <c r="F1866" s="1" t="s">
        <v>12</v>
      </c>
      <c r="G1866" s="1">
        <v>11</v>
      </c>
      <c r="H1866" s="9"/>
      <c r="J1866" s="1">
        <v>333.87</v>
      </c>
      <c r="N1866" s="1" t="s">
        <v>10</v>
      </c>
      <c r="O1866" s="1">
        <v>5.9</v>
      </c>
    </row>
    <row r="1867" spans="4:15" x14ac:dyDescent="0.3">
      <c r="D1867" s="1">
        <v>3559</v>
      </c>
      <c r="E1867" s="2">
        <v>43761</v>
      </c>
      <c r="F1867" s="1" t="s">
        <v>14</v>
      </c>
      <c r="G1867" s="1">
        <v>34</v>
      </c>
      <c r="H1867" s="9"/>
      <c r="J1867" s="1">
        <v>146.23689999999999</v>
      </c>
      <c r="N1867" s="1" t="s">
        <v>8</v>
      </c>
      <c r="O1867" s="1">
        <v>5.8</v>
      </c>
    </row>
    <row r="1868" spans="4:15" x14ac:dyDescent="0.3">
      <c r="D1868" s="1">
        <v>34022</v>
      </c>
      <c r="E1868" s="2">
        <v>43772</v>
      </c>
      <c r="F1868" s="1" t="s">
        <v>11</v>
      </c>
      <c r="G1868" s="1">
        <v>50</v>
      </c>
      <c r="H1868" s="9"/>
      <c r="J1868" s="1">
        <v>252.82</v>
      </c>
      <c r="N1868" s="1" t="s">
        <v>10</v>
      </c>
      <c r="O1868" s="1">
        <v>3.3</v>
      </c>
    </row>
    <row r="1869" spans="4:15" x14ac:dyDescent="0.3">
      <c r="D1869" s="1">
        <v>48615</v>
      </c>
      <c r="E1869" s="2">
        <v>43802</v>
      </c>
      <c r="F1869" s="1" t="s">
        <v>7</v>
      </c>
      <c r="G1869" s="1">
        <v>8</v>
      </c>
      <c r="H1869" s="9"/>
      <c r="J1869" s="1">
        <v>497.19</v>
      </c>
      <c r="N1869" s="1" t="s">
        <v>10</v>
      </c>
      <c r="O1869" s="1">
        <v>15.9</v>
      </c>
    </row>
    <row r="1870" spans="4:15" x14ac:dyDescent="0.3">
      <c r="D1870" s="1">
        <v>1221</v>
      </c>
      <c r="E1870" s="2">
        <v>43573</v>
      </c>
      <c r="F1870" s="1" t="s">
        <v>11</v>
      </c>
      <c r="G1870" s="1">
        <v>1</v>
      </c>
      <c r="H1870" s="9"/>
      <c r="J1870" s="1">
        <v>15.71</v>
      </c>
      <c r="N1870" s="1" t="s">
        <v>10</v>
      </c>
      <c r="O1870" s="1">
        <v>6.6</v>
      </c>
    </row>
    <row r="1871" spans="4:15" x14ac:dyDescent="0.3">
      <c r="D1871" s="1">
        <v>47399</v>
      </c>
      <c r="E1871" s="2">
        <v>43678</v>
      </c>
      <c r="F1871" s="1" t="s">
        <v>7</v>
      </c>
      <c r="G1871" s="1">
        <v>26</v>
      </c>
      <c r="H1871" s="9"/>
      <c r="J1871" s="1">
        <v>155.96</v>
      </c>
      <c r="N1871" s="1" t="s">
        <v>10</v>
      </c>
      <c r="O1871" s="1">
        <v>3.2</v>
      </c>
    </row>
    <row r="1872" spans="4:15" x14ac:dyDescent="0.3">
      <c r="D1872" s="1">
        <v>58883</v>
      </c>
      <c r="E1872" s="2">
        <v>43689</v>
      </c>
      <c r="F1872" s="1" t="s">
        <v>7</v>
      </c>
      <c r="G1872" s="1">
        <v>36</v>
      </c>
      <c r="H1872" s="9"/>
      <c r="J1872" s="1">
        <v>172.87</v>
      </c>
      <c r="N1872" s="1" t="s">
        <v>10</v>
      </c>
      <c r="O1872" s="1">
        <v>1.1000000000000001</v>
      </c>
    </row>
    <row r="1873" spans="4:15" x14ac:dyDescent="0.3">
      <c r="D1873" s="1">
        <v>3655</v>
      </c>
      <c r="E1873" s="2">
        <v>43743</v>
      </c>
      <c r="F1873" s="1" t="s">
        <v>12</v>
      </c>
      <c r="G1873" s="1">
        <v>24</v>
      </c>
      <c r="H1873" s="9"/>
      <c r="J1873" s="1">
        <v>2942.61</v>
      </c>
      <c r="N1873" s="1" t="s">
        <v>10</v>
      </c>
      <c r="O1873" s="1">
        <v>8.1999999999999993</v>
      </c>
    </row>
    <row r="1874" spans="4:15" x14ac:dyDescent="0.3">
      <c r="D1874" s="1">
        <v>52325</v>
      </c>
      <c r="E1874" s="2">
        <v>43660</v>
      </c>
      <c r="F1874" s="1" t="s">
        <v>11</v>
      </c>
      <c r="G1874" s="1">
        <v>23</v>
      </c>
      <c r="H1874" s="9"/>
      <c r="J1874" s="1">
        <v>5485.14</v>
      </c>
      <c r="N1874" s="1" t="s">
        <v>10</v>
      </c>
      <c r="O1874" s="1">
        <v>16.100000000000001</v>
      </c>
    </row>
    <row r="1875" spans="4:15" x14ac:dyDescent="0.3">
      <c r="D1875" s="1">
        <v>19207</v>
      </c>
      <c r="E1875" s="2">
        <v>43539</v>
      </c>
      <c r="F1875" s="1" t="s">
        <v>11</v>
      </c>
      <c r="G1875" s="1">
        <v>23</v>
      </c>
      <c r="H1875" s="9"/>
      <c r="J1875" s="1">
        <v>70.641400000000004</v>
      </c>
      <c r="N1875" s="1" t="s">
        <v>10</v>
      </c>
      <c r="O1875" s="1">
        <v>1.1000000000000001</v>
      </c>
    </row>
    <row r="1876" spans="4:15" x14ac:dyDescent="0.3">
      <c r="D1876" s="1">
        <v>54630</v>
      </c>
      <c r="E1876" s="2">
        <v>43687</v>
      </c>
      <c r="F1876" s="1" t="s">
        <v>7</v>
      </c>
      <c r="G1876" s="1">
        <v>11</v>
      </c>
      <c r="H1876" s="9"/>
      <c r="J1876" s="1">
        <v>78.345399999999998</v>
      </c>
      <c r="N1876" s="1" t="s">
        <v>10</v>
      </c>
      <c r="O1876" s="1">
        <v>6.7</v>
      </c>
    </row>
    <row r="1877" spans="4:15" x14ac:dyDescent="0.3">
      <c r="D1877" s="1">
        <v>9473</v>
      </c>
      <c r="E1877" s="2">
        <v>43749</v>
      </c>
      <c r="F1877" s="1" t="s">
        <v>11</v>
      </c>
      <c r="G1877" s="1">
        <v>31</v>
      </c>
      <c r="H1877" s="9"/>
      <c r="J1877" s="1">
        <v>537.61</v>
      </c>
      <c r="N1877" s="1" t="s">
        <v>10</v>
      </c>
      <c r="O1877" s="1">
        <v>19</v>
      </c>
    </row>
    <row r="1878" spans="4:15" x14ac:dyDescent="0.3">
      <c r="D1878" s="1">
        <v>2885</v>
      </c>
      <c r="E1878" s="2">
        <v>43726</v>
      </c>
      <c r="F1878" s="1" t="s">
        <v>11</v>
      </c>
      <c r="G1878" s="1">
        <v>46</v>
      </c>
      <c r="H1878" s="9"/>
      <c r="J1878" s="1">
        <v>762.0326</v>
      </c>
      <c r="N1878" s="1" t="s">
        <v>10</v>
      </c>
      <c r="O1878" s="1">
        <v>5.8</v>
      </c>
    </row>
    <row r="1879" spans="4:15" x14ac:dyDescent="0.3">
      <c r="D1879" s="1">
        <v>5699</v>
      </c>
      <c r="E1879" s="2">
        <v>43675</v>
      </c>
      <c r="F1879" s="1" t="s">
        <v>7</v>
      </c>
      <c r="G1879" s="1">
        <v>2</v>
      </c>
      <c r="H1879" s="9"/>
      <c r="J1879" s="1">
        <v>9.9</v>
      </c>
      <c r="N1879" s="1" t="s">
        <v>10</v>
      </c>
      <c r="O1879" s="1">
        <v>1.1000000000000001</v>
      </c>
    </row>
    <row r="1880" spans="4:15" x14ac:dyDescent="0.3">
      <c r="D1880" s="1">
        <v>4099</v>
      </c>
      <c r="E1880" s="2">
        <v>43697</v>
      </c>
      <c r="F1880" s="1" t="s">
        <v>12</v>
      </c>
      <c r="G1880" s="1">
        <v>12</v>
      </c>
      <c r="H1880" s="9"/>
      <c r="J1880" s="1">
        <v>131.54</v>
      </c>
      <c r="N1880" s="1" t="s">
        <v>10</v>
      </c>
      <c r="O1880" s="1">
        <v>6.2</v>
      </c>
    </row>
    <row r="1881" spans="4:15" x14ac:dyDescent="0.3">
      <c r="D1881" s="1">
        <v>35712</v>
      </c>
      <c r="E1881" s="2">
        <v>43761</v>
      </c>
      <c r="F1881" s="1" t="s">
        <v>9</v>
      </c>
      <c r="G1881" s="1">
        <v>24</v>
      </c>
      <c r="H1881" s="9"/>
      <c r="J1881" s="1">
        <v>144.32</v>
      </c>
      <c r="N1881" s="1" t="s">
        <v>10</v>
      </c>
      <c r="O1881" s="1">
        <v>8.6999999999999993</v>
      </c>
    </row>
    <row r="1882" spans="4:15" x14ac:dyDescent="0.3">
      <c r="D1882" s="1">
        <v>56805</v>
      </c>
      <c r="E1882" s="2">
        <v>43621</v>
      </c>
      <c r="F1882" s="1" t="s">
        <v>9</v>
      </c>
      <c r="G1882" s="1">
        <v>38</v>
      </c>
      <c r="H1882" s="9"/>
      <c r="J1882" s="1">
        <v>15785.8</v>
      </c>
      <c r="N1882" s="1" t="s">
        <v>13</v>
      </c>
      <c r="O1882" s="1">
        <v>105.9</v>
      </c>
    </row>
    <row r="1883" spans="4:15" x14ac:dyDescent="0.3">
      <c r="D1883" s="1">
        <v>23619</v>
      </c>
      <c r="E1883" s="2">
        <v>43820</v>
      </c>
      <c r="F1883" s="1" t="s">
        <v>14</v>
      </c>
      <c r="G1883" s="1">
        <v>7</v>
      </c>
      <c r="H1883" s="9"/>
      <c r="J1883" s="1">
        <v>1116.1400000000001</v>
      </c>
      <c r="N1883" s="1" t="s">
        <v>10</v>
      </c>
      <c r="O1883" s="1">
        <v>15</v>
      </c>
    </row>
    <row r="1884" spans="4:15" x14ac:dyDescent="0.3">
      <c r="D1884" s="1">
        <v>27909</v>
      </c>
      <c r="E1884" s="2">
        <v>43502</v>
      </c>
      <c r="F1884" s="1" t="s">
        <v>12</v>
      </c>
      <c r="G1884" s="1">
        <v>47</v>
      </c>
      <c r="H1884" s="9"/>
      <c r="J1884" s="1">
        <v>62.63</v>
      </c>
      <c r="N1884" s="1" t="s">
        <v>10</v>
      </c>
      <c r="O1884" s="1">
        <v>0.7</v>
      </c>
    </row>
    <row r="1885" spans="4:15" x14ac:dyDescent="0.3">
      <c r="D1885" s="1">
        <v>48643</v>
      </c>
      <c r="E1885" s="2">
        <v>43756</v>
      </c>
      <c r="F1885" s="1" t="s">
        <v>14</v>
      </c>
      <c r="G1885" s="1">
        <v>50</v>
      </c>
      <c r="H1885" s="9"/>
      <c r="J1885" s="1">
        <v>3099.1</v>
      </c>
      <c r="N1885" s="1" t="s">
        <v>10</v>
      </c>
      <c r="O1885" s="1">
        <v>9.6</v>
      </c>
    </row>
    <row r="1886" spans="4:15" x14ac:dyDescent="0.3">
      <c r="D1886" s="1">
        <v>22817</v>
      </c>
      <c r="E1886" s="2">
        <v>43790</v>
      </c>
      <c r="F1886" s="1" t="s">
        <v>12</v>
      </c>
      <c r="G1886" s="1">
        <v>27</v>
      </c>
      <c r="H1886" s="9"/>
      <c r="J1886" s="1">
        <v>7260.8702000000003</v>
      </c>
      <c r="N1886" s="1" t="s">
        <v>13</v>
      </c>
      <c r="O1886" s="1">
        <v>67.099999999999994</v>
      </c>
    </row>
    <row r="1887" spans="4:15" x14ac:dyDescent="0.3">
      <c r="D1887" s="1">
        <v>16548</v>
      </c>
      <c r="E1887" s="2">
        <v>43500</v>
      </c>
      <c r="F1887" s="1" t="s">
        <v>11</v>
      </c>
      <c r="G1887" s="1">
        <v>22</v>
      </c>
      <c r="H1887" s="9"/>
      <c r="J1887" s="1">
        <v>80.45</v>
      </c>
      <c r="N1887" s="1" t="s">
        <v>10</v>
      </c>
      <c r="O1887" s="1">
        <v>4.2</v>
      </c>
    </row>
    <row r="1888" spans="4:15" x14ac:dyDescent="0.3">
      <c r="D1888" s="1">
        <v>9155</v>
      </c>
      <c r="E1888" s="2">
        <v>43707</v>
      </c>
      <c r="F1888" s="1" t="s">
        <v>12</v>
      </c>
      <c r="G1888" s="1">
        <v>17</v>
      </c>
      <c r="H1888" s="9"/>
      <c r="J1888" s="1">
        <v>555.12</v>
      </c>
      <c r="N1888" s="1" t="s">
        <v>10</v>
      </c>
      <c r="O1888" s="1">
        <v>12.4</v>
      </c>
    </row>
    <row r="1889" spans="4:15" x14ac:dyDescent="0.3">
      <c r="D1889" s="1">
        <v>26336</v>
      </c>
      <c r="E1889" s="2">
        <v>43611</v>
      </c>
      <c r="F1889" s="1" t="s">
        <v>9</v>
      </c>
      <c r="G1889" s="1">
        <v>45</v>
      </c>
      <c r="H1889" s="9"/>
      <c r="J1889" s="1">
        <v>2945.37</v>
      </c>
      <c r="N1889" s="1" t="s">
        <v>10</v>
      </c>
      <c r="O1889" s="1">
        <v>13.7</v>
      </c>
    </row>
    <row r="1890" spans="4:15" x14ac:dyDescent="0.3">
      <c r="D1890" s="1">
        <v>36998</v>
      </c>
      <c r="E1890" s="2">
        <v>43737</v>
      </c>
      <c r="F1890" s="1" t="s">
        <v>7</v>
      </c>
      <c r="G1890" s="1">
        <v>41</v>
      </c>
      <c r="H1890" s="9"/>
      <c r="J1890" s="1">
        <v>283.97000000000003</v>
      </c>
      <c r="N1890" s="1" t="s">
        <v>10</v>
      </c>
      <c r="O1890" s="1">
        <v>10.199999999999999</v>
      </c>
    </row>
    <row r="1891" spans="4:15" x14ac:dyDescent="0.3">
      <c r="D1891" s="1">
        <v>1344</v>
      </c>
      <c r="E1891" s="2">
        <v>43570</v>
      </c>
      <c r="F1891" s="1" t="s">
        <v>7</v>
      </c>
      <c r="G1891" s="1">
        <v>18</v>
      </c>
      <c r="H1891" s="9"/>
      <c r="J1891" s="1">
        <v>2654.58</v>
      </c>
      <c r="N1891" s="1" t="s">
        <v>10</v>
      </c>
      <c r="O1891" s="1">
        <v>9.6</v>
      </c>
    </row>
    <row r="1892" spans="4:15" x14ac:dyDescent="0.3">
      <c r="D1892" s="1">
        <v>34083</v>
      </c>
      <c r="E1892" s="2">
        <v>43500</v>
      </c>
      <c r="F1892" s="1" t="s">
        <v>11</v>
      </c>
      <c r="G1892" s="1">
        <v>29</v>
      </c>
      <c r="H1892" s="9"/>
      <c r="J1892" s="1">
        <v>1514.21</v>
      </c>
      <c r="N1892" s="1" t="s">
        <v>8</v>
      </c>
      <c r="O1892" s="1">
        <v>5.4</v>
      </c>
    </row>
    <row r="1893" spans="4:15" x14ac:dyDescent="0.3">
      <c r="D1893" s="1">
        <v>16103</v>
      </c>
      <c r="E1893" s="2">
        <v>43661</v>
      </c>
      <c r="F1893" s="1" t="s">
        <v>11</v>
      </c>
      <c r="G1893" s="1">
        <v>22</v>
      </c>
      <c r="H1893" s="9"/>
      <c r="J1893" s="1">
        <v>456.57</v>
      </c>
      <c r="N1893" s="1" t="s">
        <v>10</v>
      </c>
      <c r="O1893" s="1">
        <v>4.4000000000000004</v>
      </c>
    </row>
    <row r="1894" spans="4:15" x14ac:dyDescent="0.3">
      <c r="D1894" s="1">
        <v>41120</v>
      </c>
      <c r="E1894" s="2">
        <v>43653</v>
      </c>
      <c r="F1894" s="1" t="s">
        <v>7</v>
      </c>
      <c r="G1894" s="1">
        <v>35</v>
      </c>
      <c r="H1894" s="9"/>
      <c r="J1894" s="1">
        <v>931.7</v>
      </c>
      <c r="N1894" s="1" t="s">
        <v>10</v>
      </c>
      <c r="O1894" s="1">
        <v>5.7</v>
      </c>
    </row>
    <row r="1895" spans="4:15" x14ac:dyDescent="0.3">
      <c r="D1895" s="1">
        <v>44037</v>
      </c>
      <c r="E1895" s="2">
        <v>43644</v>
      </c>
      <c r="F1895" s="1" t="s">
        <v>9</v>
      </c>
      <c r="G1895" s="1">
        <v>38</v>
      </c>
      <c r="H1895" s="9"/>
      <c r="J1895" s="1">
        <v>1925.58</v>
      </c>
      <c r="N1895" s="1" t="s">
        <v>10</v>
      </c>
      <c r="O1895" s="1">
        <v>1.3</v>
      </c>
    </row>
    <row r="1896" spans="4:15" x14ac:dyDescent="0.3">
      <c r="D1896" s="1">
        <v>29411</v>
      </c>
      <c r="E1896" s="2">
        <v>43561</v>
      </c>
      <c r="F1896" s="1" t="s">
        <v>9</v>
      </c>
      <c r="G1896" s="1">
        <v>29</v>
      </c>
      <c r="H1896" s="9"/>
      <c r="J1896" s="1">
        <v>72.62</v>
      </c>
      <c r="N1896" s="1" t="s">
        <v>10</v>
      </c>
      <c r="O1896" s="1">
        <v>5.4</v>
      </c>
    </row>
    <row r="1897" spans="4:15" x14ac:dyDescent="0.3">
      <c r="D1897" s="1">
        <v>4578</v>
      </c>
      <c r="E1897" s="2">
        <v>43720</v>
      </c>
      <c r="F1897" s="1" t="s">
        <v>7</v>
      </c>
      <c r="G1897" s="1">
        <v>45</v>
      </c>
      <c r="H1897" s="9"/>
      <c r="J1897" s="1">
        <v>302.5</v>
      </c>
      <c r="N1897" s="1" t="s">
        <v>10</v>
      </c>
      <c r="O1897" s="1">
        <v>7.2</v>
      </c>
    </row>
    <row r="1898" spans="4:15" x14ac:dyDescent="0.3">
      <c r="D1898" s="1">
        <v>36294</v>
      </c>
      <c r="E1898" s="2">
        <v>43697</v>
      </c>
      <c r="F1898" s="1" t="s">
        <v>14</v>
      </c>
      <c r="G1898" s="1">
        <v>46</v>
      </c>
      <c r="H1898" s="9"/>
      <c r="J1898" s="1">
        <v>653.94119999999998</v>
      </c>
      <c r="N1898" s="1" t="s">
        <v>10</v>
      </c>
      <c r="O1898" s="1">
        <v>5.3</v>
      </c>
    </row>
    <row r="1899" spans="4:15" x14ac:dyDescent="0.3">
      <c r="D1899" s="1">
        <v>49798</v>
      </c>
      <c r="E1899" s="2">
        <v>43807</v>
      </c>
      <c r="F1899" s="1" t="s">
        <v>12</v>
      </c>
      <c r="G1899" s="1">
        <v>29</v>
      </c>
      <c r="H1899" s="9"/>
      <c r="J1899" s="1">
        <v>344.01</v>
      </c>
      <c r="N1899" s="1" t="s">
        <v>10</v>
      </c>
      <c r="O1899" s="1">
        <v>3.6</v>
      </c>
    </row>
    <row r="1900" spans="4:15" x14ac:dyDescent="0.3">
      <c r="D1900" s="1">
        <v>194</v>
      </c>
      <c r="E1900" s="2">
        <v>43559</v>
      </c>
      <c r="F1900" s="1" t="s">
        <v>14</v>
      </c>
      <c r="G1900" s="1">
        <v>6</v>
      </c>
      <c r="H1900" s="9"/>
      <c r="J1900" s="1">
        <v>21.6</v>
      </c>
      <c r="N1900" s="1" t="s">
        <v>10</v>
      </c>
      <c r="O1900" s="1">
        <v>2.1</v>
      </c>
    </row>
    <row r="1901" spans="4:15" x14ac:dyDescent="0.3">
      <c r="D1901" s="1">
        <v>41634</v>
      </c>
      <c r="E1901" s="2">
        <v>43807</v>
      </c>
      <c r="F1901" s="1" t="s">
        <v>11</v>
      </c>
      <c r="G1901" s="1">
        <v>10</v>
      </c>
      <c r="H1901" s="9"/>
      <c r="J1901" s="1">
        <v>397.45</v>
      </c>
      <c r="N1901" s="1" t="s">
        <v>10</v>
      </c>
      <c r="O1901" s="1">
        <v>8.3000000000000007</v>
      </c>
    </row>
    <row r="1902" spans="4:15" x14ac:dyDescent="0.3">
      <c r="D1902" s="1">
        <v>11362</v>
      </c>
      <c r="E1902" s="2">
        <v>43718</v>
      </c>
      <c r="F1902" s="1" t="s">
        <v>7</v>
      </c>
      <c r="G1902" s="1">
        <v>27</v>
      </c>
      <c r="H1902" s="9"/>
      <c r="J1902" s="1">
        <v>67.430000000000007</v>
      </c>
      <c r="N1902" s="1" t="s">
        <v>10</v>
      </c>
      <c r="O1902" s="1">
        <v>5.4</v>
      </c>
    </row>
    <row r="1903" spans="4:15" x14ac:dyDescent="0.3">
      <c r="D1903" s="1">
        <v>43815</v>
      </c>
      <c r="E1903" s="2">
        <v>43629</v>
      </c>
      <c r="F1903" s="1" t="s">
        <v>11</v>
      </c>
      <c r="G1903" s="1">
        <v>22</v>
      </c>
      <c r="H1903" s="9"/>
      <c r="J1903" s="1">
        <v>1338.998</v>
      </c>
      <c r="N1903" s="1" t="s">
        <v>10</v>
      </c>
      <c r="O1903" s="1">
        <v>7.3</v>
      </c>
    </row>
    <row r="1904" spans="4:15" x14ac:dyDescent="0.3">
      <c r="D1904" s="1">
        <v>49094</v>
      </c>
      <c r="E1904" s="2">
        <v>43711</v>
      </c>
      <c r="F1904" s="1" t="s">
        <v>12</v>
      </c>
      <c r="G1904" s="1">
        <v>31</v>
      </c>
      <c r="H1904" s="9"/>
      <c r="J1904" s="1">
        <v>906.13</v>
      </c>
      <c r="N1904" s="1" t="s">
        <v>10</v>
      </c>
      <c r="O1904" s="1">
        <v>4.3</v>
      </c>
    </row>
    <row r="1905" spans="4:15" x14ac:dyDescent="0.3">
      <c r="D1905" s="1">
        <v>23555</v>
      </c>
      <c r="E1905" s="2">
        <v>43810</v>
      </c>
      <c r="F1905" s="1" t="s">
        <v>9</v>
      </c>
      <c r="G1905" s="1">
        <v>29</v>
      </c>
      <c r="H1905" s="9"/>
      <c r="J1905" s="1">
        <v>112.03</v>
      </c>
      <c r="N1905" s="1" t="s">
        <v>10</v>
      </c>
      <c r="O1905" s="1">
        <v>0.5</v>
      </c>
    </row>
    <row r="1906" spans="4:15" x14ac:dyDescent="0.3">
      <c r="D1906" s="1">
        <v>51202</v>
      </c>
      <c r="E1906" s="2">
        <v>43568</v>
      </c>
      <c r="F1906" s="1" t="s">
        <v>9</v>
      </c>
      <c r="G1906" s="1">
        <v>4</v>
      </c>
      <c r="H1906" s="9"/>
      <c r="J1906" s="1">
        <v>33.049999999999997</v>
      </c>
      <c r="N1906" s="1" t="s">
        <v>10</v>
      </c>
      <c r="O1906" s="1">
        <v>8.1999999999999993</v>
      </c>
    </row>
    <row r="1907" spans="4:15" x14ac:dyDescent="0.3">
      <c r="D1907" s="1">
        <v>22466</v>
      </c>
      <c r="E1907" s="2">
        <v>43552</v>
      </c>
      <c r="F1907" s="1" t="s">
        <v>7</v>
      </c>
      <c r="G1907" s="1">
        <v>40</v>
      </c>
      <c r="H1907" s="9"/>
      <c r="J1907" s="1">
        <v>460.3</v>
      </c>
      <c r="N1907" s="1" t="s">
        <v>10</v>
      </c>
      <c r="O1907" s="1">
        <v>1.9</v>
      </c>
    </row>
    <row r="1908" spans="4:15" x14ac:dyDescent="0.3">
      <c r="D1908" s="1">
        <v>9794</v>
      </c>
      <c r="E1908" s="2">
        <v>43548</v>
      </c>
      <c r="F1908" s="1" t="s">
        <v>11</v>
      </c>
      <c r="G1908" s="1">
        <v>25</v>
      </c>
      <c r="H1908" s="9"/>
      <c r="J1908" s="1">
        <v>144.69999999999999</v>
      </c>
      <c r="N1908" s="1" t="s">
        <v>10</v>
      </c>
      <c r="O1908" s="1">
        <v>3.9</v>
      </c>
    </row>
    <row r="1909" spans="4:15" x14ac:dyDescent="0.3">
      <c r="D1909" s="1">
        <v>45698</v>
      </c>
      <c r="E1909" s="2">
        <v>43578</v>
      </c>
      <c r="F1909" s="1" t="s">
        <v>9</v>
      </c>
      <c r="G1909" s="1">
        <v>36</v>
      </c>
      <c r="H1909" s="9"/>
      <c r="J1909" s="1">
        <v>281.81</v>
      </c>
      <c r="N1909" s="1" t="s">
        <v>10</v>
      </c>
      <c r="O1909" s="1">
        <v>4.5</v>
      </c>
    </row>
    <row r="1910" spans="4:15" x14ac:dyDescent="0.3">
      <c r="D1910" s="1">
        <v>6950</v>
      </c>
      <c r="E1910" s="2">
        <v>43550</v>
      </c>
      <c r="F1910" s="1" t="s">
        <v>7</v>
      </c>
      <c r="G1910" s="1">
        <v>4</v>
      </c>
      <c r="H1910" s="9"/>
      <c r="J1910" s="1">
        <v>200.52</v>
      </c>
      <c r="N1910" s="1" t="s">
        <v>10</v>
      </c>
      <c r="O1910" s="1">
        <v>3.5</v>
      </c>
    </row>
    <row r="1911" spans="4:15" x14ac:dyDescent="0.3">
      <c r="D1911" s="1">
        <v>42374</v>
      </c>
      <c r="E1911" s="2">
        <v>43663</v>
      </c>
      <c r="F1911" s="1" t="s">
        <v>12</v>
      </c>
      <c r="G1911" s="1">
        <v>47</v>
      </c>
      <c r="H1911" s="9"/>
      <c r="J1911" s="1">
        <v>864.13</v>
      </c>
      <c r="N1911" s="1" t="s">
        <v>10</v>
      </c>
      <c r="O1911" s="1">
        <v>5.4</v>
      </c>
    </row>
    <row r="1912" spans="4:15" x14ac:dyDescent="0.3">
      <c r="D1912" s="1">
        <v>29090</v>
      </c>
      <c r="E1912" s="2">
        <v>43480</v>
      </c>
      <c r="F1912" s="1" t="s">
        <v>14</v>
      </c>
      <c r="G1912" s="1">
        <v>24</v>
      </c>
      <c r="H1912" s="9"/>
      <c r="J1912" s="1">
        <v>106.04</v>
      </c>
      <c r="N1912" s="1" t="s">
        <v>10</v>
      </c>
      <c r="O1912" s="1">
        <v>1.1000000000000001</v>
      </c>
    </row>
    <row r="1913" spans="4:15" x14ac:dyDescent="0.3">
      <c r="D1913" s="1">
        <v>55777</v>
      </c>
      <c r="E1913" s="2">
        <v>43779</v>
      </c>
      <c r="F1913" s="1" t="s">
        <v>11</v>
      </c>
      <c r="G1913" s="1">
        <v>6</v>
      </c>
      <c r="H1913" s="9"/>
      <c r="J1913" s="1">
        <v>346.1771</v>
      </c>
      <c r="N1913" s="1" t="s">
        <v>10</v>
      </c>
      <c r="O1913" s="1">
        <v>21.4</v>
      </c>
    </row>
    <row r="1914" spans="4:15" x14ac:dyDescent="0.3">
      <c r="D1914" s="1">
        <v>31456</v>
      </c>
      <c r="E1914" s="2">
        <v>43784</v>
      </c>
      <c r="F1914" s="1" t="s">
        <v>9</v>
      </c>
      <c r="G1914" s="1">
        <v>10</v>
      </c>
      <c r="H1914" s="9"/>
      <c r="J1914" s="1">
        <v>240.85</v>
      </c>
      <c r="N1914" s="1" t="s">
        <v>10</v>
      </c>
      <c r="O1914" s="1">
        <v>3.2</v>
      </c>
    </row>
    <row r="1915" spans="4:15" x14ac:dyDescent="0.3">
      <c r="D1915" s="1">
        <v>59589</v>
      </c>
      <c r="E1915" s="2">
        <v>43566</v>
      </c>
      <c r="F1915" s="1" t="s">
        <v>14</v>
      </c>
      <c r="G1915" s="1">
        <v>25</v>
      </c>
      <c r="H1915" s="9"/>
      <c r="J1915" s="1">
        <v>1722.98</v>
      </c>
      <c r="N1915" s="1" t="s">
        <v>10</v>
      </c>
      <c r="O1915" s="1">
        <v>7.4</v>
      </c>
    </row>
    <row r="1916" spans="4:15" x14ac:dyDescent="0.3">
      <c r="D1916" s="1">
        <v>52580</v>
      </c>
      <c r="E1916" s="2">
        <v>43705</v>
      </c>
      <c r="F1916" s="1" t="s">
        <v>9</v>
      </c>
      <c r="G1916" s="1">
        <v>16</v>
      </c>
      <c r="H1916" s="9"/>
      <c r="J1916" s="1">
        <v>392.79</v>
      </c>
      <c r="N1916" s="1" t="s">
        <v>10</v>
      </c>
      <c r="O1916" s="1">
        <v>2.1</v>
      </c>
    </row>
    <row r="1917" spans="4:15" x14ac:dyDescent="0.3">
      <c r="D1917" s="1">
        <v>44323</v>
      </c>
      <c r="E1917" s="2">
        <v>43684</v>
      </c>
      <c r="F1917" s="1" t="s">
        <v>14</v>
      </c>
      <c r="G1917" s="1">
        <v>27</v>
      </c>
      <c r="H1917" s="9"/>
      <c r="J1917" s="1">
        <v>22813.02</v>
      </c>
      <c r="N1917" s="1" t="s">
        <v>13</v>
      </c>
      <c r="O1917" s="1">
        <v>17.2</v>
      </c>
    </row>
    <row r="1918" spans="4:15" x14ac:dyDescent="0.3">
      <c r="D1918" s="1">
        <v>44000</v>
      </c>
      <c r="E1918" s="2">
        <v>43742</v>
      </c>
      <c r="F1918" s="1" t="s">
        <v>11</v>
      </c>
      <c r="G1918" s="1">
        <v>18</v>
      </c>
      <c r="H1918" s="9"/>
      <c r="J1918" s="1">
        <v>90.98</v>
      </c>
      <c r="N1918" s="1" t="s">
        <v>10</v>
      </c>
      <c r="O1918" s="1">
        <v>7.2</v>
      </c>
    </row>
    <row r="1919" spans="4:15" x14ac:dyDescent="0.3">
      <c r="D1919" s="1">
        <v>56708</v>
      </c>
      <c r="E1919" s="2">
        <v>43801</v>
      </c>
      <c r="F1919" s="1" t="s">
        <v>11</v>
      </c>
      <c r="G1919" s="1">
        <v>36</v>
      </c>
      <c r="H1919" s="9"/>
      <c r="J1919" s="1">
        <v>10706.72</v>
      </c>
      <c r="N1919" s="1" t="s">
        <v>13</v>
      </c>
      <c r="O1919" s="1">
        <v>66.099999999999994</v>
      </c>
    </row>
    <row r="1920" spans="4:15" x14ac:dyDescent="0.3">
      <c r="D1920" s="1">
        <v>29411</v>
      </c>
      <c r="E1920" s="2">
        <v>43561</v>
      </c>
      <c r="F1920" s="1" t="s">
        <v>9</v>
      </c>
      <c r="G1920" s="1">
        <v>45</v>
      </c>
      <c r="H1920" s="9"/>
      <c r="J1920" s="1">
        <v>1160.01</v>
      </c>
      <c r="N1920" s="1" t="s">
        <v>10</v>
      </c>
      <c r="O1920" s="1">
        <v>6.7</v>
      </c>
    </row>
    <row r="1921" spans="4:15" x14ac:dyDescent="0.3">
      <c r="D1921" s="1">
        <v>16423</v>
      </c>
      <c r="E1921" s="2">
        <v>43682</v>
      </c>
      <c r="F1921" s="1" t="s">
        <v>14</v>
      </c>
      <c r="G1921" s="1">
        <v>19</v>
      </c>
      <c r="H1921" s="9"/>
      <c r="J1921" s="1">
        <v>137.18</v>
      </c>
      <c r="N1921" s="1" t="s">
        <v>10</v>
      </c>
      <c r="O1921" s="1">
        <v>7</v>
      </c>
    </row>
    <row r="1922" spans="4:15" x14ac:dyDescent="0.3">
      <c r="D1922" s="1">
        <v>35104</v>
      </c>
      <c r="E1922" s="2">
        <v>43577</v>
      </c>
      <c r="F1922" s="1" t="s">
        <v>9</v>
      </c>
      <c r="G1922" s="1">
        <v>1</v>
      </c>
      <c r="H1922" s="9"/>
      <c r="J1922" s="1">
        <v>38.85</v>
      </c>
      <c r="N1922" s="1" t="s">
        <v>10</v>
      </c>
      <c r="O1922" s="1">
        <v>5.9</v>
      </c>
    </row>
    <row r="1923" spans="4:15" x14ac:dyDescent="0.3">
      <c r="D1923" s="1">
        <v>12096</v>
      </c>
      <c r="E1923" s="2">
        <v>43727</v>
      </c>
      <c r="F1923" s="1" t="s">
        <v>14</v>
      </c>
      <c r="G1923" s="1">
        <v>23</v>
      </c>
      <c r="H1923" s="9"/>
      <c r="J1923" s="1">
        <v>5017.9399999999996</v>
      </c>
      <c r="N1923" s="1" t="s">
        <v>10</v>
      </c>
      <c r="O1923" s="1">
        <v>12.3</v>
      </c>
    </row>
    <row r="1924" spans="4:15" x14ac:dyDescent="0.3">
      <c r="D1924" s="1">
        <v>55171</v>
      </c>
      <c r="E1924" s="2">
        <v>43764</v>
      </c>
      <c r="F1924" s="1" t="s">
        <v>9</v>
      </c>
      <c r="G1924" s="1">
        <v>29</v>
      </c>
      <c r="H1924" s="9"/>
      <c r="J1924" s="1">
        <v>616.20000000000005</v>
      </c>
      <c r="N1924" s="1" t="s">
        <v>10</v>
      </c>
      <c r="O1924" s="1">
        <v>4.3</v>
      </c>
    </row>
    <row r="1925" spans="4:15" x14ac:dyDescent="0.3">
      <c r="D1925" s="1">
        <v>24865</v>
      </c>
      <c r="E1925" s="2">
        <v>43543</v>
      </c>
      <c r="F1925" s="1" t="s">
        <v>9</v>
      </c>
      <c r="G1925" s="1">
        <v>46</v>
      </c>
      <c r="H1925" s="9"/>
      <c r="J1925" s="1">
        <v>187.5</v>
      </c>
      <c r="N1925" s="1" t="s">
        <v>10</v>
      </c>
      <c r="O1925" s="1">
        <v>2.7</v>
      </c>
    </row>
    <row r="1926" spans="4:15" x14ac:dyDescent="0.3">
      <c r="D1926" s="1">
        <v>52580</v>
      </c>
      <c r="E1926" s="2">
        <v>43705</v>
      </c>
      <c r="F1926" s="1" t="s">
        <v>9</v>
      </c>
      <c r="G1926" s="1">
        <v>23</v>
      </c>
      <c r="H1926" s="9"/>
      <c r="J1926" s="1">
        <v>149.44</v>
      </c>
      <c r="N1926" s="1" t="s">
        <v>10</v>
      </c>
      <c r="O1926" s="1">
        <v>1.5</v>
      </c>
    </row>
    <row r="1927" spans="4:15" x14ac:dyDescent="0.3">
      <c r="D1927" s="1">
        <v>39399</v>
      </c>
      <c r="E1927" s="2">
        <v>43816</v>
      </c>
      <c r="F1927" s="1" t="s">
        <v>14</v>
      </c>
      <c r="G1927" s="1">
        <v>28</v>
      </c>
      <c r="H1927" s="9"/>
      <c r="J1927" s="1">
        <v>325.25</v>
      </c>
      <c r="N1927" s="1" t="s">
        <v>10</v>
      </c>
      <c r="O1927" s="1">
        <v>5.5</v>
      </c>
    </row>
    <row r="1928" spans="4:15" x14ac:dyDescent="0.3">
      <c r="D1928" s="1">
        <v>49510</v>
      </c>
      <c r="E1928" s="2">
        <v>43544</v>
      </c>
      <c r="F1928" s="1" t="s">
        <v>12</v>
      </c>
      <c r="G1928" s="1">
        <v>16</v>
      </c>
      <c r="H1928" s="9"/>
      <c r="J1928" s="1">
        <v>47.19</v>
      </c>
      <c r="N1928" s="1" t="s">
        <v>10</v>
      </c>
      <c r="O1928" s="1">
        <v>1.4</v>
      </c>
    </row>
    <row r="1929" spans="4:15" x14ac:dyDescent="0.3">
      <c r="D1929" s="1">
        <v>58853</v>
      </c>
      <c r="E1929" s="2">
        <v>43598</v>
      </c>
      <c r="F1929" s="1" t="s">
        <v>12</v>
      </c>
      <c r="G1929" s="1">
        <v>27</v>
      </c>
      <c r="H1929" s="9"/>
      <c r="J1929" s="1">
        <v>5679.03</v>
      </c>
      <c r="N1929" s="1" t="s">
        <v>13</v>
      </c>
      <c r="O1929" s="1">
        <v>25.4</v>
      </c>
    </row>
    <row r="1930" spans="4:15" x14ac:dyDescent="0.3">
      <c r="D1930" s="1">
        <v>34309</v>
      </c>
      <c r="E1930" s="2">
        <v>43714</v>
      </c>
      <c r="F1930" s="1" t="s">
        <v>9</v>
      </c>
      <c r="G1930" s="1">
        <v>16</v>
      </c>
      <c r="H1930" s="9"/>
      <c r="J1930" s="1">
        <v>81.073899999999995</v>
      </c>
      <c r="N1930" s="1" t="s">
        <v>10</v>
      </c>
      <c r="O1930" s="1">
        <v>5.5</v>
      </c>
    </row>
    <row r="1931" spans="4:15" x14ac:dyDescent="0.3">
      <c r="D1931" s="1">
        <v>15591</v>
      </c>
      <c r="E1931" s="2">
        <v>43622</v>
      </c>
      <c r="F1931" s="1" t="s">
        <v>12</v>
      </c>
      <c r="G1931" s="1">
        <v>31</v>
      </c>
      <c r="H1931" s="9"/>
      <c r="J1931" s="1">
        <v>456.18</v>
      </c>
      <c r="N1931" s="1" t="s">
        <v>10</v>
      </c>
      <c r="O1931" s="1">
        <v>5.5</v>
      </c>
    </row>
    <row r="1932" spans="4:15" x14ac:dyDescent="0.3">
      <c r="D1932" s="1">
        <v>23685</v>
      </c>
      <c r="E1932" s="2">
        <v>43645</v>
      </c>
      <c r="F1932" s="1" t="s">
        <v>11</v>
      </c>
      <c r="G1932" s="1">
        <v>46</v>
      </c>
      <c r="H1932" s="9"/>
      <c r="J1932" s="1">
        <v>8483.56</v>
      </c>
      <c r="N1932" s="1" t="s">
        <v>10</v>
      </c>
      <c r="O1932" s="1">
        <v>5.4</v>
      </c>
    </row>
    <row r="1933" spans="4:15" x14ac:dyDescent="0.3">
      <c r="D1933" s="1">
        <v>41666</v>
      </c>
      <c r="E1933" s="2">
        <v>43527</v>
      </c>
      <c r="F1933" s="1" t="s">
        <v>14</v>
      </c>
      <c r="G1933" s="1">
        <v>26</v>
      </c>
      <c r="H1933" s="9"/>
      <c r="J1933" s="1">
        <v>637.89</v>
      </c>
      <c r="N1933" s="1" t="s">
        <v>8</v>
      </c>
      <c r="O1933" s="1">
        <v>9.1999999999999993</v>
      </c>
    </row>
    <row r="1934" spans="4:15" x14ac:dyDescent="0.3">
      <c r="D1934" s="1">
        <v>46466</v>
      </c>
      <c r="E1934" s="2">
        <v>43516</v>
      </c>
      <c r="F1934" s="1" t="s">
        <v>14</v>
      </c>
      <c r="G1934" s="1">
        <v>7</v>
      </c>
      <c r="H1934" s="9"/>
      <c r="J1934" s="1">
        <v>290.26</v>
      </c>
      <c r="N1934" s="1" t="s">
        <v>10</v>
      </c>
      <c r="O1934" s="1">
        <v>15</v>
      </c>
    </row>
    <row r="1935" spans="4:15" x14ac:dyDescent="0.3">
      <c r="D1935" s="1">
        <v>40838</v>
      </c>
      <c r="E1935" s="2">
        <v>43795</v>
      </c>
      <c r="F1935" s="1" t="s">
        <v>11</v>
      </c>
      <c r="G1935" s="1">
        <v>10</v>
      </c>
      <c r="H1935" s="9"/>
      <c r="J1935" s="1">
        <v>188.17</v>
      </c>
      <c r="N1935" s="1" t="s">
        <v>10</v>
      </c>
      <c r="O1935" s="1">
        <v>1.3</v>
      </c>
    </row>
    <row r="1936" spans="4:15" x14ac:dyDescent="0.3">
      <c r="D1936" s="1">
        <v>50822</v>
      </c>
      <c r="E1936" s="2">
        <v>43502</v>
      </c>
      <c r="F1936" s="1" t="s">
        <v>14</v>
      </c>
      <c r="G1936" s="1">
        <v>37</v>
      </c>
      <c r="H1936" s="9"/>
      <c r="J1936" s="1">
        <v>338.49</v>
      </c>
      <c r="N1936" s="1" t="s">
        <v>8</v>
      </c>
      <c r="O1936" s="1">
        <v>3</v>
      </c>
    </row>
    <row r="1937" spans="4:15" x14ac:dyDescent="0.3">
      <c r="D1937" s="1">
        <v>23395</v>
      </c>
      <c r="E1937" s="2">
        <v>43765</v>
      </c>
      <c r="F1937" s="1" t="s">
        <v>14</v>
      </c>
      <c r="G1937" s="1">
        <v>31</v>
      </c>
      <c r="H1937" s="9"/>
      <c r="J1937" s="1">
        <v>1387.21</v>
      </c>
      <c r="N1937" s="1" t="s">
        <v>10</v>
      </c>
      <c r="O1937" s="1">
        <v>2.1</v>
      </c>
    </row>
    <row r="1938" spans="4:15" x14ac:dyDescent="0.3">
      <c r="D1938" s="1">
        <v>29280</v>
      </c>
      <c r="E1938" s="2">
        <v>43552</v>
      </c>
      <c r="F1938" s="1" t="s">
        <v>14</v>
      </c>
      <c r="G1938" s="1">
        <v>30</v>
      </c>
      <c r="H1938" s="9"/>
      <c r="J1938" s="1">
        <v>916.28</v>
      </c>
      <c r="N1938" s="1" t="s">
        <v>10</v>
      </c>
      <c r="O1938" s="1">
        <v>2.1</v>
      </c>
    </row>
    <row r="1939" spans="4:15" x14ac:dyDescent="0.3">
      <c r="D1939" s="1">
        <v>14851</v>
      </c>
      <c r="E1939" s="2">
        <v>43596</v>
      </c>
      <c r="F1939" s="1" t="s">
        <v>11</v>
      </c>
      <c r="G1939" s="1">
        <v>26</v>
      </c>
      <c r="H1939" s="9"/>
      <c r="J1939" s="1">
        <v>1544.29</v>
      </c>
      <c r="N1939" s="1" t="s">
        <v>10</v>
      </c>
      <c r="O1939" s="1">
        <v>9.6</v>
      </c>
    </row>
    <row r="1940" spans="4:15" x14ac:dyDescent="0.3">
      <c r="D1940" s="1">
        <v>35905</v>
      </c>
      <c r="E1940" s="2">
        <v>43514</v>
      </c>
      <c r="F1940" s="1" t="s">
        <v>7</v>
      </c>
      <c r="G1940" s="1">
        <v>20</v>
      </c>
      <c r="H1940" s="9"/>
      <c r="J1940" s="1">
        <v>40.020000000000003</v>
      </c>
      <c r="N1940" s="1" t="s">
        <v>8</v>
      </c>
      <c r="O1940" s="1">
        <v>1.7</v>
      </c>
    </row>
    <row r="1941" spans="4:15" x14ac:dyDescent="0.3">
      <c r="D1941" s="1">
        <v>29473</v>
      </c>
      <c r="E1941" s="2">
        <v>43510</v>
      </c>
      <c r="F1941" s="1" t="s">
        <v>14</v>
      </c>
      <c r="G1941" s="1">
        <v>40</v>
      </c>
      <c r="H1941" s="9"/>
      <c r="J1941" s="1">
        <v>14303.57</v>
      </c>
      <c r="N1941" s="1" t="s">
        <v>13</v>
      </c>
      <c r="O1941" s="1">
        <v>31.2</v>
      </c>
    </row>
    <row r="1942" spans="4:15" x14ac:dyDescent="0.3">
      <c r="D1942" s="1">
        <v>45125</v>
      </c>
      <c r="E1942" s="2">
        <v>43613</v>
      </c>
      <c r="F1942" s="1" t="s">
        <v>12</v>
      </c>
      <c r="G1942" s="1">
        <v>6</v>
      </c>
      <c r="H1942" s="9"/>
      <c r="J1942" s="1">
        <v>1043.79</v>
      </c>
      <c r="N1942" s="1" t="s">
        <v>13</v>
      </c>
      <c r="O1942" s="1">
        <v>37.5</v>
      </c>
    </row>
    <row r="1943" spans="4:15" x14ac:dyDescent="0.3">
      <c r="D1943" s="1">
        <v>7072</v>
      </c>
      <c r="E1943" s="2">
        <v>43499</v>
      </c>
      <c r="F1943" s="1" t="s">
        <v>12</v>
      </c>
      <c r="G1943" s="1">
        <v>29</v>
      </c>
      <c r="H1943" s="9"/>
      <c r="J1943" s="1">
        <v>276.70999999999998</v>
      </c>
      <c r="N1943" s="1" t="s">
        <v>10</v>
      </c>
      <c r="O1943" s="1">
        <v>6</v>
      </c>
    </row>
    <row r="1944" spans="4:15" x14ac:dyDescent="0.3">
      <c r="D1944" s="1">
        <v>40132</v>
      </c>
      <c r="E1944" s="2">
        <v>43518</v>
      </c>
      <c r="F1944" s="1" t="s">
        <v>7</v>
      </c>
      <c r="G1944" s="1">
        <v>36</v>
      </c>
      <c r="H1944" s="9"/>
      <c r="J1944" s="1">
        <v>5027.3999999999996</v>
      </c>
      <c r="N1944" s="1" t="s">
        <v>13</v>
      </c>
      <c r="O1944" s="1">
        <v>55.6</v>
      </c>
    </row>
    <row r="1945" spans="4:15" x14ac:dyDescent="0.3">
      <c r="D1945" s="1">
        <v>7841</v>
      </c>
      <c r="E1945" s="2">
        <v>43605</v>
      </c>
      <c r="F1945" s="1" t="s">
        <v>11</v>
      </c>
      <c r="G1945" s="1">
        <v>21</v>
      </c>
      <c r="H1945" s="9"/>
      <c r="J1945" s="1">
        <v>1072.96</v>
      </c>
      <c r="N1945" s="1" t="s">
        <v>10</v>
      </c>
      <c r="O1945" s="1">
        <v>11</v>
      </c>
    </row>
    <row r="1946" spans="4:15" x14ac:dyDescent="0.3">
      <c r="D1946" s="1">
        <v>8065</v>
      </c>
      <c r="E1946" s="2">
        <v>43759</v>
      </c>
      <c r="F1946" s="1" t="s">
        <v>14</v>
      </c>
      <c r="G1946" s="1">
        <v>17</v>
      </c>
      <c r="H1946" s="9"/>
      <c r="J1946" s="1">
        <v>1204.56</v>
      </c>
      <c r="N1946" s="1" t="s">
        <v>10</v>
      </c>
      <c r="O1946" s="1">
        <v>13.1</v>
      </c>
    </row>
    <row r="1947" spans="4:15" x14ac:dyDescent="0.3">
      <c r="D1947" s="1">
        <v>25249</v>
      </c>
      <c r="E1947" s="2">
        <v>43775</v>
      </c>
      <c r="F1947" s="1" t="s">
        <v>14</v>
      </c>
      <c r="G1947" s="1">
        <v>34</v>
      </c>
      <c r="H1947" s="9"/>
      <c r="J1947" s="1">
        <v>991.73</v>
      </c>
      <c r="N1947" s="1" t="s">
        <v>10</v>
      </c>
      <c r="O1947" s="1">
        <v>1.6</v>
      </c>
    </row>
    <row r="1948" spans="4:15" x14ac:dyDescent="0.3">
      <c r="D1948" s="1">
        <v>31555</v>
      </c>
      <c r="E1948" s="2">
        <v>43468</v>
      </c>
      <c r="F1948" s="1" t="s">
        <v>12</v>
      </c>
      <c r="G1948" s="1">
        <v>5</v>
      </c>
      <c r="H1948" s="9"/>
      <c r="J1948" s="1">
        <v>535.54</v>
      </c>
      <c r="N1948" s="1" t="s">
        <v>13</v>
      </c>
      <c r="O1948" s="1">
        <v>30</v>
      </c>
    </row>
    <row r="1949" spans="4:15" x14ac:dyDescent="0.3">
      <c r="D1949" s="1">
        <v>25571</v>
      </c>
      <c r="E1949" s="2">
        <v>43695</v>
      </c>
      <c r="F1949" s="1" t="s">
        <v>12</v>
      </c>
      <c r="G1949" s="1">
        <v>42</v>
      </c>
      <c r="H1949" s="9"/>
      <c r="J1949" s="1">
        <v>4011.43</v>
      </c>
      <c r="N1949" s="1" t="s">
        <v>10</v>
      </c>
      <c r="O1949" s="1">
        <v>37.5</v>
      </c>
    </row>
    <row r="1950" spans="4:15" x14ac:dyDescent="0.3">
      <c r="D1950" s="1">
        <v>39269</v>
      </c>
      <c r="E1950" s="2">
        <v>43764</v>
      </c>
      <c r="F1950" s="1" t="s">
        <v>7</v>
      </c>
      <c r="G1950" s="1">
        <v>16</v>
      </c>
      <c r="H1950" s="9"/>
      <c r="J1950" s="1">
        <v>497.22</v>
      </c>
      <c r="N1950" s="1" t="s">
        <v>10</v>
      </c>
      <c r="O1950" s="1">
        <v>2.7</v>
      </c>
    </row>
    <row r="1951" spans="4:15" x14ac:dyDescent="0.3">
      <c r="D1951" s="1">
        <v>42722</v>
      </c>
      <c r="E1951" s="2">
        <v>43745</v>
      </c>
      <c r="F1951" s="1" t="s">
        <v>11</v>
      </c>
      <c r="G1951" s="1">
        <v>2</v>
      </c>
      <c r="H1951" s="9"/>
      <c r="J1951" s="1">
        <v>21.29</v>
      </c>
      <c r="N1951" s="1" t="s">
        <v>10</v>
      </c>
      <c r="O1951" s="1">
        <v>5.6</v>
      </c>
    </row>
    <row r="1952" spans="4:15" x14ac:dyDescent="0.3">
      <c r="D1952" s="1">
        <v>21925</v>
      </c>
      <c r="E1952" s="2">
        <v>43658</v>
      </c>
      <c r="F1952" s="1" t="s">
        <v>11</v>
      </c>
      <c r="G1952" s="1">
        <v>3</v>
      </c>
      <c r="H1952" s="9"/>
      <c r="J1952" s="1">
        <v>252.86</v>
      </c>
      <c r="N1952" s="1" t="s">
        <v>10</v>
      </c>
      <c r="O1952" s="1">
        <v>4.3</v>
      </c>
    </row>
    <row r="1953" spans="4:15" x14ac:dyDescent="0.3">
      <c r="D1953" s="1">
        <v>31270</v>
      </c>
      <c r="E1953" s="2">
        <v>43792</v>
      </c>
      <c r="F1953" s="1" t="s">
        <v>14</v>
      </c>
      <c r="G1953" s="1">
        <v>21</v>
      </c>
      <c r="H1953" s="9"/>
      <c r="J1953" s="1">
        <v>7283.1261999999997</v>
      </c>
      <c r="N1953" s="1" t="s">
        <v>13</v>
      </c>
      <c r="O1953" s="1">
        <v>93.1</v>
      </c>
    </row>
    <row r="1954" spans="4:15" x14ac:dyDescent="0.3">
      <c r="D1954" s="1">
        <v>50914</v>
      </c>
      <c r="E1954" s="2">
        <v>43649</v>
      </c>
      <c r="F1954" s="1" t="s">
        <v>12</v>
      </c>
      <c r="G1954" s="1">
        <v>49</v>
      </c>
      <c r="H1954" s="9"/>
      <c r="J1954" s="1">
        <v>9150.15</v>
      </c>
      <c r="N1954" s="1" t="s">
        <v>10</v>
      </c>
      <c r="O1954" s="1">
        <v>9.6</v>
      </c>
    </row>
    <row r="1955" spans="4:15" x14ac:dyDescent="0.3">
      <c r="D1955" s="1">
        <v>33479</v>
      </c>
      <c r="E1955" s="2">
        <v>43726</v>
      </c>
      <c r="F1955" s="1" t="s">
        <v>12</v>
      </c>
      <c r="G1955" s="1">
        <v>50</v>
      </c>
      <c r="H1955" s="9"/>
      <c r="J1955" s="1">
        <v>815.55</v>
      </c>
      <c r="N1955" s="1" t="s">
        <v>10</v>
      </c>
      <c r="O1955" s="1">
        <v>9</v>
      </c>
    </row>
    <row r="1956" spans="4:15" x14ac:dyDescent="0.3">
      <c r="D1956" s="1">
        <v>27302</v>
      </c>
      <c r="E1956" s="2">
        <v>43720</v>
      </c>
      <c r="F1956" s="1" t="s">
        <v>7</v>
      </c>
      <c r="G1956" s="1">
        <v>3</v>
      </c>
      <c r="H1956" s="9"/>
      <c r="J1956" s="1">
        <v>153.55000000000001</v>
      </c>
      <c r="N1956" s="1" t="s">
        <v>10</v>
      </c>
      <c r="O1956" s="1">
        <v>6.2</v>
      </c>
    </row>
    <row r="1957" spans="4:15" x14ac:dyDescent="0.3">
      <c r="D1957" s="1">
        <v>16036</v>
      </c>
      <c r="E1957" s="2">
        <v>43469</v>
      </c>
      <c r="F1957" s="1" t="s">
        <v>14</v>
      </c>
      <c r="G1957" s="1">
        <v>33</v>
      </c>
      <c r="H1957" s="9"/>
      <c r="J1957" s="1">
        <v>589.5</v>
      </c>
      <c r="N1957" s="1" t="s">
        <v>10</v>
      </c>
      <c r="O1957" s="1">
        <v>10.1</v>
      </c>
    </row>
    <row r="1958" spans="4:15" x14ac:dyDescent="0.3">
      <c r="D1958" s="1">
        <v>53378</v>
      </c>
      <c r="E1958" s="2">
        <v>43659</v>
      </c>
      <c r="F1958" s="1" t="s">
        <v>14</v>
      </c>
      <c r="G1958" s="1">
        <v>50</v>
      </c>
      <c r="H1958" s="9"/>
      <c r="J1958" s="1">
        <v>14909.947099999999</v>
      </c>
      <c r="N1958" s="1" t="s">
        <v>8</v>
      </c>
      <c r="O1958" s="1">
        <v>12.5</v>
      </c>
    </row>
    <row r="1959" spans="4:15" x14ac:dyDescent="0.3">
      <c r="D1959" s="1">
        <v>26759</v>
      </c>
      <c r="E1959" s="2">
        <v>43489</v>
      </c>
      <c r="F1959" s="1" t="s">
        <v>11</v>
      </c>
      <c r="G1959" s="1">
        <v>30</v>
      </c>
      <c r="H1959" s="9"/>
      <c r="J1959" s="1">
        <v>268.68770000000001</v>
      </c>
      <c r="N1959" s="1" t="s">
        <v>10</v>
      </c>
      <c r="O1959" s="1">
        <v>5</v>
      </c>
    </row>
    <row r="1960" spans="4:15" x14ac:dyDescent="0.3">
      <c r="D1960" s="1">
        <v>55460</v>
      </c>
      <c r="E1960" s="2">
        <v>43611</v>
      </c>
      <c r="F1960" s="1" t="s">
        <v>9</v>
      </c>
      <c r="G1960" s="1">
        <v>12</v>
      </c>
      <c r="H1960" s="9"/>
      <c r="J1960" s="1">
        <v>66.150000000000006</v>
      </c>
      <c r="N1960" s="1" t="s">
        <v>10</v>
      </c>
      <c r="O1960" s="1">
        <v>3.2</v>
      </c>
    </row>
    <row r="1961" spans="4:15" x14ac:dyDescent="0.3">
      <c r="D1961" s="1">
        <v>17862</v>
      </c>
      <c r="E1961" s="2">
        <v>43592</v>
      </c>
      <c r="F1961" s="1" t="s">
        <v>11</v>
      </c>
      <c r="G1961" s="1">
        <v>1</v>
      </c>
      <c r="H1961" s="9"/>
      <c r="J1961" s="1">
        <v>30.74</v>
      </c>
      <c r="N1961" s="1" t="s">
        <v>10</v>
      </c>
      <c r="O1961" s="1">
        <v>7</v>
      </c>
    </row>
    <row r="1962" spans="4:15" x14ac:dyDescent="0.3">
      <c r="D1962" s="1">
        <v>48000</v>
      </c>
      <c r="E1962" s="2">
        <v>43690</v>
      </c>
      <c r="F1962" s="1" t="s">
        <v>9</v>
      </c>
      <c r="G1962" s="1">
        <v>12</v>
      </c>
      <c r="H1962" s="9"/>
      <c r="J1962" s="1">
        <v>229.98580000000001</v>
      </c>
      <c r="N1962" s="1" t="s">
        <v>10</v>
      </c>
      <c r="O1962" s="1">
        <v>2.1</v>
      </c>
    </row>
    <row r="1963" spans="4:15" x14ac:dyDescent="0.3">
      <c r="D1963" s="1">
        <v>17093</v>
      </c>
      <c r="E1963" s="2">
        <v>43506</v>
      </c>
      <c r="F1963" s="1" t="s">
        <v>11</v>
      </c>
      <c r="G1963" s="1">
        <v>50</v>
      </c>
      <c r="H1963" s="9"/>
      <c r="J1963" s="1">
        <v>4868.5600000000004</v>
      </c>
      <c r="N1963" s="1" t="s">
        <v>13</v>
      </c>
      <c r="O1963" s="1">
        <v>62.3</v>
      </c>
    </row>
    <row r="1964" spans="4:15" x14ac:dyDescent="0.3">
      <c r="D1964" s="1">
        <v>46276</v>
      </c>
      <c r="E1964" s="2">
        <v>43808</v>
      </c>
      <c r="F1964" s="1" t="s">
        <v>12</v>
      </c>
      <c r="G1964" s="1">
        <v>23</v>
      </c>
      <c r="H1964" s="9"/>
      <c r="J1964" s="1">
        <v>17915.82</v>
      </c>
      <c r="N1964" s="1" t="s">
        <v>10</v>
      </c>
      <c r="O1964" s="1">
        <v>26.2</v>
      </c>
    </row>
    <row r="1965" spans="4:15" x14ac:dyDescent="0.3">
      <c r="D1965" s="1">
        <v>21856</v>
      </c>
      <c r="E1965" s="2">
        <v>43560</v>
      </c>
      <c r="F1965" s="1" t="s">
        <v>11</v>
      </c>
      <c r="G1965" s="1">
        <v>47</v>
      </c>
      <c r="H1965" s="9"/>
      <c r="J1965" s="1">
        <v>180.35</v>
      </c>
      <c r="N1965" s="1" t="s">
        <v>10</v>
      </c>
      <c r="O1965" s="1">
        <v>0.5</v>
      </c>
    </row>
    <row r="1966" spans="4:15" x14ac:dyDescent="0.3">
      <c r="D1966" s="1">
        <v>48353</v>
      </c>
      <c r="E1966" s="2">
        <v>43814</v>
      </c>
      <c r="F1966" s="1" t="s">
        <v>11</v>
      </c>
      <c r="G1966" s="1">
        <v>18</v>
      </c>
      <c r="H1966" s="9"/>
      <c r="J1966" s="1">
        <v>76.209999999999994</v>
      </c>
      <c r="N1966" s="1" t="s">
        <v>10</v>
      </c>
      <c r="O1966" s="1">
        <v>0.7</v>
      </c>
    </row>
    <row r="1967" spans="4:15" x14ac:dyDescent="0.3">
      <c r="D1967" s="1">
        <v>42115</v>
      </c>
      <c r="E1967" s="2">
        <v>43513</v>
      </c>
      <c r="F1967" s="1" t="s">
        <v>12</v>
      </c>
      <c r="G1967" s="1">
        <v>19</v>
      </c>
      <c r="H1967" s="9"/>
      <c r="J1967" s="1">
        <v>578.4</v>
      </c>
      <c r="N1967" s="1" t="s">
        <v>10</v>
      </c>
      <c r="O1967" s="1">
        <v>15</v>
      </c>
    </row>
    <row r="1968" spans="4:15" x14ac:dyDescent="0.3">
      <c r="D1968" s="1">
        <v>3907</v>
      </c>
      <c r="E1968" s="2">
        <v>43695</v>
      </c>
      <c r="F1968" s="1" t="s">
        <v>14</v>
      </c>
      <c r="G1968" s="1">
        <v>36</v>
      </c>
      <c r="H1968" s="9"/>
      <c r="J1968" s="1">
        <v>233.39</v>
      </c>
      <c r="N1968" s="1" t="s">
        <v>10</v>
      </c>
      <c r="O1968" s="1">
        <v>52.4</v>
      </c>
    </row>
    <row r="1969" spans="4:15" x14ac:dyDescent="0.3">
      <c r="D1969" s="1">
        <v>33222</v>
      </c>
      <c r="E1969" s="2">
        <v>43635</v>
      </c>
      <c r="F1969" s="1" t="s">
        <v>14</v>
      </c>
      <c r="G1969" s="1">
        <v>18</v>
      </c>
      <c r="H1969" s="9"/>
      <c r="J1969" s="1">
        <v>450.21319999999997</v>
      </c>
      <c r="N1969" s="1" t="s">
        <v>10</v>
      </c>
      <c r="O1969" s="1">
        <v>16.2</v>
      </c>
    </row>
    <row r="1970" spans="4:15" x14ac:dyDescent="0.3">
      <c r="D1970" s="1">
        <v>13633</v>
      </c>
      <c r="E1970" s="2">
        <v>43558</v>
      </c>
      <c r="F1970" s="1" t="s">
        <v>11</v>
      </c>
      <c r="G1970" s="1">
        <v>39</v>
      </c>
      <c r="H1970" s="9"/>
      <c r="J1970" s="1">
        <v>1645.84</v>
      </c>
      <c r="N1970" s="1" t="s">
        <v>10</v>
      </c>
      <c r="O1970" s="1">
        <v>37.5</v>
      </c>
    </row>
    <row r="1971" spans="4:15" x14ac:dyDescent="0.3">
      <c r="D1971" s="1">
        <v>46497</v>
      </c>
      <c r="E1971" s="2">
        <v>43635</v>
      </c>
      <c r="F1971" s="1" t="s">
        <v>9</v>
      </c>
      <c r="G1971" s="1">
        <v>30</v>
      </c>
      <c r="H1971" s="9"/>
      <c r="J1971" s="1">
        <v>674.68</v>
      </c>
      <c r="N1971" s="1" t="s">
        <v>10</v>
      </c>
      <c r="O1971" s="1">
        <v>9.6</v>
      </c>
    </row>
    <row r="1972" spans="4:15" x14ac:dyDescent="0.3">
      <c r="D1972" s="1">
        <v>26979</v>
      </c>
      <c r="E1972" s="2">
        <v>43552</v>
      </c>
      <c r="F1972" s="1" t="s">
        <v>14</v>
      </c>
      <c r="G1972" s="1">
        <v>50</v>
      </c>
      <c r="H1972" s="9"/>
      <c r="J1972" s="1">
        <v>6519.77</v>
      </c>
      <c r="N1972" s="1" t="s">
        <v>10</v>
      </c>
      <c r="O1972" s="1">
        <v>8.6</v>
      </c>
    </row>
    <row r="1973" spans="4:15" x14ac:dyDescent="0.3">
      <c r="D1973" s="1">
        <v>13282</v>
      </c>
      <c r="E1973" s="2">
        <v>43594</v>
      </c>
      <c r="F1973" s="1" t="s">
        <v>7</v>
      </c>
      <c r="G1973" s="1">
        <v>2</v>
      </c>
      <c r="H1973" s="9"/>
      <c r="J1973" s="1">
        <v>13.47</v>
      </c>
      <c r="N1973" s="1" t="s">
        <v>10</v>
      </c>
      <c r="O1973" s="1">
        <v>0.5</v>
      </c>
    </row>
    <row r="1974" spans="4:15" x14ac:dyDescent="0.3">
      <c r="D1974" s="1">
        <v>59329</v>
      </c>
      <c r="E1974" s="2">
        <v>43803</v>
      </c>
      <c r="F1974" s="1" t="s">
        <v>12</v>
      </c>
      <c r="G1974" s="1">
        <v>41</v>
      </c>
      <c r="H1974" s="9"/>
      <c r="J1974" s="1">
        <v>229.18</v>
      </c>
      <c r="N1974" s="1" t="s">
        <v>10</v>
      </c>
      <c r="O1974" s="1">
        <v>5</v>
      </c>
    </row>
    <row r="1975" spans="4:15" x14ac:dyDescent="0.3">
      <c r="D1975" s="1">
        <v>31393</v>
      </c>
      <c r="E1975" s="2">
        <v>43596</v>
      </c>
      <c r="F1975" s="1" t="s">
        <v>12</v>
      </c>
      <c r="G1975" s="1">
        <v>4</v>
      </c>
      <c r="H1975" s="9"/>
      <c r="J1975" s="1">
        <v>104.4</v>
      </c>
      <c r="N1975" s="1" t="s">
        <v>10</v>
      </c>
      <c r="O1975" s="1">
        <v>15.9</v>
      </c>
    </row>
    <row r="1976" spans="4:15" x14ac:dyDescent="0.3">
      <c r="D1976" s="1">
        <v>38723</v>
      </c>
      <c r="E1976" s="2">
        <v>43728</v>
      </c>
      <c r="F1976" s="1" t="s">
        <v>12</v>
      </c>
      <c r="G1976" s="1">
        <v>39</v>
      </c>
      <c r="H1976" s="9"/>
      <c r="J1976" s="1">
        <v>2800.33</v>
      </c>
      <c r="N1976" s="1" t="s">
        <v>10</v>
      </c>
      <c r="O1976" s="1">
        <v>7.4</v>
      </c>
    </row>
    <row r="1977" spans="4:15" x14ac:dyDescent="0.3">
      <c r="D1977" s="1">
        <v>56291</v>
      </c>
      <c r="E1977" s="2">
        <v>43725</v>
      </c>
      <c r="F1977" s="1" t="s">
        <v>11</v>
      </c>
      <c r="G1977" s="1">
        <v>25</v>
      </c>
      <c r="H1977" s="9"/>
      <c r="J1977" s="1">
        <v>403.78590000000003</v>
      </c>
      <c r="N1977" s="1" t="s">
        <v>10</v>
      </c>
      <c r="O1977" s="1">
        <v>2.1</v>
      </c>
    </row>
    <row r="1978" spans="4:15" x14ac:dyDescent="0.3">
      <c r="D1978" s="1">
        <v>50503</v>
      </c>
      <c r="E1978" s="2">
        <v>43790</v>
      </c>
      <c r="F1978" s="1" t="s">
        <v>14</v>
      </c>
      <c r="G1978" s="1">
        <v>28</v>
      </c>
      <c r="H1978" s="9"/>
      <c r="J1978" s="1">
        <v>1646.59</v>
      </c>
      <c r="N1978" s="1" t="s">
        <v>10</v>
      </c>
      <c r="O1978" s="1">
        <v>21.4</v>
      </c>
    </row>
    <row r="1979" spans="4:15" x14ac:dyDescent="0.3">
      <c r="D1979" s="1">
        <v>11137</v>
      </c>
      <c r="E1979" s="2">
        <v>43798</v>
      </c>
      <c r="F1979" s="1" t="s">
        <v>9</v>
      </c>
      <c r="G1979" s="1">
        <v>48</v>
      </c>
      <c r="H1979" s="9"/>
      <c r="J1979" s="1">
        <v>5552.08</v>
      </c>
      <c r="N1979" s="1" t="s">
        <v>10</v>
      </c>
      <c r="O1979" s="1">
        <v>9.1999999999999993</v>
      </c>
    </row>
    <row r="1980" spans="4:15" x14ac:dyDescent="0.3">
      <c r="D1980" s="1">
        <v>59491</v>
      </c>
      <c r="E1980" s="2">
        <v>43548</v>
      </c>
      <c r="F1980" s="1" t="s">
        <v>9</v>
      </c>
      <c r="G1980" s="1">
        <v>46</v>
      </c>
      <c r="H1980" s="9"/>
      <c r="J1980" s="1">
        <v>602.35649999999998</v>
      </c>
      <c r="N1980" s="1" t="s">
        <v>10</v>
      </c>
      <c r="O1980" s="1">
        <v>3</v>
      </c>
    </row>
    <row r="1981" spans="4:15" x14ac:dyDescent="0.3">
      <c r="D1981" s="1">
        <v>28901</v>
      </c>
      <c r="E1981" s="2">
        <v>43627</v>
      </c>
      <c r="F1981" s="1" t="s">
        <v>9</v>
      </c>
      <c r="G1981" s="1">
        <v>23</v>
      </c>
      <c r="H1981" s="9"/>
      <c r="J1981" s="1">
        <v>932.31</v>
      </c>
      <c r="N1981" s="1" t="s">
        <v>10</v>
      </c>
      <c r="O1981" s="1">
        <v>6.3</v>
      </c>
    </row>
    <row r="1982" spans="4:15" x14ac:dyDescent="0.3">
      <c r="D1982" s="1">
        <v>31106</v>
      </c>
      <c r="E1982" s="2">
        <v>43511</v>
      </c>
      <c r="F1982" s="1" t="s">
        <v>7</v>
      </c>
      <c r="G1982" s="1">
        <v>43</v>
      </c>
      <c r="H1982" s="9"/>
      <c r="J1982" s="1">
        <v>5025.8242</v>
      </c>
      <c r="N1982" s="1" t="s">
        <v>10</v>
      </c>
      <c r="O1982" s="1">
        <v>6</v>
      </c>
    </row>
    <row r="1983" spans="4:15" x14ac:dyDescent="0.3">
      <c r="D1983" s="1">
        <v>17571</v>
      </c>
      <c r="E1983" s="2">
        <v>43539</v>
      </c>
      <c r="F1983" s="1" t="s">
        <v>11</v>
      </c>
      <c r="G1983" s="1">
        <v>50</v>
      </c>
      <c r="H1983" s="9"/>
      <c r="J1983" s="1">
        <v>1814.35</v>
      </c>
      <c r="N1983" s="1" t="s">
        <v>8</v>
      </c>
      <c r="O1983" s="1">
        <v>5.9</v>
      </c>
    </row>
    <row r="1984" spans="4:15" x14ac:dyDescent="0.3">
      <c r="D1984" s="1">
        <v>6150</v>
      </c>
      <c r="E1984" s="2">
        <v>43739</v>
      </c>
      <c r="F1984" s="1" t="s">
        <v>12</v>
      </c>
      <c r="G1984" s="1">
        <v>38</v>
      </c>
      <c r="H1984" s="9"/>
      <c r="J1984" s="1">
        <v>204.52</v>
      </c>
      <c r="N1984" s="1" t="s">
        <v>10</v>
      </c>
      <c r="O1984" s="1">
        <v>0.9</v>
      </c>
    </row>
    <row r="1985" spans="4:15" x14ac:dyDescent="0.3">
      <c r="D1985" s="1">
        <v>26055</v>
      </c>
      <c r="E1985" s="2">
        <v>43794</v>
      </c>
      <c r="F1985" s="1" t="s">
        <v>11</v>
      </c>
      <c r="G1985" s="1">
        <v>46</v>
      </c>
      <c r="H1985" s="9"/>
      <c r="J1985" s="1">
        <v>7204.87</v>
      </c>
      <c r="N1985" s="1" t="s">
        <v>10</v>
      </c>
      <c r="O1985" s="1">
        <v>4.3</v>
      </c>
    </row>
    <row r="1986" spans="4:15" x14ac:dyDescent="0.3">
      <c r="D1986" s="1">
        <v>44678</v>
      </c>
      <c r="E1986" s="2">
        <v>43751</v>
      </c>
      <c r="F1986" s="1" t="s">
        <v>7</v>
      </c>
      <c r="G1986" s="1">
        <v>36</v>
      </c>
      <c r="H1986" s="9"/>
      <c r="J1986" s="1">
        <v>1233.3141000000001</v>
      </c>
      <c r="N1986" s="1" t="s">
        <v>10</v>
      </c>
      <c r="O1986" s="1">
        <v>7.6</v>
      </c>
    </row>
    <row r="1987" spans="4:15" x14ac:dyDescent="0.3">
      <c r="D1987" s="1">
        <v>10341</v>
      </c>
      <c r="E1987" s="2">
        <v>43820</v>
      </c>
      <c r="F1987" s="1" t="s">
        <v>9</v>
      </c>
      <c r="G1987" s="1">
        <v>17</v>
      </c>
      <c r="H1987" s="9"/>
      <c r="J1987" s="1">
        <v>2474.8672000000001</v>
      </c>
      <c r="N1987" s="1" t="s">
        <v>13</v>
      </c>
      <c r="O1987" s="1">
        <v>19.100000000000001</v>
      </c>
    </row>
    <row r="1988" spans="4:15" x14ac:dyDescent="0.3">
      <c r="D1988" s="1">
        <v>28738</v>
      </c>
      <c r="E1988" s="2">
        <v>43687</v>
      </c>
      <c r="F1988" s="1" t="s">
        <v>14</v>
      </c>
      <c r="G1988" s="1">
        <v>10</v>
      </c>
      <c r="H1988" s="9"/>
      <c r="J1988" s="1">
        <v>1647.62</v>
      </c>
      <c r="N1988" s="1" t="s">
        <v>10</v>
      </c>
      <c r="O1988" s="1">
        <v>21.4</v>
      </c>
    </row>
    <row r="1989" spans="4:15" x14ac:dyDescent="0.3">
      <c r="D1989" s="1">
        <v>47846</v>
      </c>
      <c r="E1989" s="2">
        <v>43688</v>
      </c>
      <c r="F1989" s="1" t="s">
        <v>9</v>
      </c>
      <c r="G1989" s="1">
        <v>37</v>
      </c>
      <c r="H1989" s="9"/>
      <c r="J1989" s="1">
        <v>258.02</v>
      </c>
      <c r="N1989" s="1" t="s">
        <v>10</v>
      </c>
      <c r="O1989" s="1">
        <v>7.4</v>
      </c>
    </row>
    <row r="1990" spans="4:15" x14ac:dyDescent="0.3">
      <c r="D1990" s="1">
        <v>9925</v>
      </c>
      <c r="E1990" s="2">
        <v>43494</v>
      </c>
      <c r="F1990" s="1" t="s">
        <v>12</v>
      </c>
      <c r="G1990" s="1">
        <v>17</v>
      </c>
      <c r="H1990" s="9"/>
      <c r="J1990" s="1">
        <v>92.52</v>
      </c>
      <c r="N1990" s="1" t="s">
        <v>10</v>
      </c>
      <c r="O1990" s="1">
        <v>3.2</v>
      </c>
    </row>
    <row r="1991" spans="4:15" x14ac:dyDescent="0.3">
      <c r="D1991" s="1">
        <v>47622</v>
      </c>
      <c r="E1991" s="2">
        <v>43720</v>
      </c>
      <c r="F1991" s="1" t="s">
        <v>11</v>
      </c>
      <c r="G1991" s="1">
        <v>41</v>
      </c>
      <c r="H1991" s="9"/>
      <c r="J1991" s="1">
        <v>8761.36</v>
      </c>
      <c r="N1991" s="1" t="s">
        <v>10</v>
      </c>
      <c r="O1991" s="1">
        <v>15</v>
      </c>
    </row>
    <row r="1992" spans="4:15" x14ac:dyDescent="0.3">
      <c r="D1992" s="1">
        <v>4261</v>
      </c>
      <c r="E1992" s="2">
        <v>43740</v>
      </c>
      <c r="F1992" s="1" t="s">
        <v>12</v>
      </c>
      <c r="G1992" s="1">
        <v>22</v>
      </c>
      <c r="H1992" s="9"/>
      <c r="J1992" s="1">
        <v>1665.8508999999999</v>
      </c>
      <c r="N1992" s="1" t="s">
        <v>13</v>
      </c>
      <c r="O1992" s="1">
        <v>64.2</v>
      </c>
    </row>
    <row r="1993" spans="4:15" x14ac:dyDescent="0.3">
      <c r="D1993" s="1">
        <v>9024</v>
      </c>
      <c r="E1993" s="2">
        <v>43618</v>
      </c>
      <c r="F1993" s="1" t="s">
        <v>14</v>
      </c>
      <c r="G1993" s="1">
        <v>44</v>
      </c>
      <c r="H1993" s="9"/>
      <c r="J1993" s="1">
        <v>2480.4899999999998</v>
      </c>
      <c r="N1993" s="1" t="s">
        <v>10</v>
      </c>
      <c r="O1993" s="1">
        <v>3</v>
      </c>
    </row>
    <row r="1994" spans="4:15" x14ac:dyDescent="0.3">
      <c r="D1994" s="1">
        <v>50978</v>
      </c>
      <c r="E1994" s="2">
        <v>43555</v>
      </c>
      <c r="F1994" s="1" t="s">
        <v>9</v>
      </c>
      <c r="G1994" s="1">
        <v>4</v>
      </c>
      <c r="H1994" s="9"/>
      <c r="J1994" s="1">
        <v>873.22</v>
      </c>
      <c r="N1994" s="1" t="s">
        <v>10</v>
      </c>
      <c r="O1994" s="1">
        <v>10.7</v>
      </c>
    </row>
    <row r="1995" spans="4:15" x14ac:dyDescent="0.3">
      <c r="D1995" s="1">
        <v>36257</v>
      </c>
      <c r="E1995" s="2">
        <v>43522</v>
      </c>
      <c r="F1995" s="1" t="s">
        <v>9</v>
      </c>
      <c r="G1995" s="1">
        <v>43</v>
      </c>
      <c r="H1995" s="9"/>
      <c r="J1995" s="1">
        <v>957.12570000000005</v>
      </c>
      <c r="N1995" s="1" t="s">
        <v>10</v>
      </c>
      <c r="O1995" s="1">
        <v>2.1</v>
      </c>
    </row>
    <row r="1996" spans="4:15" x14ac:dyDescent="0.3">
      <c r="D1996" s="1">
        <v>4261</v>
      </c>
      <c r="E1996" s="2">
        <v>43740</v>
      </c>
      <c r="F1996" s="1" t="s">
        <v>12</v>
      </c>
      <c r="G1996" s="1">
        <v>48</v>
      </c>
      <c r="H1996" s="9"/>
      <c r="J1996" s="1">
        <v>293.58999999999997</v>
      </c>
      <c r="N1996" s="1" t="s">
        <v>10</v>
      </c>
      <c r="O1996" s="1">
        <v>5.7</v>
      </c>
    </row>
    <row r="1997" spans="4:15" x14ac:dyDescent="0.3">
      <c r="D1997" s="1">
        <v>17571</v>
      </c>
      <c r="E1997" s="2">
        <v>43539</v>
      </c>
      <c r="F1997" s="1" t="s">
        <v>11</v>
      </c>
      <c r="G1997" s="1">
        <v>32</v>
      </c>
      <c r="H1997" s="9"/>
      <c r="J1997" s="1">
        <v>109.77</v>
      </c>
      <c r="N1997" s="1" t="s">
        <v>10</v>
      </c>
      <c r="O1997" s="1">
        <v>1.7</v>
      </c>
    </row>
    <row r="1998" spans="4:15" x14ac:dyDescent="0.3">
      <c r="D1998" s="1">
        <v>36103</v>
      </c>
      <c r="E1998" s="2">
        <v>43584</v>
      </c>
      <c r="F1998" s="1" t="s">
        <v>12</v>
      </c>
      <c r="G1998" s="1">
        <v>10</v>
      </c>
      <c r="H1998" s="9"/>
      <c r="J1998" s="1">
        <v>59.727400000000003</v>
      </c>
      <c r="N1998" s="1" t="s">
        <v>10</v>
      </c>
      <c r="O1998" s="1">
        <v>6.1</v>
      </c>
    </row>
    <row r="1999" spans="4:15" x14ac:dyDescent="0.3">
      <c r="D1999" s="1">
        <v>1282</v>
      </c>
      <c r="E1999" s="2">
        <v>43522</v>
      </c>
      <c r="F1999" s="1" t="s">
        <v>11</v>
      </c>
      <c r="G1999" s="1">
        <v>10</v>
      </c>
      <c r="H1999" s="9"/>
      <c r="J1999" s="1">
        <v>31.47</v>
      </c>
      <c r="N1999" s="1" t="s">
        <v>10</v>
      </c>
      <c r="O1999" s="1">
        <v>1.4</v>
      </c>
    </row>
    <row r="2000" spans="4:15" x14ac:dyDescent="0.3">
      <c r="D2000" s="1">
        <v>21223</v>
      </c>
      <c r="E2000" s="2">
        <v>43539</v>
      </c>
      <c r="F2000" s="1" t="s">
        <v>11</v>
      </c>
      <c r="G2000" s="1">
        <v>3</v>
      </c>
      <c r="H2000" s="9"/>
      <c r="J2000" s="1">
        <v>340.21</v>
      </c>
      <c r="N2000" s="1" t="s">
        <v>13</v>
      </c>
      <c r="O2000" s="1">
        <v>28.1</v>
      </c>
    </row>
    <row r="2001" spans="4:15" x14ac:dyDescent="0.3">
      <c r="D2001" s="1">
        <v>45670</v>
      </c>
      <c r="E2001" s="2">
        <v>43684</v>
      </c>
      <c r="F2001" s="1" t="s">
        <v>7</v>
      </c>
      <c r="G2001" s="1">
        <v>2</v>
      </c>
      <c r="H2001" s="9"/>
      <c r="J2001" s="1">
        <v>21.57</v>
      </c>
      <c r="N2001" s="1" t="s">
        <v>10</v>
      </c>
      <c r="O2001" s="1">
        <v>8.4</v>
      </c>
    </row>
    <row r="2002" spans="4:15" x14ac:dyDescent="0.3">
      <c r="D2002" s="1">
        <v>33702</v>
      </c>
      <c r="E2002" s="2">
        <v>43710</v>
      </c>
      <c r="F2002" s="1" t="s">
        <v>11</v>
      </c>
      <c r="G2002" s="1">
        <v>14</v>
      </c>
      <c r="H2002" s="9"/>
      <c r="J2002" s="1">
        <v>60.2</v>
      </c>
      <c r="N2002" s="1" t="s">
        <v>8</v>
      </c>
      <c r="O2002" s="1">
        <v>0.5</v>
      </c>
    </row>
    <row r="2003" spans="4:15" x14ac:dyDescent="0.3">
      <c r="D2003" s="1">
        <v>32871</v>
      </c>
      <c r="E2003" s="2">
        <v>43764</v>
      </c>
      <c r="F2003" s="1" t="s">
        <v>9</v>
      </c>
      <c r="G2003" s="1">
        <v>14</v>
      </c>
      <c r="H2003" s="9"/>
      <c r="J2003" s="1">
        <v>2301.66</v>
      </c>
      <c r="N2003" s="1" t="s">
        <v>13</v>
      </c>
      <c r="O2003" s="1">
        <v>19.100000000000001</v>
      </c>
    </row>
    <row r="2004" spans="4:15" x14ac:dyDescent="0.3">
      <c r="D2004" s="1">
        <v>34400</v>
      </c>
      <c r="E2004" s="2">
        <v>43823</v>
      </c>
      <c r="F2004" s="1" t="s">
        <v>7</v>
      </c>
      <c r="G2004" s="1">
        <v>25</v>
      </c>
      <c r="H2004" s="9"/>
      <c r="J2004" s="1">
        <v>99.01</v>
      </c>
      <c r="N2004" s="1" t="s">
        <v>10</v>
      </c>
      <c r="O2004" s="1">
        <v>4.5</v>
      </c>
    </row>
    <row r="2005" spans="4:15" x14ac:dyDescent="0.3">
      <c r="D2005" s="1">
        <v>57602</v>
      </c>
      <c r="E2005" s="2">
        <v>43602</v>
      </c>
      <c r="F2005" s="1" t="s">
        <v>7</v>
      </c>
      <c r="G2005" s="1">
        <v>43</v>
      </c>
      <c r="H2005" s="9"/>
      <c r="J2005" s="1">
        <v>139.49</v>
      </c>
      <c r="N2005" s="1" t="s">
        <v>10</v>
      </c>
      <c r="O2005" s="1">
        <v>0.5</v>
      </c>
    </row>
    <row r="2006" spans="4:15" x14ac:dyDescent="0.3">
      <c r="D2006" s="1">
        <v>52324</v>
      </c>
      <c r="E2006" s="2">
        <v>43645</v>
      </c>
      <c r="F2006" s="1" t="s">
        <v>11</v>
      </c>
      <c r="G2006" s="1">
        <v>4</v>
      </c>
      <c r="H2006" s="9"/>
      <c r="J2006" s="1">
        <v>810.11</v>
      </c>
      <c r="N2006" s="1" t="s">
        <v>13</v>
      </c>
      <c r="O2006" s="1">
        <v>32.1</v>
      </c>
    </row>
    <row r="2007" spans="4:15" x14ac:dyDescent="0.3">
      <c r="D2007" s="1">
        <v>59075</v>
      </c>
      <c r="E2007" s="2">
        <v>43521</v>
      </c>
      <c r="F2007" s="1" t="s">
        <v>7</v>
      </c>
      <c r="G2007" s="1">
        <v>38</v>
      </c>
      <c r="H2007" s="9"/>
      <c r="J2007" s="1">
        <v>455.72</v>
      </c>
      <c r="N2007" s="1" t="s">
        <v>10</v>
      </c>
      <c r="O2007" s="1">
        <v>5.4</v>
      </c>
    </row>
    <row r="2008" spans="4:15" x14ac:dyDescent="0.3">
      <c r="D2008" s="1">
        <v>38656</v>
      </c>
      <c r="E2008" s="2">
        <v>43687</v>
      </c>
      <c r="F2008" s="1" t="s">
        <v>7</v>
      </c>
      <c r="G2008" s="1">
        <v>3</v>
      </c>
      <c r="H2008" s="9"/>
      <c r="J2008" s="1">
        <v>600.73</v>
      </c>
      <c r="N2008" s="1" t="s">
        <v>13</v>
      </c>
      <c r="O2008" s="1">
        <v>28</v>
      </c>
    </row>
    <row r="2009" spans="4:15" x14ac:dyDescent="0.3">
      <c r="D2009" s="1">
        <v>2023</v>
      </c>
      <c r="E2009" s="2">
        <v>43590</v>
      </c>
      <c r="F2009" s="1" t="s">
        <v>7</v>
      </c>
      <c r="G2009" s="1">
        <v>4</v>
      </c>
      <c r="H2009" s="9"/>
      <c r="J2009" s="1">
        <v>315.52999999999997</v>
      </c>
      <c r="N2009" s="1" t="s">
        <v>10</v>
      </c>
      <c r="O2009" s="1">
        <v>13</v>
      </c>
    </row>
    <row r="2010" spans="4:15" x14ac:dyDescent="0.3">
      <c r="D2010" s="1">
        <v>19044</v>
      </c>
      <c r="E2010" s="2">
        <v>43566</v>
      </c>
      <c r="F2010" s="1" t="s">
        <v>7</v>
      </c>
      <c r="G2010" s="1">
        <v>29</v>
      </c>
      <c r="H2010" s="9"/>
      <c r="J2010" s="1">
        <v>290.32</v>
      </c>
      <c r="N2010" s="1" t="s">
        <v>10</v>
      </c>
      <c r="O2010" s="1">
        <v>10.1</v>
      </c>
    </row>
    <row r="2011" spans="4:15" x14ac:dyDescent="0.3">
      <c r="D2011" s="1">
        <v>1573</v>
      </c>
      <c r="E2011" s="2">
        <v>43826</v>
      </c>
      <c r="F2011" s="1" t="s">
        <v>9</v>
      </c>
      <c r="G2011" s="1">
        <v>13</v>
      </c>
      <c r="H2011" s="9"/>
      <c r="J2011" s="1">
        <v>813.14</v>
      </c>
      <c r="N2011" s="1" t="s">
        <v>13</v>
      </c>
      <c r="O2011" s="1">
        <v>34.700000000000003</v>
      </c>
    </row>
    <row r="2012" spans="4:15" x14ac:dyDescent="0.3">
      <c r="D2012" s="1">
        <v>48643</v>
      </c>
      <c r="E2012" s="2">
        <v>43756</v>
      </c>
      <c r="F2012" s="1" t="s">
        <v>14</v>
      </c>
      <c r="G2012" s="1">
        <v>14</v>
      </c>
      <c r="H2012" s="9"/>
      <c r="J2012" s="1">
        <v>9813.73</v>
      </c>
      <c r="N2012" s="1" t="s">
        <v>13</v>
      </c>
      <c r="O2012" s="1">
        <v>59.2</v>
      </c>
    </row>
    <row r="2013" spans="4:15" x14ac:dyDescent="0.3">
      <c r="D2013" s="1">
        <v>45571</v>
      </c>
      <c r="E2013" s="2">
        <v>43731</v>
      </c>
      <c r="F2013" s="1" t="s">
        <v>14</v>
      </c>
      <c r="G2013" s="1">
        <v>44</v>
      </c>
      <c r="H2013" s="9"/>
      <c r="J2013" s="1">
        <v>770.96</v>
      </c>
      <c r="N2013" s="1" t="s">
        <v>10</v>
      </c>
      <c r="O2013" s="1">
        <v>9.1</v>
      </c>
    </row>
    <row r="2014" spans="4:15" x14ac:dyDescent="0.3">
      <c r="D2014" s="1">
        <v>14241</v>
      </c>
      <c r="E2014" s="2">
        <v>43630</v>
      </c>
      <c r="F2014" s="1" t="s">
        <v>12</v>
      </c>
      <c r="G2014" s="1">
        <v>22</v>
      </c>
      <c r="H2014" s="9"/>
      <c r="J2014" s="1">
        <v>282.08</v>
      </c>
      <c r="N2014" s="1" t="s">
        <v>10</v>
      </c>
      <c r="O2014" s="1">
        <v>2.5</v>
      </c>
    </row>
    <row r="2015" spans="4:15" x14ac:dyDescent="0.3">
      <c r="D2015" s="1">
        <v>44261</v>
      </c>
      <c r="E2015" s="2">
        <v>43547</v>
      </c>
      <c r="F2015" s="1" t="s">
        <v>9</v>
      </c>
      <c r="G2015" s="1">
        <v>34</v>
      </c>
      <c r="H2015" s="9"/>
      <c r="J2015" s="1">
        <v>5105.92</v>
      </c>
      <c r="N2015" s="1" t="s">
        <v>13</v>
      </c>
      <c r="O2015" s="1">
        <v>38.6</v>
      </c>
    </row>
    <row r="2016" spans="4:15" x14ac:dyDescent="0.3">
      <c r="D2016" s="1">
        <v>2275</v>
      </c>
      <c r="E2016" s="2">
        <v>43759</v>
      </c>
      <c r="F2016" s="1" t="s">
        <v>11</v>
      </c>
      <c r="G2016" s="1">
        <v>49</v>
      </c>
      <c r="H2016" s="9"/>
      <c r="J2016" s="1">
        <v>297.45999999999998</v>
      </c>
      <c r="N2016" s="1" t="s">
        <v>10</v>
      </c>
      <c r="O2016" s="1">
        <v>1.3</v>
      </c>
    </row>
    <row r="2017" spans="4:15" x14ac:dyDescent="0.3">
      <c r="D2017" s="1">
        <v>14435</v>
      </c>
      <c r="E2017" s="2">
        <v>43800</v>
      </c>
      <c r="F2017" s="1" t="s">
        <v>11</v>
      </c>
      <c r="G2017" s="1">
        <v>44</v>
      </c>
      <c r="H2017" s="9"/>
      <c r="J2017" s="1">
        <v>1390.9</v>
      </c>
      <c r="N2017" s="1" t="s">
        <v>10</v>
      </c>
      <c r="O2017" s="1">
        <v>6.2</v>
      </c>
    </row>
    <row r="2018" spans="4:15" x14ac:dyDescent="0.3">
      <c r="D2018" s="1">
        <v>27750</v>
      </c>
      <c r="E2018" s="2">
        <v>43757</v>
      </c>
      <c r="F2018" s="1" t="s">
        <v>7</v>
      </c>
      <c r="G2018" s="1">
        <v>18</v>
      </c>
      <c r="H2018" s="9"/>
      <c r="J2018" s="1">
        <v>7886.8</v>
      </c>
      <c r="N2018" s="1" t="s">
        <v>13</v>
      </c>
      <c r="O2018" s="1">
        <v>52.4</v>
      </c>
    </row>
    <row r="2019" spans="4:15" x14ac:dyDescent="0.3">
      <c r="D2019" s="1">
        <v>48774</v>
      </c>
      <c r="E2019" s="2">
        <v>43686</v>
      </c>
      <c r="F2019" s="1" t="s">
        <v>9</v>
      </c>
      <c r="G2019" s="1">
        <v>31</v>
      </c>
      <c r="H2019" s="9"/>
      <c r="J2019" s="1">
        <v>7836.44</v>
      </c>
      <c r="N2019" s="1" t="s">
        <v>13</v>
      </c>
      <c r="O2019" s="1">
        <v>67.3</v>
      </c>
    </row>
    <row r="2020" spans="4:15" x14ac:dyDescent="0.3">
      <c r="D2020" s="1">
        <v>35045</v>
      </c>
      <c r="E2020" s="2">
        <v>43557</v>
      </c>
      <c r="F2020" s="1" t="s">
        <v>14</v>
      </c>
      <c r="G2020" s="1">
        <v>44</v>
      </c>
      <c r="H2020" s="9"/>
      <c r="J2020" s="1">
        <v>604.55999999999995</v>
      </c>
      <c r="N2020" s="1" t="s">
        <v>10</v>
      </c>
      <c r="O2020" s="1">
        <v>4.8</v>
      </c>
    </row>
    <row r="2021" spans="4:15" x14ac:dyDescent="0.3">
      <c r="D2021" s="1">
        <v>46912</v>
      </c>
      <c r="E2021" s="2">
        <v>43646</v>
      </c>
      <c r="F2021" s="1" t="s">
        <v>7</v>
      </c>
      <c r="G2021" s="1">
        <v>5</v>
      </c>
      <c r="H2021" s="9"/>
      <c r="J2021" s="1">
        <v>314.58</v>
      </c>
      <c r="N2021" s="1" t="s">
        <v>10</v>
      </c>
      <c r="O2021" s="1">
        <v>15.9</v>
      </c>
    </row>
    <row r="2022" spans="4:15" x14ac:dyDescent="0.3">
      <c r="D2022" s="1">
        <v>8130</v>
      </c>
      <c r="E2022" s="2">
        <v>43598</v>
      </c>
      <c r="F2022" s="1" t="s">
        <v>12</v>
      </c>
      <c r="G2022" s="1">
        <v>15</v>
      </c>
      <c r="H2022" s="9"/>
      <c r="J2022" s="1">
        <v>70.97</v>
      </c>
      <c r="N2022" s="1" t="s">
        <v>10</v>
      </c>
      <c r="O2022" s="1">
        <v>5.4</v>
      </c>
    </row>
    <row r="2023" spans="4:15" x14ac:dyDescent="0.3">
      <c r="D2023" s="1">
        <v>967</v>
      </c>
      <c r="E2023" s="2">
        <v>43636</v>
      </c>
      <c r="F2023" s="1" t="s">
        <v>14</v>
      </c>
      <c r="G2023" s="1">
        <v>6</v>
      </c>
      <c r="H2023" s="9"/>
      <c r="J2023" s="1">
        <v>96.9</v>
      </c>
      <c r="N2023" s="1" t="s">
        <v>10</v>
      </c>
      <c r="O2023" s="1">
        <v>8</v>
      </c>
    </row>
    <row r="2024" spans="4:15" x14ac:dyDescent="0.3">
      <c r="D2024" s="1">
        <v>24067</v>
      </c>
      <c r="E2024" s="2">
        <v>43699</v>
      </c>
      <c r="F2024" s="1" t="s">
        <v>9</v>
      </c>
      <c r="G2024" s="1">
        <v>46</v>
      </c>
      <c r="H2024" s="9"/>
      <c r="J2024" s="1">
        <v>2825.53</v>
      </c>
      <c r="N2024" s="1" t="s">
        <v>8</v>
      </c>
      <c r="O2024" s="1">
        <v>6.3</v>
      </c>
    </row>
    <row r="2025" spans="4:15" x14ac:dyDescent="0.3">
      <c r="D2025" s="1">
        <v>31266</v>
      </c>
      <c r="E2025" s="2">
        <v>43741</v>
      </c>
      <c r="F2025" s="1" t="s">
        <v>9</v>
      </c>
      <c r="G2025" s="1">
        <v>16</v>
      </c>
      <c r="H2025" s="9"/>
      <c r="J2025" s="1">
        <v>7033.91</v>
      </c>
      <c r="N2025" s="1" t="s">
        <v>13</v>
      </c>
      <c r="O2025" s="1">
        <v>12.9</v>
      </c>
    </row>
    <row r="2026" spans="4:15" x14ac:dyDescent="0.3">
      <c r="D2026" s="1">
        <v>20066</v>
      </c>
      <c r="E2026" s="2">
        <v>43710</v>
      </c>
      <c r="F2026" s="1" t="s">
        <v>12</v>
      </c>
      <c r="G2026" s="1">
        <v>16</v>
      </c>
      <c r="H2026" s="9"/>
      <c r="J2026" s="1">
        <v>560.95000000000005</v>
      </c>
      <c r="N2026" s="1" t="s">
        <v>10</v>
      </c>
      <c r="O2026" s="1">
        <v>9.4</v>
      </c>
    </row>
    <row r="2027" spans="4:15" x14ac:dyDescent="0.3">
      <c r="D2027" s="1">
        <v>35104</v>
      </c>
      <c r="E2027" s="2">
        <v>43577</v>
      </c>
      <c r="F2027" s="1" t="s">
        <v>9</v>
      </c>
      <c r="G2027" s="1">
        <v>18</v>
      </c>
      <c r="H2027" s="9"/>
      <c r="J2027" s="1">
        <v>415.32049999999998</v>
      </c>
      <c r="N2027" s="1" t="s">
        <v>10</v>
      </c>
      <c r="O2027" s="1">
        <v>15.9</v>
      </c>
    </row>
    <row r="2028" spans="4:15" x14ac:dyDescent="0.3">
      <c r="D2028" s="1">
        <v>33029</v>
      </c>
      <c r="E2028" s="2">
        <v>43616</v>
      </c>
      <c r="F2028" s="1" t="s">
        <v>9</v>
      </c>
      <c r="G2028" s="1">
        <v>8</v>
      </c>
      <c r="H2028" s="9"/>
      <c r="J2028" s="1">
        <v>789.93</v>
      </c>
      <c r="N2028" s="1" t="s">
        <v>10</v>
      </c>
      <c r="O2028" s="1">
        <v>2.7</v>
      </c>
    </row>
    <row r="2029" spans="4:15" x14ac:dyDescent="0.3">
      <c r="D2029" s="1">
        <v>30784</v>
      </c>
      <c r="E2029" s="2">
        <v>43592</v>
      </c>
      <c r="F2029" s="1" t="s">
        <v>14</v>
      </c>
      <c r="G2029" s="1">
        <v>48</v>
      </c>
      <c r="H2029" s="9"/>
      <c r="J2029" s="1">
        <v>359.13</v>
      </c>
      <c r="N2029" s="1" t="s">
        <v>10</v>
      </c>
      <c r="O2029" s="1">
        <v>1.7</v>
      </c>
    </row>
    <row r="2030" spans="4:15" x14ac:dyDescent="0.3">
      <c r="D2030" s="1">
        <v>44036</v>
      </c>
      <c r="E2030" s="2">
        <v>43475</v>
      </c>
      <c r="F2030" s="1" t="s">
        <v>9</v>
      </c>
      <c r="G2030" s="1">
        <v>40</v>
      </c>
      <c r="H2030" s="9"/>
      <c r="J2030" s="1">
        <v>267.64</v>
      </c>
      <c r="N2030" s="1" t="s">
        <v>8</v>
      </c>
      <c r="O2030" s="1">
        <v>1.3</v>
      </c>
    </row>
    <row r="2031" spans="4:15" x14ac:dyDescent="0.3">
      <c r="D2031" s="1">
        <v>33637</v>
      </c>
      <c r="E2031" s="2">
        <v>43793</v>
      </c>
      <c r="F2031" s="1" t="s">
        <v>7</v>
      </c>
      <c r="G2031" s="1">
        <v>35</v>
      </c>
      <c r="H2031" s="9"/>
      <c r="J2031" s="1">
        <v>205.66</v>
      </c>
      <c r="N2031" s="1" t="s">
        <v>10</v>
      </c>
      <c r="O2031" s="1">
        <v>5.6</v>
      </c>
    </row>
    <row r="2032" spans="4:15" x14ac:dyDescent="0.3">
      <c r="D2032" s="1">
        <v>45984</v>
      </c>
      <c r="E2032" s="2">
        <v>43491</v>
      </c>
      <c r="F2032" s="1" t="s">
        <v>14</v>
      </c>
      <c r="G2032" s="1">
        <v>27</v>
      </c>
      <c r="H2032" s="9"/>
      <c r="J2032" s="1">
        <v>85.95</v>
      </c>
      <c r="N2032" s="1" t="s">
        <v>10</v>
      </c>
      <c r="O2032" s="1">
        <v>1</v>
      </c>
    </row>
    <row r="2033" spans="4:15" x14ac:dyDescent="0.3">
      <c r="D2033" s="1">
        <v>30784</v>
      </c>
      <c r="E2033" s="2">
        <v>43592</v>
      </c>
      <c r="F2033" s="1" t="s">
        <v>14</v>
      </c>
      <c r="G2033" s="1">
        <v>10</v>
      </c>
      <c r="H2033" s="9"/>
      <c r="J2033" s="1">
        <v>756.81</v>
      </c>
      <c r="N2033" s="1" t="s">
        <v>13</v>
      </c>
      <c r="O2033" s="1">
        <v>28.6</v>
      </c>
    </row>
    <row r="2034" spans="4:15" x14ac:dyDescent="0.3">
      <c r="D2034" s="1">
        <v>26306</v>
      </c>
      <c r="E2034" s="2">
        <v>43768</v>
      </c>
      <c r="F2034" s="1" t="s">
        <v>7</v>
      </c>
      <c r="G2034" s="1">
        <v>39</v>
      </c>
      <c r="H2034" s="9"/>
      <c r="J2034" s="1">
        <v>8266.4599999999991</v>
      </c>
      <c r="N2034" s="1" t="s">
        <v>13</v>
      </c>
      <c r="O2034" s="1">
        <v>59.9</v>
      </c>
    </row>
    <row r="2035" spans="4:15" x14ac:dyDescent="0.3">
      <c r="D2035" s="1">
        <v>57699</v>
      </c>
      <c r="E2035" s="2">
        <v>43779</v>
      </c>
      <c r="F2035" s="1" t="s">
        <v>7</v>
      </c>
      <c r="G2035" s="1">
        <v>47</v>
      </c>
      <c r="H2035" s="9"/>
      <c r="J2035" s="1">
        <v>1987.93</v>
      </c>
      <c r="N2035" s="1" t="s">
        <v>10</v>
      </c>
      <c r="O2035" s="1">
        <v>2.1</v>
      </c>
    </row>
    <row r="2036" spans="4:15" x14ac:dyDescent="0.3">
      <c r="D2036" s="1">
        <v>43815</v>
      </c>
      <c r="E2036" s="2">
        <v>43629</v>
      </c>
      <c r="F2036" s="1" t="s">
        <v>11</v>
      </c>
      <c r="G2036" s="1">
        <v>40</v>
      </c>
      <c r="H2036" s="9"/>
      <c r="J2036" s="1">
        <v>680.08130000000006</v>
      </c>
      <c r="N2036" s="1" t="s">
        <v>10</v>
      </c>
      <c r="O2036" s="1">
        <v>3.2</v>
      </c>
    </row>
    <row r="2037" spans="4:15" x14ac:dyDescent="0.3">
      <c r="D2037" s="1">
        <v>25861</v>
      </c>
      <c r="E2037" s="2">
        <v>43684</v>
      </c>
      <c r="F2037" s="1" t="s">
        <v>9</v>
      </c>
      <c r="G2037" s="1">
        <v>44</v>
      </c>
      <c r="H2037" s="9"/>
      <c r="J2037" s="1">
        <v>25439.85</v>
      </c>
      <c r="N2037" s="1" t="s">
        <v>13</v>
      </c>
      <c r="O2037" s="1">
        <v>15.7</v>
      </c>
    </row>
    <row r="2038" spans="4:15" x14ac:dyDescent="0.3">
      <c r="D2038" s="1">
        <v>52164</v>
      </c>
      <c r="E2038" s="2">
        <v>43568</v>
      </c>
      <c r="F2038" s="1" t="s">
        <v>11</v>
      </c>
      <c r="G2038" s="1">
        <v>30</v>
      </c>
      <c r="H2038" s="9"/>
      <c r="J2038" s="1">
        <v>1952.59</v>
      </c>
      <c r="N2038" s="1" t="s">
        <v>10</v>
      </c>
      <c r="O2038" s="1">
        <v>9.4</v>
      </c>
    </row>
    <row r="2039" spans="4:15" x14ac:dyDescent="0.3">
      <c r="D2039" s="1">
        <v>644</v>
      </c>
      <c r="E2039" s="2">
        <v>43585</v>
      </c>
      <c r="F2039" s="1" t="s">
        <v>12</v>
      </c>
      <c r="G2039" s="1">
        <v>5</v>
      </c>
      <c r="H2039" s="9"/>
      <c r="J2039" s="1">
        <v>1797.15</v>
      </c>
      <c r="N2039" s="1" t="s">
        <v>13</v>
      </c>
      <c r="O2039" s="1">
        <v>63.1</v>
      </c>
    </row>
    <row r="2040" spans="4:15" x14ac:dyDescent="0.3">
      <c r="D2040" s="1">
        <v>40065</v>
      </c>
      <c r="E2040" s="2">
        <v>43512</v>
      </c>
      <c r="F2040" s="1" t="s">
        <v>9</v>
      </c>
      <c r="G2040" s="1">
        <v>4</v>
      </c>
      <c r="H2040" s="9"/>
      <c r="J2040" s="1">
        <v>82.25</v>
      </c>
      <c r="N2040" s="1" t="s">
        <v>8</v>
      </c>
      <c r="O2040" s="1">
        <v>1.1000000000000001</v>
      </c>
    </row>
    <row r="2041" spans="4:15" x14ac:dyDescent="0.3">
      <c r="D2041" s="1">
        <v>45571</v>
      </c>
      <c r="E2041" s="2">
        <v>43731</v>
      </c>
      <c r="F2041" s="1" t="s">
        <v>14</v>
      </c>
      <c r="G2041" s="1">
        <v>43</v>
      </c>
      <c r="H2041" s="9"/>
      <c r="J2041" s="1">
        <v>565.53</v>
      </c>
      <c r="N2041" s="1" t="s">
        <v>10</v>
      </c>
      <c r="O2041" s="1">
        <v>5.0999999999999996</v>
      </c>
    </row>
    <row r="2042" spans="4:15" x14ac:dyDescent="0.3">
      <c r="D2042" s="1">
        <v>33222</v>
      </c>
      <c r="E2042" s="2">
        <v>43635</v>
      </c>
      <c r="F2042" s="1" t="s">
        <v>14</v>
      </c>
      <c r="G2042" s="1">
        <v>30</v>
      </c>
      <c r="H2042" s="9"/>
      <c r="J2042" s="1">
        <v>1793.81</v>
      </c>
      <c r="N2042" s="1" t="s">
        <v>13</v>
      </c>
      <c r="O2042" s="1">
        <v>32.1</v>
      </c>
    </row>
    <row r="2043" spans="4:15" x14ac:dyDescent="0.3">
      <c r="D2043" s="1">
        <v>4099</v>
      </c>
      <c r="E2043" s="2">
        <v>43697</v>
      </c>
      <c r="F2043" s="1" t="s">
        <v>12</v>
      </c>
      <c r="G2043" s="1">
        <v>39</v>
      </c>
      <c r="H2043" s="9"/>
      <c r="J2043" s="1">
        <v>3860.4</v>
      </c>
      <c r="N2043" s="1" t="s">
        <v>10</v>
      </c>
      <c r="O2043" s="1">
        <v>9.6</v>
      </c>
    </row>
    <row r="2044" spans="4:15" x14ac:dyDescent="0.3">
      <c r="D2044" s="1">
        <v>33605</v>
      </c>
      <c r="E2044" s="2">
        <v>43558</v>
      </c>
      <c r="F2044" s="1" t="s">
        <v>12</v>
      </c>
      <c r="G2044" s="1">
        <v>42</v>
      </c>
      <c r="H2044" s="9"/>
      <c r="J2044" s="1">
        <v>163.72</v>
      </c>
      <c r="N2044" s="1" t="s">
        <v>10</v>
      </c>
      <c r="O2044" s="1">
        <v>7.3</v>
      </c>
    </row>
    <row r="2045" spans="4:15" x14ac:dyDescent="0.3">
      <c r="D2045" s="1">
        <v>21856</v>
      </c>
      <c r="E2045" s="2">
        <v>43560</v>
      </c>
      <c r="F2045" s="1" t="s">
        <v>11</v>
      </c>
      <c r="G2045" s="1">
        <v>26</v>
      </c>
      <c r="H2045" s="9"/>
      <c r="J2045" s="1">
        <v>82.42</v>
      </c>
      <c r="N2045" s="1" t="s">
        <v>10</v>
      </c>
      <c r="O2045" s="1">
        <v>2.1</v>
      </c>
    </row>
    <row r="2046" spans="4:15" x14ac:dyDescent="0.3">
      <c r="D2046" s="1">
        <v>48673</v>
      </c>
      <c r="E2046" s="2">
        <v>43581</v>
      </c>
      <c r="F2046" s="1" t="s">
        <v>11</v>
      </c>
      <c r="G2046" s="1">
        <v>36</v>
      </c>
      <c r="H2046" s="9"/>
      <c r="J2046" s="1">
        <v>610.0498</v>
      </c>
      <c r="N2046" s="1" t="s">
        <v>10</v>
      </c>
      <c r="O2046" s="1">
        <v>9.4</v>
      </c>
    </row>
    <row r="2047" spans="4:15" x14ac:dyDescent="0.3">
      <c r="D2047" s="1">
        <v>19905</v>
      </c>
      <c r="E2047" s="2">
        <v>43689</v>
      </c>
      <c r="F2047" s="1" t="s">
        <v>12</v>
      </c>
      <c r="G2047" s="1">
        <v>20</v>
      </c>
      <c r="H2047" s="9"/>
      <c r="J2047" s="1">
        <v>88.78</v>
      </c>
      <c r="N2047" s="1" t="s">
        <v>10</v>
      </c>
      <c r="O2047" s="1">
        <v>0.5</v>
      </c>
    </row>
    <row r="2048" spans="4:15" x14ac:dyDescent="0.3">
      <c r="D2048" s="1">
        <v>967</v>
      </c>
      <c r="E2048" s="2">
        <v>43636</v>
      </c>
      <c r="F2048" s="1" t="s">
        <v>14</v>
      </c>
      <c r="G2048" s="1">
        <v>42</v>
      </c>
      <c r="H2048" s="9"/>
      <c r="J2048" s="1">
        <v>1749.34</v>
      </c>
      <c r="N2048" s="1" t="s">
        <v>10</v>
      </c>
      <c r="O2048" s="1">
        <v>3.1</v>
      </c>
    </row>
    <row r="2049" spans="4:15" x14ac:dyDescent="0.3">
      <c r="D2049" s="1">
        <v>54053</v>
      </c>
      <c r="E2049" s="2">
        <v>43509</v>
      </c>
      <c r="F2049" s="1" t="s">
        <v>9</v>
      </c>
      <c r="G2049" s="1">
        <v>18</v>
      </c>
      <c r="H2049" s="9"/>
      <c r="J2049" s="1">
        <v>879.31</v>
      </c>
      <c r="N2049" s="1" t="s">
        <v>8</v>
      </c>
      <c r="O2049" s="1">
        <v>5.4</v>
      </c>
    </row>
    <row r="2050" spans="4:15" x14ac:dyDescent="0.3">
      <c r="D2050" s="1">
        <v>2146</v>
      </c>
      <c r="E2050" s="2">
        <v>43721</v>
      </c>
      <c r="F2050" s="1" t="s">
        <v>11</v>
      </c>
      <c r="G2050" s="1">
        <v>41</v>
      </c>
      <c r="H2050" s="9"/>
      <c r="J2050" s="1">
        <v>6538.95</v>
      </c>
      <c r="N2050" s="1" t="s">
        <v>10</v>
      </c>
      <c r="O2050" s="1">
        <v>5.3</v>
      </c>
    </row>
    <row r="2051" spans="4:15" x14ac:dyDescent="0.3">
      <c r="D2051" s="1">
        <v>59491</v>
      </c>
      <c r="E2051" s="2">
        <v>43548</v>
      </c>
      <c r="F2051" s="1" t="s">
        <v>9</v>
      </c>
      <c r="G2051" s="1">
        <v>31</v>
      </c>
      <c r="H2051" s="9"/>
      <c r="J2051" s="1">
        <v>13343.23</v>
      </c>
      <c r="N2051" s="1" t="s">
        <v>10</v>
      </c>
      <c r="O2051" s="1">
        <v>21.4</v>
      </c>
    </row>
    <row r="2052" spans="4:15" x14ac:dyDescent="0.3">
      <c r="D2052" s="1">
        <v>33731</v>
      </c>
      <c r="E2052" s="2">
        <v>43746</v>
      </c>
      <c r="F2052" s="1" t="s">
        <v>9</v>
      </c>
      <c r="G2052" s="1">
        <v>27</v>
      </c>
      <c r="H2052" s="9"/>
      <c r="J2052" s="1">
        <v>8788.3058999999994</v>
      </c>
      <c r="N2052" s="1" t="s">
        <v>13</v>
      </c>
      <c r="O2052" s="1">
        <v>74.400000000000006</v>
      </c>
    </row>
    <row r="2053" spans="4:15" x14ac:dyDescent="0.3">
      <c r="D2053" s="1">
        <v>46053</v>
      </c>
      <c r="E2053" s="2">
        <v>43721</v>
      </c>
      <c r="F2053" s="1" t="s">
        <v>9</v>
      </c>
      <c r="G2053" s="1">
        <v>31</v>
      </c>
      <c r="H2053" s="9"/>
      <c r="J2053" s="1">
        <v>2618.41</v>
      </c>
      <c r="N2053" s="1" t="s">
        <v>10</v>
      </c>
      <c r="O2053" s="1">
        <v>1.1000000000000001</v>
      </c>
    </row>
    <row r="2054" spans="4:15" x14ac:dyDescent="0.3">
      <c r="D2054" s="1">
        <v>50017</v>
      </c>
      <c r="E2054" s="2">
        <v>43789</v>
      </c>
      <c r="F2054" s="1" t="s">
        <v>7</v>
      </c>
      <c r="G2054" s="1">
        <v>43</v>
      </c>
      <c r="H2054" s="9"/>
      <c r="J2054" s="1">
        <v>1607.64</v>
      </c>
      <c r="N2054" s="1" t="s">
        <v>10</v>
      </c>
      <c r="O2054" s="1">
        <v>9.6</v>
      </c>
    </row>
    <row r="2055" spans="4:15" x14ac:dyDescent="0.3">
      <c r="D2055" s="1">
        <v>51489</v>
      </c>
      <c r="E2055" s="2">
        <v>43527</v>
      </c>
      <c r="F2055" s="1" t="s">
        <v>12</v>
      </c>
      <c r="G2055" s="1">
        <v>42</v>
      </c>
      <c r="H2055" s="9"/>
      <c r="J2055" s="1">
        <v>5185.95</v>
      </c>
      <c r="N2055" s="1" t="s">
        <v>10</v>
      </c>
      <c r="O2055" s="1">
        <v>15</v>
      </c>
    </row>
    <row r="2056" spans="4:15" x14ac:dyDescent="0.3">
      <c r="D2056" s="1">
        <v>1856</v>
      </c>
      <c r="E2056" s="2">
        <v>43543</v>
      </c>
      <c r="F2056" s="1" t="s">
        <v>11</v>
      </c>
      <c r="G2056" s="1">
        <v>24</v>
      </c>
      <c r="H2056" s="9"/>
      <c r="J2056" s="1">
        <v>1550.75</v>
      </c>
      <c r="N2056" s="1" t="s">
        <v>10</v>
      </c>
      <c r="O2056" s="1">
        <v>52.4</v>
      </c>
    </row>
    <row r="2057" spans="4:15" x14ac:dyDescent="0.3">
      <c r="D2057" s="1">
        <v>59202</v>
      </c>
      <c r="E2057" s="2">
        <v>43716</v>
      </c>
      <c r="F2057" s="1" t="s">
        <v>14</v>
      </c>
      <c r="G2057" s="1">
        <v>36</v>
      </c>
      <c r="H2057" s="9"/>
      <c r="J2057" s="1">
        <v>234.13</v>
      </c>
      <c r="N2057" s="1" t="s">
        <v>10</v>
      </c>
      <c r="O2057" s="1">
        <v>2.4</v>
      </c>
    </row>
    <row r="2058" spans="4:15" x14ac:dyDescent="0.3">
      <c r="D2058" s="1">
        <v>29831</v>
      </c>
      <c r="E2058" s="2">
        <v>43553</v>
      </c>
      <c r="F2058" s="1" t="s">
        <v>12</v>
      </c>
      <c r="G2058" s="1">
        <v>29</v>
      </c>
      <c r="H2058" s="9"/>
      <c r="J2058" s="1">
        <v>2327.4899999999998</v>
      </c>
      <c r="N2058" s="1" t="s">
        <v>13</v>
      </c>
      <c r="O2058" s="1">
        <v>64.2</v>
      </c>
    </row>
    <row r="2059" spans="4:15" x14ac:dyDescent="0.3">
      <c r="D2059" s="1">
        <v>58084</v>
      </c>
      <c r="E2059" s="2">
        <v>43696</v>
      </c>
      <c r="F2059" s="1" t="s">
        <v>14</v>
      </c>
      <c r="G2059" s="1">
        <v>36</v>
      </c>
      <c r="H2059" s="9"/>
      <c r="J2059" s="1">
        <v>284.79000000000002</v>
      </c>
      <c r="N2059" s="1" t="s">
        <v>10</v>
      </c>
      <c r="O2059" s="1">
        <v>1.9</v>
      </c>
    </row>
    <row r="2060" spans="4:15" x14ac:dyDescent="0.3">
      <c r="D2060" s="1">
        <v>7174</v>
      </c>
      <c r="E2060" s="2">
        <v>43534</v>
      </c>
      <c r="F2060" s="1" t="s">
        <v>11</v>
      </c>
      <c r="G2060" s="1">
        <v>10</v>
      </c>
      <c r="H2060" s="9"/>
      <c r="J2060" s="1">
        <v>151.85</v>
      </c>
      <c r="N2060" s="1" t="s">
        <v>10</v>
      </c>
      <c r="O2060" s="1">
        <v>9.6</v>
      </c>
    </row>
    <row r="2061" spans="4:15" x14ac:dyDescent="0.3">
      <c r="D2061" s="1">
        <v>26657</v>
      </c>
      <c r="E2061" s="2">
        <v>43737</v>
      </c>
      <c r="F2061" s="1" t="s">
        <v>14</v>
      </c>
      <c r="G2061" s="1">
        <v>28</v>
      </c>
      <c r="H2061" s="9"/>
      <c r="J2061" s="1">
        <v>1185.1748</v>
      </c>
      <c r="N2061" s="1" t="s">
        <v>10</v>
      </c>
      <c r="O2061" s="1">
        <v>8</v>
      </c>
    </row>
    <row r="2062" spans="4:15" x14ac:dyDescent="0.3">
      <c r="D2062" s="1">
        <v>9504</v>
      </c>
      <c r="E2062" s="2">
        <v>43794</v>
      </c>
      <c r="F2062" s="1" t="s">
        <v>14</v>
      </c>
      <c r="G2062" s="1">
        <v>17</v>
      </c>
      <c r="H2062" s="9"/>
      <c r="J2062" s="1">
        <v>2091.63</v>
      </c>
      <c r="N2062" s="1" t="s">
        <v>10</v>
      </c>
      <c r="O2062" s="1">
        <v>4.5</v>
      </c>
    </row>
    <row r="2063" spans="4:15" x14ac:dyDescent="0.3">
      <c r="D2063" s="1">
        <v>40673</v>
      </c>
      <c r="E2063" s="2">
        <v>43512</v>
      </c>
      <c r="F2063" s="1" t="s">
        <v>7</v>
      </c>
      <c r="G2063" s="1">
        <v>14</v>
      </c>
      <c r="H2063" s="9"/>
      <c r="J2063" s="1">
        <v>168.51</v>
      </c>
      <c r="N2063" s="1" t="s">
        <v>10</v>
      </c>
      <c r="O2063" s="1">
        <v>1.5</v>
      </c>
    </row>
    <row r="2064" spans="4:15" x14ac:dyDescent="0.3">
      <c r="D2064" s="1">
        <v>40098</v>
      </c>
      <c r="E2064" s="2">
        <v>43500</v>
      </c>
      <c r="F2064" s="1" t="s">
        <v>7</v>
      </c>
      <c r="G2064" s="1">
        <v>50</v>
      </c>
      <c r="H2064" s="9"/>
      <c r="J2064" s="1">
        <v>525.23</v>
      </c>
      <c r="N2064" s="1" t="s">
        <v>10</v>
      </c>
      <c r="O2064" s="1">
        <v>2.2000000000000002</v>
      </c>
    </row>
    <row r="2065" spans="4:15" x14ac:dyDescent="0.3">
      <c r="D2065" s="1">
        <v>549</v>
      </c>
      <c r="E2065" s="2">
        <v>43658</v>
      </c>
      <c r="F2065" s="1" t="s">
        <v>12</v>
      </c>
      <c r="G2065" s="1">
        <v>13</v>
      </c>
      <c r="H2065" s="9"/>
      <c r="J2065" s="1">
        <v>75.16</v>
      </c>
      <c r="N2065" s="1" t="s">
        <v>10</v>
      </c>
      <c r="O2065" s="1">
        <v>8</v>
      </c>
    </row>
    <row r="2066" spans="4:15" x14ac:dyDescent="0.3">
      <c r="D2066" s="1">
        <v>58949</v>
      </c>
      <c r="E2066" s="2">
        <v>43815</v>
      </c>
      <c r="F2066" s="1" t="s">
        <v>12</v>
      </c>
      <c r="G2066" s="1">
        <v>50</v>
      </c>
      <c r="H2066" s="9"/>
      <c r="J2066" s="1">
        <v>1668.0685000000001</v>
      </c>
      <c r="N2066" s="1" t="s">
        <v>10</v>
      </c>
      <c r="O2066" s="1">
        <v>1.2</v>
      </c>
    </row>
    <row r="2067" spans="4:15" x14ac:dyDescent="0.3">
      <c r="D2067" s="1">
        <v>23911</v>
      </c>
      <c r="E2067" s="2">
        <v>43617</v>
      </c>
      <c r="F2067" s="1" t="s">
        <v>12</v>
      </c>
      <c r="G2067" s="1">
        <v>3</v>
      </c>
      <c r="H2067" s="9"/>
      <c r="J2067" s="1">
        <v>129.75</v>
      </c>
      <c r="N2067" s="1" t="s">
        <v>10</v>
      </c>
      <c r="O2067" s="1">
        <v>8</v>
      </c>
    </row>
    <row r="2068" spans="4:15" x14ac:dyDescent="0.3">
      <c r="D2068" s="1">
        <v>14435</v>
      </c>
      <c r="E2068" s="2">
        <v>43800</v>
      </c>
      <c r="F2068" s="1" t="s">
        <v>11</v>
      </c>
      <c r="G2068" s="1">
        <v>41</v>
      </c>
      <c r="H2068" s="9"/>
      <c r="J2068" s="1">
        <v>3992.8</v>
      </c>
      <c r="N2068" s="1" t="s">
        <v>13</v>
      </c>
      <c r="O2068" s="1">
        <v>44.9</v>
      </c>
    </row>
    <row r="2069" spans="4:15" x14ac:dyDescent="0.3">
      <c r="D2069" s="1">
        <v>13383</v>
      </c>
      <c r="E2069" s="2">
        <v>43631</v>
      </c>
      <c r="F2069" s="1" t="s">
        <v>11</v>
      </c>
      <c r="G2069" s="1">
        <v>35</v>
      </c>
      <c r="H2069" s="9"/>
      <c r="J2069" s="1">
        <v>802.53</v>
      </c>
      <c r="N2069" s="1" t="s">
        <v>10</v>
      </c>
      <c r="O2069" s="1">
        <v>37.5</v>
      </c>
    </row>
    <row r="2070" spans="4:15" x14ac:dyDescent="0.3">
      <c r="D2070" s="1">
        <v>28582</v>
      </c>
      <c r="E2070" s="2">
        <v>43486</v>
      </c>
      <c r="F2070" s="1" t="s">
        <v>11</v>
      </c>
      <c r="G2070" s="1">
        <v>45</v>
      </c>
      <c r="H2070" s="9"/>
      <c r="J2070" s="1">
        <v>403.72</v>
      </c>
      <c r="N2070" s="1" t="s">
        <v>10</v>
      </c>
      <c r="O2070" s="1">
        <v>3.1</v>
      </c>
    </row>
    <row r="2071" spans="4:15" x14ac:dyDescent="0.3">
      <c r="D2071" s="1">
        <v>20002</v>
      </c>
      <c r="E2071" s="2">
        <v>43689</v>
      </c>
      <c r="F2071" s="1" t="s">
        <v>14</v>
      </c>
      <c r="G2071" s="1">
        <v>9</v>
      </c>
      <c r="H2071" s="9"/>
      <c r="J2071" s="1">
        <v>43.9</v>
      </c>
      <c r="N2071" s="1" t="s">
        <v>10</v>
      </c>
      <c r="O2071" s="1">
        <v>2.6</v>
      </c>
    </row>
    <row r="2072" spans="4:15" x14ac:dyDescent="0.3">
      <c r="D2072" s="1">
        <v>44000</v>
      </c>
      <c r="E2072" s="2">
        <v>43742</v>
      </c>
      <c r="F2072" s="1" t="s">
        <v>11</v>
      </c>
      <c r="G2072" s="1">
        <v>17</v>
      </c>
      <c r="H2072" s="9"/>
      <c r="J2072" s="1">
        <v>127.88</v>
      </c>
      <c r="N2072" s="1" t="s">
        <v>10</v>
      </c>
      <c r="O2072" s="1">
        <v>6.5</v>
      </c>
    </row>
    <row r="2073" spans="4:15" x14ac:dyDescent="0.3">
      <c r="D2073" s="1">
        <v>24576</v>
      </c>
      <c r="E2073" s="2">
        <v>43810</v>
      </c>
      <c r="F2073" s="1" t="s">
        <v>11</v>
      </c>
      <c r="G2073" s="1">
        <v>10</v>
      </c>
      <c r="H2073" s="9"/>
      <c r="J2073" s="1">
        <v>163.54</v>
      </c>
      <c r="N2073" s="1" t="s">
        <v>10</v>
      </c>
      <c r="O2073" s="1">
        <v>7.9</v>
      </c>
    </row>
    <row r="2074" spans="4:15" x14ac:dyDescent="0.3">
      <c r="D2074" s="1">
        <v>8167</v>
      </c>
      <c r="E2074" s="2">
        <v>43681</v>
      </c>
      <c r="F2074" s="1" t="s">
        <v>12</v>
      </c>
      <c r="G2074" s="1">
        <v>4</v>
      </c>
      <c r="H2074" s="9"/>
      <c r="J2074" s="1">
        <v>33.119999999999997</v>
      </c>
      <c r="N2074" s="1" t="s">
        <v>10</v>
      </c>
      <c r="O2074" s="1">
        <v>6.7</v>
      </c>
    </row>
    <row r="2075" spans="4:15" x14ac:dyDescent="0.3">
      <c r="D2075" s="1">
        <v>45125</v>
      </c>
      <c r="E2075" s="2">
        <v>43613</v>
      </c>
      <c r="F2075" s="1" t="s">
        <v>12</v>
      </c>
      <c r="G2075" s="1">
        <v>32</v>
      </c>
      <c r="H2075" s="9"/>
      <c r="J2075" s="1">
        <v>5173.24</v>
      </c>
      <c r="N2075" s="1" t="s">
        <v>10</v>
      </c>
      <c r="O2075" s="1">
        <v>5.3</v>
      </c>
    </row>
    <row r="2076" spans="4:15" x14ac:dyDescent="0.3">
      <c r="D2076" s="1">
        <v>26053</v>
      </c>
      <c r="E2076" s="2">
        <v>43488</v>
      </c>
      <c r="F2076" s="1" t="s">
        <v>7</v>
      </c>
      <c r="G2076" s="1">
        <v>48</v>
      </c>
      <c r="H2076" s="9"/>
      <c r="J2076" s="1">
        <v>940.26250000000005</v>
      </c>
      <c r="N2076" s="1" t="s">
        <v>8</v>
      </c>
      <c r="O2076" s="1">
        <v>9.6999999999999993</v>
      </c>
    </row>
    <row r="2077" spans="4:15" x14ac:dyDescent="0.3">
      <c r="D2077" s="1">
        <v>36357</v>
      </c>
      <c r="E2077" s="2">
        <v>43478</v>
      </c>
      <c r="F2077" s="1" t="s">
        <v>11</v>
      </c>
      <c r="G2077" s="1">
        <v>38</v>
      </c>
      <c r="H2077" s="9"/>
      <c r="J2077" s="1">
        <v>18838.169999999998</v>
      </c>
      <c r="N2077" s="1" t="s">
        <v>13</v>
      </c>
      <c r="O2077" s="1">
        <v>52.4</v>
      </c>
    </row>
    <row r="2078" spans="4:15" x14ac:dyDescent="0.3">
      <c r="D2078" s="1">
        <v>39143</v>
      </c>
      <c r="E2078" s="2">
        <v>43561</v>
      </c>
      <c r="F2078" s="1" t="s">
        <v>11</v>
      </c>
      <c r="G2078" s="1">
        <v>46</v>
      </c>
      <c r="H2078" s="9"/>
      <c r="J2078" s="1">
        <v>7201.17</v>
      </c>
      <c r="N2078" s="1" t="s">
        <v>13</v>
      </c>
      <c r="O2078" s="1">
        <v>70.900000000000006</v>
      </c>
    </row>
    <row r="2079" spans="4:15" x14ac:dyDescent="0.3">
      <c r="D2079" s="1">
        <v>56645</v>
      </c>
      <c r="E2079" s="2">
        <v>43470</v>
      </c>
      <c r="F2079" s="1" t="s">
        <v>7</v>
      </c>
      <c r="G2079" s="1">
        <v>42</v>
      </c>
      <c r="H2079" s="9"/>
      <c r="J2079" s="1">
        <v>15760.42</v>
      </c>
      <c r="N2079" s="1" t="s">
        <v>13</v>
      </c>
      <c r="O2079" s="1">
        <v>43</v>
      </c>
    </row>
    <row r="2080" spans="4:15" x14ac:dyDescent="0.3">
      <c r="D2080" s="1">
        <v>1504</v>
      </c>
      <c r="E2080" s="2">
        <v>43704</v>
      </c>
      <c r="F2080" s="1" t="s">
        <v>14</v>
      </c>
      <c r="G2080" s="1">
        <v>31</v>
      </c>
      <c r="H2080" s="9"/>
      <c r="J2080" s="1">
        <v>313.7</v>
      </c>
      <c r="N2080" s="1" t="s">
        <v>10</v>
      </c>
      <c r="O2080" s="1">
        <v>2.1</v>
      </c>
    </row>
    <row r="2081" spans="4:15" x14ac:dyDescent="0.3">
      <c r="D2081" s="1">
        <v>39655</v>
      </c>
      <c r="E2081" s="2">
        <v>43547</v>
      </c>
      <c r="F2081" s="1" t="s">
        <v>9</v>
      </c>
      <c r="G2081" s="1">
        <v>35</v>
      </c>
      <c r="H2081" s="9"/>
      <c r="J2081" s="1">
        <v>270.87</v>
      </c>
      <c r="N2081" s="1" t="s">
        <v>10</v>
      </c>
      <c r="O2081" s="1">
        <v>3.8</v>
      </c>
    </row>
    <row r="2082" spans="4:15" x14ac:dyDescent="0.3">
      <c r="D2082" s="1">
        <v>36103</v>
      </c>
      <c r="E2082" s="2">
        <v>43584</v>
      </c>
      <c r="F2082" s="1" t="s">
        <v>12</v>
      </c>
      <c r="G2082" s="1">
        <v>45</v>
      </c>
      <c r="H2082" s="9"/>
      <c r="J2082" s="1">
        <v>1428.79</v>
      </c>
      <c r="N2082" s="1" t="s">
        <v>10</v>
      </c>
      <c r="O2082" s="1">
        <v>1.1000000000000001</v>
      </c>
    </row>
    <row r="2083" spans="4:15" x14ac:dyDescent="0.3">
      <c r="D2083" s="1">
        <v>14820</v>
      </c>
      <c r="E2083" s="2">
        <v>43473</v>
      </c>
      <c r="F2083" s="1" t="s">
        <v>9</v>
      </c>
      <c r="G2083" s="1">
        <v>39</v>
      </c>
      <c r="H2083" s="9"/>
      <c r="J2083" s="1">
        <v>298.43</v>
      </c>
      <c r="N2083" s="1" t="s">
        <v>8</v>
      </c>
      <c r="O2083" s="1">
        <v>5.4</v>
      </c>
    </row>
    <row r="2084" spans="4:15" x14ac:dyDescent="0.3">
      <c r="D2084" s="1">
        <v>11428</v>
      </c>
      <c r="E2084" s="2">
        <v>43485</v>
      </c>
      <c r="F2084" s="1" t="s">
        <v>14</v>
      </c>
      <c r="G2084" s="1">
        <v>16</v>
      </c>
      <c r="H2084" s="9"/>
      <c r="J2084" s="1">
        <v>1663.35</v>
      </c>
      <c r="N2084" s="1" t="s">
        <v>10</v>
      </c>
      <c r="O2084" s="1">
        <v>21.4</v>
      </c>
    </row>
    <row r="2085" spans="4:15" x14ac:dyDescent="0.3">
      <c r="D2085" s="1">
        <v>929</v>
      </c>
      <c r="E2085" s="2">
        <v>43739</v>
      </c>
      <c r="F2085" s="1" t="s">
        <v>9</v>
      </c>
      <c r="G2085" s="1">
        <v>39</v>
      </c>
      <c r="H2085" s="9"/>
      <c r="J2085" s="1">
        <v>90.23</v>
      </c>
      <c r="N2085" s="1" t="s">
        <v>10</v>
      </c>
      <c r="O2085" s="1">
        <v>2.7</v>
      </c>
    </row>
    <row r="2086" spans="4:15" x14ac:dyDescent="0.3">
      <c r="D2086" s="1">
        <v>5408</v>
      </c>
      <c r="E2086" s="2">
        <v>43666</v>
      </c>
      <c r="F2086" s="1" t="s">
        <v>7</v>
      </c>
      <c r="G2086" s="1">
        <v>11</v>
      </c>
      <c r="H2086" s="9"/>
      <c r="J2086" s="1">
        <v>2559.6860999999999</v>
      </c>
      <c r="N2086" s="1" t="s">
        <v>10</v>
      </c>
      <c r="O2086" s="1">
        <v>22.7</v>
      </c>
    </row>
    <row r="2087" spans="4:15" x14ac:dyDescent="0.3">
      <c r="D2087" s="1">
        <v>31845</v>
      </c>
      <c r="E2087" s="2">
        <v>43760</v>
      </c>
      <c r="F2087" s="1" t="s">
        <v>7</v>
      </c>
      <c r="G2087" s="1">
        <v>36</v>
      </c>
      <c r="H2087" s="9"/>
      <c r="J2087" s="1">
        <v>3900.28</v>
      </c>
      <c r="N2087" s="1" t="s">
        <v>13</v>
      </c>
      <c r="O2087" s="1">
        <v>16.8</v>
      </c>
    </row>
    <row r="2088" spans="4:15" x14ac:dyDescent="0.3">
      <c r="D2088" s="1">
        <v>36034</v>
      </c>
      <c r="E2088" s="2">
        <v>43754</v>
      </c>
      <c r="F2088" s="1" t="s">
        <v>9</v>
      </c>
      <c r="G2088" s="1">
        <v>10</v>
      </c>
      <c r="H2088" s="9"/>
      <c r="J2088" s="1">
        <v>20.72</v>
      </c>
      <c r="N2088" s="1" t="s">
        <v>10</v>
      </c>
      <c r="O2088" s="1">
        <v>0.7</v>
      </c>
    </row>
    <row r="2089" spans="4:15" x14ac:dyDescent="0.3">
      <c r="D2089" s="1">
        <v>129</v>
      </c>
      <c r="E2089" s="2">
        <v>43787</v>
      </c>
      <c r="F2089" s="1" t="s">
        <v>7</v>
      </c>
      <c r="G2089" s="1">
        <v>4</v>
      </c>
      <c r="H2089" s="9"/>
      <c r="J2089" s="1">
        <v>35.01</v>
      </c>
      <c r="N2089" s="1" t="s">
        <v>10</v>
      </c>
      <c r="O2089" s="1">
        <v>8.8000000000000007</v>
      </c>
    </row>
    <row r="2090" spans="4:15" x14ac:dyDescent="0.3">
      <c r="D2090" s="1">
        <v>21382</v>
      </c>
      <c r="E2090" s="2">
        <v>43476</v>
      </c>
      <c r="F2090" s="1" t="s">
        <v>12</v>
      </c>
      <c r="G2090" s="1">
        <v>27</v>
      </c>
      <c r="H2090" s="9"/>
      <c r="J2090" s="1">
        <v>156.14510000000001</v>
      </c>
      <c r="N2090" s="1" t="s">
        <v>10</v>
      </c>
      <c r="O2090" s="1">
        <v>8</v>
      </c>
    </row>
    <row r="2091" spans="4:15" x14ac:dyDescent="0.3">
      <c r="D2091" s="1">
        <v>22466</v>
      </c>
      <c r="E2091" s="2">
        <v>43552</v>
      </c>
      <c r="F2091" s="1" t="s">
        <v>7</v>
      </c>
      <c r="G2091" s="1">
        <v>31</v>
      </c>
      <c r="H2091" s="9"/>
      <c r="J2091" s="1">
        <v>5782.47</v>
      </c>
      <c r="N2091" s="1" t="s">
        <v>13</v>
      </c>
      <c r="O2091" s="1">
        <v>32.1</v>
      </c>
    </row>
    <row r="2092" spans="4:15" x14ac:dyDescent="0.3">
      <c r="D2092" s="1">
        <v>58113</v>
      </c>
      <c r="E2092" s="2">
        <v>43496</v>
      </c>
      <c r="F2092" s="1" t="s">
        <v>9</v>
      </c>
      <c r="G2092" s="1">
        <v>12</v>
      </c>
      <c r="H2092" s="9"/>
      <c r="J2092" s="1">
        <v>2222.59</v>
      </c>
      <c r="N2092" s="1" t="s">
        <v>8</v>
      </c>
      <c r="O2092" s="1">
        <v>4.5</v>
      </c>
    </row>
    <row r="2093" spans="4:15" x14ac:dyDescent="0.3">
      <c r="D2093" s="1">
        <v>55171</v>
      </c>
      <c r="E2093" s="2">
        <v>43764</v>
      </c>
      <c r="F2093" s="1" t="s">
        <v>9</v>
      </c>
      <c r="G2093" s="1">
        <v>43</v>
      </c>
      <c r="H2093" s="9"/>
      <c r="J2093" s="1">
        <v>278.83999999999997</v>
      </c>
      <c r="N2093" s="1" t="s">
        <v>10</v>
      </c>
      <c r="O2093" s="1">
        <v>8.5</v>
      </c>
    </row>
    <row r="2094" spans="4:15" x14ac:dyDescent="0.3">
      <c r="D2094" s="1">
        <v>42374</v>
      </c>
      <c r="E2094" s="2">
        <v>43663</v>
      </c>
      <c r="F2094" s="1" t="s">
        <v>12</v>
      </c>
      <c r="G2094" s="1">
        <v>11</v>
      </c>
      <c r="H2094" s="9"/>
      <c r="J2094" s="1">
        <v>742.76</v>
      </c>
      <c r="N2094" s="1" t="s">
        <v>10</v>
      </c>
      <c r="O2094" s="1">
        <v>11</v>
      </c>
    </row>
    <row r="2095" spans="4:15" x14ac:dyDescent="0.3">
      <c r="D2095" s="1">
        <v>40802</v>
      </c>
      <c r="E2095" s="2">
        <v>43711</v>
      </c>
      <c r="F2095" s="1" t="s">
        <v>9</v>
      </c>
      <c r="G2095" s="1">
        <v>28</v>
      </c>
      <c r="H2095" s="9"/>
      <c r="J2095" s="1">
        <v>3596.29</v>
      </c>
      <c r="N2095" s="1" t="s">
        <v>13</v>
      </c>
      <c r="O2095" s="1">
        <v>60.1</v>
      </c>
    </row>
    <row r="2096" spans="4:15" x14ac:dyDescent="0.3">
      <c r="D2096" s="1">
        <v>36130</v>
      </c>
      <c r="E2096" s="2">
        <v>43721</v>
      </c>
      <c r="F2096" s="1" t="s">
        <v>12</v>
      </c>
      <c r="G2096" s="1">
        <v>23</v>
      </c>
      <c r="H2096" s="9"/>
      <c r="J2096" s="1">
        <v>422.44</v>
      </c>
      <c r="N2096" s="1" t="s">
        <v>10</v>
      </c>
      <c r="O2096" s="1">
        <v>4.3</v>
      </c>
    </row>
    <row r="2097" spans="4:15" x14ac:dyDescent="0.3">
      <c r="D2097" s="1">
        <v>57698</v>
      </c>
      <c r="E2097" s="2">
        <v>43470</v>
      </c>
      <c r="F2097" s="1" t="s">
        <v>12</v>
      </c>
      <c r="G2097" s="1">
        <v>13</v>
      </c>
      <c r="H2097" s="9"/>
      <c r="J2097" s="1">
        <v>5141.74</v>
      </c>
      <c r="N2097" s="1" t="s">
        <v>10</v>
      </c>
      <c r="O2097" s="1">
        <v>21.4</v>
      </c>
    </row>
    <row r="2098" spans="4:15" x14ac:dyDescent="0.3">
      <c r="D2098" s="1">
        <v>48803</v>
      </c>
      <c r="E2098" s="2">
        <v>43778</v>
      </c>
      <c r="F2098" s="1" t="s">
        <v>12</v>
      </c>
      <c r="G2098" s="1">
        <v>19</v>
      </c>
      <c r="H2098" s="9"/>
      <c r="J2098" s="1">
        <v>214.44</v>
      </c>
      <c r="N2098" s="1" t="s">
        <v>10</v>
      </c>
      <c r="O2098" s="1">
        <v>5</v>
      </c>
    </row>
    <row r="2099" spans="4:15" x14ac:dyDescent="0.3">
      <c r="D2099" s="1">
        <v>25473</v>
      </c>
      <c r="E2099" s="2">
        <v>43752</v>
      </c>
      <c r="F2099" s="1" t="s">
        <v>9</v>
      </c>
      <c r="G2099" s="1">
        <v>36</v>
      </c>
      <c r="H2099" s="9"/>
      <c r="J2099" s="1">
        <v>18516.189999999999</v>
      </c>
      <c r="N2099" s="1" t="s">
        <v>13</v>
      </c>
      <c r="O2099" s="1">
        <v>30.1</v>
      </c>
    </row>
    <row r="2100" spans="4:15" x14ac:dyDescent="0.3">
      <c r="D2100" s="1">
        <v>16193</v>
      </c>
      <c r="E2100" s="2">
        <v>43564</v>
      </c>
      <c r="F2100" s="1" t="s">
        <v>11</v>
      </c>
      <c r="G2100" s="1">
        <v>29</v>
      </c>
      <c r="H2100" s="9"/>
      <c r="J2100" s="1">
        <v>1460.34</v>
      </c>
      <c r="N2100" s="1" t="s">
        <v>10</v>
      </c>
      <c r="O2100" s="1">
        <v>5.4</v>
      </c>
    </row>
    <row r="2101" spans="4:15" x14ac:dyDescent="0.3">
      <c r="D2101" s="1">
        <v>25313</v>
      </c>
      <c r="E2101" s="2">
        <v>43698</v>
      </c>
      <c r="F2101" s="1" t="s">
        <v>12</v>
      </c>
      <c r="G2101" s="1">
        <v>19</v>
      </c>
      <c r="H2101" s="9"/>
      <c r="J2101" s="1">
        <v>448.01</v>
      </c>
      <c r="N2101" s="1" t="s">
        <v>10</v>
      </c>
      <c r="O2101" s="1">
        <v>5.9</v>
      </c>
    </row>
    <row r="2102" spans="4:15" x14ac:dyDescent="0.3">
      <c r="D2102" s="3"/>
      <c r="E2102" s="3"/>
      <c r="F2102" s="3"/>
      <c r="G2102" s="3"/>
      <c r="H2102" s="3"/>
      <c r="I2102" s="3"/>
      <c r="J2102" s="3"/>
      <c r="K2102" s="3"/>
      <c r="L2102" s="3"/>
      <c r="M2102" s="3"/>
      <c r="N2102" s="3"/>
      <c r="O2102" s="3"/>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Summary Card</vt:lpstr>
      <vt:lpstr>Sales Over Time</vt:lpstr>
      <vt:lpstr>Sales by Ship Mode</vt:lpstr>
      <vt:lpstr>Discount Impact</vt:lpstr>
      <vt:lpstr>Order Quantity Distribution</vt:lpstr>
      <vt:lpstr>Analysis</vt:lpstr>
      <vt:lpstr>Clean Sales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2016-05-30T20:22:40Z</dcterms:created>
  <dcterms:modified xsi:type="dcterms:W3CDTF">2025-12-20T07:50:10Z</dcterms:modified>
</cp:coreProperties>
</file>